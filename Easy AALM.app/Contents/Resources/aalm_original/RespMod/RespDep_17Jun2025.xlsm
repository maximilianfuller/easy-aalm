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usepa-my.sharepoint.com/personal/brown_james_epa_gov/Documents/Profile/Documents/EPA/AALM_newest/2023_NewTO/Respir/PeerReview/RevisedFiles/"/>
    </mc:Choice>
  </mc:AlternateContent>
  <xr:revisionPtr revIDLastSave="51" documentId="8_{46643472-2A74-45F5-8E85-DA2562F29FC0}" xr6:coauthVersionLast="47" xr6:coauthVersionMax="47" xr10:uidLastSave="{8E8DDF23-14AB-4151-920C-69547898AF83}"/>
  <bookViews>
    <workbookView xWindow="528" yWindow="774" windowWidth="21540" windowHeight="12588" activeTab="1" xr2:uid="{00000000-000D-0000-FFFF-FFFF00000000}"/>
  </bookViews>
  <sheets>
    <sheet name="README" sheetId="13" r:id="rId1"/>
    <sheet name="Exposure Scenario" sheetId="12" r:id="rId2"/>
    <sheet name="Dae&lt;--&gt;De" sheetId="36" r:id="rId3"/>
    <sheet name="Dp&gt;100um" sheetId="38" state="hidden" r:id="rId4"/>
    <sheet name="Exposure Inputs" sheetId="37" state="hidden" r:id="rId5"/>
    <sheet name="Dose" sheetId="20" state="hidden" r:id="rId6"/>
    <sheet name="Aerosol 1" sheetId="14" state="hidden" r:id="rId7"/>
    <sheet name="Aerosol 2" sheetId="15" state="hidden" r:id="rId8"/>
    <sheet name="Aerosol 3" sheetId="8" state="hidden" r:id="rId9"/>
  </sheet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9" i="12" l="1"/>
  <c r="E28" i="12"/>
  <c r="E20" i="12"/>
  <c r="E19" i="12"/>
  <c r="E10" i="12"/>
  <c r="E11" i="12"/>
  <c r="F20" i="36" l="1"/>
  <c r="E7" i="38"/>
  <c r="D7" i="38"/>
  <c r="C7" i="38"/>
  <c r="A10" i="38"/>
  <c r="C14" i="12"/>
  <c r="C13" i="12" l="1"/>
  <c r="D14" i="12"/>
  <c r="BB304" i="36" l="1"/>
  <c r="BC304" i="36" s="1"/>
  <c r="BA304" i="36"/>
  <c r="BB303" i="36"/>
  <c r="BC303" i="36" s="1"/>
  <c r="BA303" i="36"/>
  <c r="BB302" i="36"/>
  <c r="BC302" i="36" s="1"/>
  <c r="BA302" i="36"/>
  <c r="BB301" i="36"/>
  <c r="BC301" i="36" s="1"/>
  <c r="BA301" i="36"/>
  <c r="BB300" i="36"/>
  <c r="BC300" i="36" s="1"/>
  <c r="BA300" i="36"/>
  <c r="BB299" i="36"/>
  <c r="BC299" i="36" s="1"/>
  <c r="BA299" i="36"/>
  <c r="BB298" i="36"/>
  <c r="BC298" i="36" s="1"/>
  <c r="BA298" i="36"/>
  <c r="BB297" i="36"/>
  <c r="BC297" i="36" s="1"/>
  <c r="BA297" i="36"/>
  <c r="BB296" i="36"/>
  <c r="BC296" i="36" s="1"/>
  <c r="BA296" i="36"/>
  <c r="BB295" i="36"/>
  <c r="BC295" i="36" s="1"/>
  <c r="BA295" i="36"/>
  <c r="BB294" i="36"/>
  <c r="BC294" i="36" s="1"/>
  <c r="BA294" i="36"/>
  <c r="BB293" i="36"/>
  <c r="BC293" i="36" s="1"/>
  <c r="BA293" i="36"/>
  <c r="BB292" i="36"/>
  <c r="BC292" i="36" s="1"/>
  <c r="BA292" i="36"/>
  <c r="BB291" i="36"/>
  <c r="BC291" i="36" s="1"/>
  <c r="BA291" i="36"/>
  <c r="BB290" i="36"/>
  <c r="BC290" i="36" s="1"/>
  <c r="BA290" i="36"/>
  <c r="BB289" i="36"/>
  <c r="BC289" i="36" s="1"/>
  <c r="BA289" i="36"/>
  <c r="BB288" i="36"/>
  <c r="BC288" i="36" s="1"/>
  <c r="BA288" i="36"/>
  <c r="BB287" i="36"/>
  <c r="BC287" i="36" s="1"/>
  <c r="BA287" i="36"/>
  <c r="BB286" i="36"/>
  <c r="BC286" i="36" s="1"/>
  <c r="BA286" i="36"/>
  <c r="BB285" i="36"/>
  <c r="BC285" i="36" s="1"/>
  <c r="BA285" i="36"/>
  <c r="BB284" i="36"/>
  <c r="BC284" i="36" s="1"/>
  <c r="BA284" i="36"/>
  <c r="BB283" i="36"/>
  <c r="BC283" i="36" s="1"/>
  <c r="BA283" i="36"/>
  <c r="BB282" i="36"/>
  <c r="BC282" i="36" s="1"/>
  <c r="BA282" i="36"/>
  <c r="BB281" i="36"/>
  <c r="BC281" i="36" s="1"/>
  <c r="BA281" i="36"/>
  <c r="BB280" i="36"/>
  <c r="BC280" i="36" s="1"/>
  <c r="BA280" i="36"/>
  <c r="BB279" i="36"/>
  <c r="BC279" i="36" s="1"/>
  <c r="BA279" i="36"/>
  <c r="BB278" i="36"/>
  <c r="BC278" i="36" s="1"/>
  <c r="BA278" i="36"/>
  <c r="BB277" i="36"/>
  <c r="BC277" i="36" s="1"/>
  <c r="BA277" i="36"/>
  <c r="BB276" i="36"/>
  <c r="BC276" i="36" s="1"/>
  <c r="BA276" i="36"/>
  <c r="BB275" i="36"/>
  <c r="BC275" i="36" s="1"/>
  <c r="BA275" i="36"/>
  <c r="BB274" i="36"/>
  <c r="BC274" i="36" s="1"/>
  <c r="BA274" i="36"/>
  <c r="BB273" i="36"/>
  <c r="BC273" i="36" s="1"/>
  <c r="BA273" i="36"/>
  <c r="BB272" i="36"/>
  <c r="BC272" i="36" s="1"/>
  <c r="BA272" i="36"/>
  <c r="BB271" i="36"/>
  <c r="BC271" i="36" s="1"/>
  <c r="BA271" i="36"/>
  <c r="BB270" i="36"/>
  <c r="BC270" i="36" s="1"/>
  <c r="BA270" i="36"/>
  <c r="BB269" i="36"/>
  <c r="BC269" i="36" s="1"/>
  <c r="BA269" i="36"/>
  <c r="BB268" i="36"/>
  <c r="BC268" i="36" s="1"/>
  <c r="BA268" i="36"/>
  <c r="BB267" i="36"/>
  <c r="BC267" i="36" s="1"/>
  <c r="BA267" i="36"/>
  <c r="BB266" i="36"/>
  <c r="BC266" i="36" s="1"/>
  <c r="BA266" i="36"/>
  <c r="BB265" i="36"/>
  <c r="BC265" i="36" s="1"/>
  <c r="BA265" i="36"/>
  <c r="BB264" i="36"/>
  <c r="BC264" i="36" s="1"/>
  <c r="BA264" i="36"/>
  <c r="BB263" i="36"/>
  <c r="BC263" i="36" s="1"/>
  <c r="BA263" i="36"/>
  <c r="BB262" i="36"/>
  <c r="BC262" i="36" s="1"/>
  <c r="BA262" i="36"/>
  <c r="BB261" i="36"/>
  <c r="BC261" i="36" s="1"/>
  <c r="BA261" i="36"/>
  <c r="BB260" i="36"/>
  <c r="BC260" i="36" s="1"/>
  <c r="BA260" i="36"/>
  <c r="BB259" i="36"/>
  <c r="BC259" i="36" s="1"/>
  <c r="BA259" i="36"/>
  <c r="BB258" i="36"/>
  <c r="BC258" i="36" s="1"/>
  <c r="BA258" i="36"/>
  <c r="BB257" i="36"/>
  <c r="BC257" i="36" s="1"/>
  <c r="BA257" i="36"/>
  <c r="BB256" i="36"/>
  <c r="BC256" i="36" s="1"/>
  <c r="BA256" i="36"/>
  <c r="BB255" i="36"/>
  <c r="BC255" i="36" s="1"/>
  <c r="BA255" i="36"/>
  <c r="BB254" i="36"/>
  <c r="BC254" i="36" s="1"/>
  <c r="BA254" i="36"/>
  <c r="BB253" i="36"/>
  <c r="BC253" i="36" s="1"/>
  <c r="BA253" i="36"/>
  <c r="BB252" i="36"/>
  <c r="BC252" i="36" s="1"/>
  <c r="BA252" i="36"/>
  <c r="BB251" i="36"/>
  <c r="BC251" i="36" s="1"/>
  <c r="BA251" i="36"/>
  <c r="BB250" i="36"/>
  <c r="BC250" i="36" s="1"/>
  <c r="BA250" i="36"/>
  <c r="BB249" i="36"/>
  <c r="BC249" i="36" s="1"/>
  <c r="BA249" i="36"/>
  <c r="BB248" i="36"/>
  <c r="BC248" i="36" s="1"/>
  <c r="BA248" i="36"/>
  <c r="BB247" i="36"/>
  <c r="BC247" i="36" s="1"/>
  <c r="BA247" i="36"/>
  <c r="BB246" i="36"/>
  <c r="BC246" i="36" s="1"/>
  <c r="BA246" i="36"/>
  <c r="BB245" i="36"/>
  <c r="BC245" i="36" s="1"/>
  <c r="BA245" i="36"/>
  <c r="BB244" i="36"/>
  <c r="BC244" i="36" s="1"/>
  <c r="BA244" i="36"/>
  <c r="BB243" i="36"/>
  <c r="BC243" i="36" s="1"/>
  <c r="BA243" i="36"/>
  <c r="BB242" i="36"/>
  <c r="BC242" i="36" s="1"/>
  <c r="BA242" i="36"/>
  <c r="BB241" i="36"/>
  <c r="BC241" i="36" s="1"/>
  <c r="BA241" i="36"/>
  <c r="BB240" i="36"/>
  <c r="BC240" i="36" s="1"/>
  <c r="BA240" i="36"/>
  <c r="BB239" i="36"/>
  <c r="BC239" i="36" s="1"/>
  <c r="BA239" i="36"/>
  <c r="BB238" i="36"/>
  <c r="BC238" i="36" s="1"/>
  <c r="BA238" i="36"/>
  <c r="BB237" i="36"/>
  <c r="BC237" i="36" s="1"/>
  <c r="BA237" i="36"/>
  <c r="BB236" i="36"/>
  <c r="BC236" i="36" s="1"/>
  <c r="BA236" i="36"/>
  <c r="BB235" i="36"/>
  <c r="BC235" i="36" s="1"/>
  <c r="BA235" i="36"/>
  <c r="BB234" i="36"/>
  <c r="BC234" i="36" s="1"/>
  <c r="BA234" i="36"/>
  <c r="BB233" i="36"/>
  <c r="BC233" i="36" s="1"/>
  <c r="BA233" i="36"/>
  <c r="BB232" i="36"/>
  <c r="BC232" i="36" s="1"/>
  <c r="BA232" i="36"/>
  <c r="BB231" i="36"/>
  <c r="BC231" i="36" s="1"/>
  <c r="BA231" i="36"/>
  <c r="BB230" i="36"/>
  <c r="BC230" i="36" s="1"/>
  <c r="BA230" i="36"/>
  <c r="BB229" i="36"/>
  <c r="BC229" i="36" s="1"/>
  <c r="BA229" i="36"/>
  <c r="BB228" i="36"/>
  <c r="BC228" i="36" s="1"/>
  <c r="BA228" i="36"/>
  <c r="BB227" i="36"/>
  <c r="BC227" i="36" s="1"/>
  <c r="BA227" i="36"/>
  <c r="BB226" i="36"/>
  <c r="BC226" i="36" s="1"/>
  <c r="BA226" i="36"/>
  <c r="BB225" i="36"/>
  <c r="BC225" i="36" s="1"/>
  <c r="BA225" i="36"/>
  <c r="BB224" i="36"/>
  <c r="BC224" i="36" s="1"/>
  <c r="BA224" i="36"/>
  <c r="BB223" i="36"/>
  <c r="BC223" i="36" s="1"/>
  <c r="BA223" i="36"/>
  <c r="BB222" i="36"/>
  <c r="BC222" i="36" s="1"/>
  <c r="BA222" i="36"/>
  <c r="BB221" i="36"/>
  <c r="BC221" i="36" s="1"/>
  <c r="BA221" i="36"/>
  <c r="BB220" i="36"/>
  <c r="BC220" i="36" s="1"/>
  <c r="BA220" i="36"/>
  <c r="BB219" i="36"/>
  <c r="BC219" i="36" s="1"/>
  <c r="BA219" i="36"/>
  <c r="BB218" i="36"/>
  <c r="BC218" i="36" s="1"/>
  <c r="BA218" i="36"/>
  <c r="BB217" i="36"/>
  <c r="BC217" i="36" s="1"/>
  <c r="BA217" i="36"/>
  <c r="BB216" i="36"/>
  <c r="BC216" i="36" s="1"/>
  <c r="BA216" i="36"/>
  <c r="BB215" i="36"/>
  <c r="BC215" i="36" s="1"/>
  <c r="BA215" i="36"/>
  <c r="BB214" i="36"/>
  <c r="BC214" i="36" s="1"/>
  <c r="BA214" i="36"/>
  <c r="BB213" i="36"/>
  <c r="BC213" i="36" s="1"/>
  <c r="BA213" i="36"/>
  <c r="BB212" i="36"/>
  <c r="BC212" i="36" s="1"/>
  <c r="BA212" i="36"/>
  <c r="BB211" i="36"/>
  <c r="BC211" i="36" s="1"/>
  <c r="BA211" i="36"/>
  <c r="BB210" i="36"/>
  <c r="BC210" i="36" s="1"/>
  <c r="BA210" i="36"/>
  <c r="BB209" i="36"/>
  <c r="BC209" i="36" s="1"/>
  <c r="BA209" i="36"/>
  <c r="BB208" i="36"/>
  <c r="BC208" i="36" s="1"/>
  <c r="BA208" i="36"/>
  <c r="BB207" i="36"/>
  <c r="BC207" i="36" s="1"/>
  <c r="BA207" i="36"/>
  <c r="BB206" i="36"/>
  <c r="BC206" i="36" s="1"/>
  <c r="BA206" i="36"/>
  <c r="BB205" i="36"/>
  <c r="BC205" i="36" s="1"/>
  <c r="BA205" i="36"/>
  <c r="BB204" i="36"/>
  <c r="BC204" i="36" s="1"/>
  <c r="BA204" i="36"/>
  <c r="BB203" i="36"/>
  <c r="BC203" i="36" s="1"/>
  <c r="BA203" i="36"/>
  <c r="BB202" i="36"/>
  <c r="BC202" i="36" s="1"/>
  <c r="BA202" i="36"/>
  <c r="BB201" i="36"/>
  <c r="BC201" i="36" s="1"/>
  <c r="BA201" i="36"/>
  <c r="BB200" i="36"/>
  <c r="BC200" i="36" s="1"/>
  <c r="BA200" i="36"/>
  <c r="BB199" i="36"/>
  <c r="BC199" i="36" s="1"/>
  <c r="BA199" i="36"/>
  <c r="BB198" i="36"/>
  <c r="BC198" i="36" s="1"/>
  <c r="BA198" i="36"/>
  <c r="BB197" i="36"/>
  <c r="BC197" i="36" s="1"/>
  <c r="BA197" i="36"/>
  <c r="BB196" i="36"/>
  <c r="BC196" i="36" s="1"/>
  <c r="BA196" i="36"/>
  <c r="BB195" i="36"/>
  <c r="BC195" i="36" s="1"/>
  <c r="BA195" i="36"/>
  <c r="BB194" i="36"/>
  <c r="BC194" i="36" s="1"/>
  <c r="BA194" i="36"/>
  <c r="BB193" i="36"/>
  <c r="BC193" i="36" s="1"/>
  <c r="BA193" i="36"/>
  <c r="BB192" i="36"/>
  <c r="BC192" i="36" s="1"/>
  <c r="BA192" i="36"/>
  <c r="BB191" i="36"/>
  <c r="BC191" i="36" s="1"/>
  <c r="BA191" i="36"/>
  <c r="BB190" i="36"/>
  <c r="BC190" i="36" s="1"/>
  <c r="BA190" i="36"/>
  <c r="BB189" i="36"/>
  <c r="BC189" i="36" s="1"/>
  <c r="BA189" i="36"/>
  <c r="BB188" i="36"/>
  <c r="BC188" i="36" s="1"/>
  <c r="BA188" i="36"/>
  <c r="BB187" i="36"/>
  <c r="BC187" i="36" s="1"/>
  <c r="BA187" i="36"/>
  <c r="BB186" i="36"/>
  <c r="BC186" i="36" s="1"/>
  <c r="BA186" i="36"/>
  <c r="BB185" i="36"/>
  <c r="BC185" i="36" s="1"/>
  <c r="BA185" i="36"/>
  <c r="BB184" i="36"/>
  <c r="BC184" i="36" s="1"/>
  <c r="BA184" i="36"/>
  <c r="BB183" i="36"/>
  <c r="BC183" i="36" s="1"/>
  <c r="BA183" i="36"/>
  <c r="BB182" i="36"/>
  <c r="BC182" i="36" s="1"/>
  <c r="BA182" i="36"/>
  <c r="BB181" i="36"/>
  <c r="BC181" i="36" s="1"/>
  <c r="BA181" i="36"/>
  <c r="BB180" i="36"/>
  <c r="BC180" i="36" s="1"/>
  <c r="BA180" i="36"/>
  <c r="BB179" i="36"/>
  <c r="BC179" i="36" s="1"/>
  <c r="BA179" i="36"/>
  <c r="BB178" i="36"/>
  <c r="BC178" i="36" s="1"/>
  <c r="BA178" i="36"/>
  <c r="BB177" i="36"/>
  <c r="BC177" i="36" s="1"/>
  <c r="BA177" i="36"/>
  <c r="BB176" i="36"/>
  <c r="BC176" i="36" s="1"/>
  <c r="BA176" i="36"/>
  <c r="BB175" i="36"/>
  <c r="BC175" i="36" s="1"/>
  <c r="BA175" i="36"/>
  <c r="BB174" i="36"/>
  <c r="BC174" i="36" s="1"/>
  <c r="BA174" i="36"/>
  <c r="BB173" i="36"/>
  <c r="BC173" i="36" s="1"/>
  <c r="BA173" i="36"/>
  <c r="BB172" i="36"/>
  <c r="BC172" i="36" s="1"/>
  <c r="BA172" i="36"/>
  <c r="BB171" i="36"/>
  <c r="BC171" i="36" s="1"/>
  <c r="BA171" i="36"/>
  <c r="BB170" i="36"/>
  <c r="BC170" i="36" s="1"/>
  <c r="BA170" i="36"/>
  <c r="BB169" i="36"/>
  <c r="BC169" i="36" s="1"/>
  <c r="BA169" i="36"/>
  <c r="BB168" i="36"/>
  <c r="BC168" i="36" s="1"/>
  <c r="BA168" i="36"/>
  <c r="BB167" i="36"/>
  <c r="BC167" i="36" s="1"/>
  <c r="BA167" i="36"/>
  <c r="BB166" i="36"/>
  <c r="BC166" i="36" s="1"/>
  <c r="BA166" i="36"/>
  <c r="BB165" i="36"/>
  <c r="BC165" i="36" s="1"/>
  <c r="BA165" i="36"/>
  <c r="BB164" i="36"/>
  <c r="BC164" i="36" s="1"/>
  <c r="BA164" i="36"/>
  <c r="BB163" i="36"/>
  <c r="BC163" i="36" s="1"/>
  <c r="BA163" i="36"/>
  <c r="BB162" i="36"/>
  <c r="BC162" i="36" s="1"/>
  <c r="BA162" i="36"/>
  <c r="BB161" i="36"/>
  <c r="BC161" i="36" s="1"/>
  <c r="BA161" i="36"/>
  <c r="BB160" i="36"/>
  <c r="BC160" i="36" s="1"/>
  <c r="BA160" i="36"/>
  <c r="BB159" i="36"/>
  <c r="BC159" i="36" s="1"/>
  <c r="BA159" i="36"/>
  <c r="BB158" i="36"/>
  <c r="BC158" i="36" s="1"/>
  <c r="BA158" i="36"/>
  <c r="BB157" i="36"/>
  <c r="BC157" i="36" s="1"/>
  <c r="BA157" i="36"/>
  <c r="BB156" i="36"/>
  <c r="BC156" i="36" s="1"/>
  <c r="BD156" i="36" s="1"/>
  <c r="BE156" i="36" s="1"/>
  <c r="BF156" i="36" s="1"/>
  <c r="BG156" i="36" s="1"/>
  <c r="BA156" i="36"/>
  <c r="BB155" i="36"/>
  <c r="BC155" i="36" s="1"/>
  <c r="BA155" i="36"/>
  <c r="BD155" i="36" s="1"/>
  <c r="BE155" i="36" s="1"/>
  <c r="BB154" i="36"/>
  <c r="BC154" i="36" s="1"/>
  <c r="BA154" i="36"/>
  <c r="BB153" i="36"/>
  <c r="BC153" i="36" s="1"/>
  <c r="BA153" i="36"/>
  <c r="BB152" i="36"/>
  <c r="BC152" i="36" s="1"/>
  <c r="BA152" i="36"/>
  <c r="BB151" i="36"/>
  <c r="BC151" i="36" s="1"/>
  <c r="BA151" i="36"/>
  <c r="BB150" i="36"/>
  <c r="BC150" i="36" s="1"/>
  <c r="BA150" i="36"/>
  <c r="BB149" i="36"/>
  <c r="BC149" i="36" s="1"/>
  <c r="BA149" i="36"/>
  <c r="BB148" i="36"/>
  <c r="BC148" i="36" s="1"/>
  <c r="BA148" i="36"/>
  <c r="BB147" i="36"/>
  <c r="BC147" i="36" s="1"/>
  <c r="BA147" i="36"/>
  <c r="BB146" i="36"/>
  <c r="BC146" i="36" s="1"/>
  <c r="BA146" i="36"/>
  <c r="BB145" i="36"/>
  <c r="BC145" i="36" s="1"/>
  <c r="BA145" i="36"/>
  <c r="BB144" i="36"/>
  <c r="BC144" i="36" s="1"/>
  <c r="BA144" i="36"/>
  <c r="BB143" i="36"/>
  <c r="BC143" i="36" s="1"/>
  <c r="BA143" i="36"/>
  <c r="BB142" i="36"/>
  <c r="BC142" i="36" s="1"/>
  <c r="BA142" i="36"/>
  <c r="BB141" i="36"/>
  <c r="BC141" i="36" s="1"/>
  <c r="BA141" i="36"/>
  <c r="BB140" i="36"/>
  <c r="BC140" i="36" s="1"/>
  <c r="BA140" i="36"/>
  <c r="BB139" i="36"/>
  <c r="BC139" i="36" s="1"/>
  <c r="BA139" i="36"/>
  <c r="BB138" i="36"/>
  <c r="BC138" i="36" s="1"/>
  <c r="BA138" i="36"/>
  <c r="BB137" i="36"/>
  <c r="BC137" i="36" s="1"/>
  <c r="BA137" i="36"/>
  <c r="BB136" i="36"/>
  <c r="BC136" i="36" s="1"/>
  <c r="BA136" i="36"/>
  <c r="BB135" i="36"/>
  <c r="BC135" i="36" s="1"/>
  <c r="BA135" i="36"/>
  <c r="BB134" i="36"/>
  <c r="BC134" i="36" s="1"/>
  <c r="BA134" i="36"/>
  <c r="BB133" i="36"/>
  <c r="BC133" i="36" s="1"/>
  <c r="BA133" i="36"/>
  <c r="BB132" i="36"/>
  <c r="BC132" i="36" s="1"/>
  <c r="BA132" i="36"/>
  <c r="BB131" i="36"/>
  <c r="BC131" i="36" s="1"/>
  <c r="BA131" i="36"/>
  <c r="BB130" i="36"/>
  <c r="BC130" i="36" s="1"/>
  <c r="BA130" i="36"/>
  <c r="BB129" i="36"/>
  <c r="BC129" i="36" s="1"/>
  <c r="BA129" i="36"/>
  <c r="BB128" i="36"/>
  <c r="BC128" i="36" s="1"/>
  <c r="BA128" i="36"/>
  <c r="BB127" i="36"/>
  <c r="BC127" i="36" s="1"/>
  <c r="BA127" i="36"/>
  <c r="BB126" i="36"/>
  <c r="BC126" i="36" s="1"/>
  <c r="BA126" i="36"/>
  <c r="BB125" i="36"/>
  <c r="BC125" i="36" s="1"/>
  <c r="BA125" i="36"/>
  <c r="BB124" i="36"/>
  <c r="BC124" i="36" s="1"/>
  <c r="BA124" i="36"/>
  <c r="BB123" i="36"/>
  <c r="BC123" i="36" s="1"/>
  <c r="BA123" i="36"/>
  <c r="BB122" i="36"/>
  <c r="BC122" i="36" s="1"/>
  <c r="BA122" i="36"/>
  <c r="BB121" i="36"/>
  <c r="BC121" i="36" s="1"/>
  <c r="BA121" i="36"/>
  <c r="BB120" i="36"/>
  <c r="BC120" i="36" s="1"/>
  <c r="BA120" i="36"/>
  <c r="BB119" i="36"/>
  <c r="BC119" i="36" s="1"/>
  <c r="BA119" i="36"/>
  <c r="BB118" i="36"/>
  <c r="BC118" i="36" s="1"/>
  <c r="BA118" i="36"/>
  <c r="BB117" i="36"/>
  <c r="BC117" i="36" s="1"/>
  <c r="BA117" i="36"/>
  <c r="BB116" i="36"/>
  <c r="BC116" i="36" s="1"/>
  <c r="BA116" i="36"/>
  <c r="BB115" i="36"/>
  <c r="BC115" i="36" s="1"/>
  <c r="BA115" i="36"/>
  <c r="BB114" i="36"/>
  <c r="BC114" i="36" s="1"/>
  <c r="BA114" i="36"/>
  <c r="BB113" i="36"/>
  <c r="BC113" i="36" s="1"/>
  <c r="BA113" i="36"/>
  <c r="BB112" i="36"/>
  <c r="BC112" i="36" s="1"/>
  <c r="BA112" i="36"/>
  <c r="BB111" i="36"/>
  <c r="BC111" i="36" s="1"/>
  <c r="BA111" i="36"/>
  <c r="BB110" i="36"/>
  <c r="BC110" i="36" s="1"/>
  <c r="BA110" i="36"/>
  <c r="BB109" i="36"/>
  <c r="BC109" i="36" s="1"/>
  <c r="BA109" i="36"/>
  <c r="BB108" i="36"/>
  <c r="BC108" i="36" s="1"/>
  <c r="BA108" i="36"/>
  <c r="BB107" i="36"/>
  <c r="BC107" i="36" s="1"/>
  <c r="BA107" i="36"/>
  <c r="BB106" i="36"/>
  <c r="BC106" i="36" s="1"/>
  <c r="BA106" i="36"/>
  <c r="BB105" i="36"/>
  <c r="BC105" i="36" s="1"/>
  <c r="BA105" i="36"/>
  <c r="BB104" i="36"/>
  <c r="BC104" i="36" s="1"/>
  <c r="BA104" i="36"/>
  <c r="BB103" i="36"/>
  <c r="BC103" i="36" s="1"/>
  <c r="BA103" i="36"/>
  <c r="BB102" i="36"/>
  <c r="BC102" i="36" s="1"/>
  <c r="BA102" i="36"/>
  <c r="BB101" i="36"/>
  <c r="BC101" i="36" s="1"/>
  <c r="BA101" i="36"/>
  <c r="BB100" i="36"/>
  <c r="BC100" i="36" s="1"/>
  <c r="BA100" i="36"/>
  <c r="BB99" i="36"/>
  <c r="BC99" i="36" s="1"/>
  <c r="BA99" i="36"/>
  <c r="BB98" i="36"/>
  <c r="BC98" i="36" s="1"/>
  <c r="BA98" i="36"/>
  <c r="BB97" i="36"/>
  <c r="BC97" i="36" s="1"/>
  <c r="BA97" i="36"/>
  <c r="BB96" i="36"/>
  <c r="BC96" i="36" s="1"/>
  <c r="BA96" i="36"/>
  <c r="BB95" i="36"/>
  <c r="BC95" i="36" s="1"/>
  <c r="BA95" i="36"/>
  <c r="BB94" i="36"/>
  <c r="BC94" i="36" s="1"/>
  <c r="BA94" i="36"/>
  <c r="BB93" i="36"/>
  <c r="BC93" i="36" s="1"/>
  <c r="BA93" i="36"/>
  <c r="BB92" i="36"/>
  <c r="BC92" i="36" s="1"/>
  <c r="BA92" i="36"/>
  <c r="BB91" i="36"/>
  <c r="BC91" i="36" s="1"/>
  <c r="BA91" i="36"/>
  <c r="BB90" i="36"/>
  <c r="BC90" i="36" s="1"/>
  <c r="BA90" i="36"/>
  <c r="BB89" i="36"/>
  <c r="BC89" i="36" s="1"/>
  <c r="BA89" i="36"/>
  <c r="BB88" i="36"/>
  <c r="BC88" i="36" s="1"/>
  <c r="BA88" i="36"/>
  <c r="BB87" i="36"/>
  <c r="BC87" i="36" s="1"/>
  <c r="BA87" i="36"/>
  <c r="BB86" i="36"/>
  <c r="BC86" i="36" s="1"/>
  <c r="BA86" i="36"/>
  <c r="BB85" i="36"/>
  <c r="BC85" i="36" s="1"/>
  <c r="BA85" i="36"/>
  <c r="BB84" i="36"/>
  <c r="BC84" i="36" s="1"/>
  <c r="BA84" i="36"/>
  <c r="BD84" i="36" s="1"/>
  <c r="BE84" i="36" s="1"/>
  <c r="BB83" i="36"/>
  <c r="BC83" i="36" s="1"/>
  <c r="BA83" i="36"/>
  <c r="BB82" i="36"/>
  <c r="BC82" i="36" s="1"/>
  <c r="BA82" i="36"/>
  <c r="BB81" i="36"/>
  <c r="BC81" i="36" s="1"/>
  <c r="BA81" i="36"/>
  <c r="BB80" i="36"/>
  <c r="BC80" i="36" s="1"/>
  <c r="BA80" i="36"/>
  <c r="BB79" i="36"/>
  <c r="BC79" i="36" s="1"/>
  <c r="BA79" i="36"/>
  <c r="BB78" i="36"/>
  <c r="BC78" i="36" s="1"/>
  <c r="BA78" i="36"/>
  <c r="BB77" i="36"/>
  <c r="BC77" i="36" s="1"/>
  <c r="BA77" i="36"/>
  <c r="BB76" i="36"/>
  <c r="BC76" i="36" s="1"/>
  <c r="BA76" i="36"/>
  <c r="BB75" i="36"/>
  <c r="BC75" i="36" s="1"/>
  <c r="BA75" i="36"/>
  <c r="BB74" i="36"/>
  <c r="BC74" i="36" s="1"/>
  <c r="BA74" i="36"/>
  <c r="BB73" i="36"/>
  <c r="BC73" i="36" s="1"/>
  <c r="BA73" i="36"/>
  <c r="BB72" i="36"/>
  <c r="BC72" i="36" s="1"/>
  <c r="BA72" i="36"/>
  <c r="BB71" i="36"/>
  <c r="BC71" i="36" s="1"/>
  <c r="BA71" i="36"/>
  <c r="BB70" i="36"/>
  <c r="BC70" i="36" s="1"/>
  <c r="BA70" i="36"/>
  <c r="BB69" i="36"/>
  <c r="BC69" i="36" s="1"/>
  <c r="BA69" i="36"/>
  <c r="BB68" i="36"/>
  <c r="BC68" i="36" s="1"/>
  <c r="BA68" i="36"/>
  <c r="BB67" i="36"/>
  <c r="BC67" i="36" s="1"/>
  <c r="BA67" i="36"/>
  <c r="BB66" i="36"/>
  <c r="BC66" i="36" s="1"/>
  <c r="BA66" i="36"/>
  <c r="BB65" i="36"/>
  <c r="BC65" i="36" s="1"/>
  <c r="BA65" i="36"/>
  <c r="BB64" i="36"/>
  <c r="BC64" i="36" s="1"/>
  <c r="BA64" i="36"/>
  <c r="BB63" i="36"/>
  <c r="BC63" i="36" s="1"/>
  <c r="BA63" i="36"/>
  <c r="BB62" i="36"/>
  <c r="BC62" i="36" s="1"/>
  <c r="BA62" i="36"/>
  <c r="BB61" i="36"/>
  <c r="BC61" i="36" s="1"/>
  <c r="BA61" i="36"/>
  <c r="BB60" i="36"/>
  <c r="BC60" i="36" s="1"/>
  <c r="BA60" i="36"/>
  <c r="BB59" i="36"/>
  <c r="BC59" i="36" s="1"/>
  <c r="BA59" i="36"/>
  <c r="BB58" i="36"/>
  <c r="BC58" i="36" s="1"/>
  <c r="BA58" i="36"/>
  <c r="BB57" i="36"/>
  <c r="BC57" i="36" s="1"/>
  <c r="BA57" i="36"/>
  <c r="BB56" i="36"/>
  <c r="BC56" i="36" s="1"/>
  <c r="BA56" i="36"/>
  <c r="BB55" i="36"/>
  <c r="BC55" i="36" s="1"/>
  <c r="BA55" i="36"/>
  <c r="BB54" i="36"/>
  <c r="BC54" i="36" s="1"/>
  <c r="BA54" i="36"/>
  <c r="BB53" i="36"/>
  <c r="BC53" i="36" s="1"/>
  <c r="BA53" i="36"/>
  <c r="BB52" i="36"/>
  <c r="BC52" i="36" s="1"/>
  <c r="BA52" i="36"/>
  <c r="BB51" i="36"/>
  <c r="BC51" i="36" s="1"/>
  <c r="BA51" i="36"/>
  <c r="BB50" i="36"/>
  <c r="BC50" i="36" s="1"/>
  <c r="BA50" i="36"/>
  <c r="BB49" i="36"/>
  <c r="BC49" i="36" s="1"/>
  <c r="BA49" i="36"/>
  <c r="BB48" i="36"/>
  <c r="BC48" i="36" s="1"/>
  <c r="BA48" i="36"/>
  <c r="BB47" i="36"/>
  <c r="BC47" i="36" s="1"/>
  <c r="BA47" i="36"/>
  <c r="BB46" i="36"/>
  <c r="BC46" i="36" s="1"/>
  <c r="BA46" i="36"/>
  <c r="BB45" i="36"/>
  <c r="BC45" i="36" s="1"/>
  <c r="BA45" i="36"/>
  <c r="BB44" i="36"/>
  <c r="BC44" i="36" s="1"/>
  <c r="BA44" i="36"/>
  <c r="BB43" i="36"/>
  <c r="BC43" i="36" s="1"/>
  <c r="BA43" i="36"/>
  <c r="BB42" i="36"/>
  <c r="BC42" i="36" s="1"/>
  <c r="BA42" i="36"/>
  <c r="BB41" i="36"/>
  <c r="BC41" i="36" s="1"/>
  <c r="BA41" i="36"/>
  <c r="BB40" i="36"/>
  <c r="BC40" i="36" s="1"/>
  <c r="BA40" i="36"/>
  <c r="BB39" i="36"/>
  <c r="BC39" i="36" s="1"/>
  <c r="BA39" i="36"/>
  <c r="BB38" i="36"/>
  <c r="BC38" i="36" s="1"/>
  <c r="BA38" i="36"/>
  <c r="BB37" i="36"/>
  <c r="BC37" i="36" s="1"/>
  <c r="BA37" i="36"/>
  <c r="BB36" i="36"/>
  <c r="BC36" i="36" s="1"/>
  <c r="BA36" i="36"/>
  <c r="BB35" i="36"/>
  <c r="BC35" i="36" s="1"/>
  <c r="BA35" i="36"/>
  <c r="BB34" i="36"/>
  <c r="BC34" i="36" s="1"/>
  <c r="BA34" i="36"/>
  <c r="BB33" i="36"/>
  <c r="BC33" i="36" s="1"/>
  <c r="BA33" i="36"/>
  <c r="BB32" i="36"/>
  <c r="BC32" i="36" s="1"/>
  <c r="BA32" i="36"/>
  <c r="BB31" i="36"/>
  <c r="BC31" i="36" s="1"/>
  <c r="BA31" i="36"/>
  <c r="BB30" i="36"/>
  <c r="BC30" i="36" s="1"/>
  <c r="BA30" i="36"/>
  <c r="BB29" i="36"/>
  <c r="BC29" i="36" s="1"/>
  <c r="BA29" i="36"/>
  <c r="BB28" i="36"/>
  <c r="BC28" i="36" s="1"/>
  <c r="BA28" i="36"/>
  <c r="BB27" i="36"/>
  <c r="BC27" i="36" s="1"/>
  <c r="BA27" i="36"/>
  <c r="BB26" i="36"/>
  <c r="BC26" i="36" s="1"/>
  <c r="BA26" i="36"/>
  <c r="BB25" i="36"/>
  <c r="BC25" i="36" s="1"/>
  <c r="BA25" i="36"/>
  <c r="BB24" i="36"/>
  <c r="BC24" i="36" s="1"/>
  <c r="BA24" i="36"/>
  <c r="BB23" i="36"/>
  <c r="BC23" i="36" s="1"/>
  <c r="BA23" i="36"/>
  <c r="BB22" i="36"/>
  <c r="BC22" i="36" s="1"/>
  <c r="BA22" i="36"/>
  <c r="BB21" i="36"/>
  <c r="BC21" i="36" s="1"/>
  <c r="BA21" i="36"/>
  <c r="BB20" i="36"/>
  <c r="BC20" i="36" s="1"/>
  <c r="BA20" i="36"/>
  <c r="BB19" i="36"/>
  <c r="BC19" i="36" s="1"/>
  <c r="BA19" i="36"/>
  <c r="BB18" i="36"/>
  <c r="BC18" i="36" s="1"/>
  <c r="BA18" i="36"/>
  <c r="BB17" i="36"/>
  <c r="BC17" i="36" s="1"/>
  <c r="BA17" i="36"/>
  <c r="BB16" i="36"/>
  <c r="BC16" i="36" s="1"/>
  <c r="BA16" i="36"/>
  <c r="BB15" i="36"/>
  <c r="BC15" i="36" s="1"/>
  <c r="BA15" i="36"/>
  <c r="BB14" i="36"/>
  <c r="BC14" i="36" s="1"/>
  <c r="BA14" i="36"/>
  <c r="BB13" i="36"/>
  <c r="BC13" i="36" s="1"/>
  <c r="BA13" i="36"/>
  <c r="BB12" i="36"/>
  <c r="BC12" i="36" s="1"/>
  <c r="BA12" i="36"/>
  <c r="BB11" i="36"/>
  <c r="BC11" i="36" s="1"/>
  <c r="BA11" i="36"/>
  <c r="BB10" i="36"/>
  <c r="BC10" i="36" s="1"/>
  <c r="BA10" i="36"/>
  <c r="BD10" i="36" s="1"/>
  <c r="BE10" i="36" s="1"/>
  <c r="BB9" i="36"/>
  <c r="BC9" i="36" s="1"/>
  <c r="BA9" i="36"/>
  <c r="BB8" i="36"/>
  <c r="BC8" i="36" s="1"/>
  <c r="BA8" i="36"/>
  <c r="BB7" i="36"/>
  <c r="BC7" i="36" s="1"/>
  <c r="BA7" i="36"/>
  <c r="BB6" i="36"/>
  <c r="BC6" i="36" s="1"/>
  <c r="BA6" i="36"/>
  <c r="BB5" i="36"/>
  <c r="BC5" i="36" s="1"/>
  <c r="BA5" i="36"/>
  <c r="G20" i="36"/>
  <c r="BA4" i="36"/>
  <c r="BB4" i="36"/>
  <c r="BC4" i="36" s="1"/>
  <c r="BD4" i="36" s="1"/>
  <c r="BE4" i="36" s="1"/>
  <c r="BF4" i="36" s="1"/>
  <c r="G19" i="36"/>
  <c r="AB4" i="36"/>
  <c r="AC4" i="36" s="1"/>
  <c r="AA4" i="36"/>
  <c r="BD40" i="36" l="1"/>
  <c r="BE40" i="36" s="1"/>
  <c r="BD193" i="36"/>
  <c r="BE193" i="36" s="1"/>
  <c r="BF193" i="36" s="1"/>
  <c r="BG193" i="36" s="1"/>
  <c r="BH193" i="36" s="1"/>
  <c r="BI193" i="36" s="1"/>
  <c r="BJ193" i="36" s="1"/>
  <c r="BK193" i="36" s="1"/>
  <c r="BL193" i="36" s="1"/>
  <c r="BM193" i="36" s="1"/>
  <c r="BN193" i="36" s="1"/>
  <c r="BO193" i="36" s="1"/>
  <c r="BP193" i="36" s="1"/>
  <c r="BQ193" i="36" s="1"/>
  <c r="BR193" i="36" s="1"/>
  <c r="BS193" i="36" s="1"/>
  <c r="BT193" i="36" s="1"/>
  <c r="BU193" i="36" s="1"/>
  <c r="BV193" i="36" s="1"/>
  <c r="BD241" i="36"/>
  <c r="BE241" i="36" s="1"/>
  <c r="BF241" i="36" s="1"/>
  <c r="BG241" i="36" s="1"/>
  <c r="BH241" i="36" s="1"/>
  <c r="BI241" i="36" s="1"/>
  <c r="BJ241" i="36" s="1"/>
  <c r="BK241" i="36" s="1"/>
  <c r="BL241" i="36" s="1"/>
  <c r="BM241" i="36" s="1"/>
  <c r="BN241" i="36" s="1"/>
  <c r="BO241" i="36" s="1"/>
  <c r="BP241" i="36" s="1"/>
  <c r="BQ241" i="36" s="1"/>
  <c r="BR241" i="36" s="1"/>
  <c r="BS241" i="36" s="1"/>
  <c r="BT241" i="36" s="1"/>
  <c r="BU241" i="36" s="1"/>
  <c r="BV241" i="36" s="1"/>
  <c r="BD83" i="36"/>
  <c r="BE83" i="36" s="1"/>
  <c r="BF83" i="36" s="1"/>
  <c r="BG83" i="36" s="1"/>
  <c r="BH83" i="36" s="1"/>
  <c r="BI83" i="36" s="1"/>
  <c r="BJ83" i="36" s="1"/>
  <c r="BK83" i="36" s="1"/>
  <c r="BL83" i="36" s="1"/>
  <c r="BM83" i="36" s="1"/>
  <c r="BD242" i="36"/>
  <c r="BE242" i="36" s="1"/>
  <c r="BF242" i="36" s="1"/>
  <c r="BG242" i="36" s="1"/>
  <c r="BH242" i="36" s="1"/>
  <c r="BI242" i="36" s="1"/>
  <c r="BJ242" i="36" s="1"/>
  <c r="BK242" i="36" s="1"/>
  <c r="BD195" i="36"/>
  <c r="BE195" i="36" s="1"/>
  <c r="BF195" i="36" s="1"/>
  <c r="BG195" i="36" s="1"/>
  <c r="BH195" i="36" s="1"/>
  <c r="BI195" i="36" s="1"/>
  <c r="BD211" i="36"/>
  <c r="BE211" i="36" s="1"/>
  <c r="BF211" i="36" s="1"/>
  <c r="BG211" i="36" s="1"/>
  <c r="BD227" i="36"/>
  <c r="BE227" i="36" s="1"/>
  <c r="BF227" i="36" s="1"/>
  <c r="BG227" i="36" s="1"/>
  <c r="BH227" i="36" s="1"/>
  <c r="BI227" i="36" s="1"/>
  <c r="BD164" i="36"/>
  <c r="BE164" i="36" s="1"/>
  <c r="BF164" i="36" s="1"/>
  <c r="BG164" i="36" s="1"/>
  <c r="BH164" i="36" s="1"/>
  <c r="BI164" i="36" s="1"/>
  <c r="BJ164" i="36" s="1"/>
  <c r="BK164" i="36" s="1"/>
  <c r="BL164" i="36" s="1"/>
  <c r="BM164" i="36" s="1"/>
  <c r="BN164" i="36" s="1"/>
  <c r="BO164" i="36" s="1"/>
  <c r="BP164" i="36" s="1"/>
  <c r="BQ164" i="36" s="1"/>
  <c r="BD149" i="36"/>
  <c r="BE149" i="36" s="1"/>
  <c r="BF149" i="36" s="1"/>
  <c r="BG149" i="36" s="1"/>
  <c r="BH149" i="36" s="1"/>
  <c r="BI149" i="36" s="1"/>
  <c r="BJ149" i="36" s="1"/>
  <c r="BK149" i="36" s="1"/>
  <c r="BL149" i="36" s="1"/>
  <c r="BM149" i="36" s="1"/>
  <c r="BD292" i="36"/>
  <c r="BE292" i="36" s="1"/>
  <c r="BF292" i="36" s="1"/>
  <c r="BG292" i="36" s="1"/>
  <c r="BH292" i="36" s="1"/>
  <c r="BI292" i="36" s="1"/>
  <c r="BJ292" i="36" s="1"/>
  <c r="BK292" i="36" s="1"/>
  <c r="BL292" i="36" s="1"/>
  <c r="BM292" i="36" s="1"/>
  <c r="BN292" i="36" s="1"/>
  <c r="BO292" i="36" s="1"/>
  <c r="BP292" i="36" s="1"/>
  <c r="BQ292" i="36" s="1"/>
  <c r="BR292" i="36" s="1"/>
  <c r="BS292" i="36" s="1"/>
  <c r="BT292" i="36" s="1"/>
  <c r="BU292" i="36" s="1"/>
  <c r="BV292" i="36" s="1"/>
  <c r="BD118" i="36"/>
  <c r="BE118" i="36" s="1"/>
  <c r="BD134" i="36"/>
  <c r="BE134" i="36" s="1"/>
  <c r="BF134" i="36" s="1"/>
  <c r="BG134" i="36" s="1"/>
  <c r="BH134" i="36" s="1"/>
  <c r="BI134" i="36" s="1"/>
  <c r="BJ134" i="36" s="1"/>
  <c r="BK134" i="36" s="1"/>
  <c r="BL134" i="36" s="1"/>
  <c r="BM134" i="36" s="1"/>
  <c r="BN134" i="36" s="1"/>
  <c r="BO134" i="36" s="1"/>
  <c r="BP134" i="36" s="1"/>
  <c r="BQ134" i="36" s="1"/>
  <c r="BR134" i="36" s="1"/>
  <c r="BS134" i="36" s="1"/>
  <c r="BT134" i="36" s="1"/>
  <c r="BU134" i="36" s="1"/>
  <c r="BV134" i="36" s="1"/>
  <c r="BD23" i="36"/>
  <c r="BE23" i="36" s="1"/>
  <c r="BF23" i="36" s="1"/>
  <c r="BG23" i="36" s="1"/>
  <c r="BH23" i="36" s="1"/>
  <c r="BI23" i="36" s="1"/>
  <c r="BJ23" i="36" s="1"/>
  <c r="BK23" i="36" s="1"/>
  <c r="BL23" i="36" s="1"/>
  <c r="BM23" i="36" s="1"/>
  <c r="BN23" i="36" s="1"/>
  <c r="BO23" i="36" s="1"/>
  <c r="BP23" i="36" s="1"/>
  <c r="BQ23" i="36" s="1"/>
  <c r="BR23" i="36" s="1"/>
  <c r="BS23" i="36" s="1"/>
  <c r="BT23" i="36" s="1"/>
  <c r="BU23" i="36" s="1"/>
  <c r="BV23" i="36" s="1"/>
  <c r="BD39" i="36"/>
  <c r="BE39" i="36" s="1"/>
  <c r="BF39" i="36" s="1"/>
  <c r="BG39" i="36" s="1"/>
  <c r="BH39" i="36" s="1"/>
  <c r="BI39" i="36" s="1"/>
  <c r="BJ39" i="36" s="1"/>
  <c r="BK39" i="36" s="1"/>
  <c r="BL39" i="36" s="1"/>
  <c r="BM39" i="36" s="1"/>
  <c r="BD55" i="36"/>
  <c r="BE55" i="36" s="1"/>
  <c r="BF55" i="36" s="1"/>
  <c r="BG55" i="36" s="1"/>
  <c r="BH55" i="36" s="1"/>
  <c r="BI55" i="36" s="1"/>
  <c r="BJ55" i="36" s="1"/>
  <c r="BK55" i="36" s="1"/>
  <c r="BL55" i="36" s="1"/>
  <c r="BM55" i="36" s="1"/>
  <c r="BN55" i="36" s="1"/>
  <c r="BO55" i="36" s="1"/>
  <c r="BP55" i="36" s="1"/>
  <c r="BQ55" i="36" s="1"/>
  <c r="BR55" i="36" s="1"/>
  <c r="BS55" i="36" s="1"/>
  <c r="BT55" i="36" s="1"/>
  <c r="BU55" i="36" s="1"/>
  <c r="BV55" i="36" s="1"/>
  <c r="BD71" i="36"/>
  <c r="BE71" i="36" s="1"/>
  <c r="BF71" i="36" s="1"/>
  <c r="BG71" i="36" s="1"/>
  <c r="BH71" i="36" s="1"/>
  <c r="BI71" i="36" s="1"/>
  <c r="BJ71" i="36" s="1"/>
  <c r="BK71" i="36" s="1"/>
  <c r="BL71" i="36" s="1"/>
  <c r="BM71" i="36" s="1"/>
  <c r="BN71" i="36" s="1"/>
  <c r="BO71" i="36" s="1"/>
  <c r="BP71" i="36" s="1"/>
  <c r="BQ71" i="36" s="1"/>
  <c r="BR71" i="36" s="1"/>
  <c r="BS71" i="36" s="1"/>
  <c r="BT71" i="36" s="1"/>
  <c r="BU71" i="36" s="1"/>
  <c r="BV71" i="36" s="1"/>
  <c r="BD266" i="36"/>
  <c r="BE266" i="36" s="1"/>
  <c r="BF266" i="36" s="1"/>
  <c r="BG266" i="36" s="1"/>
  <c r="BH266" i="36" s="1"/>
  <c r="BI266" i="36" s="1"/>
  <c r="BJ266" i="36" s="1"/>
  <c r="BK266" i="36" s="1"/>
  <c r="BL266" i="36" s="1"/>
  <c r="BM266" i="36" s="1"/>
  <c r="BN266" i="36" s="1"/>
  <c r="BO266" i="36" s="1"/>
  <c r="BP266" i="36" s="1"/>
  <c r="BQ266" i="36" s="1"/>
  <c r="BR266" i="36" s="1"/>
  <c r="BS266" i="36" s="1"/>
  <c r="BT266" i="36" s="1"/>
  <c r="BU266" i="36" s="1"/>
  <c r="BV266" i="36" s="1"/>
  <c r="BW266" i="36" s="1"/>
  <c r="BD236" i="36"/>
  <c r="BE236" i="36" s="1"/>
  <c r="BF236" i="36" s="1"/>
  <c r="BG236" i="36" s="1"/>
  <c r="BH236" i="36" s="1"/>
  <c r="BI236" i="36" s="1"/>
  <c r="BJ236" i="36" s="1"/>
  <c r="BK236" i="36" s="1"/>
  <c r="BL236" i="36" s="1"/>
  <c r="BM236" i="36" s="1"/>
  <c r="BN236" i="36" s="1"/>
  <c r="BO236" i="36" s="1"/>
  <c r="BP236" i="36" s="1"/>
  <c r="BQ236" i="36" s="1"/>
  <c r="BR236" i="36" s="1"/>
  <c r="BS236" i="36" s="1"/>
  <c r="BT236" i="36" s="1"/>
  <c r="BU236" i="36" s="1"/>
  <c r="BV236" i="36" s="1"/>
  <c r="BD255" i="36"/>
  <c r="BE255" i="36" s="1"/>
  <c r="BF255" i="36" s="1"/>
  <c r="BG255" i="36" s="1"/>
  <c r="BH255" i="36" s="1"/>
  <c r="BI255" i="36" s="1"/>
  <c r="BD287" i="36"/>
  <c r="BE287" i="36" s="1"/>
  <c r="BD217" i="36"/>
  <c r="BE217" i="36" s="1"/>
  <c r="BF217" i="36" s="1"/>
  <c r="BG217" i="36" s="1"/>
  <c r="BH217" i="36" s="1"/>
  <c r="BI217" i="36" s="1"/>
  <c r="BJ217" i="36" s="1"/>
  <c r="BK217" i="36" s="1"/>
  <c r="BL217" i="36" s="1"/>
  <c r="BM217" i="36" s="1"/>
  <c r="BN217" i="36" s="1"/>
  <c r="BO217" i="36" s="1"/>
  <c r="BP217" i="36" s="1"/>
  <c r="BQ217" i="36" s="1"/>
  <c r="BR217" i="36" s="1"/>
  <c r="BS217" i="36" s="1"/>
  <c r="BT217" i="36" s="1"/>
  <c r="BU217" i="36" s="1"/>
  <c r="BV217" i="36" s="1"/>
  <c r="AZ217" i="36" s="1"/>
  <c r="BD172" i="36"/>
  <c r="BE172" i="36" s="1"/>
  <c r="BF172" i="36" s="1"/>
  <c r="BG172" i="36" s="1"/>
  <c r="BH172" i="36" s="1"/>
  <c r="BI172" i="36" s="1"/>
  <c r="BD94" i="36"/>
  <c r="BE94" i="36" s="1"/>
  <c r="BD72" i="36"/>
  <c r="BE72" i="36" s="1"/>
  <c r="BF72" i="36" s="1"/>
  <c r="BG72" i="36" s="1"/>
  <c r="BH72" i="36" s="1"/>
  <c r="BI72" i="36" s="1"/>
  <c r="BJ72" i="36" s="1"/>
  <c r="BK72" i="36" s="1"/>
  <c r="BL72" i="36" s="1"/>
  <c r="BM72" i="36" s="1"/>
  <c r="BN72" i="36" s="1"/>
  <c r="BO72" i="36" s="1"/>
  <c r="BP72" i="36" s="1"/>
  <c r="BQ72" i="36" s="1"/>
  <c r="BR72" i="36" s="1"/>
  <c r="BS72" i="36" s="1"/>
  <c r="BT72" i="36" s="1"/>
  <c r="BU72" i="36" s="1"/>
  <c r="BV72" i="36" s="1"/>
  <c r="BD187" i="36"/>
  <c r="BE187" i="36" s="1"/>
  <c r="BF187" i="36" s="1"/>
  <c r="BG187" i="36" s="1"/>
  <c r="BH187" i="36" s="1"/>
  <c r="BI187" i="36" s="1"/>
  <c r="BJ187" i="36" s="1"/>
  <c r="BK187" i="36" s="1"/>
  <c r="BL187" i="36" s="1"/>
  <c r="BM187" i="36" s="1"/>
  <c r="BN187" i="36" s="1"/>
  <c r="BO187" i="36" s="1"/>
  <c r="BP187" i="36" s="1"/>
  <c r="BQ187" i="36" s="1"/>
  <c r="BR187" i="36" s="1"/>
  <c r="BS187" i="36" s="1"/>
  <c r="BT187" i="36" s="1"/>
  <c r="BU187" i="36" s="1"/>
  <c r="BV187" i="36" s="1"/>
  <c r="BD192" i="36"/>
  <c r="BE192" i="36" s="1"/>
  <c r="BF192" i="36" s="1"/>
  <c r="BG192" i="36" s="1"/>
  <c r="BH192" i="36" s="1"/>
  <c r="BI192" i="36" s="1"/>
  <c r="BJ192" i="36" s="1"/>
  <c r="BK192" i="36" s="1"/>
  <c r="BD272" i="36"/>
  <c r="BE272" i="36" s="1"/>
  <c r="BF272" i="36" s="1"/>
  <c r="BG272" i="36" s="1"/>
  <c r="BD25" i="36"/>
  <c r="BE25" i="36" s="1"/>
  <c r="BF25" i="36" s="1"/>
  <c r="BG25" i="36" s="1"/>
  <c r="BH25" i="36" s="1"/>
  <c r="BI25" i="36" s="1"/>
  <c r="BJ25" i="36" s="1"/>
  <c r="BK25" i="36" s="1"/>
  <c r="BL25" i="36" s="1"/>
  <c r="BM25" i="36" s="1"/>
  <c r="BN25" i="36" s="1"/>
  <c r="BO25" i="36" s="1"/>
  <c r="BP25" i="36" s="1"/>
  <c r="BQ25" i="36" s="1"/>
  <c r="BR25" i="36" s="1"/>
  <c r="BS25" i="36" s="1"/>
  <c r="BT25" i="36" s="1"/>
  <c r="BU25" i="36" s="1"/>
  <c r="BV25" i="36" s="1"/>
  <c r="BW25" i="36" s="1"/>
  <c r="BD228" i="36"/>
  <c r="BE228" i="36" s="1"/>
  <c r="BF228" i="36" s="1"/>
  <c r="BG228" i="36" s="1"/>
  <c r="BH228" i="36" s="1"/>
  <c r="BI228" i="36" s="1"/>
  <c r="BJ228" i="36" s="1"/>
  <c r="BK228" i="36" s="1"/>
  <c r="BL228" i="36" s="1"/>
  <c r="BM228" i="36" s="1"/>
  <c r="BN228" i="36" s="1"/>
  <c r="BO228" i="36" s="1"/>
  <c r="BP228" i="36" s="1"/>
  <c r="BQ228" i="36" s="1"/>
  <c r="BR228" i="36" s="1"/>
  <c r="BS228" i="36" s="1"/>
  <c r="BT228" i="36" s="1"/>
  <c r="BU228" i="36" s="1"/>
  <c r="BV228" i="36" s="1"/>
  <c r="BD273" i="36"/>
  <c r="BE273" i="36" s="1"/>
  <c r="BF273" i="36" s="1"/>
  <c r="BG273" i="36" s="1"/>
  <c r="BH273" i="36" s="1"/>
  <c r="BI273" i="36" s="1"/>
  <c r="BJ273" i="36" s="1"/>
  <c r="BK273" i="36" s="1"/>
  <c r="BL273" i="36" s="1"/>
  <c r="BM273" i="36" s="1"/>
  <c r="BN273" i="36" s="1"/>
  <c r="BO273" i="36" s="1"/>
  <c r="BP273" i="36" s="1"/>
  <c r="BQ273" i="36" s="1"/>
  <c r="BR273" i="36" s="1"/>
  <c r="BS273" i="36" s="1"/>
  <c r="BT273" i="36" s="1"/>
  <c r="BU273" i="36" s="1"/>
  <c r="BV273" i="36" s="1"/>
  <c r="BW273" i="36" s="1"/>
  <c r="BD289" i="36"/>
  <c r="BE289" i="36" s="1"/>
  <c r="BF289" i="36" s="1"/>
  <c r="BG289" i="36" s="1"/>
  <c r="BH289" i="36" s="1"/>
  <c r="BI289" i="36" s="1"/>
  <c r="BJ289" i="36" s="1"/>
  <c r="BK289" i="36" s="1"/>
  <c r="BL289" i="36" s="1"/>
  <c r="BM289" i="36" s="1"/>
  <c r="BN289" i="36" s="1"/>
  <c r="BO289" i="36" s="1"/>
  <c r="BP289" i="36" s="1"/>
  <c r="BQ289" i="36" s="1"/>
  <c r="BR289" i="36" s="1"/>
  <c r="BS289" i="36" s="1"/>
  <c r="BT289" i="36" s="1"/>
  <c r="BU289" i="36" s="1"/>
  <c r="BV289" i="36" s="1"/>
  <c r="BD136" i="36"/>
  <c r="BE136" i="36" s="1"/>
  <c r="BF136" i="36" s="1"/>
  <c r="BG136" i="36" s="1"/>
  <c r="BH136" i="36" s="1"/>
  <c r="BI136" i="36" s="1"/>
  <c r="BJ136" i="36" s="1"/>
  <c r="BK136" i="36" s="1"/>
  <c r="BL136" i="36" s="1"/>
  <c r="BM136" i="36" s="1"/>
  <c r="BN136" i="36" s="1"/>
  <c r="BO136" i="36" s="1"/>
  <c r="BD167" i="36"/>
  <c r="BE167" i="36" s="1"/>
  <c r="BF167" i="36" s="1"/>
  <c r="BG167" i="36" s="1"/>
  <c r="BD42" i="36"/>
  <c r="BE42" i="36" s="1"/>
  <c r="BD121" i="36"/>
  <c r="BE121" i="36" s="1"/>
  <c r="BF121" i="36" s="1"/>
  <c r="BG121" i="36" s="1"/>
  <c r="BD137" i="36"/>
  <c r="BE137" i="36" s="1"/>
  <c r="BF137" i="36" s="1"/>
  <c r="BG137" i="36" s="1"/>
  <c r="BD168" i="36"/>
  <c r="BE168" i="36" s="1"/>
  <c r="BD244" i="36"/>
  <c r="BE244" i="36" s="1"/>
  <c r="BD11" i="36"/>
  <c r="BE11" i="36" s="1"/>
  <c r="BD27" i="36"/>
  <c r="BE27" i="36" s="1"/>
  <c r="BF27" i="36" s="1"/>
  <c r="BG27" i="36" s="1"/>
  <c r="BH27" i="36" s="1"/>
  <c r="BI27" i="36" s="1"/>
  <c r="BJ27" i="36" s="1"/>
  <c r="BK27" i="36" s="1"/>
  <c r="BL27" i="36" s="1"/>
  <c r="BM27" i="36" s="1"/>
  <c r="BN27" i="36" s="1"/>
  <c r="BO27" i="36" s="1"/>
  <c r="BP27" i="36" s="1"/>
  <c r="BQ27" i="36" s="1"/>
  <c r="BR27" i="36" s="1"/>
  <c r="BS27" i="36" s="1"/>
  <c r="BT27" i="36" s="1"/>
  <c r="BU27" i="36" s="1"/>
  <c r="BV27" i="36" s="1"/>
  <c r="BD59" i="36"/>
  <c r="BE59" i="36" s="1"/>
  <c r="BF59" i="36" s="1"/>
  <c r="BG59" i="36" s="1"/>
  <c r="BH59" i="36" s="1"/>
  <c r="BI59" i="36" s="1"/>
  <c r="BJ59" i="36" s="1"/>
  <c r="BK59" i="36" s="1"/>
  <c r="BL59" i="36" s="1"/>
  <c r="BM59" i="36" s="1"/>
  <c r="BD122" i="36"/>
  <c r="BE122" i="36" s="1"/>
  <c r="BF122" i="36" s="1"/>
  <c r="BG122" i="36" s="1"/>
  <c r="BH122" i="36" s="1"/>
  <c r="BI122" i="36" s="1"/>
  <c r="BJ122" i="36" s="1"/>
  <c r="BK122" i="36" s="1"/>
  <c r="BL122" i="36" s="1"/>
  <c r="BM122" i="36" s="1"/>
  <c r="BN122" i="36" s="1"/>
  <c r="BO122" i="36" s="1"/>
  <c r="BP122" i="36" s="1"/>
  <c r="BQ122" i="36" s="1"/>
  <c r="BR122" i="36" s="1"/>
  <c r="BS122" i="36" s="1"/>
  <c r="BT122" i="36" s="1"/>
  <c r="BU122" i="36" s="1"/>
  <c r="BV122" i="36" s="1"/>
  <c r="BD153" i="36"/>
  <c r="BE153" i="36" s="1"/>
  <c r="BF153" i="36" s="1"/>
  <c r="BG153" i="36" s="1"/>
  <c r="BH153" i="36" s="1"/>
  <c r="BI153" i="36" s="1"/>
  <c r="BJ153" i="36" s="1"/>
  <c r="BK153" i="36" s="1"/>
  <c r="BL153" i="36" s="1"/>
  <c r="BM153" i="36" s="1"/>
  <c r="BN153" i="36" s="1"/>
  <c r="BO153" i="36" s="1"/>
  <c r="BP153" i="36" s="1"/>
  <c r="BQ153" i="36" s="1"/>
  <c r="BR153" i="36" s="1"/>
  <c r="BS153" i="36" s="1"/>
  <c r="BT153" i="36" s="1"/>
  <c r="BU153" i="36" s="1"/>
  <c r="BV153" i="36" s="1"/>
  <c r="AZ153" i="36" s="1"/>
  <c r="BD199" i="36"/>
  <c r="BE199" i="36" s="1"/>
  <c r="BF199" i="36" s="1"/>
  <c r="BG199" i="36" s="1"/>
  <c r="BH199" i="36" s="1"/>
  <c r="BI199" i="36" s="1"/>
  <c r="BJ199" i="36" s="1"/>
  <c r="BK199" i="36" s="1"/>
  <c r="BL199" i="36" s="1"/>
  <c r="BM199" i="36" s="1"/>
  <c r="BN199" i="36" s="1"/>
  <c r="BO199" i="36" s="1"/>
  <c r="BP199" i="36" s="1"/>
  <c r="BQ199" i="36" s="1"/>
  <c r="BR199" i="36" s="1"/>
  <c r="BS199" i="36" s="1"/>
  <c r="BT199" i="36" s="1"/>
  <c r="BU199" i="36" s="1"/>
  <c r="BV199" i="36" s="1"/>
  <c r="BD215" i="36"/>
  <c r="BE215" i="36" s="1"/>
  <c r="BF215" i="36" s="1"/>
  <c r="BG215" i="36" s="1"/>
  <c r="BH215" i="36" s="1"/>
  <c r="BI215" i="36" s="1"/>
  <c r="BJ215" i="36" s="1"/>
  <c r="BK215" i="36" s="1"/>
  <c r="BL215" i="36" s="1"/>
  <c r="BM215" i="36" s="1"/>
  <c r="BN215" i="36" s="1"/>
  <c r="BO215" i="36" s="1"/>
  <c r="BP215" i="36" s="1"/>
  <c r="BQ215" i="36" s="1"/>
  <c r="BR215" i="36" s="1"/>
  <c r="BS215" i="36" s="1"/>
  <c r="BT215" i="36" s="1"/>
  <c r="BU215" i="36" s="1"/>
  <c r="BV215" i="36" s="1"/>
  <c r="BD138" i="36"/>
  <c r="BE138" i="36" s="1"/>
  <c r="BF138" i="36" s="1"/>
  <c r="BG138" i="36" s="1"/>
  <c r="BH138" i="36" s="1"/>
  <c r="BI138" i="36" s="1"/>
  <c r="BJ138" i="36" s="1"/>
  <c r="BK138" i="36" s="1"/>
  <c r="BL138" i="36" s="1"/>
  <c r="BM138" i="36" s="1"/>
  <c r="BN138" i="36" s="1"/>
  <c r="BO138" i="36" s="1"/>
  <c r="BP138" i="36" s="1"/>
  <c r="BQ138" i="36" s="1"/>
  <c r="BR138" i="36" s="1"/>
  <c r="BS138" i="36" s="1"/>
  <c r="BT138" i="36" s="1"/>
  <c r="BU138" i="36" s="1"/>
  <c r="BV138" i="36" s="1"/>
  <c r="BW138" i="36" s="1"/>
  <c r="BD169" i="36"/>
  <c r="BE169" i="36" s="1"/>
  <c r="BF169" i="36" s="1"/>
  <c r="BG169" i="36" s="1"/>
  <c r="BH169" i="36" s="1"/>
  <c r="BI169" i="36" s="1"/>
  <c r="BJ169" i="36" s="1"/>
  <c r="BK169" i="36" s="1"/>
  <c r="BL169" i="36" s="1"/>
  <c r="BM169" i="36" s="1"/>
  <c r="BN169" i="36" s="1"/>
  <c r="BO169" i="36" s="1"/>
  <c r="BP169" i="36" s="1"/>
  <c r="BQ169" i="36" s="1"/>
  <c r="BR169" i="36" s="1"/>
  <c r="BS169" i="36" s="1"/>
  <c r="BT169" i="36" s="1"/>
  <c r="BU169" i="36" s="1"/>
  <c r="BV169" i="36" s="1"/>
  <c r="BD260" i="36"/>
  <c r="BE260" i="36" s="1"/>
  <c r="BF260" i="36" s="1"/>
  <c r="BG260" i="36" s="1"/>
  <c r="BH260" i="36" s="1"/>
  <c r="BI260" i="36" s="1"/>
  <c r="BJ260" i="36" s="1"/>
  <c r="BK260" i="36" s="1"/>
  <c r="BL260" i="36" s="1"/>
  <c r="BM260" i="36" s="1"/>
  <c r="BN260" i="36" s="1"/>
  <c r="BO260" i="36" s="1"/>
  <c r="BP260" i="36" s="1"/>
  <c r="BQ260" i="36" s="1"/>
  <c r="BR260" i="36" s="1"/>
  <c r="BS260" i="36" s="1"/>
  <c r="BT260" i="36" s="1"/>
  <c r="BU260" i="36" s="1"/>
  <c r="BV260" i="36" s="1"/>
  <c r="BD28" i="36"/>
  <c r="BE28" i="36" s="1"/>
  <c r="BF28" i="36" s="1"/>
  <c r="BG28" i="36" s="1"/>
  <c r="BH28" i="36" s="1"/>
  <c r="BI28" i="36" s="1"/>
  <c r="BJ28" i="36" s="1"/>
  <c r="BK28" i="36" s="1"/>
  <c r="BL28" i="36" s="1"/>
  <c r="BM28" i="36" s="1"/>
  <c r="BN28" i="36" s="1"/>
  <c r="BO28" i="36" s="1"/>
  <c r="BP28" i="36" s="1"/>
  <c r="BQ28" i="36" s="1"/>
  <c r="BR28" i="36" s="1"/>
  <c r="BS28" i="36" s="1"/>
  <c r="BT28" i="36" s="1"/>
  <c r="BU28" i="36" s="1"/>
  <c r="BV28" i="36" s="1"/>
  <c r="BD44" i="36"/>
  <c r="BE44" i="36" s="1"/>
  <c r="BF44" i="36" s="1"/>
  <c r="BG44" i="36" s="1"/>
  <c r="BH44" i="36" s="1"/>
  <c r="BI44" i="36" s="1"/>
  <c r="BJ44" i="36" s="1"/>
  <c r="BK44" i="36" s="1"/>
  <c r="BL44" i="36" s="1"/>
  <c r="BM44" i="36" s="1"/>
  <c r="BN44" i="36" s="1"/>
  <c r="BO44" i="36" s="1"/>
  <c r="BP44" i="36" s="1"/>
  <c r="BQ44" i="36" s="1"/>
  <c r="BR44" i="36" s="1"/>
  <c r="BS44" i="36" s="1"/>
  <c r="BT44" i="36" s="1"/>
  <c r="BU44" i="36" s="1"/>
  <c r="BV44" i="36" s="1"/>
  <c r="BD76" i="36"/>
  <c r="BE76" i="36" s="1"/>
  <c r="BF76" i="36" s="1"/>
  <c r="BG76" i="36" s="1"/>
  <c r="BH76" i="36" s="1"/>
  <c r="BI76" i="36" s="1"/>
  <c r="BJ76" i="36" s="1"/>
  <c r="BK76" i="36" s="1"/>
  <c r="BL76" i="36" s="1"/>
  <c r="BM76" i="36" s="1"/>
  <c r="BN76" i="36" s="1"/>
  <c r="BO76" i="36" s="1"/>
  <c r="BP76" i="36" s="1"/>
  <c r="BQ76" i="36" s="1"/>
  <c r="BR76" i="36" s="1"/>
  <c r="BS76" i="36" s="1"/>
  <c r="BT76" i="36" s="1"/>
  <c r="BU76" i="36" s="1"/>
  <c r="BV76" i="36" s="1"/>
  <c r="BD276" i="36"/>
  <c r="BE276" i="36" s="1"/>
  <c r="BF276" i="36" s="1"/>
  <c r="BG276" i="36" s="1"/>
  <c r="BH276" i="36" s="1"/>
  <c r="BI276" i="36" s="1"/>
  <c r="BJ276" i="36" s="1"/>
  <c r="BK276" i="36" s="1"/>
  <c r="BL276" i="36" s="1"/>
  <c r="BM276" i="36" s="1"/>
  <c r="BN276" i="36" s="1"/>
  <c r="BO276" i="36" s="1"/>
  <c r="BP276" i="36" s="1"/>
  <c r="BQ276" i="36" s="1"/>
  <c r="BR276" i="36" s="1"/>
  <c r="BS276" i="36" s="1"/>
  <c r="BT276" i="36" s="1"/>
  <c r="BU276" i="36" s="1"/>
  <c r="BV276" i="36" s="1"/>
  <c r="BD261" i="36"/>
  <c r="BE261" i="36" s="1"/>
  <c r="BD45" i="36"/>
  <c r="BE45" i="36" s="1"/>
  <c r="BF45" i="36" s="1"/>
  <c r="BG45" i="36" s="1"/>
  <c r="BH45" i="36" s="1"/>
  <c r="BI45" i="36" s="1"/>
  <c r="BJ45" i="36" s="1"/>
  <c r="BK45" i="36" s="1"/>
  <c r="BL45" i="36" s="1"/>
  <c r="BM45" i="36" s="1"/>
  <c r="BN45" i="36" s="1"/>
  <c r="BO45" i="36" s="1"/>
  <c r="BP45" i="36" s="1"/>
  <c r="BQ45" i="36" s="1"/>
  <c r="BR45" i="36" s="1"/>
  <c r="BS45" i="36" s="1"/>
  <c r="BT45" i="36" s="1"/>
  <c r="BU45" i="36" s="1"/>
  <c r="BV45" i="36" s="1"/>
  <c r="BD201" i="36"/>
  <c r="BE201" i="36" s="1"/>
  <c r="BF201" i="36" s="1"/>
  <c r="BG201" i="36" s="1"/>
  <c r="BH201" i="36" s="1"/>
  <c r="BI201" i="36" s="1"/>
  <c r="BJ201" i="36" s="1"/>
  <c r="BK201" i="36" s="1"/>
  <c r="BL201" i="36" s="1"/>
  <c r="BM201" i="36" s="1"/>
  <c r="BN201" i="36" s="1"/>
  <c r="BO201" i="36" s="1"/>
  <c r="BP201" i="36" s="1"/>
  <c r="BQ201" i="36" s="1"/>
  <c r="BR201" i="36" s="1"/>
  <c r="BS201" i="36" s="1"/>
  <c r="BT201" i="36" s="1"/>
  <c r="BU201" i="36" s="1"/>
  <c r="BV201" i="36" s="1"/>
  <c r="AZ201" i="36" s="1"/>
  <c r="BD293" i="36"/>
  <c r="BE293" i="36" s="1"/>
  <c r="BF293" i="36" s="1"/>
  <c r="BG293" i="36" s="1"/>
  <c r="BH293" i="36" s="1"/>
  <c r="BI293" i="36" s="1"/>
  <c r="BJ293" i="36" s="1"/>
  <c r="BK293" i="36" s="1"/>
  <c r="BL293" i="36" s="1"/>
  <c r="BM293" i="36" s="1"/>
  <c r="BN293" i="36" s="1"/>
  <c r="BO293" i="36" s="1"/>
  <c r="BP293" i="36" s="1"/>
  <c r="BQ293" i="36" s="1"/>
  <c r="BR293" i="36" s="1"/>
  <c r="BS293" i="36" s="1"/>
  <c r="BT293" i="36" s="1"/>
  <c r="BU293" i="36" s="1"/>
  <c r="BV293" i="36" s="1"/>
  <c r="BD93" i="36"/>
  <c r="BE93" i="36" s="1"/>
  <c r="BF93" i="36" s="1"/>
  <c r="BG93" i="36" s="1"/>
  <c r="BH93" i="36" s="1"/>
  <c r="BI93" i="36" s="1"/>
  <c r="BJ93" i="36" s="1"/>
  <c r="BK93" i="36" s="1"/>
  <c r="BL93" i="36" s="1"/>
  <c r="BM93" i="36" s="1"/>
  <c r="BN93" i="36" s="1"/>
  <c r="BO93" i="36" s="1"/>
  <c r="BP93" i="36" s="1"/>
  <c r="BQ93" i="36" s="1"/>
  <c r="BR93" i="36" s="1"/>
  <c r="BS93" i="36" s="1"/>
  <c r="BT93" i="36" s="1"/>
  <c r="BU93" i="36" s="1"/>
  <c r="BV93" i="36" s="1"/>
  <c r="AZ93" i="36" s="1"/>
  <c r="BD140" i="36"/>
  <c r="BE140" i="36" s="1"/>
  <c r="BF140" i="36" s="1"/>
  <c r="BG140" i="36" s="1"/>
  <c r="BH140" i="36" s="1"/>
  <c r="BI140" i="36" s="1"/>
  <c r="BJ140" i="36" s="1"/>
  <c r="BK140" i="36" s="1"/>
  <c r="BL140" i="36" s="1"/>
  <c r="BM140" i="36" s="1"/>
  <c r="BN140" i="36" s="1"/>
  <c r="BO140" i="36" s="1"/>
  <c r="BP140" i="36" s="1"/>
  <c r="BQ140" i="36" s="1"/>
  <c r="BR140" i="36" s="1"/>
  <c r="BS140" i="36" s="1"/>
  <c r="BT140" i="36" s="1"/>
  <c r="BU140" i="36" s="1"/>
  <c r="BV140" i="36" s="1"/>
  <c r="BD171" i="36"/>
  <c r="BE171" i="36" s="1"/>
  <c r="BF171" i="36" s="1"/>
  <c r="BG171" i="36" s="1"/>
  <c r="BH171" i="36" s="1"/>
  <c r="BI171" i="36" s="1"/>
  <c r="BJ171" i="36" s="1"/>
  <c r="BK171" i="36" s="1"/>
  <c r="BL171" i="36" s="1"/>
  <c r="BM171" i="36" s="1"/>
  <c r="BN171" i="36" s="1"/>
  <c r="BO171" i="36" s="1"/>
  <c r="BP171" i="36" s="1"/>
  <c r="BQ171" i="36" s="1"/>
  <c r="BR171" i="36" s="1"/>
  <c r="BS171" i="36" s="1"/>
  <c r="BT171" i="36" s="1"/>
  <c r="BU171" i="36" s="1"/>
  <c r="BV171" i="36" s="1"/>
  <c r="BD262" i="36"/>
  <c r="BE262" i="36" s="1"/>
  <c r="BF262" i="36" s="1"/>
  <c r="BG262" i="36" s="1"/>
  <c r="BH262" i="36" s="1"/>
  <c r="BI262" i="36" s="1"/>
  <c r="BJ262" i="36" s="1"/>
  <c r="BK262" i="36" s="1"/>
  <c r="BL262" i="36" s="1"/>
  <c r="BM262" i="36" s="1"/>
  <c r="BN262" i="36" s="1"/>
  <c r="BO262" i="36" s="1"/>
  <c r="BP262" i="36" s="1"/>
  <c r="BQ262" i="36" s="1"/>
  <c r="BR262" i="36" s="1"/>
  <c r="BS262" i="36" s="1"/>
  <c r="BT262" i="36" s="1"/>
  <c r="BU262" i="36" s="1"/>
  <c r="BV262" i="36" s="1"/>
  <c r="BD62" i="36"/>
  <c r="BE62" i="36" s="1"/>
  <c r="BF62" i="36" s="1"/>
  <c r="BG62" i="36" s="1"/>
  <c r="BH62" i="36" s="1"/>
  <c r="BI62" i="36" s="1"/>
  <c r="BJ62" i="36" s="1"/>
  <c r="BK62" i="36" s="1"/>
  <c r="BL62" i="36" s="1"/>
  <c r="BM62" i="36" s="1"/>
  <c r="BN62" i="36" s="1"/>
  <c r="BO62" i="36" s="1"/>
  <c r="BP62" i="36" s="1"/>
  <c r="BQ62" i="36" s="1"/>
  <c r="BR62" i="36" s="1"/>
  <c r="BS62" i="36" s="1"/>
  <c r="BT62" i="36" s="1"/>
  <c r="BU62" i="36" s="1"/>
  <c r="BV62" i="36" s="1"/>
  <c r="BD78" i="36"/>
  <c r="BE78" i="36" s="1"/>
  <c r="BF78" i="36" s="1"/>
  <c r="BG78" i="36" s="1"/>
  <c r="BH78" i="36" s="1"/>
  <c r="BI78" i="36" s="1"/>
  <c r="BJ78" i="36" s="1"/>
  <c r="BK78" i="36" s="1"/>
  <c r="BL78" i="36" s="1"/>
  <c r="BM78" i="36" s="1"/>
  <c r="BN78" i="36" s="1"/>
  <c r="BO78" i="36" s="1"/>
  <c r="BP78" i="36" s="1"/>
  <c r="BQ78" i="36" s="1"/>
  <c r="BR78" i="36" s="1"/>
  <c r="BS78" i="36" s="1"/>
  <c r="BT78" i="36" s="1"/>
  <c r="BU78" i="36" s="1"/>
  <c r="BV78" i="36" s="1"/>
  <c r="BD202" i="36"/>
  <c r="BE202" i="36" s="1"/>
  <c r="BF202" i="36" s="1"/>
  <c r="BG202" i="36" s="1"/>
  <c r="BH202" i="36" s="1"/>
  <c r="BI202" i="36" s="1"/>
  <c r="BJ202" i="36" s="1"/>
  <c r="BK202" i="36" s="1"/>
  <c r="BL202" i="36" s="1"/>
  <c r="BM202" i="36" s="1"/>
  <c r="BN202" i="36" s="1"/>
  <c r="BO202" i="36" s="1"/>
  <c r="BP202" i="36" s="1"/>
  <c r="BQ202" i="36" s="1"/>
  <c r="BR202" i="36" s="1"/>
  <c r="BS202" i="36" s="1"/>
  <c r="BT202" i="36" s="1"/>
  <c r="BU202" i="36" s="1"/>
  <c r="BV202" i="36" s="1"/>
  <c r="BW202" i="36" s="1"/>
  <c r="BD278" i="36"/>
  <c r="BE278" i="36" s="1"/>
  <c r="BF278" i="36" s="1"/>
  <c r="BG278" i="36" s="1"/>
  <c r="BH278" i="36" s="1"/>
  <c r="BI278" i="36" s="1"/>
  <c r="BJ278" i="36" s="1"/>
  <c r="BK278" i="36" s="1"/>
  <c r="BL278" i="36" s="1"/>
  <c r="BM278" i="36" s="1"/>
  <c r="BN278" i="36" s="1"/>
  <c r="BO278" i="36" s="1"/>
  <c r="BP278" i="36" s="1"/>
  <c r="BQ278" i="36" s="1"/>
  <c r="BR278" i="36" s="1"/>
  <c r="BS278" i="36" s="1"/>
  <c r="BT278" i="36" s="1"/>
  <c r="BU278" i="36" s="1"/>
  <c r="BV278" i="36" s="1"/>
  <c r="BD300" i="36"/>
  <c r="BE300" i="36" s="1"/>
  <c r="BF300" i="36" s="1"/>
  <c r="BG300" i="36" s="1"/>
  <c r="BH300" i="36" s="1"/>
  <c r="BI300" i="36" s="1"/>
  <c r="BD234" i="36"/>
  <c r="BE234" i="36" s="1"/>
  <c r="BD178" i="36"/>
  <c r="BE178" i="36" s="1"/>
  <c r="BF178" i="36" s="1"/>
  <c r="BG178" i="36" s="1"/>
  <c r="BH178" i="36" s="1"/>
  <c r="BI178" i="36" s="1"/>
  <c r="BJ178" i="36" s="1"/>
  <c r="BK178" i="36" s="1"/>
  <c r="BL178" i="36" s="1"/>
  <c r="BM178" i="36" s="1"/>
  <c r="BN178" i="36" s="1"/>
  <c r="BO178" i="36" s="1"/>
  <c r="BP178" i="36" s="1"/>
  <c r="BQ178" i="36" s="1"/>
  <c r="BR178" i="36" s="1"/>
  <c r="BS178" i="36" s="1"/>
  <c r="BT178" i="36" s="1"/>
  <c r="BU178" i="36" s="1"/>
  <c r="BV178" i="36" s="1"/>
  <c r="BD104" i="36"/>
  <c r="BE104" i="36" s="1"/>
  <c r="BF104" i="36" s="1"/>
  <c r="BG104" i="36" s="1"/>
  <c r="BH104" i="36" s="1"/>
  <c r="BI104" i="36" s="1"/>
  <c r="BJ104" i="36" s="1"/>
  <c r="BK104" i="36" s="1"/>
  <c r="BL104" i="36" s="1"/>
  <c r="BM104" i="36" s="1"/>
  <c r="BN104" i="36" s="1"/>
  <c r="BO104" i="36" s="1"/>
  <c r="BP104" i="36" s="1"/>
  <c r="BQ104" i="36" s="1"/>
  <c r="BR104" i="36" s="1"/>
  <c r="BS104" i="36" s="1"/>
  <c r="BT104" i="36" s="1"/>
  <c r="BU104" i="36" s="1"/>
  <c r="BV104" i="36" s="1"/>
  <c r="BD142" i="36"/>
  <c r="BE142" i="36" s="1"/>
  <c r="BF142" i="36" s="1"/>
  <c r="BG142" i="36" s="1"/>
  <c r="BH142" i="36" s="1"/>
  <c r="BI142" i="36" s="1"/>
  <c r="BJ142" i="36" s="1"/>
  <c r="BK142" i="36" s="1"/>
  <c r="BL142" i="36" s="1"/>
  <c r="BM142" i="36" s="1"/>
  <c r="BN142" i="36" s="1"/>
  <c r="BO142" i="36" s="1"/>
  <c r="BP142" i="36" s="1"/>
  <c r="BQ142" i="36" s="1"/>
  <c r="BR142" i="36" s="1"/>
  <c r="BS142" i="36" s="1"/>
  <c r="BT142" i="36" s="1"/>
  <c r="BU142" i="36" s="1"/>
  <c r="BV142" i="36" s="1"/>
  <c r="BW142" i="36" s="1"/>
  <c r="BD285" i="36"/>
  <c r="BE285" i="36" s="1"/>
  <c r="BF285" i="36" s="1"/>
  <c r="BG285" i="36" s="1"/>
  <c r="BH285" i="36" s="1"/>
  <c r="BI285" i="36" s="1"/>
  <c r="BJ285" i="36" s="1"/>
  <c r="BK285" i="36" s="1"/>
  <c r="BL285" i="36" s="1"/>
  <c r="BM285" i="36" s="1"/>
  <c r="BN285" i="36" s="1"/>
  <c r="BO285" i="36" s="1"/>
  <c r="BP285" i="36" s="1"/>
  <c r="BQ285" i="36" s="1"/>
  <c r="BR285" i="36" s="1"/>
  <c r="BS285" i="36" s="1"/>
  <c r="BT285" i="36" s="1"/>
  <c r="BU285" i="36" s="1"/>
  <c r="BV285" i="36" s="1"/>
  <c r="BD166" i="36"/>
  <c r="BE166" i="36" s="1"/>
  <c r="BF166" i="36" s="1"/>
  <c r="BG166" i="36" s="1"/>
  <c r="BH166" i="36" s="1"/>
  <c r="BI166" i="36" s="1"/>
  <c r="BJ166" i="36" s="1"/>
  <c r="BK166" i="36" s="1"/>
  <c r="BL166" i="36" s="1"/>
  <c r="BM166" i="36" s="1"/>
  <c r="BN166" i="36" s="1"/>
  <c r="BO166" i="36" s="1"/>
  <c r="BP166" i="36" s="1"/>
  <c r="BQ166" i="36" s="1"/>
  <c r="BD203" i="36"/>
  <c r="BE203" i="36" s="1"/>
  <c r="BF203" i="36" s="1"/>
  <c r="BG203" i="36" s="1"/>
  <c r="BD188" i="36"/>
  <c r="BE188" i="36" s="1"/>
  <c r="BF188" i="36" s="1"/>
  <c r="BG188" i="36" s="1"/>
  <c r="BH188" i="36" s="1"/>
  <c r="BI188" i="36" s="1"/>
  <c r="BJ188" i="36" s="1"/>
  <c r="BK188" i="36" s="1"/>
  <c r="BL188" i="36" s="1"/>
  <c r="BM188" i="36" s="1"/>
  <c r="BN188" i="36" s="1"/>
  <c r="BO188" i="36" s="1"/>
  <c r="BP188" i="36" s="1"/>
  <c r="BQ188" i="36" s="1"/>
  <c r="BR188" i="36" s="1"/>
  <c r="BS188" i="36" s="1"/>
  <c r="BT188" i="36" s="1"/>
  <c r="BU188" i="36" s="1"/>
  <c r="BV188" i="36" s="1"/>
  <c r="BD219" i="36"/>
  <c r="BE219" i="36" s="1"/>
  <c r="BD144" i="36"/>
  <c r="BE144" i="36" s="1"/>
  <c r="BF144" i="36" s="1"/>
  <c r="BG144" i="36" s="1"/>
  <c r="BH144" i="36" s="1"/>
  <c r="BI144" i="36" s="1"/>
  <c r="BJ144" i="36" s="1"/>
  <c r="BK144" i="36" s="1"/>
  <c r="BL144" i="36" s="1"/>
  <c r="BM144" i="36" s="1"/>
  <c r="BN144" i="36" s="1"/>
  <c r="BO144" i="36" s="1"/>
  <c r="BP144" i="36" s="1"/>
  <c r="BQ144" i="36" s="1"/>
  <c r="BR144" i="36" s="1"/>
  <c r="BS144" i="36" s="1"/>
  <c r="BT144" i="36" s="1"/>
  <c r="BU144" i="36" s="1"/>
  <c r="BV144" i="36" s="1"/>
  <c r="BD18" i="36"/>
  <c r="BE18" i="36" s="1"/>
  <c r="BF18" i="36" s="1"/>
  <c r="BG18" i="36" s="1"/>
  <c r="BH18" i="36" s="1"/>
  <c r="BI18" i="36" s="1"/>
  <c r="BJ18" i="36" s="1"/>
  <c r="BK18" i="36" s="1"/>
  <c r="BL18" i="36" s="1"/>
  <c r="BM18" i="36" s="1"/>
  <c r="BN18" i="36" s="1"/>
  <c r="BO18" i="36" s="1"/>
  <c r="BP18" i="36" s="1"/>
  <c r="BQ18" i="36" s="1"/>
  <c r="BR18" i="36" s="1"/>
  <c r="BS18" i="36" s="1"/>
  <c r="BT18" i="36" s="1"/>
  <c r="BU18" i="36" s="1"/>
  <c r="BV18" i="36" s="1"/>
  <c r="BD66" i="36"/>
  <c r="BE66" i="36" s="1"/>
  <c r="BF66" i="36" s="1"/>
  <c r="BG66" i="36" s="1"/>
  <c r="BH66" i="36" s="1"/>
  <c r="BI66" i="36" s="1"/>
  <c r="BJ66" i="36" s="1"/>
  <c r="BK66" i="36" s="1"/>
  <c r="BL66" i="36" s="1"/>
  <c r="BM66" i="36" s="1"/>
  <c r="BN66" i="36" s="1"/>
  <c r="BO66" i="36" s="1"/>
  <c r="BP66" i="36" s="1"/>
  <c r="BQ66" i="36" s="1"/>
  <c r="BR66" i="36" s="1"/>
  <c r="BS66" i="36" s="1"/>
  <c r="BT66" i="36" s="1"/>
  <c r="BU66" i="36" s="1"/>
  <c r="BV66" i="36" s="1"/>
  <c r="BD251" i="36"/>
  <c r="BE251" i="36" s="1"/>
  <c r="BF251" i="36" s="1"/>
  <c r="BG251" i="36" s="1"/>
  <c r="BH251" i="36" s="1"/>
  <c r="BI251" i="36" s="1"/>
  <c r="BJ251" i="36" s="1"/>
  <c r="BK251" i="36" s="1"/>
  <c r="BL251" i="36" s="1"/>
  <c r="BM251" i="36" s="1"/>
  <c r="BN251" i="36" s="1"/>
  <c r="BO251" i="36" s="1"/>
  <c r="BP251" i="36" s="1"/>
  <c r="BQ251" i="36" s="1"/>
  <c r="BR251" i="36" s="1"/>
  <c r="BS251" i="36" s="1"/>
  <c r="BT251" i="36" s="1"/>
  <c r="BU251" i="36" s="1"/>
  <c r="BV251" i="36" s="1"/>
  <c r="BD135" i="36"/>
  <c r="BE135" i="36" s="1"/>
  <c r="BF135" i="36" s="1"/>
  <c r="BG135" i="36" s="1"/>
  <c r="BH135" i="36" s="1"/>
  <c r="BI135" i="36" s="1"/>
  <c r="BJ135" i="36" s="1"/>
  <c r="BK135" i="36" s="1"/>
  <c r="BL135" i="36" s="1"/>
  <c r="BM135" i="36" s="1"/>
  <c r="BN135" i="36" s="1"/>
  <c r="BO135" i="36" s="1"/>
  <c r="BP135" i="36" s="1"/>
  <c r="BQ135" i="36" s="1"/>
  <c r="BR135" i="36" s="1"/>
  <c r="BS135" i="36" s="1"/>
  <c r="BT135" i="36" s="1"/>
  <c r="BU135" i="36" s="1"/>
  <c r="BV135" i="36" s="1"/>
  <c r="BD17" i="36"/>
  <c r="BE17" i="36" s="1"/>
  <c r="BF17" i="36" s="1"/>
  <c r="BG17" i="36" s="1"/>
  <c r="BH17" i="36" s="1"/>
  <c r="BI17" i="36" s="1"/>
  <c r="BJ17" i="36" s="1"/>
  <c r="BK17" i="36" s="1"/>
  <c r="BL17" i="36" s="1"/>
  <c r="BM17" i="36" s="1"/>
  <c r="BN17" i="36" s="1"/>
  <c r="BO17" i="36" s="1"/>
  <c r="BP17" i="36" s="1"/>
  <c r="BQ17" i="36" s="1"/>
  <c r="BR17" i="36" s="1"/>
  <c r="BS17" i="36" s="1"/>
  <c r="BT17" i="36" s="1"/>
  <c r="BU17" i="36" s="1"/>
  <c r="BV17" i="36" s="1"/>
  <c r="AZ17" i="36" s="1"/>
  <c r="BD220" i="36"/>
  <c r="BE220" i="36" s="1"/>
  <c r="BF220" i="36" s="1"/>
  <c r="BG220" i="36" s="1"/>
  <c r="BH220" i="36" s="1"/>
  <c r="BI220" i="36" s="1"/>
  <c r="BJ220" i="36" s="1"/>
  <c r="BK220" i="36" s="1"/>
  <c r="BL220" i="36" s="1"/>
  <c r="BM220" i="36" s="1"/>
  <c r="BN220" i="36" s="1"/>
  <c r="BO220" i="36" s="1"/>
  <c r="BP220" i="36" s="1"/>
  <c r="BQ220" i="36" s="1"/>
  <c r="BR220" i="36" s="1"/>
  <c r="BS220" i="36" s="1"/>
  <c r="BT220" i="36" s="1"/>
  <c r="BU220" i="36" s="1"/>
  <c r="BV220" i="36" s="1"/>
  <c r="BD159" i="36"/>
  <c r="BE159" i="36" s="1"/>
  <c r="BF159" i="36" s="1"/>
  <c r="BG159" i="36" s="1"/>
  <c r="BH159" i="36" s="1"/>
  <c r="BI159" i="36" s="1"/>
  <c r="BJ159" i="36" s="1"/>
  <c r="BK159" i="36" s="1"/>
  <c r="BL159" i="36" s="1"/>
  <c r="BM159" i="36" s="1"/>
  <c r="BN159" i="36" s="1"/>
  <c r="BO159" i="36" s="1"/>
  <c r="BP159" i="36" s="1"/>
  <c r="BQ159" i="36" s="1"/>
  <c r="BR159" i="36" s="1"/>
  <c r="BS159" i="36" s="1"/>
  <c r="BT159" i="36" s="1"/>
  <c r="BU159" i="36" s="1"/>
  <c r="BV159" i="36" s="1"/>
  <c r="BD34" i="36"/>
  <c r="BE34" i="36" s="1"/>
  <c r="BF34" i="36" s="1"/>
  <c r="BG34" i="36" s="1"/>
  <c r="BH34" i="36" s="1"/>
  <c r="BI34" i="36" s="1"/>
  <c r="BJ34" i="36" s="1"/>
  <c r="BK34" i="36" s="1"/>
  <c r="BL34" i="36" s="1"/>
  <c r="BM34" i="36" s="1"/>
  <c r="BN34" i="36" s="1"/>
  <c r="BO34" i="36" s="1"/>
  <c r="BP34" i="36" s="1"/>
  <c r="BQ34" i="36" s="1"/>
  <c r="BR34" i="36" s="1"/>
  <c r="BS34" i="36" s="1"/>
  <c r="BT34" i="36" s="1"/>
  <c r="BU34" i="36" s="1"/>
  <c r="BV34" i="36" s="1"/>
  <c r="BD35" i="36"/>
  <c r="BE35" i="36" s="1"/>
  <c r="BF35" i="36" s="1"/>
  <c r="BG35" i="36" s="1"/>
  <c r="BH35" i="36" s="1"/>
  <c r="BI35" i="36" s="1"/>
  <c r="BJ35" i="36" s="1"/>
  <c r="BK35" i="36" s="1"/>
  <c r="BL35" i="36" s="1"/>
  <c r="BM35" i="36" s="1"/>
  <c r="BN35" i="36" s="1"/>
  <c r="BO35" i="36" s="1"/>
  <c r="BP35" i="36" s="1"/>
  <c r="BQ35" i="36" s="1"/>
  <c r="BR35" i="36" s="1"/>
  <c r="BS35" i="36" s="1"/>
  <c r="BT35" i="36" s="1"/>
  <c r="BU35" i="36" s="1"/>
  <c r="BV35" i="36" s="1"/>
  <c r="BD67" i="36"/>
  <c r="BE67" i="36" s="1"/>
  <c r="BF67" i="36" s="1"/>
  <c r="BG67" i="36" s="1"/>
  <c r="BH67" i="36" s="1"/>
  <c r="BI67" i="36" s="1"/>
  <c r="BJ67" i="36" s="1"/>
  <c r="BK67" i="36" s="1"/>
  <c r="BL67" i="36" s="1"/>
  <c r="BM67" i="36" s="1"/>
  <c r="BN67" i="36" s="1"/>
  <c r="BO67" i="36" s="1"/>
  <c r="BP67" i="36" s="1"/>
  <c r="BQ67" i="36" s="1"/>
  <c r="BR67" i="36" s="1"/>
  <c r="BS67" i="36" s="1"/>
  <c r="BT67" i="36" s="1"/>
  <c r="BU67" i="36" s="1"/>
  <c r="BV67" i="36" s="1"/>
  <c r="BD130" i="36"/>
  <c r="BE130" i="36" s="1"/>
  <c r="BF130" i="36" s="1"/>
  <c r="BG130" i="36" s="1"/>
  <c r="BH130" i="36" s="1"/>
  <c r="BI130" i="36" s="1"/>
  <c r="BJ130" i="36" s="1"/>
  <c r="BK130" i="36" s="1"/>
  <c r="BL130" i="36" s="1"/>
  <c r="BM130" i="36" s="1"/>
  <c r="BN130" i="36" s="1"/>
  <c r="BO130" i="36" s="1"/>
  <c r="BP130" i="36" s="1"/>
  <c r="BQ130" i="36" s="1"/>
  <c r="BR130" i="36" s="1"/>
  <c r="BS130" i="36" s="1"/>
  <c r="BT130" i="36" s="1"/>
  <c r="BU130" i="36" s="1"/>
  <c r="BV130" i="36" s="1"/>
  <c r="BD237" i="36"/>
  <c r="BE237" i="36" s="1"/>
  <c r="BF237" i="36" s="1"/>
  <c r="BG237" i="36" s="1"/>
  <c r="BH237" i="36" s="1"/>
  <c r="BI237" i="36" s="1"/>
  <c r="BJ237" i="36" s="1"/>
  <c r="BK237" i="36" s="1"/>
  <c r="BL237" i="36" s="1"/>
  <c r="BM237" i="36" s="1"/>
  <c r="BN237" i="36" s="1"/>
  <c r="BO237" i="36" s="1"/>
  <c r="BP237" i="36" s="1"/>
  <c r="BQ237" i="36" s="1"/>
  <c r="BR237" i="36" s="1"/>
  <c r="BS237" i="36" s="1"/>
  <c r="BT237" i="36" s="1"/>
  <c r="BU237" i="36" s="1"/>
  <c r="BV237" i="36" s="1"/>
  <c r="BD267" i="36"/>
  <c r="BE267" i="36" s="1"/>
  <c r="BF267" i="36" s="1"/>
  <c r="BG267" i="36" s="1"/>
  <c r="BH267" i="36" s="1"/>
  <c r="BI267" i="36" s="1"/>
  <c r="BJ267" i="36" s="1"/>
  <c r="BK267" i="36" s="1"/>
  <c r="BL267" i="36" s="1"/>
  <c r="BM267" i="36" s="1"/>
  <c r="BN267" i="36" s="1"/>
  <c r="BO267" i="36" s="1"/>
  <c r="BP267" i="36" s="1"/>
  <c r="BQ267" i="36" s="1"/>
  <c r="BR267" i="36" s="1"/>
  <c r="BS267" i="36" s="1"/>
  <c r="BT267" i="36" s="1"/>
  <c r="BU267" i="36" s="1"/>
  <c r="BV267" i="36" s="1"/>
  <c r="BD68" i="36"/>
  <c r="BE68" i="36" s="1"/>
  <c r="BF68" i="36" s="1"/>
  <c r="BG68" i="36" s="1"/>
  <c r="BH68" i="36" s="1"/>
  <c r="BI68" i="36" s="1"/>
  <c r="BJ68" i="36" s="1"/>
  <c r="BK68" i="36" s="1"/>
  <c r="BL68" i="36" s="1"/>
  <c r="BM68" i="36" s="1"/>
  <c r="BN68" i="36" s="1"/>
  <c r="BO68" i="36" s="1"/>
  <c r="BP68" i="36" s="1"/>
  <c r="BQ68" i="36" s="1"/>
  <c r="BR68" i="36" s="1"/>
  <c r="BS68" i="36" s="1"/>
  <c r="BT68" i="36" s="1"/>
  <c r="BU68" i="36" s="1"/>
  <c r="BV68" i="36" s="1"/>
  <c r="BD238" i="36"/>
  <c r="BE238" i="36" s="1"/>
  <c r="BF238" i="36" s="1"/>
  <c r="BG238" i="36" s="1"/>
  <c r="BH238" i="36" s="1"/>
  <c r="BI238" i="36" s="1"/>
  <c r="BJ238" i="36" s="1"/>
  <c r="BK238" i="36" s="1"/>
  <c r="BL238" i="36" s="1"/>
  <c r="BM238" i="36" s="1"/>
  <c r="BN238" i="36" s="1"/>
  <c r="BO238" i="36" s="1"/>
  <c r="BP238" i="36" s="1"/>
  <c r="BQ238" i="36" s="1"/>
  <c r="BR238" i="36" s="1"/>
  <c r="BS238" i="36" s="1"/>
  <c r="BT238" i="36" s="1"/>
  <c r="BU238" i="36" s="1"/>
  <c r="BV238" i="36" s="1"/>
  <c r="BD284" i="36"/>
  <c r="BE284" i="36" s="1"/>
  <c r="BF284" i="36" s="1"/>
  <c r="BG284" i="36" s="1"/>
  <c r="BH284" i="36" s="1"/>
  <c r="BI284" i="36" s="1"/>
  <c r="BJ284" i="36" s="1"/>
  <c r="BK284" i="36" s="1"/>
  <c r="BL284" i="36" s="1"/>
  <c r="BM284" i="36" s="1"/>
  <c r="BN284" i="36" s="1"/>
  <c r="BO284" i="36" s="1"/>
  <c r="BP284" i="36" s="1"/>
  <c r="BQ284" i="36" s="1"/>
  <c r="BR284" i="36" s="1"/>
  <c r="BS284" i="36" s="1"/>
  <c r="BT284" i="36" s="1"/>
  <c r="BU284" i="36" s="1"/>
  <c r="BV284" i="36" s="1"/>
  <c r="BD162" i="36"/>
  <c r="BE162" i="36" s="1"/>
  <c r="BF162" i="36" s="1"/>
  <c r="BG162" i="36" s="1"/>
  <c r="BH162" i="36" s="1"/>
  <c r="BI162" i="36" s="1"/>
  <c r="BJ162" i="36" s="1"/>
  <c r="BK162" i="36" s="1"/>
  <c r="BL162" i="36" s="1"/>
  <c r="BM162" i="36" s="1"/>
  <c r="BN162" i="36" s="1"/>
  <c r="BO162" i="36" s="1"/>
  <c r="BP162" i="36" s="1"/>
  <c r="BQ162" i="36" s="1"/>
  <c r="BR162" i="36" s="1"/>
  <c r="BS162" i="36" s="1"/>
  <c r="BT162" i="36" s="1"/>
  <c r="BU162" i="36" s="1"/>
  <c r="BV162" i="36" s="1"/>
  <c r="BW162" i="36" s="1"/>
  <c r="BD53" i="36"/>
  <c r="BE53" i="36" s="1"/>
  <c r="BF53" i="36" s="1"/>
  <c r="BG53" i="36" s="1"/>
  <c r="BH53" i="36" s="1"/>
  <c r="BI53" i="36" s="1"/>
  <c r="BJ53" i="36" s="1"/>
  <c r="BK53" i="36" s="1"/>
  <c r="BL53" i="36" s="1"/>
  <c r="BM53" i="36" s="1"/>
  <c r="BN53" i="36" s="1"/>
  <c r="BO53" i="36" s="1"/>
  <c r="BP53" i="36" s="1"/>
  <c r="BQ53" i="36" s="1"/>
  <c r="BR53" i="36" s="1"/>
  <c r="BS53" i="36" s="1"/>
  <c r="BT53" i="36" s="1"/>
  <c r="BU53" i="36" s="1"/>
  <c r="BV53" i="36" s="1"/>
  <c r="BD69" i="36"/>
  <c r="BE69" i="36" s="1"/>
  <c r="BF69" i="36" s="1"/>
  <c r="BG69" i="36" s="1"/>
  <c r="BH69" i="36" s="1"/>
  <c r="BI69" i="36" s="1"/>
  <c r="BJ69" i="36" s="1"/>
  <c r="BK69" i="36" s="1"/>
  <c r="BL69" i="36" s="1"/>
  <c r="BM69" i="36" s="1"/>
  <c r="BN69" i="36" s="1"/>
  <c r="BO69" i="36" s="1"/>
  <c r="BP69" i="36" s="1"/>
  <c r="BQ69" i="36" s="1"/>
  <c r="BR69" i="36" s="1"/>
  <c r="BS69" i="36" s="1"/>
  <c r="BT69" i="36" s="1"/>
  <c r="BU69" i="36" s="1"/>
  <c r="BV69" i="36" s="1"/>
  <c r="BD6" i="36"/>
  <c r="BE6" i="36" s="1"/>
  <c r="BF6" i="36" s="1"/>
  <c r="BG6" i="36" s="1"/>
  <c r="BH6" i="36" s="1"/>
  <c r="BI6" i="36" s="1"/>
  <c r="BJ6" i="36" s="1"/>
  <c r="BK6" i="36" s="1"/>
  <c r="BL6" i="36" s="1"/>
  <c r="BM6" i="36" s="1"/>
  <c r="BN6" i="36" s="1"/>
  <c r="BO6" i="36" s="1"/>
  <c r="BP6" i="36" s="1"/>
  <c r="BQ6" i="36" s="1"/>
  <c r="BR6" i="36" s="1"/>
  <c r="BS6" i="36" s="1"/>
  <c r="BT6" i="36" s="1"/>
  <c r="BU6" i="36" s="1"/>
  <c r="BV6" i="36" s="1"/>
  <c r="BD85" i="36"/>
  <c r="BE85" i="36" s="1"/>
  <c r="BF85" i="36" s="1"/>
  <c r="BG85" i="36" s="1"/>
  <c r="BH85" i="36" s="1"/>
  <c r="BI85" i="36" s="1"/>
  <c r="BJ85" i="36" s="1"/>
  <c r="BK85" i="36" s="1"/>
  <c r="BL85" i="36" s="1"/>
  <c r="BM85" i="36" s="1"/>
  <c r="BN85" i="36" s="1"/>
  <c r="BO85" i="36" s="1"/>
  <c r="BP85" i="36" s="1"/>
  <c r="BQ85" i="36" s="1"/>
  <c r="BR85" i="36" s="1"/>
  <c r="BS85" i="36" s="1"/>
  <c r="BT85" i="36" s="1"/>
  <c r="BU85" i="36" s="1"/>
  <c r="BV85" i="36" s="1"/>
  <c r="BD101" i="36"/>
  <c r="BE101" i="36" s="1"/>
  <c r="BF101" i="36" s="1"/>
  <c r="BG101" i="36" s="1"/>
  <c r="BH101" i="36" s="1"/>
  <c r="BI101" i="36" s="1"/>
  <c r="BD163" i="36"/>
  <c r="BE163" i="36" s="1"/>
  <c r="BF163" i="36" s="1"/>
  <c r="BG163" i="36" s="1"/>
  <c r="BD179" i="36"/>
  <c r="BE179" i="36" s="1"/>
  <c r="BF179" i="36" s="1"/>
  <c r="BG179" i="36" s="1"/>
  <c r="BH179" i="36" s="1"/>
  <c r="BI179" i="36" s="1"/>
  <c r="BJ179" i="36" s="1"/>
  <c r="BK179" i="36" s="1"/>
  <c r="BL179" i="36" s="1"/>
  <c r="BM179" i="36" s="1"/>
  <c r="BN179" i="36" s="1"/>
  <c r="BO179" i="36" s="1"/>
  <c r="BP179" i="36" s="1"/>
  <c r="BQ179" i="36" s="1"/>
  <c r="BR179" i="36" s="1"/>
  <c r="BS179" i="36" s="1"/>
  <c r="BT179" i="36" s="1"/>
  <c r="BU179" i="36" s="1"/>
  <c r="BV179" i="36" s="1"/>
  <c r="BD70" i="36"/>
  <c r="BE70" i="36" s="1"/>
  <c r="BD117" i="36"/>
  <c r="BE117" i="36" s="1"/>
  <c r="BF117" i="36" s="1"/>
  <c r="BG117" i="36" s="1"/>
  <c r="BH117" i="36" s="1"/>
  <c r="BI117" i="36" s="1"/>
  <c r="BJ117" i="36" s="1"/>
  <c r="BK117" i="36" s="1"/>
  <c r="BL117" i="36" s="1"/>
  <c r="BM117" i="36" s="1"/>
  <c r="BN117" i="36" s="1"/>
  <c r="BO117" i="36" s="1"/>
  <c r="BP117" i="36" s="1"/>
  <c r="BQ117" i="36" s="1"/>
  <c r="BR117" i="36" s="1"/>
  <c r="BS117" i="36" s="1"/>
  <c r="BT117" i="36" s="1"/>
  <c r="BU117" i="36" s="1"/>
  <c r="BV117" i="36" s="1"/>
  <c r="BD133" i="36"/>
  <c r="BE133" i="36" s="1"/>
  <c r="BD148" i="36"/>
  <c r="BE148" i="36" s="1"/>
  <c r="BF148" i="36" s="1"/>
  <c r="BG148" i="36" s="1"/>
  <c r="BH148" i="36" s="1"/>
  <c r="BI148" i="36" s="1"/>
  <c r="BJ148" i="36" s="1"/>
  <c r="BK148" i="36" s="1"/>
  <c r="BL148" i="36" s="1"/>
  <c r="BM148" i="36" s="1"/>
  <c r="BN148" i="36" s="1"/>
  <c r="BO148" i="36" s="1"/>
  <c r="BP148" i="36" s="1"/>
  <c r="BQ148" i="36" s="1"/>
  <c r="BR148" i="36" s="1"/>
  <c r="BS148" i="36" s="1"/>
  <c r="BT148" i="36" s="1"/>
  <c r="BU148" i="36" s="1"/>
  <c r="BV148" i="36" s="1"/>
  <c r="BD210" i="36"/>
  <c r="BE210" i="36" s="1"/>
  <c r="BD225" i="36"/>
  <c r="BE225" i="36" s="1"/>
  <c r="BF225" i="36" s="1"/>
  <c r="BG225" i="36" s="1"/>
  <c r="BH225" i="36" s="1"/>
  <c r="BI225" i="36" s="1"/>
  <c r="BJ225" i="36" s="1"/>
  <c r="BK225" i="36" s="1"/>
  <c r="BL225" i="36" s="1"/>
  <c r="BM225" i="36" s="1"/>
  <c r="BN225" i="36" s="1"/>
  <c r="BO225" i="36" s="1"/>
  <c r="BD270" i="36"/>
  <c r="BE270" i="36" s="1"/>
  <c r="BF270" i="36" s="1"/>
  <c r="BG270" i="36" s="1"/>
  <c r="BH270" i="36" s="1"/>
  <c r="BI270" i="36" s="1"/>
  <c r="BJ270" i="36" s="1"/>
  <c r="BK270" i="36" s="1"/>
  <c r="BL270" i="36" s="1"/>
  <c r="BM270" i="36" s="1"/>
  <c r="BN270" i="36" s="1"/>
  <c r="BO270" i="36" s="1"/>
  <c r="BP270" i="36" s="1"/>
  <c r="BQ270" i="36" s="1"/>
  <c r="BR270" i="36" s="1"/>
  <c r="BS270" i="36" s="1"/>
  <c r="BT270" i="36" s="1"/>
  <c r="BU270" i="36" s="1"/>
  <c r="BV270" i="36" s="1"/>
  <c r="AZ270" i="36" s="1"/>
  <c r="BD257" i="36"/>
  <c r="BE257" i="36" s="1"/>
  <c r="BF257" i="36" s="1"/>
  <c r="BG257" i="36" s="1"/>
  <c r="BH257" i="36" s="1"/>
  <c r="BI257" i="36" s="1"/>
  <c r="BJ257" i="36" s="1"/>
  <c r="BK257" i="36" s="1"/>
  <c r="BL257" i="36" s="1"/>
  <c r="BM257" i="36" s="1"/>
  <c r="BN257" i="36" s="1"/>
  <c r="BO257" i="36" s="1"/>
  <c r="BP257" i="36" s="1"/>
  <c r="BQ257" i="36" s="1"/>
  <c r="BR257" i="36" s="1"/>
  <c r="BS257" i="36" s="1"/>
  <c r="BT257" i="36" s="1"/>
  <c r="BU257" i="36" s="1"/>
  <c r="BV257" i="36" s="1"/>
  <c r="BD127" i="36"/>
  <c r="BE127" i="36" s="1"/>
  <c r="BF127" i="36" s="1"/>
  <c r="BG127" i="36" s="1"/>
  <c r="BH127" i="36" s="1"/>
  <c r="BI127" i="36" s="1"/>
  <c r="BJ127" i="36" s="1"/>
  <c r="BK127" i="36" s="1"/>
  <c r="BL127" i="36" s="1"/>
  <c r="BM127" i="36" s="1"/>
  <c r="BN127" i="36" s="1"/>
  <c r="BO127" i="36" s="1"/>
  <c r="BP127" i="36" s="1"/>
  <c r="BQ127" i="36" s="1"/>
  <c r="BR127" i="36" s="1"/>
  <c r="BS127" i="36" s="1"/>
  <c r="BT127" i="36" s="1"/>
  <c r="BU127" i="36" s="1"/>
  <c r="BV127" i="36" s="1"/>
  <c r="BD204" i="36"/>
  <c r="BE204" i="36" s="1"/>
  <c r="BF204" i="36" s="1"/>
  <c r="BG204" i="36" s="1"/>
  <c r="BH204" i="36" s="1"/>
  <c r="BI204" i="36" s="1"/>
  <c r="BJ204" i="36" s="1"/>
  <c r="BK204" i="36" s="1"/>
  <c r="BL204" i="36" s="1"/>
  <c r="BM204" i="36" s="1"/>
  <c r="BN204" i="36" s="1"/>
  <c r="BO204" i="36" s="1"/>
  <c r="BP204" i="36" s="1"/>
  <c r="BQ204" i="36" s="1"/>
  <c r="BR204" i="36" s="1"/>
  <c r="BS204" i="36" s="1"/>
  <c r="BT204" i="36" s="1"/>
  <c r="BU204" i="36" s="1"/>
  <c r="BV204" i="36" s="1"/>
  <c r="BD249" i="36"/>
  <c r="BE249" i="36" s="1"/>
  <c r="BF249" i="36" s="1"/>
  <c r="BG249" i="36" s="1"/>
  <c r="BH249" i="36" s="1"/>
  <c r="BI249" i="36" s="1"/>
  <c r="BJ249" i="36" s="1"/>
  <c r="BK249" i="36" s="1"/>
  <c r="BL249" i="36" s="1"/>
  <c r="BM249" i="36" s="1"/>
  <c r="BN249" i="36" s="1"/>
  <c r="BO249" i="36" s="1"/>
  <c r="BP249" i="36" s="1"/>
  <c r="BQ249" i="36" s="1"/>
  <c r="BR249" i="36" s="1"/>
  <c r="BS249" i="36" s="1"/>
  <c r="BT249" i="36" s="1"/>
  <c r="BU249" i="36" s="1"/>
  <c r="BV249" i="36" s="1"/>
  <c r="BD205" i="36"/>
  <c r="BE205" i="36" s="1"/>
  <c r="BF205" i="36" s="1"/>
  <c r="BG205" i="36" s="1"/>
  <c r="BH205" i="36" s="1"/>
  <c r="BI205" i="36" s="1"/>
  <c r="BD250" i="36"/>
  <c r="BE250" i="36" s="1"/>
  <c r="BF250" i="36" s="1"/>
  <c r="BG250" i="36" s="1"/>
  <c r="BH250" i="36" s="1"/>
  <c r="BI250" i="36" s="1"/>
  <c r="BJ250" i="36" s="1"/>
  <c r="BK250" i="36" s="1"/>
  <c r="BL250" i="36" s="1"/>
  <c r="BM250" i="36" s="1"/>
  <c r="BN250" i="36" s="1"/>
  <c r="BO250" i="36" s="1"/>
  <c r="BP250" i="36" s="1"/>
  <c r="BQ250" i="36" s="1"/>
  <c r="BR250" i="36" s="1"/>
  <c r="BS250" i="36" s="1"/>
  <c r="BT250" i="36" s="1"/>
  <c r="BU250" i="36" s="1"/>
  <c r="BV250" i="36" s="1"/>
  <c r="AZ250" i="36" s="1"/>
  <c r="F21" i="36"/>
  <c r="BD50" i="36"/>
  <c r="BE50" i="36" s="1"/>
  <c r="BF50" i="36" s="1"/>
  <c r="BG50" i="36" s="1"/>
  <c r="BH50" i="36" s="1"/>
  <c r="BI50" i="36" s="1"/>
  <c r="BJ50" i="36" s="1"/>
  <c r="BK50" i="36" s="1"/>
  <c r="BL50" i="36" s="1"/>
  <c r="BM50" i="36" s="1"/>
  <c r="BN50" i="36" s="1"/>
  <c r="BO50" i="36" s="1"/>
  <c r="BP50" i="36" s="1"/>
  <c r="BQ50" i="36" s="1"/>
  <c r="BR50" i="36" s="1"/>
  <c r="BS50" i="36" s="1"/>
  <c r="BT50" i="36" s="1"/>
  <c r="BU50" i="36" s="1"/>
  <c r="BV50" i="36" s="1"/>
  <c r="BD129" i="36"/>
  <c r="BE129" i="36" s="1"/>
  <c r="BF129" i="36" s="1"/>
  <c r="BG129" i="36" s="1"/>
  <c r="BH129" i="36" s="1"/>
  <c r="BI129" i="36" s="1"/>
  <c r="BJ129" i="36" s="1"/>
  <c r="BK129" i="36" s="1"/>
  <c r="BL129" i="36" s="1"/>
  <c r="BM129" i="36" s="1"/>
  <c r="BN129" i="36" s="1"/>
  <c r="BO129" i="36" s="1"/>
  <c r="BP129" i="36" s="1"/>
  <c r="BQ129" i="36" s="1"/>
  <c r="BR129" i="36" s="1"/>
  <c r="BS129" i="36" s="1"/>
  <c r="BT129" i="36" s="1"/>
  <c r="BU129" i="36" s="1"/>
  <c r="BV129" i="36" s="1"/>
  <c r="AZ129" i="36" s="1"/>
  <c r="BD206" i="36"/>
  <c r="BE206" i="36" s="1"/>
  <c r="BF206" i="36" s="1"/>
  <c r="BG206" i="36" s="1"/>
  <c r="BH206" i="36" s="1"/>
  <c r="BI206" i="36" s="1"/>
  <c r="BJ206" i="36" s="1"/>
  <c r="BK206" i="36" s="1"/>
  <c r="BL206" i="36" s="1"/>
  <c r="BM206" i="36" s="1"/>
  <c r="BN206" i="36" s="1"/>
  <c r="BO206" i="36" s="1"/>
  <c r="BP206" i="36" s="1"/>
  <c r="BQ206" i="36" s="1"/>
  <c r="BR206" i="36" s="1"/>
  <c r="BS206" i="36" s="1"/>
  <c r="BT206" i="36" s="1"/>
  <c r="BU206" i="36" s="1"/>
  <c r="BV206" i="36" s="1"/>
  <c r="BW206" i="36" s="1"/>
  <c r="BD145" i="36"/>
  <c r="BE145" i="36" s="1"/>
  <c r="BF145" i="36" s="1"/>
  <c r="BG145" i="36" s="1"/>
  <c r="BH145" i="36" s="1"/>
  <c r="BI145" i="36" s="1"/>
  <c r="BJ145" i="36" s="1"/>
  <c r="BK145" i="36" s="1"/>
  <c r="BL145" i="36" s="1"/>
  <c r="BM145" i="36" s="1"/>
  <c r="BN145" i="36" s="1"/>
  <c r="BO145" i="36" s="1"/>
  <c r="BP145" i="36" s="1"/>
  <c r="BQ145" i="36" s="1"/>
  <c r="BR145" i="36" s="1"/>
  <c r="BS145" i="36" s="1"/>
  <c r="BT145" i="36" s="1"/>
  <c r="BU145" i="36" s="1"/>
  <c r="BV145" i="36" s="1"/>
  <c r="BD19" i="36"/>
  <c r="BE19" i="36" s="1"/>
  <c r="BF19" i="36" s="1"/>
  <c r="BG19" i="36" s="1"/>
  <c r="BH19" i="36" s="1"/>
  <c r="BI19" i="36" s="1"/>
  <c r="BJ19" i="36" s="1"/>
  <c r="BK19" i="36" s="1"/>
  <c r="BL19" i="36" s="1"/>
  <c r="BM19" i="36" s="1"/>
  <c r="BN19" i="36" s="1"/>
  <c r="BO19" i="36" s="1"/>
  <c r="BP19" i="36" s="1"/>
  <c r="BQ19" i="36" s="1"/>
  <c r="BR19" i="36" s="1"/>
  <c r="BS19" i="36" s="1"/>
  <c r="BT19" i="36" s="1"/>
  <c r="BU19" i="36" s="1"/>
  <c r="BV19" i="36" s="1"/>
  <c r="BD51" i="36"/>
  <c r="BE51" i="36" s="1"/>
  <c r="BF51" i="36" s="1"/>
  <c r="BG51" i="36" s="1"/>
  <c r="BH51" i="36" s="1"/>
  <c r="BI51" i="36" s="1"/>
  <c r="BJ51" i="36" s="1"/>
  <c r="BK51" i="36" s="1"/>
  <c r="BL51" i="36" s="1"/>
  <c r="BM51" i="36" s="1"/>
  <c r="BN51" i="36" s="1"/>
  <c r="BO51" i="36" s="1"/>
  <c r="BP51" i="36" s="1"/>
  <c r="BQ51" i="36" s="1"/>
  <c r="BR51" i="36" s="1"/>
  <c r="BS51" i="36" s="1"/>
  <c r="BT51" i="36" s="1"/>
  <c r="BU51" i="36" s="1"/>
  <c r="BV51" i="36" s="1"/>
  <c r="BD252" i="36"/>
  <c r="BE252" i="36" s="1"/>
  <c r="BF252" i="36" s="1"/>
  <c r="BG252" i="36" s="1"/>
  <c r="BH252" i="36" s="1"/>
  <c r="BI252" i="36" s="1"/>
  <c r="BJ252" i="36" s="1"/>
  <c r="BK252" i="36" s="1"/>
  <c r="BL252" i="36" s="1"/>
  <c r="BM252" i="36" s="1"/>
  <c r="BN252" i="36" s="1"/>
  <c r="BO252" i="36" s="1"/>
  <c r="BP252" i="36" s="1"/>
  <c r="BQ252" i="36" s="1"/>
  <c r="BR252" i="36" s="1"/>
  <c r="BS252" i="36" s="1"/>
  <c r="BT252" i="36" s="1"/>
  <c r="BU252" i="36" s="1"/>
  <c r="BV252" i="36" s="1"/>
  <c r="BD283" i="36"/>
  <c r="BE283" i="36" s="1"/>
  <c r="BF283" i="36" s="1"/>
  <c r="BG283" i="36" s="1"/>
  <c r="BH283" i="36" s="1"/>
  <c r="BI283" i="36" s="1"/>
  <c r="BD161" i="36"/>
  <c r="BE161" i="36" s="1"/>
  <c r="BD131" i="36"/>
  <c r="BE131" i="36" s="1"/>
  <c r="BF131" i="36" s="1"/>
  <c r="BG131" i="36" s="1"/>
  <c r="BH131" i="36" s="1"/>
  <c r="BI131" i="36" s="1"/>
  <c r="BJ131" i="36" s="1"/>
  <c r="BK131" i="36" s="1"/>
  <c r="BL131" i="36" s="1"/>
  <c r="BM131" i="36" s="1"/>
  <c r="BN131" i="36" s="1"/>
  <c r="BO131" i="36" s="1"/>
  <c r="BP131" i="36" s="1"/>
  <c r="BQ131" i="36" s="1"/>
  <c r="BR131" i="36" s="1"/>
  <c r="BS131" i="36" s="1"/>
  <c r="BT131" i="36" s="1"/>
  <c r="BU131" i="36" s="1"/>
  <c r="BV131" i="36" s="1"/>
  <c r="BD5" i="36"/>
  <c r="BE5" i="36" s="1"/>
  <c r="BF5" i="36" s="1"/>
  <c r="BG5" i="36" s="1"/>
  <c r="BH5" i="36" s="1"/>
  <c r="BI5" i="36" s="1"/>
  <c r="BJ5" i="36" s="1"/>
  <c r="BK5" i="36" s="1"/>
  <c r="BL5" i="36" s="1"/>
  <c r="BM5" i="36" s="1"/>
  <c r="BN5" i="36" s="1"/>
  <c r="BO5" i="36" s="1"/>
  <c r="BP5" i="36" s="1"/>
  <c r="BQ5" i="36" s="1"/>
  <c r="BR5" i="36" s="1"/>
  <c r="BS5" i="36" s="1"/>
  <c r="BT5" i="36" s="1"/>
  <c r="BU5" i="36" s="1"/>
  <c r="BV5" i="36" s="1"/>
  <c r="BD100" i="36"/>
  <c r="BE100" i="36" s="1"/>
  <c r="BF100" i="36" s="1"/>
  <c r="BG100" i="36" s="1"/>
  <c r="BH100" i="36" s="1"/>
  <c r="BI100" i="36" s="1"/>
  <c r="BJ100" i="36" s="1"/>
  <c r="BK100" i="36" s="1"/>
  <c r="BL100" i="36" s="1"/>
  <c r="BM100" i="36" s="1"/>
  <c r="BN100" i="36" s="1"/>
  <c r="BO100" i="36" s="1"/>
  <c r="BP100" i="36" s="1"/>
  <c r="BQ100" i="36" s="1"/>
  <c r="BR100" i="36" s="1"/>
  <c r="BS100" i="36" s="1"/>
  <c r="BT100" i="36" s="1"/>
  <c r="BU100" i="36" s="1"/>
  <c r="BV100" i="36" s="1"/>
  <c r="BD157" i="36"/>
  <c r="BE157" i="36" s="1"/>
  <c r="BF157" i="36" s="1"/>
  <c r="BG157" i="36" s="1"/>
  <c r="BH157" i="36" s="1"/>
  <c r="BI157" i="36" s="1"/>
  <c r="BJ157" i="36" s="1"/>
  <c r="BK157" i="36" s="1"/>
  <c r="BL157" i="36" s="1"/>
  <c r="BM157" i="36" s="1"/>
  <c r="BN157" i="36" s="1"/>
  <c r="BO157" i="36" s="1"/>
  <c r="BP157" i="36" s="1"/>
  <c r="BQ157" i="36" s="1"/>
  <c r="BR157" i="36" s="1"/>
  <c r="BS157" i="36" s="1"/>
  <c r="BT157" i="36" s="1"/>
  <c r="BU157" i="36" s="1"/>
  <c r="BV157" i="36" s="1"/>
  <c r="BD264" i="36"/>
  <c r="BE264" i="36" s="1"/>
  <c r="BF264" i="36" s="1"/>
  <c r="BG264" i="36" s="1"/>
  <c r="BH264" i="36" s="1"/>
  <c r="BI264" i="36" s="1"/>
  <c r="BJ264" i="36" s="1"/>
  <c r="BK264" i="36" s="1"/>
  <c r="BL264" i="36" s="1"/>
  <c r="BM264" i="36" s="1"/>
  <c r="BN264" i="36" s="1"/>
  <c r="BO264" i="36" s="1"/>
  <c r="BP264" i="36" s="1"/>
  <c r="BQ264" i="36" s="1"/>
  <c r="BR264" i="36" s="1"/>
  <c r="BS264" i="36" s="1"/>
  <c r="BT264" i="36" s="1"/>
  <c r="BU264" i="36" s="1"/>
  <c r="BV264" i="36" s="1"/>
  <c r="BD280" i="36"/>
  <c r="BE280" i="36" s="1"/>
  <c r="BF280" i="36" s="1"/>
  <c r="BG280" i="36" s="1"/>
  <c r="BH280" i="36" s="1"/>
  <c r="BI280" i="36" s="1"/>
  <c r="BJ280" i="36" s="1"/>
  <c r="BK280" i="36" s="1"/>
  <c r="BD112" i="36"/>
  <c r="BE112" i="36" s="1"/>
  <c r="BF112" i="36" s="1"/>
  <c r="BG112" i="36" s="1"/>
  <c r="BD174" i="36"/>
  <c r="BE174" i="36" s="1"/>
  <c r="BD235" i="36"/>
  <c r="BE235" i="36" s="1"/>
  <c r="BF235" i="36" s="1"/>
  <c r="BG235" i="36" s="1"/>
  <c r="BH235" i="36" s="1"/>
  <c r="BI235" i="36" s="1"/>
  <c r="BJ235" i="36" s="1"/>
  <c r="BK235" i="36" s="1"/>
  <c r="BL235" i="36" s="1"/>
  <c r="BM235" i="36" s="1"/>
  <c r="BN235" i="36" s="1"/>
  <c r="BO235" i="36" s="1"/>
  <c r="BP235" i="36" s="1"/>
  <c r="BQ235" i="36" s="1"/>
  <c r="BR235" i="36" s="1"/>
  <c r="BS235" i="36" s="1"/>
  <c r="BT235" i="36" s="1"/>
  <c r="BU235" i="36" s="1"/>
  <c r="BV235" i="36" s="1"/>
  <c r="BD81" i="36"/>
  <c r="BE81" i="36" s="1"/>
  <c r="BF81" i="36" s="1"/>
  <c r="BG81" i="36" s="1"/>
  <c r="BH81" i="36" s="1"/>
  <c r="BI81" i="36" s="1"/>
  <c r="BJ81" i="36" s="1"/>
  <c r="BK81" i="36" s="1"/>
  <c r="BL81" i="36" s="1"/>
  <c r="BM81" i="36" s="1"/>
  <c r="BN81" i="36" s="1"/>
  <c r="BO81" i="36" s="1"/>
  <c r="BD281" i="36"/>
  <c r="BE281" i="36" s="1"/>
  <c r="BF281" i="36" s="1"/>
  <c r="BG281" i="36" s="1"/>
  <c r="BH281" i="36" s="1"/>
  <c r="BI281" i="36" s="1"/>
  <c r="BJ281" i="36" s="1"/>
  <c r="BK281" i="36" s="1"/>
  <c r="BL281" i="36" s="1"/>
  <c r="BM281" i="36" s="1"/>
  <c r="BN281" i="36" s="1"/>
  <c r="BO281" i="36" s="1"/>
  <c r="BP281" i="36" s="1"/>
  <c r="BQ281" i="36" s="1"/>
  <c r="BR281" i="36" s="1"/>
  <c r="BS281" i="36" s="1"/>
  <c r="BT281" i="36" s="1"/>
  <c r="BU281" i="36" s="1"/>
  <c r="BV281" i="36" s="1"/>
  <c r="BD8" i="36"/>
  <c r="BE8" i="36" s="1"/>
  <c r="BF8" i="36" s="1"/>
  <c r="BG8" i="36" s="1"/>
  <c r="BH8" i="36" s="1"/>
  <c r="BI8" i="36" s="1"/>
  <c r="BJ8" i="36" s="1"/>
  <c r="BK8" i="36" s="1"/>
  <c r="BL8" i="36" s="1"/>
  <c r="BM8" i="36" s="1"/>
  <c r="BD87" i="36"/>
  <c r="BE87" i="36" s="1"/>
  <c r="BF87" i="36" s="1"/>
  <c r="BG87" i="36" s="1"/>
  <c r="BH87" i="36" s="1"/>
  <c r="BI87" i="36" s="1"/>
  <c r="BJ87" i="36" s="1"/>
  <c r="BK87" i="36" s="1"/>
  <c r="BL87" i="36" s="1"/>
  <c r="BM87" i="36" s="1"/>
  <c r="BN87" i="36" s="1"/>
  <c r="BO87" i="36" s="1"/>
  <c r="BP87" i="36" s="1"/>
  <c r="BQ87" i="36" s="1"/>
  <c r="BR87" i="36" s="1"/>
  <c r="BS87" i="36" s="1"/>
  <c r="BT87" i="36" s="1"/>
  <c r="BU87" i="36" s="1"/>
  <c r="BV87" i="36" s="1"/>
  <c r="AZ178" i="36"/>
  <c r="BW178" i="36"/>
  <c r="BW270" i="36"/>
  <c r="BW241" i="36"/>
  <c r="AZ241" i="36"/>
  <c r="AZ278" i="36"/>
  <c r="BW278" i="36"/>
  <c r="BW193" i="36"/>
  <c r="AZ193" i="36"/>
  <c r="BW281" i="36"/>
  <c r="AZ281" i="36"/>
  <c r="BD185" i="36"/>
  <c r="BE185" i="36" s="1"/>
  <c r="BF185" i="36" s="1"/>
  <c r="BG185" i="36" s="1"/>
  <c r="BH185" i="36" s="1"/>
  <c r="BI185" i="36" s="1"/>
  <c r="BJ185" i="36" s="1"/>
  <c r="BK185" i="36" s="1"/>
  <c r="BL185" i="36" s="1"/>
  <c r="BM185" i="36" s="1"/>
  <c r="BN185" i="36" s="1"/>
  <c r="BO185" i="36" s="1"/>
  <c r="BP185" i="36" s="1"/>
  <c r="BQ185" i="36" s="1"/>
  <c r="BR185" i="36" s="1"/>
  <c r="BS185" i="36" s="1"/>
  <c r="BT185" i="36" s="1"/>
  <c r="BU185" i="36" s="1"/>
  <c r="BV185" i="36" s="1"/>
  <c r="BD109" i="36"/>
  <c r="BE109" i="36" s="1"/>
  <c r="BF109" i="36" s="1"/>
  <c r="BG109" i="36" s="1"/>
  <c r="BH109" i="36" s="1"/>
  <c r="BI109" i="36" s="1"/>
  <c r="BJ109" i="36" s="1"/>
  <c r="BK109" i="36" s="1"/>
  <c r="BL109" i="36" s="1"/>
  <c r="BM109" i="36" s="1"/>
  <c r="BN109" i="36" s="1"/>
  <c r="BO109" i="36" s="1"/>
  <c r="BP109" i="36" s="1"/>
  <c r="BQ109" i="36" s="1"/>
  <c r="BR109" i="36" s="1"/>
  <c r="BS109" i="36" s="1"/>
  <c r="BT109" i="36" s="1"/>
  <c r="BU109" i="36" s="1"/>
  <c r="BV109" i="36" s="1"/>
  <c r="BD31" i="36"/>
  <c r="BE31" i="36" s="1"/>
  <c r="BF31" i="36" s="1"/>
  <c r="BG31" i="36" s="1"/>
  <c r="BH31" i="36" s="1"/>
  <c r="BI31" i="36" s="1"/>
  <c r="BJ31" i="36" s="1"/>
  <c r="BK31" i="36" s="1"/>
  <c r="BL31" i="36" s="1"/>
  <c r="BM31" i="36" s="1"/>
  <c r="BN31" i="36" s="1"/>
  <c r="BO31" i="36" s="1"/>
  <c r="BP31" i="36" s="1"/>
  <c r="BQ31" i="36" s="1"/>
  <c r="BR31" i="36" s="1"/>
  <c r="BS31" i="36" s="1"/>
  <c r="BT31" i="36" s="1"/>
  <c r="BU31" i="36" s="1"/>
  <c r="BV31" i="36" s="1"/>
  <c r="BD103" i="36"/>
  <c r="BE103" i="36" s="1"/>
  <c r="BF103" i="36" s="1"/>
  <c r="BG103" i="36" s="1"/>
  <c r="BH103" i="36" s="1"/>
  <c r="BI103" i="36" s="1"/>
  <c r="BJ103" i="36" s="1"/>
  <c r="BK103" i="36" s="1"/>
  <c r="BL103" i="36" s="1"/>
  <c r="BM103" i="36" s="1"/>
  <c r="BN103" i="36" s="1"/>
  <c r="BO103" i="36" s="1"/>
  <c r="BP103" i="36" s="1"/>
  <c r="BQ103" i="36" s="1"/>
  <c r="BR103" i="36" s="1"/>
  <c r="BS103" i="36" s="1"/>
  <c r="BT103" i="36" s="1"/>
  <c r="BU103" i="36" s="1"/>
  <c r="BV103" i="36" s="1"/>
  <c r="BD22" i="36"/>
  <c r="BE22" i="36" s="1"/>
  <c r="BF22" i="36" s="1"/>
  <c r="BG22" i="36" s="1"/>
  <c r="BH22" i="36" s="1"/>
  <c r="BI22" i="36" s="1"/>
  <c r="BJ22" i="36" s="1"/>
  <c r="BK22" i="36" s="1"/>
  <c r="BL22" i="36" s="1"/>
  <c r="BM22" i="36" s="1"/>
  <c r="BN22" i="36" s="1"/>
  <c r="BO22" i="36" s="1"/>
  <c r="BP22" i="36" s="1"/>
  <c r="BQ22" i="36" s="1"/>
  <c r="BR22" i="36" s="1"/>
  <c r="BS22" i="36" s="1"/>
  <c r="BT22" i="36" s="1"/>
  <c r="BU22" i="36" s="1"/>
  <c r="BV22" i="36" s="1"/>
  <c r="BD296" i="36"/>
  <c r="BE296" i="36" s="1"/>
  <c r="BF296" i="36" s="1"/>
  <c r="BG296" i="36" s="1"/>
  <c r="BH296" i="36" s="1"/>
  <c r="BI296" i="36" s="1"/>
  <c r="BJ296" i="36" s="1"/>
  <c r="BK296" i="36" s="1"/>
  <c r="BL296" i="36" s="1"/>
  <c r="BM296" i="36" s="1"/>
  <c r="BN296" i="36" s="1"/>
  <c r="BO296" i="36" s="1"/>
  <c r="BP296" i="36" s="1"/>
  <c r="BQ296" i="36" s="1"/>
  <c r="BR296" i="36" s="1"/>
  <c r="BS296" i="36" s="1"/>
  <c r="BT296" i="36" s="1"/>
  <c r="BU296" i="36" s="1"/>
  <c r="BV296" i="36" s="1"/>
  <c r="BD92" i="36"/>
  <c r="BE92" i="36" s="1"/>
  <c r="BF92" i="36" s="1"/>
  <c r="BG92" i="36" s="1"/>
  <c r="BH92" i="36" s="1"/>
  <c r="BI92" i="36" s="1"/>
  <c r="BJ92" i="36" s="1"/>
  <c r="BK92" i="36" s="1"/>
  <c r="BL92" i="36" s="1"/>
  <c r="BM92" i="36" s="1"/>
  <c r="BN92" i="36" s="1"/>
  <c r="BO92" i="36" s="1"/>
  <c r="BP92" i="36" s="1"/>
  <c r="BQ92" i="36" s="1"/>
  <c r="BR92" i="36" s="1"/>
  <c r="BS92" i="36" s="1"/>
  <c r="BT92" i="36" s="1"/>
  <c r="BU92" i="36" s="1"/>
  <c r="BV92" i="36" s="1"/>
  <c r="BD214" i="36"/>
  <c r="BE214" i="36" s="1"/>
  <c r="BF214" i="36" s="1"/>
  <c r="BG214" i="36" s="1"/>
  <c r="BH214" i="36" s="1"/>
  <c r="BI214" i="36" s="1"/>
  <c r="BJ214" i="36" s="1"/>
  <c r="BK214" i="36" s="1"/>
  <c r="BL214" i="36" s="1"/>
  <c r="BM214" i="36" s="1"/>
  <c r="BN214" i="36" s="1"/>
  <c r="BO214" i="36" s="1"/>
  <c r="BP214" i="36" s="1"/>
  <c r="BQ214" i="36" s="1"/>
  <c r="BR214" i="36" s="1"/>
  <c r="BS214" i="36" s="1"/>
  <c r="BT214" i="36" s="1"/>
  <c r="BU214" i="36" s="1"/>
  <c r="BV214" i="36" s="1"/>
  <c r="BD304" i="36"/>
  <c r="BE304" i="36" s="1"/>
  <c r="BF304" i="36" s="1"/>
  <c r="BG304" i="36" s="1"/>
  <c r="BH304" i="36" s="1"/>
  <c r="BI304" i="36" s="1"/>
  <c r="BJ304" i="36" s="1"/>
  <c r="BK304" i="36" s="1"/>
  <c r="BL304" i="36" s="1"/>
  <c r="BM304" i="36" s="1"/>
  <c r="BN304" i="36" s="1"/>
  <c r="BO304" i="36" s="1"/>
  <c r="BP304" i="36" s="1"/>
  <c r="BQ304" i="36" s="1"/>
  <c r="BR304" i="36" s="1"/>
  <c r="BS304" i="36" s="1"/>
  <c r="BT304" i="36" s="1"/>
  <c r="BU304" i="36" s="1"/>
  <c r="BV304" i="36" s="1"/>
  <c r="BD57" i="36"/>
  <c r="BE57" i="36" s="1"/>
  <c r="BF57" i="36" s="1"/>
  <c r="BG57" i="36" s="1"/>
  <c r="BH57" i="36" s="1"/>
  <c r="BI57" i="36" s="1"/>
  <c r="BJ57" i="36" s="1"/>
  <c r="BK57" i="36" s="1"/>
  <c r="BL57" i="36" s="1"/>
  <c r="BM57" i="36" s="1"/>
  <c r="BN57" i="36" s="1"/>
  <c r="BO57" i="36" s="1"/>
  <c r="BP57" i="36" s="1"/>
  <c r="BQ57" i="36" s="1"/>
  <c r="BR57" i="36" s="1"/>
  <c r="BS57" i="36" s="1"/>
  <c r="BT57" i="36" s="1"/>
  <c r="BU57" i="36" s="1"/>
  <c r="BV57" i="36" s="1"/>
  <c r="BD271" i="36"/>
  <c r="BE271" i="36" s="1"/>
  <c r="BF271" i="36" s="1"/>
  <c r="BG271" i="36" s="1"/>
  <c r="BH271" i="36" s="1"/>
  <c r="BI271" i="36" s="1"/>
  <c r="BJ271" i="36" s="1"/>
  <c r="BK271" i="36" s="1"/>
  <c r="BL271" i="36" s="1"/>
  <c r="BM271" i="36" s="1"/>
  <c r="BN271" i="36" s="1"/>
  <c r="BO271" i="36" s="1"/>
  <c r="BP271" i="36" s="1"/>
  <c r="BQ271" i="36" s="1"/>
  <c r="BR271" i="36" s="1"/>
  <c r="BS271" i="36" s="1"/>
  <c r="BT271" i="36" s="1"/>
  <c r="BU271" i="36" s="1"/>
  <c r="BV271" i="36" s="1"/>
  <c r="BD116" i="36"/>
  <c r="BE116" i="36" s="1"/>
  <c r="BF116" i="36" s="1"/>
  <c r="BG116" i="36" s="1"/>
  <c r="BH116" i="36" s="1"/>
  <c r="BI116" i="36" s="1"/>
  <c r="BJ116" i="36" s="1"/>
  <c r="BK116" i="36" s="1"/>
  <c r="BL116" i="36" s="1"/>
  <c r="BM116" i="36" s="1"/>
  <c r="BN116" i="36" s="1"/>
  <c r="BO116" i="36" s="1"/>
  <c r="BP116" i="36" s="1"/>
  <c r="BQ116" i="36" s="1"/>
  <c r="BR116" i="36" s="1"/>
  <c r="BS116" i="36" s="1"/>
  <c r="BT116" i="36" s="1"/>
  <c r="BU116" i="36" s="1"/>
  <c r="BV116" i="36" s="1"/>
  <c r="BD196" i="36"/>
  <c r="BE196" i="36" s="1"/>
  <c r="BF196" i="36" s="1"/>
  <c r="BG196" i="36" s="1"/>
  <c r="BH196" i="36" s="1"/>
  <c r="BI196" i="36" s="1"/>
  <c r="BJ196" i="36" s="1"/>
  <c r="BK196" i="36" s="1"/>
  <c r="BL196" i="36" s="1"/>
  <c r="BM196" i="36" s="1"/>
  <c r="BN196" i="36" s="1"/>
  <c r="BO196" i="36" s="1"/>
  <c r="BP196" i="36" s="1"/>
  <c r="BQ196" i="36" s="1"/>
  <c r="BR196" i="36" s="1"/>
  <c r="BS196" i="36" s="1"/>
  <c r="BT196" i="36" s="1"/>
  <c r="BU196" i="36" s="1"/>
  <c r="BV196" i="36" s="1"/>
  <c r="BD47" i="36"/>
  <c r="BE47" i="36" s="1"/>
  <c r="BF47" i="36" s="1"/>
  <c r="BG47" i="36" s="1"/>
  <c r="BH47" i="36" s="1"/>
  <c r="BI47" i="36" s="1"/>
  <c r="BJ47" i="36" s="1"/>
  <c r="BK47" i="36" s="1"/>
  <c r="BL47" i="36" s="1"/>
  <c r="BM47" i="36" s="1"/>
  <c r="BN47" i="36" s="1"/>
  <c r="BO47" i="36" s="1"/>
  <c r="BP47" i="36" s="1"/>
  <c r="BQ47" i="36" s="1"/>
  <c r="BR47" i="36" s="1"/>
  <c r="BS47" i="36" s="1"/>
  <c r="BT47" i="36" s="1"/>
  <c r="BU47" i="36" s="1"/>
  <c r="BV47" i="36" s="1"/>
  <c r="BD190" i="36"/>
  <c r="BE190" i="36" s="1"/>
  <c r="BF190" i="36" s="1"/>
  <c r="BG190" i="36" s="1"/>
  <c r="BH190" i="36" s="1"/>
  <c r="BI190" i="36" s="1"/>
  <c r="BJ190" i="36" s="1"/>
  <c r="BK190" i="36" s="1"/>
  <c r="BL190" i="36" s="1"/>
  <c r="BM190" i="36" s="1"/>
  <c r="BN190" i="36" s="1"/>
  <c r="BO190" i="36" s="1"/>
  <c r="BP190" i="36" s="1"/>
  <c r="BQ190" i="36" s="1"/>
  <c r="BR190" i="36" s="1"/>
  <c r="BS190" i="36" s="1"/>
  <c r="BT190" i="36" s="1"/>
  <c r="BU190" i="36" s="1"/>
  <c r="BV190" i="36" s="1"/>
  <c r="BD197" i="36"/>
  <c r="BE197" i="36" s="1"/>
  <c r="BF197" i="36" s="1"/>
  <c r="BG197" i="36" s="1"/>
  <c r="BH197" i="36" s="1"/>
  <c r="BI197" i="36" s="1"/>
  <c r="BJ197" i="36" s="1"/>
  <c r="BK197" i="36" s="1"/>
  <c r="BL197" i="36" s="1"/>
  <c r="BM197" i="36" s="1"/>
  <c r="BN197" i="36" s="1"/>
  <c r="BO197" i="36" s="1"/>
  <c r="BP197" i="36" s="1"/>
  <c r="BQ197" i="36" s="1"/>
  <c r="BR197" i="36" s="1"/>
  <c r="BS197" i="36" s="1"/>
  <c r="BT197" i="36" s="1"/>
  <c r="BU197" i="36" s="1"/>
  <c r="BV197" i="36" s="1"/>
  <c r="BD265" i="36"/>
  <c r="BE265" i="36" s="1"/>
  <c r="BF265" i="36" s="1"/>
  <c r="BG265" i="36" s="1"/>
  <c r="BH265" i="36" s="1"/>
  <c r="BI265" i="36" s="1"/>
  <c r="BJ265" i="36" s="1"/>
  <c r="BK265" i="36" s="1"/>
  <c r="BL265" i="36" s="1"/>
  <c r="BM265" i="36" s="1"/>
  <c r="BN265" i="36" s="1"/>
  <c r="BO265" i="36" s="1"/>
  <c r="BP265" i="36" s="1"/>
  <c r="BQ265" i="36" s="1"/>
  <c r="BR265" i="36" s="1"/>
  <c r="BS265" i="36" s="1"/>
  <c r="BT265" i="36" s="1"/>
  <c r="BU265" i="36" s="1"/>
  <c r="BV265" i="36" s="1"/>
  <c r="BD298" i="36"/>
  <c r="BE298" i="36" s="1"/>
  <c r="BF298" i="36" s="1"/>
  <c r="BG298" i="36" s="1"/>
  <c r="BH298" i="36" s="1"/>
  <c r="BI298" i="36" s="1"/>
  <c r="BJ298" i="36" s="1"/>
  <c r="BK298" i="36" s="1"/>
  <c r="BL298" i="36" s="1"/>
  <c r="BM298" i="36" s="1"/>
  <c r="BN298" i="36" s="1"/>
  <c r="BO298" i="36" s="1"/>
  <c r="BP298" i="36" s="1"/>
  <c r="BQ298" i="36" s="1"/>
  <c r="BR298" i="36" s="1"/>
  <c r="BS298" i="36" s="1"/>
  <c r="BT298" i="36" s="1"/>
  <c r="BU298" i="36" s="1"/>
  <c r="BV298" i="36" s="1"/>
  <c r="BD58" i="36"/>
  <c r="BE58" i="36" s="1"/>
  <c r="BF58" i="36" s="1"/>
  <c r="BG58" i="36" s="1"/>
  <c r="BH58" i="36" s="1"/>
  <c r="BI58" i="36" s="1"/>
  <c r="BJ58" i="36" s="1"/>
  <c r="BK58" i="36" s="1"/>
  <c r="BL58" i="36" s="1"/>
  <c r="BM58" i="36" s="1"/>
  <c r="BN58" i="36" s="1"/>
  <c r="BO58" i="36" s="1"/>
  <c r="BP58" i="36" s="1"/>
  <c r="BQ58" i="36" s="1"/>
  <c r="BR58" i="36" s="1"/>
  <c r="BS58" i="36" s="1"/>
  <c r="BT58" i="36" s="1"/>
  <c r="BU58" i="36" s="1"/>
  <c r="BV58" i="36" s="1"/>
  <c r="BD48" i="36"/>
  <c r="BE48" i="36" s="1"/>
  <c r="BF48" i="36" s="1"/>
  <c r="BG48" i="36" s="1"/>
  <c r="BH48" i="36" s="1"/>
  <c r="BI48" i="36" s="1"/>
  <c r="BJ48" i="36" s="1"/>
  <c r="BK48" i="36" s="1"/>
  <c r="BL48" i="36" s="1"/>
  <c r="BM48" i="36" s="1"/>
  <c r="BN48" i="36" s="1"/>
  <c r="BO48" i="36" s="1"/>
  <c r="BP48" i="36" s="1"/>
  <c r="BQ48" i="36" s="1"/>
  <c r="BR48" i="36" s="1"/>
  <c r="BS48" i="36" s="1"/>
  <c r="BT48" i="36" s="1"/>
  <c r="BU48" i="36" s="1"/>
  <c r="BV48" i="36" s="1"/>
  <c r="BD64" i="36"/>
  <c r="BE64" i="36" s="1"/>
  <c r="BF64" i="36" s="1"/>
  <c r="BG64" i="36" s="1"/>
  <c r="BH64" i="36" s="1"/>
  <c r="BI64" i="36" s="1"/>
  <c r="BJ64" i="36" s="1"/>
  <c r="BK64" i="36" s="1"/>
  <c r="BL64" i="36" s="1"/>
  <c r="BM64" i="36" s="1"/>
  <c r="BN64" i="36" s="1"/>
  <c r="BO64" i="36" s="1"/>
  <c r="BP64" i="36" s="1"/>
  <c r="BQ64" i="36" s="1"/>
  <c r="BR64" i="36" s="1"/>
  <c r="BS64" i="36" s="1"/>
  <c r="BT64" i="36" s="1"/>
  <c r="BU64" i="36" s="1"/>
  <c r="BV64" i="36" s="1"/>
  <c r="BD222" i="36"/>
  <c r="BE222" i="36" s="1"/>
  <c r="BF222" i="36" s="1"/>
  <c r="BG222" i="36" s="1"/>
  <c r="BH222" i="36" s="1"/>
  <c r="BI222" i="36" s="1"/>
  <c r="BJ222" i="36" s="1"/>
  <c r="BK222" i="36" s="1"/>
  <c r="BL222" i="36" s="1"/>
  <c r="BM222" i="36" s="1"/>
  <c r="BN222" i="36" s="1"/>
  <c r="BO222" i="36" s="1"/>
  <c r="BP222" i="36" s="1"/>
  <c r="BQ222" i="36" s="1"/>
  <c r="BR222" i="36" s="1"/>
  <c r="BS222" i="36" s="1"/>
  <c r="BT222" i="36" s="1"/>
  <c r="BU222" i="36" s="1"/>
  <c r="BV222" i="36" s="1"/>
  <c r="BD230" i="36"/>
  <c r="BE230" i="36" s="1"/>
  <c r="BF230" i="36" s="1"/>
  <c r="BG230" i="36" s="1"/>
  <c r="BH230" i="36" s="1"/>
  <c r="BI230" i="36" s="1"/>
  <c r="BJ230" i="36" s="1"/>
  <c r="BK230" i="36" s="1"/>
  <c r="BL230" i="36" s="1"/>
  <c r="BM230" i="36" s="1"/>
  <c r="BN230" i="36" s="1"/>
  <c r="BO230" i="36" s="1"/>
  <c r="BP230" i="36" s="1"/>
  <c r="BQ230" i="36" s="1"/>
  <c r="BR230" i="36" s="1"/>
  <c r="BS230" i="36" s="1"/>
  <c r="BT230" i="36" s="1"/>
  <c r="BU230" i="36" s="1"/>
  <c r="BV230" i="36" s="1"/>
  <c r="BD248" i="36"/>
  <c r="BE248" i="36" s="1"/>
  <c r="BF248" i="36" s="1"/>
  <c r="BG248" i="36" s="1"/>
  <c r="BH248" i="36" s="1"/>
  <c r="BI248" i="36" s="1"/>
  <c r="BJ248" i="36" s="1"/>
  <c r="BK248" i="36" s="1"/>
  <c r="BL248" i="36" s="1"/>
  <c r="BM248" i="36" s="1"/>
  <c r="BN248" i="36" s="1"/>
  <c r="BO248" i="36" s="1"/>
  <c r="BP248" i="36" s="1"/>
  <c r="BQ248" i="36" s="1"/>
  <c r="BR248" i="36" s="1"/>
  <c r="BS248" i="36" s="1"/>
  <c r="BT248" i="36" s="1"/>
  <c r="BU248" i="36" s="1"/>
  <c r="BV248" i="36" s="1"/>
  <c r="BD14" i="36"/>
  <c r="BE14" i="36" s="1"/>
  <c r="BF14" i="36" s="1"/>
  <c r="BG14" i="36" s="1"/>
  <c r="BH14" i="36" s="1"/>
  <c r="BI14" i="36" s="1"/>
  <c r="BJ14" i="36" s="1"/>
  <c r="BK14" i="36" s="1"/>
  <c r="BL14" i="36" s="1"/>
  <c r="BM14" i="36" s="1"/>
  <c r="BN14" i="36" s="1"/>
  <c r="BO14" i="36" s="1"/>
  <c r="BP14" i="36" s="1"/>
  <c r="BQ14" i="36" s="1"/>
  <c r="BR14" i="36" s="1"/>
  <c r="BS14" i="36" s="1"/>
  <c r="BT14" i="36" s="1"/>
  <c r="BU14" i="36" s="1"/>
  <c r="BV14" i="36" s="1"/>
  <c r="BD24" i="36"/>
  <c r="BE24" i="36" s="1"/>
  <c r="BF24" i="36" s="1"/>
  <c r="BG24" i="36" s="1"/>
  <c r="BH24" i="36" s="1"/>
  <c r="BI24" i="36" s="1"/>
  <c r="BJ24" i="36" s="1"/>
  <c r="BK24" i="36" s="1"/>
  <c r="BL24" i="36" s="1"/>
  <c r="BM24" i="36" s="1"/>
  <c r="BN24" i="36" s="1"/>
  <c r="BO24" i="36" s="1"/>
  <c r="BP24" i="36" s="1"/>
  <c r="BQ24" i="36" s="1"/>
  <c r="BR24" i="36" s="1"/>
  <c r="BS24" i="36" s="1"/>
  <c r="BT24" i="36" s="1"/>
  <c r="BU24" i="36" s="1"/>
  <c r="BV24" i="36" s="1"/>
  <c r="BD216" i="36"/>
  <c r="BE216" i="36" s="1"/>
  <c r="BF216" i="36" s="1"/>
  <c r="BG216" i="36" s="1"/>
  <c r="BH216" i="36" s="1"/>
  <c r="BI216" i="36" s="1"/>
  <c r="BJ216" i="36" s="1"/>
  <c r="BK216" i="36" s="1"/>
  <c r="BL216" i="36" s="1"/>
  <c r="BM216" i="36" s="1"/>
  <c r="BN216" i="36" s="1"/>
  <c r="BO216" i="36" s="1"/>
  <c r="BP216" i="36" s="1"/>
  <c r="BQ216" i="36" s="1"/>
  <c r="BR216" i="36" s="1"/>
  <c r="BS216" i="36" s="1"/>
  <c r="BT216" i="36" s="1"/>
  <c r="BU216" i="36" s="1"/>
  <c r="BV216" i="36" s="1"/>
  <c r="BD74" i="36"/>
  <c r="BE74" i="36" s="1"/>
  <c r="BF74" i="36" s="1"/>
  <c r="BG74" i="36" s="1"/>
  <c r="BH74" i="36" s="1"/>
  <c r="BI74" i="36" s="1"/>
  <c r="BJ74" i="36" s="1"/>
  <c r="BK74" i="36" s="1"/>
  <c r="BL74" i="36" s="1"/>
  <c r="BM74" i="36" s="1"/>
  <c r="BN74" i="36" s="1"/>
  <c r="BO74" i="36" s="1"/>
  <c r="BP74" i="36" s="1"/>
  <c r="BQ74" i="36" s="1"/>
  <c r="BR74" i="36" s="1"/>
  <c r="BS74" i="36" s="1"/>
  <c r="BT74" i="36" s="1"/>
  <c r="BU74" i="36" s="1"/>
  <c r="BV74" i="36" s="1"/>
  <c r="BD113" i="36"/>
  <c r="BE113" i="36" s="1"/>
  <c r="BF113" i="36" s="1"/>
  <c r="BG113" i="36" s="1"/>
  <c r="BH113" i="36" s="1"/>
  <c r="BI113" i="36" s="1"/>
  <c r="BJ113" i="36" s="1"/>
  <c r="BK113" i="36" s="1"/>
  <c r="BL113" i="36" s="1"/>
  <c r="BM113" i="36" s="1"/>
  <c r="BN113" i="36" s="1"/>
  <c r="BO113" i="36" s="1"/>
  <c r="BP113" i="36" s="1"/>
  <c r="BQ113" i="36" s="1"/>
  <c r="BR113" i="36" s="1"/>
  <c r="BS113" i="36" s="1"/>
  <c r="BT113" i="36" s="1"/>
  <c r="BU113" i="36" s="1"/>
  <c r="BV113" i="36" s="1"/>
  <c r="BD158" i="36"/>
  <c r="BE158" i="36" s="1"/>
  <c r="BF158" i="36" s="1"/>
  <c r="BG158" i="36" s="1"/>
  <c r="BH158" i="36" s="1"/>
  <c r="BI158" i="36" s="1"/>
  <c r="BJ158" i="36" s="1"/>
  <c r="BK158" i="36" s="1"/>
  <c r="BL158" i="36" s="1"/>
  <c r="BM158" i="36" s="1"/>
  <c r="BN158" i="36" s="1"/>
  <c r="BO158" i="36" s="1"/>
  <c r="BP158" i="36" s="1"/>
  <c r="BQ158" i="36" s="1"/>
  <c r="BR158" i="36" s="1"/>
  <c r="BS158" i="36" s="1"/>
  <c r="BT158" i="36" s="1"/>
  <c r="BU158" i="36" s="1"/>
  <c r="BV158" i="36" s="1"/>
  <c r="BD15" i="36"/>
  <c r="BE15" i="36" s="1"/>
  <c r="BF15" i="36" s="1"/>
  <c r="BG15" i="36" s="1"/>
  <c r="BH15" i="36" s="1"/>
  <c r="BI15" i="36" s="1"/>
  <c r="BJ15" i="36" s="1"/>
  <c r="BK15" i="36" s="1"/>
  <c r="BL15" i="36" s="1"/>
  <c r="BM15" i="36" s="1"/>
  <c r="BN15" i="36" s="1"/>
  <c r="BO15" i="36" s="1"/>
  <c r="BP15" i="36" s="1"/>
  <c r="BQ15" i="36" s="1"/>
  <c r="BR15" i="36" s="1"/>
  <c r="BS15" i="36" s="1"/>
  <c r="BT15" i="36" s="1"/>
  <c r="BU15" i="36" s="1"/>
  <c r="BV15" i="36" s="1"/>
  <c r="BD30" i="36"/>
  <c r="BE30" i="36" s="1"/>
  <c r="BF30" i="36" s="1"/>
  <c r="BG30" i="36" s="1"/>
  <c r="BH30" i="36" s="1"/>
  <c r="BI30" i="36" s="1"/>
  <c r="BJ30" i="36" s="1"/>
  <c r="BK30" i="36" s="1"/>
  <c r="BL30" i="36" s="1"/>
  <c r="BM30" i="36" s="1"/>
  <c r="BN30" i="36" s="1"/>
  <c r="BO30" i="36" s="1"/>
  <c r="BP30" i="36" s="1"/>
  <c r="BQ30" i="36" s="1"/>
  <c r="BR30" i="36" s="1"/>
  <c r="BS30" i="36" s="1"/>
  <c r="BT30" i="36" s="1"/>
  <c r="BU30" i="36" s="1"/>
  <c r="BV30" i="36" s="1"/>
  <c r="BD65" i="36"/>
  <c r="BE65" i="36" s="1"/>
  <c r="BF65" i="36" s="1"/>
  <c r="BG65" i="36" s="1"/>
  <c r="BH65" i="36" s="1"/>
  <c r="BI65" i="36" s="1"/>
  <c r="BJ65" i="36" s="1"/>
  <c r="BK65" i="36" s="1"/>
  <c r="BL65" i="36" s="1"/>
  <c r="BM65" i="36" s="1"/>
  <c r="BN65" i="36" s="1"/>
  <c r="BO65" i="36" s="1"/>
  <c r="BP65" i="36" s="1"/>
  <c r="BQ65" i="36" s="1"/>
  <c r="BR65" i="36" s="1"/>
  <c r="BS65" i="36" s="1"/>
  <c r="BT65" i="36" s="1"/>
  <c r="BU65" i="36" s="1"/>
  <c r="BV65" i="36" s="1"/>
  <c r="BD114" i="36"/>
  <c r="BE114" i="36" s="1"/>
  <c r="BF114" i="36" s="1"/>
  <c r="BG114" i="36" s="1"/>
  <c r="BH114" i="36" s="1"/>
  <c r="BI114" i="36" s="1"/>
  <c r="BJ114" i="36" s="1"/>
  <c r="BK114" i="36" s="1"/>
  <c r="BL114" i="36" s="1"/>
  <c r="BM114" i="36" s="1"/>
  <c r="BN114" i="36" s="1"/>
  <c r="BO114" i="36" s="1"/>
  <c r="BP114" i="36" s="1"/>
  <c r="BQ114" i="36" s="1"/>
  <c r="BR114" i="36" s="1"/>
  <c r="BS114" i="36" s="1"/>
  <c r="BT114" i="36" s="1"/>
  <c r="BU114" i="36" s="1"/>
  <c r="BV114" i="36" s="1"/>
  <c r="BD108" i="36"/>
  <c r="BE108" i="36" s="1"/>
  <c r="BF108" i="36" s="1"/>
  <c r="BG108" i="36" s="1"/>
  <c r="BH108" i="36" s="1"/>
  <c r="BI108" i="36" s="1"/>
  <c r="BJ108" i="36" s="1"/>
  <c r="BK108" i="36" s="1"/>
  <c r="BL108" i="36" s="1"/>
  <c r="BM108" i="36" s="1"/>
  <c r="BN108" i="36" s="1"/>
  <c r="BO108" i="36" s="1"/>
  <c r="BP108" i="36" s="1"/>
  <c r="BQ108" i="36" s="1"/>
  <c r="BR108" i="36" s="1"/>
  <c r="BS108" i="36" s="1"/>
  <c r="BT108" i="36" s="1"/>
  <c r="BU108" i="36" s="1"/>
  <c r="BV108" i="36" s="1"/>
  <c r="BD91" i="36"/>
  <c r="BE91" i="36" s="1"/>
  <c r="BF91" i="36" s="1"/>
  <c r="BG91" i="36" s="1"/>
  <c r="BH91" i="36" s="1"/>
  <c r="BI91" i="36" s="1"/>
  <c r="BJ91" i="36" s="1"/>
  <c r="BK91" i="36" s="1"/>
  <c r="BL91" i="36" s="1"/>
  <c r="BM91" i="36" s="1"/>
  <c r="BN91" i="36" s="1"/>
  <c r="BO91" i="36" s="1"/>
  <c r="BP91" i="36" s="1"/>
  <c r="BQ91" i="36" s="1"/>
  <c r="BR91" i="36" s="1"/>
  <c r="BS91" i="36" s="1"/>
  <c r="BT91" i="36" s="1"/>
  <c r="BU91" i="36" s="1"/>
  <c r="BV91" i="36" s="1"/>
  <c r="BD194" i="36"/>
  <c r="BE194" i="36" s="1"/>
  <c r="BF194" i="36"/>
  <c r="BG194" i="36" s="1"/>
  <c r="BH194" i="36" s="1"/>
  <c r="BI194" i="36" s="1"/>
  <c r="BJ194" i="36" s="1"/>
  <c r="BK194" i="36" s="1"/>
  <c r="BL194" i="36" s="1"/>
  <c r="BM194" i="36" s="1"/>
  <c r="BN194" i="36" s="1"/>
  <c r="BO194" i="36" s="1"/>
  <c r="BP194" i="36" s="1"/>
  <c r="BQ194" i="36" s="1"/>
  <c r="BR194" i="36" s="1"/>
  <c r="BS194" i="36" s="1"/>
  <c r="BT194" i="36" s="1"/>
  <c r="BU194" i="36" s="1"/>
  <c r="BV194" i="36" s="1"/>
  <c r="BD269" i="36"/>
  <c r="BE269" i="36" s="1"/>
  <c r="BF269" i="36" s="1"/>
  <c r="BG269" i="36" s="1"/>
  <c r="BH269" i="36" s="1"/>
  <c r="BI269" i="36" s="1"/>
  <c r="BJ269" i="36" s="1"/>
  <c r="BK269" i="36" s="1"/>
  <c r="BL269" i="36" s="1"/>
  <c r="BM269" i="36" s="1"/>
  <c r="BN269" i="36" s="1"/>
  <c r="BO269" i="36" s="1"/>
  <c r="BP269" i="36" s="1"/>
  <c r="BQ269" i="36" s="1"/>
  <c r="BR269" i="36" s="1"/>
  <c r="BS269" i="36" s="1"/>
  <c r="BT269" i="36" s="1"/>
  <c r="BU269" i="36" s="1"/>
  <c r="BV269" i="36" s="1"/>
  <c r="BD21" i="36"/>
  <c r="BE21" i="36" s="1"/>
  <c r="BF21" i="36"/>
  <c r="BG21" i="36" s="1"/>
  <c r="BH21" i="36" s="1"/>
  <c r="BI21" i="36" s="1"/>
  <c r="BJ21" i="36" s="1"/>
  <c r="BK21" i="36" s="1"/>
  <c r="BL21" i="36" s="1"/>
  <c r="BM21" i="36" s="1"/>
  <c r="BN21" i="36" s="1"/>
  <c r="BO21" i="36" s="1"/>
  <c r="BP21" i="36" s="1"/>
  <c r="BQ21" i="36" s="1"/>
  <c r="BR21" i="36" s="1"/>
  <c r="BS21" i="36" s="1"/>
  <c r="BT21" i="36" s="1"/>
  <c r="BU21" i="36" s="1"/>
  <c r="BV21" i="36" s="1"/>
  <c r="BF40" i="36"/>
  <c r="BG40" i="36" s="1"/>
  <c r="BH40" i="36" s="1"/>
  <c r="BI40" i="36" s="1"/>
  <c r="BJ40" i="36" s="1"/>
  <c r="BK40" i="36" s="1"/>
  <c r="BL40" i="36" s="1"/>
  <c r="BM40" i="36" s="1"/>
  <c r="BN40" i="36" s="1"/>
  <c r="BO40" i="36" s="1"/>
  <c r="BP40" i="36" s="1"/>
  <c r="BQ40" i="36" s="1"/>
  <c r="BR40" i="36" s="1"/>
  <c r="BS40" i="36" s="1"/>
  <c r="BT40" i="36" s="1"/>
  <c r="BU40" i="36" s="1"/>
  <c r="BV40" i="36" s="1"/>
  <c r="BD177" i="36"/>
  <c r="BE177" i="36" s="1"/>
  <c r="BF177" i="36"/>
  <c r="BG177" i="36" s="1"/>
  <c r="BH177" i="36" s="1"/>
  <c r="BI177" i="36" s="1"/>
  <c r="BJ177" i="36" s="1"/>
  <c r="BK177" i="36" s="1"/>
  <c r="BL177" i="36" s="1"/>
  <c r="BM177" i="36" s="1"/>
  <c r="BN177" i="36" s="1"/>
  <c r="BO177" i="36" s="1"/>
  <c r="BP177" i="36" s="1"/>
  <c r="BQ177" i="36" s="1"/>
  <c r="BR177" i="36" s="1"/>
  <c r="BS177" i="36" s="1"/>
  <c r="BT177" i="36" s="1"/>
  <c r="BU177" i="36" s="1"/>
  <c r="BV177" i="36" s="1"/>
  <c r="BD302" i="36"/>
  <c r="BE302" i="36" s="1"/>
  <c r="BF302" i="36" s="1"/>
  <c r="BG302" i="36" s="1"/>
  <c r="BH302" i="36" s="1"/>
  <c r="BI302" i="36" s="1"/>
  <c r="BJ302" i="36" s="1"/>
  <c r="BK302" i="36" s="1"/>
  <c r="BL302" i="36" s="1"/>
  <c r="BM302" i="36" s="1"/>
  <c r="BN302" i="36" s="1"/>
  <c r="BO302" i="36" s="1"/>
  <c r="BP302" i="36" s="1"/>
  <c r="BQ302" i="36" s="1"/>
  <c r="BR302" i="36" s="1"/>
  <c r="BS302" i="36" s="1"/>
  <c r="BT302" i="36" s="1"/>
  <c r="BU302" i="36" s="1"/>
  <c r="BV302" i="36" s="1"/>
  <c r="BD282" i="36"/>
  <c r="BE282" i="36" s="1"/>
  <c r="BF282" i="36" s="1"/>
  <c r="BG282" i="36" s="1"/>
  <c r="BH282" i="36" s="1"/>
  <c r="BI282" i="36" s="1"/>
  <c r="BJ282" i="36" s="1"/>
  <c r="BK282" i="36" s="1"/>
  <c r="BL282" i="36" s="1"/>
  <c r="BM282" i="36" s="1"/>
  <c r="BN282" i="36" s="1"/>
  <c r="BO282" i="36" s="1"/>
  <c r="BP282" i="36" s="1"/>
  <c r="BQ282" i="36" s="1"/>
  <c r="BR282" i="36" s="1"/>
  <c r="BS282" i="36" s="1"/>
  <c r="BT282" i="36" s="1"/>
  <c r="BU282" i="36" s="1"/>
  <c r="BV282" i="36" s="1"/>
  <c r="BD41" i="36"/>
  <c r="BE41" i="36" s="1"/>
  <c r="BF41" i="36" s="1"/>
  <c r="BG41" i="36" s="1"/>
  <c r="BH41" i="36" s="1"/>
  <c r="BI41" i="36" s="1"/>
  <c r="BJ41" i="36" s="1"/>
  <c r="BK41" i="36" s="1"/>
  <c r="BL41" i="36" s="1"/>
  <c r="BM41" i="36" s="1"/>
  <c r="BN41" i="36" s="1"/>
  <c r="BO41" i="36" s="1"/>
  <c r="BP41" i="36" s="1"/>
  <c r="BQ41" i="36" s="1"/>
  <c r="BR41" i="36" s="1"/>
  <c r="BS41" i="36" s="1"/>
  <c r="BT41" i="36" s="1"/>
  <c r="BU41" i="36" s="1"/>
  <c r="BV41" i="36" s="1"/>
  <c r="BD20" i="36"/>
  <c r="BE20" i="36" s="1"/>
  <c r="BF20" i="36" s="1"/>
  <c r="BG20" i="36" s="1"/>
  <c r="BH20" i="36" s="1"/>
  <c r="BI20" i="36" s="1"/>
  <c r="BJ20" i="36" s="1"/>
  <c r="BK20" i="36" s="1"/>
  <c r="BL20" i="36" s="1"/>
  <c r="BM20" i="36" s="1"/>
  <c r="BN20" i="36" s="1"/>
  <c r="BO20" i="36" s="1"/>
  <c r="BP20" i="36" s="1"/>
  <c r="BQ20" i="36" s="1"/>
  <c r="BR20" i="36" s="1"/>
  <c r="BS20" i="36" s="1"/>
  <c r="BT20" i="36" s="1"/>
  <c r="BU20" i="36" s="1"/>
  <c r="BV20" i="36" s="1"/>
  <c r="BD75" i="36"/>
  <c r="BE75" i="36" s="1"/>
  <c r="BF75" i="36" s="1"/>
  <c r="BG75" i="36" s="1"/>
  <c r="BH75" i="36" s="1"/>
  <c r="BI75" i="36" s="1"/>
  <c r="BJ75" i="36" s="1"/>
  <c r="BK75" i="36" s="1"/>
  <c r="BL75" i="36" s="1"/>
  <c r="BM75" i="36" s="1"/>
  <c r="BN75" i="36" s="1"/>
  <c r="BO75" i="36" s="1"/>
  <c r="BP75" i="36" s="1"/>
  <c r="BQ75" i="36" s="1"/>
  <c r="BR75" i="36" s="1"/>
  <c r="BS75" i="36" s="1"/>
  <c r="BT75" i="36" s="1"/>
  <c r="BU75" i="36" s="1"/>
  <c r="BV75" i="36" s="1"/>
  <c r="BN8" i="36"/>
  <c r="BO8" i="36" s="1"/>
  <c r="BP8" i="36" s="1"/>
  <c r="BQ8" i="36" s="1"/>
  <c r="BR8" i="36" s="1"/>
  <c r="BS8" i="36" s="1"/>
  <c r="BT8" i="36" s="1"/>
  <c r="BU8" i="36" s="1"/>
  <c r="BV8" i="36" s="1"/>
  <c r="BD97" i="36"/>
  <c r="BE97" i="36" s="1"/>
  <c r="BF97" i="36" s="1"/>
  <c r="BG97" i="36" s="1"/>
  <c r="BH97" i="36" s="1"/>
  <c r="BI97" i="36" s="1"/>
  <c r="BJ97" i="36" s="1"/>
  <c r="BK97" i="36" s="1"/>
  <c r="BL97" i="36" s="1"/>
  <c r="BM97" i="36" s="1"/>
  <c r="BN97" i="36" s="1"/>
  <c r="BO97" i="36" s="1"/>
  <c r="BP97" i="36" s="1"/>
  <c r="BQ97" i="36" s="1"/>
  <c r="BR97" i="36" s="1"/>
  <c r="BS97" i="36" s="1"/>
  <c r="BT97" i="36" s="1"/>
  <c r="BU97" i="36" s="1"/>
  <c r="BV97" i="36" s="1"/>
  <c r="BD240" i="36"/>
  <c r="BE240" i="36" s="1"/>
  <c r="BF240" i="36" s="1"/>
  <c r="BG240" i="36" s="1"/>
  <c r="BH240" i="36" s="1"/>
  <c r="BI240" i="36" s="1"/>
  <c r="BJ240" i="36" s="1"/>
  <c r="BK240" i="36" s="1"/>
  <c r="BL240" i="36" s="1"/>
  <c r="BM240" i="36" s="1"/>
  <c r="BN240" i="36" s="1"/>
  <c r="BO240" i="36" s="1"/>
  <c r="BP240" i="36" s="1"/>
  <c r="BQ240" i="36" s="1"/>
  <c r="BR240" i="36" s="1"/>
  <c r="BS240" i="36" s="1"/>
  <c r="BT240" i="36" s="1"/>
  <c r="BU240" i="36" s="1"/>
  <c r="BV240" i="36" s="1"/>
  <c r="BD126" i="36"/>
  <c r="BE126" i="36" s="1"/>
  <c r="BF126" i="36" s="1"/>
  <c r="BG126" i="36" s="1"/>
  <c r="BH126" i="36" s="1"/>
  <c r="BI126" i="36" s="1"/>
  <c r="BJ126" i="36" s="1"/>
  <c r="BK126" i="36" s="1"/>
  <c r="BL126" i="36" s="1"/>
  <c r="BM126" i="36" s="1"/>
  <c r="BN126" i="36" s="1"/>
  <c r="BO126" i="36" s="1"/>
  <c r="BP126" i="36" s="1"/>
  <c r="BQ126" i="36" s="1"/>
  <c r="BR126" i="36" s="1"/>
  <c r="BS126" i="36" s="1"/>
  <c r="BT126" i="36" s="1"/>
  <c r="BU126" i="36" s="1"/>
  <c r="BV126" i="36" s="1"/>
  <c r="BF155" i="36"/>
  <c r="BG155" i="36" s="1"/>
  <c r="BH155" i="36" s="1"/>
  <c r="BI155" i="36" s="1"/>
  <c r="BJ155" i="36" s="1"/>
  <c r="BK155" i="36" s="1"/>
  <c r="BL155" i="36" s="1"/>
  <c r="BM155" i="36" s="1"/>
  <c r="BN155" i="36" s="1"/>
  <c r="BO155" i="36" s="1"/>
  <c r="BP155" i="36" s="1"/>
  <c r="BQ155" i="36" s="1"/>
  <c r="BR155" i="36" s="1"/>
  <c r="BS155" i="36" s="1"/>
  <c r="BT155" i="36" s="1"/>
  <c r="BU155" i="36" s="1"/>
  <c r="BV155" i="36" s="1"/>
  <c r="BF84" i="36"/>
  <c r="BG84" i="36" s="1"/>
  <c r="BH84" i="36" s="1"/>
  <c r="BI84" i="36" s="1"/>
  <c r="BJ84" i="36" s="1"/>
  <c r="BK84" i="36" s="1"/>
  <c r="BL84" i="36" s="1"/>
  <c r="BM84" i="36" s="1"/>
  <c r="BN84" i="36" s="1"/>
  <c r="BO84" i="36" s="1"/>
  <c r="BP84" i="36" s="1"/>
  <c r="BQ84" i="36" s="1"/>
  <c r="BR84" i="36" s="1"/>
  <c r="BS84" i="36" s="1"/>
  <c r="BT84" i="36" s="1"/>
  <c r="BU84" i="36" s="1"/>
  <c r="BV84" i="36" s="1"/>
  <c r="BH156" i="36"/>
  <c r="BI156" i="36" s="1"/>
  <c r="BJ156" i="36" s="1"/>
  <c r="BK156" i="36" s="1"/>
  <c r="BL156" i="36" s="1"/>
  <c r="BM156" i="36" s="1"/>
  <c r="BN156" i="36" s="1"/>
  <c r="BO156" i="36" s="1"/>
  <c r="BP156" i="36" s="1"/>
  <c r="BQ156" i="36" s="1"/>
  <c r="BR156" i="36" s="1"/>
  <c r="BS156" i="36" s="1"/>
  <c r="BT156" i="36" s="1"/>
  <c r="BU156" i="36" s="1"/>
  <c r="BV156" i="36" s="1"/>
  <c r="BF174" i="36"/>
  <c r="BG174" i="36" s="1"/>
  <c r="BH174" i="36" s="1"/>
  <c r="BI174" i="36" s="1"/>
  <c r="BJ174" i="36" s="1"/>
  <c r="BK174" i="36" s="1"/>
  <c r="BL174" i="36" s="1"/>
  <c r="BM174" i="36" s="1"/>
  <c r="BN174" i="36" s="1"/>
  <c r="BO174" i="36" s="1"/>
  <c r="BP174" i="36" s="1"/>
  <c r="BQ174" i="36" s="1"/>
  <c r="BR174" i="36" s="1"/>
  <c r="BS174" i="36" s="1"/>
  <c r="BT174" i="36" s="1"/>
  <c r="BU174" i="36" s="1"/>
  <c r="BV174" i="36" s="1"/>
  <c r="BD253" i="36"/>
  <c r="BE253" i="36" s="1"/>
  <c r="BF253" i="36" s="1"/>
  <c r="BG253" i="36" s="1"/>
  <c r="BH253" i="36" s="1"/>
  <c r="BI253" i="36" s="1"/>
  <c r="BJ253" i="36" s="1"/>
  <c r="BK253" i="36" s="1"/>
  <c r="BL253" i="36" s="1"/>
  <c r="BM253" i="36" s="1"/>
  <c r="BN253" i="36" s="1"/>
  <c r="BO253" i="36" s="1"/>
  <c r="BP253" i="36" s="1"/>
  <c r="BQ253" i="36" s="1"/>
  <c r="BR253" i="36" s="1"/>
  <c r="BS253" i="36" s="1"/>
  <c r="BT253" i="36" s="1"/>
  <c r="BU253" i="36" s="1"/>
  <c r="BV253" i="36" s="1"/>
  <c r="BD13" i="36"/>
  <c r="BE13" i="36" s="1"/>
  <c r="BF13" i="36" s="1"/>
  <c r="BG13" i="36" s="1"/>
  <c r="BH13" i="36" s="1"/>
  <c r="BI13" i="36" s="1"/>
  <c r="BJ13" i="36" s="1"/>
  <c r="BK13" i="36" s="1"/>
  <c r="BL13" i="36" s="1"/>
  <c r="BM13" i="36" s="1"/>
  <c r="BN13" i="36" s="1"/>
  <c r="BO13" i="36" s="1"/>
  <c r="BP13" i="36" s="1"/>
  <c r="BQ13" i="36" s="1"/>
  <c r="BR13" i="36" s="1"/>
  <c r="BS13" i="36" s="1"/>
  <c r="BT13" i="36" s="1"/>
  <c r="BU13" i="36" s="1"/>
  <c r="BV13" i="36" s="1"/>
  <c r="BD268" i="36"/>
  <c r="BE268" i="36" s="1"/>
  <c r="BF268" i="36" s="1"/>
  <c r="BG268" i="36" s="1"/>
  <c r="BH268" i="36" s="1"/>
  <c r="BI268" i="36" s="1"/>
  <c r="BJ268" i="36" s="1"/>
  <c r="BK268" i="36" s="1"/>
  <c r="BL268" i="36" s="1"/>
  <c r="BM268" i="36" s="1"/>
  <c r="BN268" i="36" s="1"/>
  <c r="BO268" i="36" s="1"/>
  <c r="BP268" i="36" s="1"/>
  <c r="BQ268" i="36" s="1"/>
  <c r="BR268" i="36" s="1"/>
  <c r="BS268" i="36" s="1"/>
  <c r="BT268" i="36" s="1"/>
  <c r="BU268" i="36" s="1"/>
  <c r="BV268" i="36" s="1"/>
  <c r="BD37" i="36"/>
  <c r="BE37" i="36" s="1"/>
  <c r="BF37" i="36" s="1"/>
  <c r="BG37" i="36" s="1"/>
  <c r="BH37" i="36" s="1"/>
  <c r="BI37" i="36" s="1"/>
  <c r="BJ37" i="36" s="1"/>
  <c r="BK37" i="36" s="1"/>
  <c r="BL37" i="36" s="1"/>
  <c r="BM37" i="36" s="1"/>
  <c r="BN37" i="36" s="1"/>
  <c r="BO37" i="36" s="1"/>
  <c r="BP37" i="36" s="1"/>
  <c r="BQ37" i="36" s="1"/>
  <c r="BR37" i="36" s="1"/>
  <c r="BS37" i="36" s="1"/>
  <c r="BT37" i="36" s="1"/>
  <c r="BU37" i="36" s="1"/>
  <c r="BV37" i="36" s="1"/>
  <c r="BD256" i="36"/>
  <c r="BE256" i="36" s="1"/>
  <c r="BF256" i="36" s="1"/>
  <c r="BG256" i="36" s="1"/>
  <c r="BH256" i="36" s="1"/>
  <c r="BI256" i="36" s="1"/>
  <c r="BJ256" i="36" s="1"/>
  <c r="BK256" i="36" s="1"/>
  <c r="BL256" i="36" s="1"/>
  <c r="BM256" i="36" s="1"/>
  <c r="BN256" i="36" s="1"/>
  <c r="BO256" i="36" s="1"/>
  <c r="BP256" i="36" s="1"/>
  <c r="BQ256" i="36" s="1"/>
  <c r="BR256" i="36" s="1"/>
  <c r="BS256" i="36" s="1"/>
  <c r="BT256" i="36" s="1"/>
  <c r="BU256" i="36" s="1"/>
  <c r="BV256" i="36" s="1"/>
  <c r="BD73" i="36"/>
  <c r="BE73" i="36" s="1"/>
  <c r="BF73" i="36" s="1"/>
  <c r="BG73" i="36" s="1"/>
  <c r="BH73" i="36" s="1"/>
  <c r="BI73" i="36" s="1"/>
  <c r="BJ73" i="36" s="1"/>
  <c r="BK73" i="36" s="1"/>
  <c r="BL73" i="36" s="1"/>
  <c r="BM73" i="36" s="1"/>
  <c r="BN73" i="36" s="1"/>
  <c r="BO73" i="36" s="1"/>
  <c r="BP73" i="36" s="1"/>
  <c r="BQ73" i="36" s="1"/>
  <c r="BR73" i="36" s="1"/>
  <c r="BS73" i="36" s="1"/>
  <c r="BT73" i="36" s="1"/>
  <c r="BU73" i="36" s="1"/>
  <c r="BV73" i="36" s="1"/>
  <c r="BD232" i="36"/>
  <c r="BE232" i="36" s="1"/>
  <c r="BF232" i="36" s="1"/>
  <c r="BG232" i="36" s="1"/>
  <c r="BH232" i="36" s="1"/>
  <c r="BI232" i="36" s="1"/>
  <c r="BJ232" i="36" s="1"/>
  <c r="BK232" i="36" s="1"/>
  <c r="BL232" i="36" s="1"/>
  <c r="BM232" i="36" s="1"/>
  <c r="BN232" i="36" s="1"/>
  <c r="BO232" i="36" s="1"/>
  <c r="BP232" i="36" s="1"/>
  <c r="BQ232" i="36" s="1"/>
  <c r="BR232" i="36" s="1"/>
  <c r="BS232" i="36" s="1"/>
  <c r="BT232" i="36" s="1"/>
  <c r="BU232" i="36" s="1"/>
  <c r="BV232" i="36" s="1"/>
  <c r="BD259" i="36"/>
  <c r="BE259" i="36" s="1"/>
  <c r="BF259" i="36" s="1"/>
  <c r="BG259" i="36" s="1"/>
  <c r="BH259" i="36" s="1"/>
  <c r="BI259" i="36" s="1"/>
  <c r="BJ259" i="36" s="1"/>
  <c r="BK259" i="36" s="1"/>
  <c r="BL259" i="36" s="1"/>
  <c r="BM259" i="36" s="1"/>
  <c r="BN259" i="36" s="1"/>
  <c r="BO259" i="36" s="1"/>
  <c r="BP259" i="36" s="1"/>
  <c r="BQ259" i="36" s="1"/>
  <c r="BR259" i="36" s="1"/>
  <c r="BS259" i="36" s="1"/>
  <c r="BT259" i="36" s="1"/>
  <c r="BU259" i="36" s="1"/>
  <c r="BV259" i="36" s="1"/>
  <c r="BD89" i="36"/>
  <c r="BE89" i="36" s="1"/>
  <c r="BF89" i="36" s="1"/>
  <c r="BG89" i="36" s="1"/>
  <c r="BH89" i="36" s="1"/>
  <c r="BI89" i="36" s="1"/>
  <c r="BJ89" i="36" s="1"/>
  <c r="BK89" i="36" s="1"/>
  <c r="BL89" i="36" s="1"/>
  <c r="BM89" i="36" s="1"/>
  <c r="BN89" i="36" s="1"/>
  <c r="BO89" i="36" s="1"/>
  <c r="BP89" i="36" s="1"/>
  <c r="BQ89" i="36" s="1"/>
  <c r="BR89" i="36" s="1"/>
  <c r="BS89" i="36" s="1"/>
  <c r="BT89" i="36" s="1"/>
  <c r="BU89" i="36" s="1"/>
  <c r="BV89" i="36" s="1"/>
  <c r="BD96" i="36"/>
  <c r="BE96" i="36" s="1"/>
  <c r="BF96" i="36" s="1"/>
  <c r="BG96" i="36" s="1"/>
  <c r="BH96" i="36" s="1"/>
  <c r="BI96" i="36" s="1"/>
  <c r="BJ96" i="36" s="1"/>
  <c r="BK96" i="36" s="1"/>
  <c r="BL96" i="36" s="1"/>
  <c r="BM96" i="36" s="1"/>
  <c r="BN96" i="36" s="1"/>
  <c r="BO96" i="36" s="1"/>
  <c r="BP96" i="36" s="1"/>
  <c r="BQ96" i="36" s="1"/>
  <c r="BR96" i="36" s="1"/>
  <c r="BS96" i="36" s="1"/>
  <c r="BT96" i="36" s="1"/>
  <c r="BU96" i="36" s="1"/>
  <c r="BV96" i="36" s="1"/>
  <c r="BH137" i="36"/>
  <c r="BI137" i="36" s="1"/>
  <c r="BJ137" i="36" s="1"/>
  <c r="BK137" i="36" s="1"/>
  <c r="BL137" i="36" s="1"/>
  <c r="BM137" i="36" s="1"/>
  <c r="BN137" i="36" s="1"/>
  <c r="BO137" i="36" s="1"/>
  <c r="BP137" i="36" s="1"/>
  <c r="BQ137" i="36" s="1"/>
  <c r="BR137" i="36" s="1"/>
  <c r="BS137" i="36" s="1"/>
  <c r="BT137" i="36" s="1"/>
  <c r="BU137" i="36" s="1"/>
  <c r="BV137" i="36" s="1"/>
  <c r="BD150" i="36"/>
  <c r="BE150" i="36" s="1"/>
  <c r="BF150" i="36" s="1"/>
  <c r="BG150" i="36" s="1"/>
  <c r="BH150" i="36" s="1"/>
  <c r="BI150" i="36" s="1"/>
  <c r="BJ150" i="36" s="1"/>
  <c r="BK150" i="36" s="1"/>
  <c r="BL150" i="36" s="1"/>
  <c r="BM150" i="36" s="1"/>
  <c r="BN150" i="36" s="1"/>
  <c r="BO150" i="36" s="1"/>
  <c r="BP150" i="36" s="1"/>
  <c r="BQ150" i="36" s="1"/>
  <c r="BR150" i="36" s="1"/>
  <c r="BS150" i="36" s="1"/>
  <c r="BT150" i="36" s="1"/>
  <c r="BU150" i="36" s="1"/>
  <c r="BV150" i="36" s="1"/>
  <c r="BD165" i="36"/>
  <c r="BE165" i="36" s="1"/>
  <c r="BF165" i="36" s="1"/>
  <c r="BG165" i="36" s="1"/>
  <c r="BH165" i="36" s="1"/>
  <c r="BI165" i="36" s="1"/>
  <c r="BJ165" i="36" s="1"/>
  <c r="BK165" i="36" s="1"/>
  <c r="BL165" i="36" s="1"/>
  <c r="BM165" i="36" s="1"/>
  <c r="BN165" i="36" s="1"/>
  <c r="BO165" i="36" s="1"/>
  <c r="BP165" i="36" s="1"/>
  <c r="BQ165" i="36" s="1"/>
  <c r="BR165" i="36" s="1"/>
  <c r="BS165" i="36" s="1"/>
  <c r="BT165" i="36" s="1"/>
  <c r="BU165" i="36" s="1"/>
  <c r="BV165" i="36" s="1"/>
  <c r="BF168" i="36"/>
  <c r="BG168" i="36" s="1"/>
  <c r="BH168" i="36" s="1"/>
  <c r="BI168" i="36" s="1"/>
  <c r="BJ168" i="36" s="1"/>
  <c r="BK168" i="36" s="1"/>
  <c r="BL168" i="36" s="1"/>
  <c r="BM168" i="36" s="1"/>
  <c r="BN168" i="36" s="1"/>
  <c r="BO168" i="36" s="1"/>
  <c r="BP168" i="36" s="1"/>
  <c r="BQ168" i="36" s="1"/>
  <c r="BR168" i="36" s="1"/>
  <c r="BS168" i="36" s="1"/>
  <c r="BT168" i="36" s="1"/>
  <c r="BU168" i="36" s="1"/>
  <c r="BV168" i="36" s="1"/>
  <c r="BD229" i="36"/>
  <c r="BE229" i="36" s="1"/>
  <c r="BF229" i="36" s="1"/>
  <c r="BG229" i="36" s="1"/>
  <c r="BH229" i="36" s="1"/>
  <c r="BI229" i="36" s="1"/>
  <c r="BJ229" i="36"/>
  <c r="BK229" i="36" s="1"/>
  <c r="BL229" i="36" s="1"/>
  <c r="BM229" i="36" s="1"/>
  <c r="BN229" i="36" s="1"/>
  <c r="BO229" i="36" s="1"/>
  <c r="BP229" i="36" s="1"/>
  <c r="BQ229" i="36" s="1"/>
  <c r="BR229" i="36" s="1"/>
  <c r="BS229" i="36" s="1"/>
  <c r="BT229" i="36" s="1"/>
  <c r="BU229" i="36" s="1"/>
  <c r="BV229" i="36" s="1"/>
  <c r="BD295" i="36"/>
  <c r="BE295" i="36" s="1"/>
  <c r="BF295" i="36" s="1"/>
  <c r="BG295" i="36" s="1"/>
  <c r="BH295" i="36" s="1"/>
  <c r="BI295" i="36" s="1"/>
  <c r="BJ295" i="36" s="1"/>
  <c r="BK295" i="36" s="1"/>
  <c r="BL295" i="36" s="1"/>
  <c r="BM295" i="36" s="1"/>
  <c r="BN295" i="36" s="1"/>
  <c r="BO295" i="36" s="1"/>
  <c r="BP295" i="36" s="1"/>
  <c r="BQ295" i="36" s="1"/>
  <c r="BR295" i="36" s="1"/>
  <c r="BS295" i="36" s="1"/>
  <c r="BT295" i="36" s="1"/>
  <c r="BU295" i="36" s="1"/>
  <c r="BV295" i="36" s="1"/>
  <c r="BD12" i="36"/>
  <c r="BE12" i="36" s="1"/>
  <c r="BF12" i="36" s="1"/>
  <c r="BG12" i="36" s="1"/>
  <c r="BH12" i="36" s="1"/>
  <c r="BI12" i="36" s="1"/>
  <c r="BJ12" i="36" s="1"/>
  <c r="BK12" i="36" s="1"/>
  <c r="BL12" i="36" s="1"/>
  <c r="BM12" i="36" s="1"/>
  <c r="BN12" i="36" s="1"/>
  <c r="BO12" i="36" s="1"/>
  <c r="BP12" i="36" s="1"/>
  <c r="BQ12" i="36" s="1"/>
  <c r="BR12" i="36" s="1"/>
  <c r="BS12" i="36" s="1"/>
  <c r="BT12" i="36" s="1"/>
  <c r="BU12" i="36" s="1"/>
  <c r="BV12" i="36" s="1"/>
  <c r="BD46" i="36"/>
  <c r="BE46" i="36" s="1"/>
  <c r="BF46" i="36" s="1"/>
  <c r="BG46" i="36" s="1"/>
  <c r="BH46" i="36" s="1"/>
  <c r="BI46" i="36" s="1"/>
  <c r="BJ46" i="36" s="1"/>
  <c r="BK46" i="36" s="1"/>
  <c r="BL46" i="36" s="1"/>
  <c r="BM46" i="36" s="1"/>
  <c r="BN46" i="36" s="1"/>
  <c r="BO46" i="36" s="1"/>
  <c r="BP46" i="36" s="1"/>
  <c r="BQ46" i="36" s="1"/>
  <c r="BR46" i="36" s="1"/>
  <c r="BS46" i="36" s="1"/>
  <c r="BT46" i="36" s="1"/>
  <c r="BU46" i="36" s="1"/>
  <c r="BV46" i="36" s="1"/>
  <c r="BD106" i="36"/>
  <c r="BE106" i="36" s="1"/>
  <c r="BF106" i="36" s="1"/>
  <c r="BG106" i="36" s="1"/>
  <c r="BH106" i="36" s="1"/>
  <c r="BI106" i="36" s="1"/>
  <c r="BJ106" i="36" s="1"/>
  <c r="BK106" i="36" s="1"/>
  <c r="BL106" i="36" s="1"/>
  <c r="BM106" i="36" s="1"/>
  <c r="BN106" i="36" s="1"/>
  <c r="BO106" i="36" s="1"/>
  <c r="BP106" i="36" s="1"/>
  <c r="BQ106" i="36" s="1"/>
  <c r="BR106" i="36" s="1"/>
  <c r="BS106" i="36" s="1"/>
  <c r="BT106" i="36" s="1"/>
  <c r="BU106" i="36" s="1"/>
  <c r="BV106" i="36" s="1"/>
  <c r="BD111" i="36"/>
  <c r="BE111" i="36" s="1"/>
  <c r="BF111" i="36" s="1"/>
  <c r="BG111" i="36" s="1"/>
  <c r="BH111" i="36" s="1"/>
  <c r="BI111" i="36" s="1"/>
  <c r="BJ111" i="36" s="1"/>
  <c r="BK111" i="36" s="1"/>
  <c r="BL111" i="36" s="1"/>
  <c r="BM111" i="36" s="1"/>
  <c r="BN111" i="36" s="1"/>
  <c r="BO111" i="36" s="1"/>
  <c r="BP111" i="36" s="1"/>
  <c r="BQ111" i="36" s="1"/>
  <c r="BR111" i="36" s="1"/>
  <c r="BS111" i="36" s="1"/>
  <c r="BT111" i="36" s="1"/>
  <c r="BU111" i="36" s="1"/>
  <c r="BV111" i="36" s="1"/>
  <c r="BD200" i="36"/>
  <c r="BE200" i="36" s="1"/>
  <c r="BF200" i="36" s="1"/>
  <c r="BG200" i="36" s="1"/>
  <c r="BH200" i="36" s="1"/>
  <c r="BI200" i="36" s="1"/>
  <c r="BJ200" i="36" s="1"/>
  <c r="BK200" i="36" s="1"/>
  <c r="BL200" i="36" s="1"/>
  <c r="BM200" i="36" s="1"/>
  <c r="BN200" i="36" s="1"/>
  <c r="BO200" i="36" s="1"/>
  <c r="BP200" i="36" s="1"/>
  <c r="BQ200" i="36" s="1"/>
  <c r="BR200" i="36" s="1"/>
  <c r="BS200" i="36" s="1"/>
  <c r="BT200" i="36" s="1"/>
  <c r="BU200" i="36" s="1"/>
  <c r="BV200" i="36" s="1"/>
  <c r="BH203" i="36"/>
  <c r="BI203" i="36" s="1"/>
  <c r="BJ203" i="36" s="1"/>
  <c r="BK203" i="36" s="1"/>
  <c r="BL203" i="36" s="1"/>
  <c r="BM203" i="36" s="1"/>
  <c r="BN203" i="36" s="1"/>
  <c r="BO203" i="36" s="1"/>
  <c r="BP203" i="36" s="1"/>
  <c r="BQ203" i="36" s="1"/>
  <c r="BR203" i="36" s="1"/>
  <c r="BS203" i="36" s="1"/>
  <c r="BT203" i="36" s="1"/>
  <c r="BU203" i="36" s="1"/>
  <c r="BV203" i="36" s="1"/>
  <c r="BH272" i="36"/>
  <c r="BI272" i="36" s="1"/>
  <c r="BJ272" i="36" s="1"/>
  <c r="BK272" i="36" s="1"/>
  <c r="BL272" i="36" s="1"/>
  <c r="BM272" i="36" s="1"/>
  <c r="BN272" i="36" s="1"/>
  <c r="BO272" i="36" s="1"/>
  <c r="BP272" i="36" s="1"/>
  <c r="BQ272" i="36" s="1"/>
  <c r="BR272" i="36" s="1"/>
  <c r="BS272" i="36" s="1"/>
  <c r="BT272" i="36" s="1"/>
  <c r="BU272" i="36" s="1"/>
  <c r="BV272" i="36" s="1"/>
  <c r="BF287" i="36"/>
  <c r="BG287" i="36" s="1"/>
  <c r="BH287" i="36" s="1"/>
  <c r="BI287" i="36" s="1"/>
  <c r="BJ287" i="36" s="1"/>
  <c r="BK287" i="36" s="1"/>
  <c r="BL287" i="36" s="1"/>
  <c r="BM287" i="36" s="1"/>
  <c r="BN287" i="36" s="1"/>
  <c r="BO287" i="36" s="1"/>
  <c r="BP287" i="36" s="1"/>
  <c r="BQ287" i="36" s="1"/>
  <c r="BR287" i="36" s="1"/>
  <c r="BS287" i="36" s="1"/>
  <c r="BT287" i="36" s="1"/>
  <c r="BU287" i="36" s="1"/>
  <c r="BV287" i="36" s="1"/>
  <c r="BD26" i="36"/>
  <c r="BE26" i="36" s="1"/>
  <c r="BF26" i="36" s="1"/>
  <c r="BG26" i="36" s="1"/>
  <c r="BH26" i="36" s="1"/>
  <c r="BI26" i="36" s="1"/>
  <c r="BJ26" i="36" s="1"/>
  <c r="BK26" i="36" s="1"/>
  <c r="BL26" i="36" s="1"/>
  <c r="BM26" i="36" s="1"/>
  <c r="BN26" i="36" s="1"/>
  <c r="BO26" i="36" s="1"/>
  <c r="BP26" i="36" s="1"/>
  <c r="BQ26" i="36" s="1"/>
  <c r="BR26" i="36" s="1"/>
  <c r="BS26" i="36" s="1"/>
  <c r="BT26" i="36" s="1"/>
  <c r="BU26" i="36" s="1"/>
  <c r="BV26" i="36" s="1"/>
  <c r="BD80" i="36"/>
  <c r="BE80" i="36" s="1"/>
  <c r="BF80" i="36" s="1"/>
  <c r="BG80" i="36" s="1"/>
  <c r="BH80" i="36" s="1"/>
  <c r="BI80" i="36" s="1"/>
  <c r="BJ80" i="36" s="1"/>
  <c r="BK80" i="36" s="1"/>
  <c r="BL80" i="36" s="1"/>
  <c r="BM80" i="36" s="1"/>
  <c r="BN80" i="36" s="1"/>
  <c r="BO80" i="36" s="1"/>
  <c r="BP80" i="36" s="1"/>
  <c r="BQ80" i="36" s="1"/>
  <c r="BR80" i="36" s="1"/>
  <c r="BS80" i="36" s="1"/>
  <c r="BT80" i="36" s="1"/>
  <c r="BU80" i="36" s="1"/>
  <c r="BV80" i="36" s="1"/>
  <c r="BD124" i="36"/>
  <c r="BE124" i="36" s="1"/>
  <c r="BF124" i="36" s="1"/>
  <c r="BG124" i="36" s="1"/>
  <c r="BH124" i="36" s="1"/>
  <c r="BI124" i="36" s="1"/>
  <c r="BJ124" i="36" s="1"/>
  <c r="BK124" i="36" s="1"/>
  <c r="BL124" i="36" s="1"/>
  <c r="BM124" i="36" s="1"/>
  <c r="BN124" i="36" s="1"/>
  <c r="BO124" i="36" s="1"/>
  <c r="BP124" i="36" s="1"/>
  <c r="BQ124" i="36" s="1"/>
  <c r="BR124" i="36" s="1"/>
  <c r="BS124" i="36" s="1"/>
  <c r="BT124" i="36" s="1"/>
  <c r="BU124" i="36" s="1"/>
  <c r="BV124" i="36" s="1"/>
  <c r="BD223" i="36"/>
  <c r="BE223" i="36" s="1"/>
  <c r="BF223" i="36"/>
  <c r="BG223" i="36" s="1"/>
  <c r="BH223" i="36" s="1"/>
  <c r="BI223" i="36" s="1"/>
  <c r="BJ223" i="36" s="1"/>
  <c r="BK223" i="36" s="1"/>
  <c r="BL223" i="36" s="1"/>
  <c r="BM223" i="36" s="1"/>
  <c r="BN223" i="36" s="1"/>
  <c r="BO223" i="36" s="1"/>
  <c r="BP223" i="36" s="1"/>
  <c r="BQ223" i="36" s="1"/>
  <c r="BR223" i="36" s="1"/>
  <c r="BS223" i="36" s="1"/>
  <c r="BT223" i="36" s="1"/>
  <c r="BU223" i="36" s="1"/>
  <c r="BV223" i="36" s="1"/>
  <c r="BD226" i="36"/>
  <c r="BE226" i="36" s="1"/>
  <c r="BF226" i="36"/>
  <c r="BG226" i="36" s="1"/>
  <c r="BH226" i="36" s="1"/>
  <c r="BI226" i="36" s="1"/>
  <c r="BJ226" i="36" s="1"/>
  <c r="BK226" i="36" s="1"/>
  <c r="BL226" i="36" s="1"/>
  <c r="BM226" i="36" s="1"/>
  <c r="BN226" i="36" s="1"/>
  <c r="BO226" i="36" s="1"/>
  <c r="BP226" i="36" s="1"/>
  <c r="BQ226" i="36" s="1"/>
  <c r="BR226" i="36" s="1"/>
  <c r="BS226" i="36" s="1"/>
  <c r="BT226" i="36" s="1"/>
  <c r="BU226" i="36" s="1"/>
  <c r="BV226" i="36" s="1"/>
  <c r="BD125" i="36"/>
  <c r="BE125" i="36" s="1"/>
  <c r="BF125" i="36" s="1"/>
  <c r="BG125" i="36" s="1"/>
  <c r="BH125" i="36" s="1"/>
  <c r="BI125" i="36" s="1"/>
  <c r="BJ125" i="36" s="1"/>
  <c r="BK125" i="36" s="1"/>
  <c r="BL125" i="36" s="1"/>
  <c r="BM125" i="36" s="1"/>
  <c r="BN125" i="36" s="1"/>
  <c r="BO125" i="36" s="1"/>
  <c r="BP125" i="36" s="1"/>
  <c r="BQ125" i="36" s="1"/>
  <c r="BR125" i="36" s="1"/>
  <c r="BS125" i="36" s="1"/>
  <c r="BT125" i="36" s="1"/>
  <c r="BU125" i="36" s="1"/>
  <c r="BV125" i="36" s="1"/>
  <c r="BD56" i="36"/>
  <c r="BE56" i="36" s="1"/>
  <c r="BF56" i="36"/>
  <c r="BG56" i="36" s="1"/>
  <c r="BH56" i="36" s="1"/>
  <c r="BI56" i="36" s="1"/>
  <c r="BJ56" i="36" s="1"/>
  <c r="BK56" i="36" s="1"/>
  <c r="BL56" i="36" s="1"/>
  <c r="BM56" i="36" s="1"/>
  <c r="BN56" i="36" s="1"/>
  <c r="BO56" i="36" s="1"/>
  <c r="BP56" i="36" s="1"/>
  <c r="BQ56" i="36" s="1"/>
  <c r="BR56" i="36" s="1"/>
  <c r="BS56" i="36" s="1"/>
  <c r="BT56" i="36" s="1"/>
  <c r="BU56" i="36" s="1"/>
  <c r="BV56" i="36" s="1"/>
  <c r="BD198" i="36"/>
  <c r="BE198" i="36" s="1"/>
  <c r="BF198" i="36" s="1"/>
  <c r="BG198" i="36" s="1"/>
  <c r="BH198" i="36" s="1"/>
  <c r="BI198" i="36" s="1"/>
  <c r="BJ198" i="36" s="1"/>
  <c r="BK198" i="36" s="1"/>
  <c r="BL198" i="36" s="1"/>
  <c r="BM198" i="36" s="1"/>
  <c r="BN198" i="36" s="1"/>
  <c r="BO198" i="36" s="1"/>
  <c r="BP198" i="36" s="1"/>
  <c r="BQ198" i="36" s="1"/>
  <c r="BR198" i="36" s="1"/>
  <c r="BS198" i="36" s="1"/>
  <c r="BT198" i="36" s="1"/>
  <c r="BU198" i="36" s="1"/>
  <c r="BV198" i="36" s="1"/>
  <c r="BD221" i="36"/>
  <c r="BE221" i="36" s="1"/>
  <c r="BF221" i="36" s="1"/>
  <c r="BG221" i="36" s="1"/>
  <c r="BH221" i="36" s="1"/>
  <c r="BI221" i="36" s="1"/>
  <c r="BJ221" i="36" s="1"/>
  <c r="BK221" i="36" s="1"/>
  <c r="BL221" i="36" s="1"/>
  <c r="BM221" i="36" s="1"/>
  <c r="BN221" i="36" s="1"/>
  <c r="BO221" i="36" s="1"/>
  <c r="BP221" i="36" s="1"/>
  <c r="BQ221" i="36" s="1"/>
  <c r="BR221" i="36" s="1"/>
  <c r="BS221" i="36" s="1"/>
  <c r="BT221" i="36" s="1"/>
  <c r="BU221" i="36" s="1"/>
  <c r="BV221" i="36" s="1"/>
  <c r="BD224" i="36"/>
  <c r="BE224" i="36" s="1"/>
  <c r="BF224" i="36" s="1"/>
  <c r="BG224" i="36" s="1"/>
  <c r="BH224" i="36" s="1"/>
  <c r="BI224" i="36" s="1"/>
  <c r="BJ224" i="36" s="1"/>
  <c r="BK224" i="36" s="1"/>
  <c r="BL224" i="36" s="1"/>
  <c r="BM224" i="36" s="1"/>
  <c r="BN224" i="36" s="1"/>
  <c r="BO224" i="36" s="1"/>
  <c r="BP224" i="36" s="1"/>
  <c r="BQ224" i="36" s="1"/>
  <c r="BR224" i="36" s="1"/>
  <c r="BS224" i="36" s="1"/>
  <c r="BT224" i="36" s="1"/>
  <c r="BU224" i="36" s="1"/>
  <c r="BV224" i="36" s="1"/>
  <c r="BD90" i="36"/>
  <c r="BE90" i="36" s="1"/>
  <c r="BF90" i="36" s="1"/>
  <c r="BG90" i="36" s="1"/>
  <c r="BH90" i="36" s="1"/>
  <c r="BI90" i="36" s="1"/>
  <c r="BJ90" i="36" s="1"/>
  <c r="BK90" i="36" s="1"/>
  <c r="BL90" i="36" s="1"/>
  <c r="BM90" i="36" s="1"/>
  <c r="BN90" i="36" s="1"/>
  <c r="BO90" i="36" s="1"/>
  <c r="BP90" i="36" s="1"/>
  <c r="BQ90" i="36" s="1"/>
  <c r="BR90" i="36" s="1"/>
  <c r="BS90" i="36" s="1"/>
  <c r="BT90" i="36" s="1"/>
  <c r="BU90" i="36" s="1"/>
  <c r="BV90" i="36" s="1"/>
  <c r="BD141" i="36"/>
  <c r="BE141" i="36" s="1"/>
  <c r="BF141" i="36" s="1"/>
  <c r="BG141" i="36" s="1"/>
  <c r="BH141" i="36" s="1"/>
  <c r="BI141" i="36" s="1"/>
  <c r="BJ141" i="36" s="1"/>
  <c r="BK141" i="36" s="1"/>
  <c r="BL141" i="36" s="1"/>
  <c r="BM141" i="36" s="1"/>
  <c r="BN141" i="36" s="1"/>
  <c r="BO141" i="36" s="1"/>
  <c r="BP141" i="36" s="1"/>
  <c r="BQ141" i="36" s="1"/>
  <c r="BR141" i="36" s="1"/>
  <c r="BS141" i="36" s="1"/>
  <c r="BT141" i="36" s="1"/>
  <c r="BU141" i="36" s="1"/>
  <c r="BV141" i="36" s="1"/>
  <c r="BD154" i="36"/>
  <c r="BE154" i="36" s="1"/>
  <c r="BF154" i="36" s="1"/>
  <c r="BG154" i="36" s="1"/>
  <c r="BH154" i="36" s="1"/>
  <c r="BI154" i="36" s="1"/>
  <c r="BJ154" i="36" s="1"/>
  <c r="BK154" i="36" s="1"/>
  <c r="BL154" i="36" s="1"/>
  <c r="BM154" i="36" s="1"/>
  <c r="BN154" i="36" s="1"/>
  <c r="BO154" i="36" s="1"/>
  <c r="BP154" i="36" s="1"/>
  <c r="BQ154" i="36" s="1"/>
  <c r="BR154" i="36" s="1"/>
  <c r="BS154" i="36" s="1"/>
  <c r="BT154" i="36" s="1"/>
  <c r="BU154" i="36" s="1"/>
  <c r="BV154" i="36" s="1"/>
  <c r="BD29" i="36"/>
  <c r="BE29" i="36" s="1"/>
  <c r="BF29" i="36" s="1"/>
  <c r="BG29" i="36" s="1"/>
  <c r="BH29" i="36" s="1"/>
  <c r="BI29" i="36" s="1"/>
  <c r="BJ29" i="36" s="1"/>
  <c r="BK29" i="36" s="1"/>
  <c r="BL29" i="36" s="1"/>
  <c r="BM29" i="36" s="1"/>
  <c r="BN29" i="36" s="1"/>
  <c r="BO29" i="36" s="1"/>
  <c r="BP29" i="36" s="1"/>
  <c r="BQ29" i="36" s="1"/>
  <c r="BR29" i="36" s="1"/>
  <c r="BS29" i="36" s="1"/>
  <c r="BT29" i="36" s="1"/>
  <c r="BU29" i="36" s="1"/>
  <c r="BV29" i="36" s="1"/>
  <c r="BD279" i="36"/>
  <c r="BE279" i="36" s="1"/>
  <c r="BF279" i="36" s="1"/>
  <c r="BG279" i="36" s="1"/>
  <c r="BH279" i="36" s="1"/>
  <c r="BI279" i="36" s="1"/>
  <c r="BJ279" i="36" s="1"/>
  <c r="BK279" i="36" s="1"/>
  <c r="BL279" i="36" s="1"/>
  <c r="BM279" i="36" s="1"/>
  <c r="BN279" i="36" s="1"/>
  <c r="BO279" i="36" s="1"/>
  <c r="BP279" i="36" s="1"/>
  <c r="BQ279" i="36" s="1"/>
  <c r="BR279" i="36" s="1"/>
  <c r="BS279" i="36" s="1"/>
  <c r="BT279" i="36" s="1"/>
  <c r="BU279" i="36" s="1"/>
  <c r="BV279" i="36" s="1"/>
  <c r="BD102" i="36"/>
  <c r="BE102" i="36" s="1"/>
  <c r="BF102" i="36" s="1"/>
  <c r="BG102" i="36" s="1"/>
  <c r="BH102" i="36" s="1"/>
  <c r="BI102" i="36" s="1"/>
  <c r="BJ102" i="36" s="1"/>
  <c r="BK102" i="36" s="1"/>
  <c r="BL102" i="36" s="1"/>
  <c r="BM102" i="36" s="1"/>
  <c r="BN102" i="36" s="1"/>
  <c r="BO102" i="36" s="1"/>
  <c r="BP102" i="36" s="1"/>
  <c r="BQ102" i="36" s="1"/>
  <c r="BR102" i="36" s="1"/>
  <c r="BS102" i="36" s="1"/>
  <c r="BT102" i="36" s="1"/>
  <c r="BU102" i="36" s="1"/>
  <c r="BV102" i="36" s="1"/>
  <c r="BD146" i="36"/>
  <c r="BE146" i="36" s="1"/>
  <c r="BF146" i="36" s="1"/>
  <c r="BG146" i="36" s="1"/>
  <c r="BH146" i="36" s="1"/>
  <c r="BI146" i="36" s="1"/>
  <c r="BJ146" i="36" s="1"/>
  <c r="BK146" i="36" s="1"/>
  <c r="BL146" i="36" s="1"/>
  <c r="BM146" i="36" s="1"/>
  <c r="BN146" i="36" s="1"/>
  <c r="BO146" i="36" s="1"/>
  <c r="BP146" i="36" s="1"/>
  <c r="BQ146" i="36" s="1"/>
  <c r="BR146" i="36" s="1"/>
  <c r="BS146" i="36" s="1"/>
  <c r="BT146" i="36" s="1"/>
  <c r="BU146" i="36" s="1"/>
  <c r="BV146" i="36" s="1"/>
  <c r="BD186" i="36"/>
  <c r="BE186" i="36" s="1"/>
  <c r="BF186" i="36"/>
  <c r="BG186" i="36" s="1"/>
  <c r="BH186" i="36"/>
  <c r="BI186" i="36" s="1"/>
  <c r="BJ186" i="36" s="1"/>
  <c r="BK186" i="36" s="1"/>
  <c r="BL186" i="36" s="1"/>
  <c r="BM186" i="36" s="1"/>
  <c r="BN186" i="36" s="1"/>
  <c r="BO186" i="36" s="1"/>
  <c r="BP186" i="36" s="1"/>
  <c r="BQ186" i="36" s="1"/>
  <c r="BR186" i="36" s="1"/>
  <c r="BS186" i="36" s="1"/>
  <c r="BT186" i="36" s="1"/>
  <c r="BU186" i="36" s="1"/>
  <c r="BV186" i="36" s="1"/>
  <c r="BD207" i="36"/>
  <c r="BE207" i="36" s="1"/>
  <c r="BF207" i="36" s="1"/>
  <c r="BG207" i="36" s="1"/>
  <c r="BH207" i="36" s="1"/>
  <c r="BI207" i="36" s="1"/>
  <c r="BJ207" i="36" s="1"/>
  <c r="BK207" i="36" s="1"/>
  <c r="BL207" i="36" s="1"/>
  <c r="BM207" i="36" s="1"/>
  <c r="BN207" i="36" s="1"/>
  <c r="BO207" i="36" s="1"/>
  <c r="BP207" i="36" s="1"/>
  <c r="BQ207" i="36" s="1"/>
  <c r="BR207" i="36" s="1"/>
  <c r="BS207" i="36" s="1"/>
  <c r="BT207" i="36" s="1"/>
  <c r="BU207" i="36" s="1"/>
  <c r="BV207" i="36" s="1"/>
  <c r="BD247" i="36"/>
  <c r="BE247" i="36" s="1"/>
  <c r="BF247" i="36" s="1"/>
  <c r="BG247" i="36" s="1"/>
  <c r="BH247" i="36" s="1"/>
  <c r="BI247" i="36" s="1"/>
  <c r="BJ247" i="36" s="1"/>
  <c r="BK247" i="36" s="1"/>
  <c r="BL247" i="36" s="1"/>
  <c r="BM247" i="36" s="1"/>
  <c r="BN247" i="36" s="1"/>
  <c r="BO247" i="36" s="1"/>
  <c r="BP247" i="36" s="1"/>
  <c r="BQ247" i="36" s="1"/>
  <c r="BR247" i="36" s="1"/>
  <c r="BS247" i="36" s="1"/>
  <c r="BT247" i="36" s="1"/>
  <c r="BU247" i="36" s="1"/>
  <c r="BV247" i="36" s="1"/>
  <c r="BD297" i="36"/>
  <c r="BE297" i="36" s="1"/>
  <c r="BF297" i="36" s="1"/>
  <c r="BG297" i="36" s="1"/>
  <c r="BH297" i="36" s="1"/>
  <c r="BI297" i="36" s="1"/>
  <c r="BJ297" i="36" s="1"/>
  <c r="BK297" i="36" s="1"/>
  <c r="BL297" i="36" s="1"/>
  <c r="BM297" i="36" s="1"/>
  <c r="BN297" i="36" s="1"/>
  <c r="BO297" i="36" s="1"/>
  <c r="BP297" i="36" s="1"/>
  <c r="BQ297" i="36" s="1"/>
  <c r="BR297" i="36" s="1"/>
  <c r="BS297" i="36" s="1"/>
  <c r="BT297" i="36" s="1"/>
  <c r="BU297" i="36" s="1"/>
  <c r="BV297" i="36" s="1"/>
  <c r="BD63" i="36"/>
  <c r="BE63" i="36" s="1"/>
  <c r="BF63" i="36" s="1"/>
  <c r="BG63" i="36" s="1"/>
  <c r="BH63" i="36" s="1"/>
  <c r="BI63" i="36" s="1"/>
  <c r="BJ63" i="36" s="1"/>
  <c r="BK63" i="36" s="1"/>
  <c r="BL63" i="36" s="1"/>
  <c r="BM63" i="36" s="1"/>
  <c r="BN63" i="36" s="1"/>
  <c r="BO63" i="36" s="1"/>
  <c r="BP63" i="36" s="1"/>
  <c r="BQ63" i="36" s="1"/>
  <c r="BR63" i="36" s="1"/>
  <c r="BS63" i="36" s="1"/>
  <c r="BT63" i="36" s="1"/>
  <c r="BU63" i="36" s="1"/>
  <c r="BV63" i="36" s="1"/>
  <c r="BD79" i="36"/>
  <c r="BE79" i="36" s="1"/>
  <c r="BF79" i="36" s="1"/>
  <c r="BG79" i="36" s="1"/>
  <c r="BH79" i="36" s="1"/>
  <c r="BI79" i="36" s="1"/>
  <c r="BJ79" i="36" s="1"/>
  <c r="BK79" i="36" s="1"/>
  <c r="BL79" i="36" s="1"/>
  <c r="BM79" i="36" s="1"/>
  <c r="BN79" i="36" s="1"/>
  <c r="BO79" i="36" s="1"/>
  <c r="BP79" i="36" s="1"/>
  <c r="BQ79" i="36" s="1"/>
  <c r="BR79" i="36" s="1"/>
  <c r="BS79" i="36" s="1"/>
  <c r="BT79" i="36" s="1"/>
  <c r="BU79" i="36" s="1"/>
  <c r="BV79" i="36" s="1"/>
  <c r="BD120" i="36"/>
  <c r="BE120" i="36" s="1"/>
  <c r="BF120" i="36" s="1"/>
  <c r="BG120" i="36" s="1"/>
  <c r="BH120" i="36" s="1"/>
  <c r="BI120" i="36" s="1"/>
  <c r="BJ120" i="36" s="1"/>
  <c r="BK120" i="36" s="1"/>
  <c r="BL120" i="36" s="1"/>
  <c r="BM120" i="36" s="1"/>
  <c r="BN120" i="36" s="1"/>
  <c r="BO120" i="36" s="1"/>
  <c r="BP120" i="36" s="1"/>
  <c r="BQ120" i="36" s="1"/>
  <c r="BR120" i="36" s="1"/>
  <c r="BS120" i="36" s="1"/>
  <c r="BT120" i="36" s="1"/>
  <c r="BU120" i="36" s="1"/>
  <c r="BV120" i="36" s="1"/>
  <c r="BD160" i="36"/>
  <c r="BE160" i="36" s="1"/>
  <c r="BF160" i="36" s="1"/>
  <c r="BG160" i="36" s="1"/>
  <c r="BH160" i="36" s="1"/>
  <c r="BI160" i="36" s="1"/>
  <c r="BJ160" i="36" s="1"/>
  <c r="BK160" i="36" s="1"/>
  <c r="BL160" i="36" s="1"/>
  <c r="BM160" i="36" s="1"/>
  <c r="BN160" i="36" s="1"/>
  <c r="BO160" i="36" s="1"/>
  <c r="BP160" i="36" s="1"/>
  <c r="BQ160" i="36" s="1"/>
  <c r="BR160" i="36" s="1"/>
  <c r="BS160" i="36" s="1"/>
  <c r="BT160" i="36" s="1"/>
  <c r="BU160" i="36" s="1"/>
  <c r="BV160" i="36" s="1"/>
  <c r="BD218" i="36"/>
  <c r="BE218" i="36" s="1"/>
  <c r="BF218" i="36"/>
  <c r="BG218" i="36" s="1"/>
  <c r="BH218" i="36" s="1"/>
  <c r="BI218" i="36" s="1"/>
  <c r="BJ218" i="36" s="1"/>
  <c r="BK218" i="36" s="1"/>
  <c r="BL218" i="36" s="1"/>
  <c r="BM218" i="36" s="1"/>
  <c r="BN218" i="36" s="1"/>
  <c r="BO218" i="36" s="1"/>
  <c r="BP218" i="36" s="1"/>
  <c r="BQ218" i="36" s="1"/>
  <c r="BR218" i="36" s="1"/>
  <c r="BS218" i="36" s="1"/>
  <c r="BT218" i="36" s="1"/>
  <c r="BU218" i="36" s="1"/>
  <c r="BV218" i="36" s="1"/>
  <c r="BD291" i="36"/>
  <c r="BE291" i="36" s="1"/>
  <c r="BF291" i="36" s="1"/>
  <c r="BG291" i="36" s="1"/>
  <c r="BH291" i="36" s="1"/>
  <c r="BI291" i="36" s="1"/>
  <c r="BJ291" i="36" s="1"/>
  <c r="BK291" i="36" s="1"/>
  <c r="BL291" i="36" s="1"/>
  <c r="BM291" i="36" s="1"/>
  <c r="BN291" i="36" s="1"/>
  <c r="BO291" i="36" s="1"/>
  <c r="BP291" i="36" s="1"/>
  <c r="BQ291" i="36" s="1"/>
  <c r="BR291" i="36" s="1"/>
  <c r="BS291" i="36" s="1"/>
  <c r="BT291" i="36" s="1"/>
  <c r="BU291" i="36" s="1"/>
  <c r="BV291" i="36" s="1"/>
  <c r="BD303" i="36"/>
  <c r="BE303" i="36" s="1"/>
  <c r="BF303" i="36" s="1"/>
  <c r="BG303" i="36" s="1"/>
  <c r="BH303" i="36" s="1"/>
  <c r="BI303" i="36" s="1"/>
  <c r="BJ303" i="36" s="1"/>
  <c r="BK303" i="36" s="1"/>
  <c r="BL303" i="36" s="1"/>
  <c r="BM303" i="36" s="1"/>
  <c r="BN303" i="36" s="1"/>
  <c r="BO303" i="36" s="1"/>
  <c r="BP303" i="36" s="1"/>
  <c r="BQ303" i="36" s="1"/>
  <c r="BR303" i="36" s="1"/>
  <c r="BS303" i="36" s="1"/>
  <c r="BT303" i="36" s="1"/>
  <c r="BU303" i="36" s="1"/>
  <c r="BV303" i="36" s="1"/>
  <c r="BD95" i="36"/>
  <c r="BE95" i="36" s="1"/>
  <c r="BF95" i="36" s="1"/>
  <c r="BG95" i="36" s="1"/>
  <c r="BH95" i="36" s="1"/>
  <c r="BI95" i="36" s="1"/>
  <c r="BJ95" i="36" s="1"/>
  <c r="BK95" i="36" s="1"/>
  <c r="BL95" i="36" s="1"/>
  <c r="BM95" i="36" s="1"/>
  <c r="BN95" i="36" s="1"/>
  <c r="BO95" i="36" s="1"/>
  <c r="BP95" i="36" s="1"/>
  <c r="BQ95" i="36" s="1"/>
  <c r="BR95" i="36" s="1"/>
  <c r="BS95" i="36" s="1"/>
  <c r="BT95" i="36" s="1"/>
  <c r="BU95" i="36" s="1"/>
  <c r="BV95" i="36" s="1"/>
  <c r="BD105" i="36"/>
  <c r="BE105" i="36" s="1"/>
  <c r="BF105" i="36" s="1"/>
  <c r="BG105" i="36" s="1"/>
  <c r="BH105" i="36" s="1"/>
  <c r="BI105" i="36" s="1"/>
  <c r="BJ105" i="36" s="1"/>
  <c r="BK105" i="36" s="1"/>
  <c r="BL105" i="36" s="1"/>
  <c r="BM105" i="36" s="1"/>
  <c r="BN105" i="36" s="1"/>
  <c r="BO105" i="36" s="1"/>
  <c r="BP105" i="36" s="1"/>
  <c r="BQ105" i="36" s="1"/>
  <c r="BR105" i="36" s="1"/>
  <c r="BS105" i="36" s="1"/>
  <c r="BT105" i="36" s="1"/>
  <c r="BU105" i="36" s="1"/>
  <c r="BV105" i="36" s="1"/>
  <c r="BD115" i="36"/>
  <c r="BE115" i="36" s="1"/>
  <c r="BF115" i="36" s="1"/>
  <c r="BG115" i="36" s="1"/>
  <c r="BH115" i="36" s="1"/>
  <c r="BI115" i="36" s="1"/>
  <c r="BJ115" i="36" s="1"/>
  <c r="BK115" i="36" s="1"/>
  <c r="BL115" i="36" s="1"/>
  <c r="BM115" i="36" s="1"/>
  <c r="BN115" i="36" s="1"/>
  <c r="BO115" i="36" s="1"/>
  <c r="BP115" i="36" s="1"/>
  <c r="BQ115" i="36" s="1"/>
  <c r="BR115" i="36" s="1"/>
  <c r="BS115" i="36" s="1"/>
  <c r="BT115" i="36" s="1"/>
  <c r="BU115" i="36" s="1"/>
  <c r="BV115" i="36" s="1"/>
  <c r="BD258" i="36"/>
  <c r="BE258" i="36" s="1"/>
  <c r="BF258" i="36" s="1"/>
  <c r="BG258" i="36" s="1"/>
  <c r="BH258" i="36" s="1"/>
  <c r="BI258" i="36" s="1"/>
  <c r="BJ258" i="36" s="1"/>
  <c r="BK258" i="36" s="1"/>
  <c r="BL258" i="36" s="1"/>
  <c r="BM258" i="36" s="1"/>
  <c r="BN258" i="36" s="1"/>
  <c r="BO258" i="36" s="1"/>
  <c r="BP258" i="36" s="1"/>
  <c r="BQ258" i="36" s="1"/>
  <c r="BR258" i="36" s="1"/>
  <c r="BS258" i="36" s="1"/>
  <c r="BT258" i="36" s="1"/>
  <c r="BU258" i="36" s="1"/>
  <c r="BV258" i="36" s="1"/>
  <c r="BD9" i="36"/>
  <c r="BE9" i="36" s="1"/>
  <c r="BF9" i="36" s="1"/>
  <c r="BG9" i="36" s="1"/>
  <c r="BH9" i="36" s="1"/>
  <c r="BI9" i="36" s="1"/>
  <c r="BJ9" i="36" s="1"/>
  <c r="BK9" i="36" s="1"/>
  <c r="BL9" i="36" s="1"/>
  <c r="BM9" i="36" s="1"/>
  <c r="BN9" i="36" s="1"/>
  <c r="BO9" i="36" s="1"/>
  <c r="BP9" i="36" s="1"/>
  <c r="BQ9" i="36" s="1"/>
  <c r="BR9" i="36" s="1"/>
  <c r="BS9" i="36" s="1"/>
  <c r="BT9" i="36" s="1"/>
  <c r="BU9" i="36" s="1"/>
  <c r="BV9" i="36" s="1"/>
  <c r="BD36" i="36"/>
  <c r="BE36" i="36" s="1"/>
  <c r="BF36" i="36" s="1"/>
  <c r="BG36" i="36" s="1"/>
  <c r="BH36" i="36" s="1"/>
  <c r="BI36" i="36" s="1"/>
  <c r="BJ36" i="36" s="1"/>
  <c r="BK36" i="36" s="1"/>
  <c r="BL36" i="36" s="1"/>
  <c r="BM36" i="36" s="1"/>
  <c r="BN36" i="36" s="1"/>
  <c r="BO36" i="36" s="1"/>
  <c r="BP36" i="36" s="1"/>
  <c r="BQ36" i="36" s="1"/>
  <c r="BR36" i="36" s="1"/>
  <c r="BS36" i="36" s="1"/>
  <c r="BT36" i="36" s="1"/>
  <c r="BU36" i="36" s="1"/>
  <c r="BV36" i="36" s="1"/>
  <c r="BD52" i="36"/>
  <c r="BE52" i="36" s="1"/>
  <c r="BF52" i="36" s="1"/>
  <c r="BG52" i="36" s="1"/>
  <c r="BH52" i="36" s="1"/>
  <c r="BI52" i="36" s="1"/>
  <c r="BJ52" i="36" s="1"/>
  <c r="BK52" i="36" s="1"/>
  <c r="BL52" i="36" s="1"/>
  <c r="BM52" i="36" s="1"/>
  <c r="BN52" i="36" s="1"/>
  <c r="BO52" i="36" s="1"/>
  <c r="BP52" i="36" s="1"/>
  <c r="BQ52" i="36" s="1"/>
  <c r="BR52" i="36" s="1"/>
  <c r="BS52" i="36" s="1"/>
  <c r="BT52" i="36" s="1"/>
  <c r="BU52" i="36" s="1"/>
  <c r="BV52" i="36" s="1"/>
  <c r="BD61" i="36"/>
  <c r="BE61" i="36" s="1"/>
  <c r="BF61" i="36" s="1"/>
  <c r="BG61" i="36" s="1"/>
  <c r="BH61" i="36" s="1"/>
  <c r="BI61" i="36" s="1"/>
  <c r="BJ61" i="36" s="1"/>
  <c r="BK61" i="36" s="1"/>
  <c r="BL61" i="36" s="1"/>
  <c r="BM61" i="36" s="1"/>
  <c r="BN61" i="36" s="1"/>
  <c r="BO61" i="36" s="1"/>
  <c r="BP61" i="36" s="1"/>
  <c r="BQ61" i="36" s="1"/>
  <c r="BR61" i="36" s="1"/>
  <c r="BS61" i="36" s="1"/>
  <c r="BT61" i="36" s="1"/>
  <c r="BU61" i="36" s="1"/>
  <c r="BV61" i="36" s="1"/>
  <c r="BD86" i="36"/>
  <c r="BE86" i="36" s="1"/>
  <c r="BF86" i="36" s="1"/>
  <c r="BG86" i="36" s="1"/>
  <c r="BH86" i="36" s="1"/>
  <c r="BI86" i="36" s="1"/>
  <c r="BJ86" i="36" s="1"/>
  <c r="BK86" i="36" s="1"/>
  <c r="BL86" i="36" s="1"/>
  <c r="BM86" i="36" s="1"/>
  <c r="BN86" i="36" s="1"/>
  <c r="BO86" i="36" s="1"/>
  <c r="BP86" i="36" s="1"/>
  <c r="BQ86" i="36" s="1"/>
  <c r="BR86" i="36" s="1"/>
  <c r="BS86" i="36" s="1"/>
  <c r="BT86" i="36" s="1"/>
  <c r="BU86" i="36" s="1"/>
  <c r="BV86" i="36" s="1"/>
  <c r="BD88" i="36"/>
  <c r="BE88" i="36" s="1"/>
  <c r="BF88" i="36" s="1"/>
  <c r="BG88" i="36" s="1"/>
  <c r="BH88" i="36" s="1"/>
  <c r="BI88" i="36" s="1"/>
  <c r="BJ88" i="36" s="1"/>
  <c r="BK88" i="36" s="1"/>
  <c r="BL88" i="36" s="1"/>
  <c r="BM88" i="36" s="1"/>
  <c r="BN88" i="36" s="1"/>
  <c r="BO88" i="36" s="1"/>
  <c r="BP88" i="36" s="1"/>
  <c r="BQ88" i="36" s="1"/>
  <c r="BR88" i="36" s="1"/>
  <c r="BS88" i="36" s="1"/>
  <c r="BT88" i="36" s="1"/>
  <c r="BU88" i="36" s="1"/>
  <c r="BV88" i="36" s="1"/>
  <c r="BD183" i="36"/>
  <c r="BE183" i="36" s="1"/>
  <c r="BF183" i="36" s="1"/>
  <c r="BG183" i="36" s="1"/>
  <c r="BH183" i="36" s="1"/>
  <c r="BI183" i="36" s="1"/>
  <c r="BJ183" i="36" s="1"/>
  <c r="BK183" i="36" s="1"/>
  <c r="BL183" i="36" s="1"/>
  <c r="BM183" i="36" s="1"/>
  <c r="BN183" i="36" s="1"/>
  <c r="BO183" i="36" s="1"/>
  <c r="BP183" i="36" s="1"/>
  <c r="BQ183" i="36" s="1"/>
  <c r="BR183" i="36" s="1"/>
  <c r="BS183" i="36" s="1"/>
  <c r="BT183" i="36" s="1"/>
  <c r="BU183" i="36" s="1"/>
  <c r="BV183" i="36" s="1"/>
  <c r="BD16" i="36"/>
  <c r="BE16" i="36" s="1"/>
  <c r="BF16" i="36" s="1"/>
  <c r="BG16" i="36" s="1"/>
  <c r="BH16" i="36" s="1"/>
  <c r="BI16" i="36" s="1"/>
  <c r="BJ16" i="36" s="1"/>
  <c r="BK16" i="36" s="1"/>
  <c r="BL16" i="36" s="1"/>
  <c r="BM16" i="36" s="1"/>
  <c r="BN16" i="36" s="1"/>
  <c r="BO16" i="36" s="1"/>
  <c r="BP16" i="36" s="1"/>
  <c r="BQ16" i="36" s="1"/>
  <c r="BR16" i="36" s="1"/>
  <c r="BS16" i="36" s="1"/>
  <c r="BT16" i="36" s="1"/>
  <c r="BU16" i="36" s="1"/>
  <c r="BV16" i="36" s="1"/>
  <c r="BJ205" i="36"/>
  <c r="BK205" i="36" s="1"/>
  <c r="BL205" i="36" s="1"/>
  <c r="BM205" i="36" s="1"/>
  <c r="BN205" i="36" s="1"/>
  <c r="BO205" i="36" s="1"/>
  <c r="BP205" i="36" s="1"/>
  <c r="BQ205" i="36" s="1"/>
  <c r="BR205" i="36" s="1"/>
  <c r="BS205" i="36" s="1"/>
  <c r="BT205" i="36" s="1"/>
  <c r="BU205" i="36" s="1"/>
  <c r="BV205" i="36" s="1"/>
  <c r="BF234" i="36"/>
  <c r="BG234" i="36" s="1"/>
  <c r="BH234" i="36" s="1"/>
  <c r="BI234" i="36" s="1"/>
  <c r="BJ234" i="36" s="1"/>
  <c r="BK234" i="36" s="1"/>
  <c r="BL234" i="36" s="1"/>
  <c r="BM234" i="36" s="1"/>
  <c r="BN234" i="36" s="1"/>
  <c r="BO234" i="36" s="1"/>
  <c r="BP234" i="36" s="1"/>
  <c r="BQ234" i="36" s="1"/>
  <c r="BR234" i="36" s="1"/>
  <c r="BS234" i="36" s="1"/>
  <c r="BT234" i="36" s="1"/>
  <c r="BU234" i="36" s="1"/>
  <c r="BV234" i="36" s="1"/>
  <c r="BL280" i="36"/>
  <c r="BM280" i="36" s="1"/>
  <c r="BN280" i="36" s="1"/>
  <c r="BO280" i="36" s="1"/>
  <c r="BP280" i="36" s="1"/>
  <c r="BQ280" i="36" s="1"/>
  <c r="BR280" i="36" s="1"/>
  <c r="BS280" i="36" s="1"/>
  <c r="BT280" i="36" s="1"/>
  <c r="BU280" i="36" s="1"/>
  <c r="BV280" i="36" s="1"/>
  <c r="BD7" i="36"/>
  <c r="BE7" i="36" s="1"/>
  <c r="BF7" i="36" s="1"/>
  <c r="BG7" i="36" s="1"/>
  <c r="BH7" i="36" s="1"/>
  <c r="BI7" i="36" s="1"/>
  <c r="BJ7" i="36" s="1"/>
  <c r="BK7" i="36" s="1"/>
  <c r="BL7" i="36" s="1"/>
  <c r="BM7" i="36" s="1"/>
  <c r="BN7" i="36" s="1"/>
  <c r="BO7" i="36" s="1"/>
  <c r="BP7" i="36" s="1"/>
  <c r="BQ7" i="36" s="1"/>
  <c r="BR7" i="36" s="1"/>
  <c r="BS7" i="36" s="1"/>
  <c r="BT7" i="36" s="1"/>
  <c r="BU7" i="36" s="1"/>
  <c r="BV7" i="36" s="1"/>
  <c r="BD123" i="36"/>
  <c r="BE123" i="36" s="1"/>
  <c r="BF123" i="36" s="1"/>
  <c r="BG123" i="36" s="1"/>
  <c r="BH123" i="36" s="1"/>
  <c r="BI123" i="36" s="1"/>
  <c r="BJ123" i="36" s="1"/>
  <c r="BK123" i="36" s="1"/>
  <c r="BL123" i="36" s="1"/>
  <c r="BM123" i="36" s="1"/>
  <c r="BN123" i="36" s="1"/>
  <c r="BO123" i="36" s="1"/>
  <c r="BP123" i="36" s="1"/>
  <c r="BQ123" i="36" s="1"/>
  <c r="BR123" i="36" s="1"/>
  <c r="BS123" i="36" s="1"/>
  <c r="BT123" i="36" s="1"/>
  <c r="BU123" i="36" s="1"/>
  <c r="BV123" i="36" s="1"/>
  <c r="BD139" i="36"/>
  <c r="BE139" i="36" s="1"/>
  <c r="BF139" i="36" s="1"/>
  <c r="BG139" i="36" s="1"/>
  <c r="BH139" i="36" s="1"/>
  <c r="BI139" i="36" s="1"/>
  <c r="BJ139" i="36" s="1"/>
  <c r="BK139" i="36" s="1"/>
  <c r="BL139" i="36" s="1"/>
  <c r="BM139" i="36" s="1"/>
  <c r="BN139" i="36" s="1"/>
  <c r="BO139" i="36" s="1"/>
  <c r="BP139" i="36" s="1"/>
  <c r="BQ139" i="36" s="1"/>
  <c r="BR139" i="36" s="1"/>
  <c r="BS139" i="36" s="1"/>
  <c r="BT139" i="36" s="1"/>
  <c r="BU139" i="36" s="1"/>
  <c r="BV139" i="36" s="1"/>
  <c r="BF161" i="36"/>
  <c r="BG161" i="36" s="1"/>
  <c r="BH161" i="36" s="1"/>
  <c r="BI161" i="36" s="1"/>
  <c r="BJ161" i="36"/>
  <c r="BK161" i="36" s="1"/>
  <c r="BL161" i="36"/>
  <c r="BM161" i="36" s="1"/>
  <c r="BN161" i="36" s="1"/>
  <c r="BO161" i="36" s="1"/>
  <c r="BP161" i="36" s="1"/>
  <c r="BQ161" i="36" s="1"/>
  <c r="BR161" i="36" s="1"/>
  <c r="BS161" i="36" s="1"/>
  <c r="BT161" i="36" s="1"/>
  <c r="BU161" i="36" s="1"/>
  <c r="BV161" i="36" s="1"/>
  <c r="BD231" i="36"/>
  <c r="BE231" i="36" s="1"/>
  <c r="BF231" i="36" s="1"/>
  <c r="BG231" i="36" s="1"/>
  <c r="BH231" i="36" s="1"/>
  <c r="BI231" i="36" s="1"/>
  <c r="BJ231" i="36" s="1"/>
  <c r="BK231" i="36" s="1"/>
  <c r="BL231" i="36" s="1"/>
  <c r="BM231" i="36" s="1"/>
  <c r="BN231" i="36" s="1"/>
  <c r="BO231" i="36" s="1"/>
  <c r="BP231" i="36" s="1"/>
  <c r="BQ231" i="36" s="1"/>
  <c r="BR231" i="36" s="1"/>
  <c r="BS231" i="36" s="1"/>
  <c r="BT231" i="36" s="1"/>
  <c r="BU231" i="36" s="1"/>
  <c r="BV231" i="36" s="1"/>
  <c r="BD274" i="36"/>
  <c r="BE274" i="36" s="1"/>
  <c r="BF274" i="36" s="1"/>
  <c r="BG274" i="36" s="1"/>
  <c r="BH274" i="36" s="1"/>
  <c r="BI274" i="36" s="1"/>
  <c r="BJ274" i="36" s="1"/>
  <c r="BK274" i="36" s="1"/>
  <c r="BL274" i="36" s="1"/>
  <c r="BM274" i="36" s="1"/>
  <c r="BN274" i="36" s="1"/>
  <c r="BO274" i="36" s="1"/>
  <c r="BP274" i="36" s="1"/>
  <c r="BQ274" i="36" s="1"/>
  <c r="BR274" i="36" s="1"/>
  <c r="BS274" i="36" s="1"/>
  <c r="BT274" i="36" s="1"/>
  <c r="BU274" i="36" s="1"/>
  <c r="BV274" i="36" s="1"/>
  <c r="BD294" i="36"/>
  <c r="BE294" i="36" s="1"/>
  <c r="BF294" i="36" s="1"/>
  <c r="BG294" i="36" s="1"/>
  <c r="BH294" i="36" s="1"/>
  <c r="BI294" i="36" s="1"/>
  <c r="BJ294" i="36" s="1"/>
  <c r="BK294" i="36" s="1"/>
  <c r="BL294" i="36" s="1"/>
  <c r="BM294" i="36" s="1"/>
  <c r="BN294" i="36" s="1"/>
  <c r="BO294" i="36" s="1"/>
  <c r="BP294" i="36" s="1"/>
  <c r="BQ294" i="36" s="1"/>
  <c r="BR294" i="36" s="1"/>
  <c r="BS294" i="36" s="1"/>
  <c r="BT294" i="36" s="1"/>
  <c r="BU294" i="36" s="1"/>
  <c r="BV294" i="36" s="1"/>
  <c r="BD184" i="36"/>
  <c r="BE184" i="36" s="1"/>
  <c r="BF184" i="36" s="1"/>
  <c r="BG184" i="36" s="1"/>
  <c r="BH184" i="36" s="1"/>
  <c r="BI184" i="36" s="1"/>
  <c r="BJ184" i="36" s="1"/>
  <c r="BK184" i="36" s="1"/>
  <c r="BL184" i="36" s="1"/>
  <c r="BM184" i="36" s="1"/>
  <c r="BN184" i="36" s="1"/>
  <c r="BO184" i="36" s="1"/>
  <c r="BP184" i="36" s="1"/>
  <c r="BQ184" i="36" s="1"/>
  <c r="BR184" i="36" s="1"/>
  <c r="BS184" i="36" s="1"/>
  <c r="BT184" i="36" s="1"/>
  <c r="BU184" i="36" s="1"/>
  <c r="BV184" i="36" s="1"/>
  <c r="BD246" i="36"/>
  <c r="BE246" i="36" s="1"/>
  <c r="BF246" i="36" s="1"/>
  <c r="BG246" i="36" s="1"/>
  <c r="BH246" i="36" s="1"/>
  <c r="BI246" i="36" s="1"/>
  <c r="BJ246" i="36" s="1"/>
  <c r="BK246" i="36" s="1"/>
  <c r="BL246" i="36" s="1"/>
  <c r="BM246" i="36" s="1"/>
  <c r="BN246" i="36" s="1"/>
  <c r="BO246" i="36" s="1"/>
  <c r="BP246" i="36" s="1"/>
  <c r="BQ246" i="36" s="1"/>
  <c r="BR246" i="36" s="1"/>
  <c r="BS246" i="36" s="1"/>
  <c r="BT246" i="36" s="1"/>
  <c r="BU246" i="36" s="1"/>
  <c r="BV246" i="36" s="1"/>
  <c r="BD32" i="36"/>
  <c r="BE32" i="36" s="1"/>
  <c r="BF32" i="36" s="1"/>
  <c r="BG32" i="36" s="1"/>
  <c r="BH32" i="36" s="1"/>
  <c r="BI32" i="36" s="1"/>
  <c r="BJ32" i="36" s="1"/>
  <c r="BK32" i="36" s="1"/>
  <c r="BL32" i="36" s="1"/>
  <c r="BM32" i="36" s="1"/>
  <c r="BN32" i="36" s="1"/>
  <c r="BO32" i="36" s="1"/>
  <c r="BP32" i="36"/>
  <c r="BQ32" i="36" s="1"/>
  <c r="BR32" i="36" s="1"/>
  <c r="BS32" i="36" s="1"/>
  <c r="BT32" i="36" s="1"/>
  <c r="BU32" i="36" s="1"/>
  <c r="BV32" i="36" s="1"/>
  <c r="BD107" i="36"/>
  <c r="BE107" i="36" s="1"/>
  <c r="BF107" i="36" s="1"/>
  <c r="BG107" i="36" s="1"/>
  <c r="BH107" i="36" s="1"/>
  <c r="BI107" i="36" s="1"/>
  <c r="BJ107" i="36" s="1"/>
  <c r="BK107" i="36" s="1"/>
  <c r="BL107" i="36" s="1"/>
  <c r="BM107" i="36" s="1"/>
  <c r="BN107" i="36" s="1"/>
  <c r="BO107" i="36" s="1"/>
  <c r="BP107" i="36" s="1"/>
  <c r="BQ107" i="36" s="1"/>
  <c r="BR107" i="36" s="1"/>
  <c r="BS107" i="36" s="1"/>
  <c r="BT107" i="36" s="1"/>
  <c r="BU107" i="36" s="1"/>
  <c r="BV107" i="36" s="1"/>
  <c r="BD180" i="36"/>
  <c r="BE180" i="36" s="1"/>
  <c r="BF180" i="36" s="1"/>
  <c r="BG180" i="36" s="1"/>
  <c r="BH180" i="36" s="1"/>
  <c r="BI180" i="36" s="1"/>
  <c r="BJ180" i="36" s="1"/>
  <c r="BK180" i="36" s="1"/>
  <c r="BL180" i="36" s="1"/>
  <c r="BM180" i="36" s="1"/>
  <c r="BN180" i="36" s="1"/>
  <c r="BO180" i="36" s="1"/>
  <c r="BP180" i="36" s="1"/>
  <c r="BQ180" i="36" s="1"/>
  <c r="BR180" i="36" s="1"/>
  <c r="BS180" i="36" s="1"/>
  <c r="BT180" i="36" s="1"/>
  <c r="BU180" i="36" s="1"/>
  <c r="BV180" i="36" s="1"/>
  <c r="BD254" i="36"/>
  <c r="BE254" i="36" s="1"/>
  <c r="BF254" i="36" s="1"/>
  <c r="BG254" i="36" s="1"/>
  <c r="BH254" i="36" s="1"/>
  <c r="BI254" i="36" s="1"/>
  <c r="BJ254" i="36" s="1"/>
  <c r="BK254" i="36" s="1"/>
  <c r="BL254" i="36" s="1"/>
  <c r="BM254" i="36" s="1"/>
  <c r="BN254" i="36" s="1"/>
  <c r="BO254" i="36" s="1"/>
  <c r="BP254" i="36" s="1"/>
  <c r="BQ254" i="36" s="1"/>
  <c r="BR254" i="36" s="1"/>
  <c r="BS254" i="36" s="1"/>
  <c r="BT254" i="36" s="1"/>
  <c r="BU254" i="36" s="1"/>
  <c r="BV254" i="36" s="1"/>
  <c r="BF10" i="36"/>
  <c r="BG10" i="36" s="1"/>
  <c r="BH10" i="36"/>
  <c r="BI10" i="36" s="1"/>
  <c r="BJ10" i="36" s="1"/>
  <c r="BK10" i="36" s="1"/>
  <c r="BL10" i="36" s="1"/>
  <c r="BM10" i="36" s="1"/>
  <c r="BN10" i="36" s="1"/>
  <c r="BO10" i="36" s="1"/>
  <c r="BP10" i="36" s="1"/>
  <c r="BQ10" i="36" s="1"/>
  <c r="BR10" i="36" s="1"/>
  <c r="BS10" i="36" s="1"/>
  <c r="BT10" i="36" s="1"/>
  <c r="BU10" i="36" s="1"/>
  <c r="BV10" i="36" s="1"/>
  <c r="BF118" i="36"/>
  <c r="BG118" i="36" s="1"/>
  <c r="BH118" i="36" s="1"/>
  <c r="BI118" i="36" s="1"/>
  <c r="BJ118" i="36" s="1"/>
  <c r="BK118" i="36" s="1"/>
  <c r="BL118" i="36" s="1"/>
  <c r="BM118" i="36" s="1"/>
  <c r="BN118" i="36" s="1"/>
  <c r="BO118" i="36" s="1"/>
  <c r="BP118" i="36" s="1"/>
  <c r="BQ118" i="36" s="1"/>
  <c r="BR118" i="36" s="1"/>
  <c r="BS118" i="36" s="1"/>
  <c r="BT118" i="36" s="1"/>
  <c r="BU118" i="36" s="1"/>
  <c r="BV118" i="36" s="1"/>
  <c r="BF244" i="36"/>
  <c r="BG244" i="36" s="1"/>
  <c r="BH244" i="36"/>
  <c r="BI244" i="36" s="1"/>
  <c r="BJ244" i="36" s="1"/>
  <c r="BK244" i="36" s="1"/>
  <c r="BL244" i="36" s="1"/>
  <c r="BM244" i="36" s="1"/>
  <c r="BN244" i="36" s="1"/>
  <c r="BO244" i="36" s="1"/>
  <c r="BP244" i="36" s="1"/>
  <c r="BQ244" i="36" s="1"/>
  <c r="BR244" i="36" s="1"/>
  <c r="BS244" i="36" s="1"/>
  <c r="BT244" i="36" s="1"/>
  <c r="BU244" i="36" s="1"/>
  <c r="BV244" i="36" s="1"/>
  <c r="BD54" i="36"/>
  <c r="BE54" i="36" s="1"/>
  <c r="BF54" i="36" s="1"/>
  <c r="BG54" i="36" s="1"/>
  <c r="BH54" i="36" s="1"/>
  <c r="BI54" i="36" s="1"/>
  <c r="BJ54" i="36" s="1"/>
  <c r="BK54" i="36" s="1"/>
  <c r="BL54" i="36" s="1"/>
  <c r="BM54" i="36" s="1"/>
  <c r="BN54" i="36" s="1"/>
  <c r="BO54" i="36" s="1"/>
  <c r="BP54" i="36" s="1"/>
  <c r="BQ54" i="36" s="1"/>
  <c r="BR54" i="36" s="1"/>
  <c r="BS54" i="36" s="1"/>
  <c r="BT54" i="36" s="1"/>
  <c r="BU54" i="36" s="1"/>
  <c r="BV54" i="36" s="1"/>
  <c r="BD98" i="36"/>
  <c r="BE98" i="36" s="1"/>
  <c r="BF98" i="36" s="1"/>
  <c r="BG98" i="36" s="1"/>
  <c r="BH98" i="36" s="1"/>
  <c r="BI98" i="36" s="1"/>
  <c r="BJ98" i="36" s="1"/>
  <c r="BK98" i="36" s="1"/>
  <c r="BL98" i="36" s="1"/>
  <c r="BM98" i="36" s="1"/>
  <c r="BN98" i="36" s="1"/>
  <c r="BO98" i="36" s="1"/>
  <c r="BP98" i="36" s="1"/>
  <c r="BQ98" i="36" s="1"/>
  <c r="BR98" i="36" s="1"/>
  <c r="BS98" i="36" s="1"/>
  <c r="BT98" i="36" s="1"/>
  <c r="BU98" i="36" s="1"/>
  <c r="BV98" i="36" s="1"/>
  <c r="BJ172" i="36"/>
  <c r="BK172" i="36" s="1"/>
  <c r="BL172" i="36" s="1"/>
  <c r="BM172" i="36" s="1"/>
  <c r="BN172" i="36" s="1"/>
  <c r="BO172" i="36" s="1"/>
  <c r="BP172" i="36" s="1"/>
  <c r="BQ172" i="36" s="1"/>
  <c r="BR172" i="36" s="1"/>
  <c r="BS172" i="36" s="1"/>
  <c r="BT172" i="36" s="1"/>
  <c r="BU172" i="36" s="1"/>
  <c r="BV172" i="36" s="1"/>
  <c r="BD176" i="36"/>
  <c r="BE176" i="36" s="1"/>
  <c r="BF176" i="36"/>
  <c r="BG176" i="36" s="1"/>
  <c r="BH176" i="36" s="1"/>
  <c r="BI176" i="36" s="1"/>
  <c r="BJ176" i="36" s="1"/>
  <c r="BK176" i="36" s="1"/>
  <c r="BL176" i="36" s="1"/>
  <c r="BM176" i="36" s="1"/>
  <c r="BN176" i="36" s="1"/>
  <c r="BO176" i="36" s="1"/>
  <c r="BP176" i="36" s="1"/>
  <c r="BQ176" i="36" s="1"/>
  <c r="BR176" i="36" s="1"/>
  <c r="BS176" i="36" s="1"/>
  <c r="BT176" i="36" s="1"/>
  <c r="BU176" i="36" s="1"/>
  <c r="BV176" i="36" s="1"/>
  <c r="BD182" i="36"/>
  <c r="BE182" i="36" s="1"/>
  <c r="BF182" i="36" s="1"/>
  <c r="BG182" i="36" s="1"/>
  <c r="BH182" i="36" s="1"/>
  <c r="BI182" i="36" s="1"/>
  <c r="BJ182" i="36" s="1"/>
  <c r="BK182" i="36" s="1"/>
  <c r="BL182" i="36" s="1"/>
  <c r="BM182" i="36" s="1"/>
  <c r="BN182" i="36" s="1"/>
  <c r="BO182" i="36" s="1"/>
  <c r="BP182" i="36" s="1"/>
  <c r="BQ182" i="36" s="1"/>
  <c r="BR182" i="36" s="1"/>
  <c r="BS182" i="36" s="1"/>
  <c r="BT182" i="36" s="1"/>
  <c r="BU182" i="36" s="1"/>
  <c r="BV182" i="36" s="1"/>
  <c r="BD209" i="36"/>
  <c r="BE209" i="36" s="1"/>
  <c r="BF209" i="36" s="1"/>
  <c r="BG209" i="36" s="1"/>
  <c r="BH209" i="36" s="1"/>
  <c r="BI209" i="36" s="1"/>
  <c r="BJ209" i="36" s="1"/>
  <c r="BK209" i="36" s="1"/>
  <c r="BL209" i="36" s="1"/>
  <c r="BM209" i="36" s="1"/>
  <c r="BN209" i="36" s="1"/>
  <c r="BO209" i="36" s="1"/>
  <c r="BP209" i="36" s="1"/>
  <c r="BQ209" i="36" s="1"/>
  <c r="BR209" i="36"/>
  <c r="BS209" i="36" s="1"/>
  <c r="BT209" i="36" s="1"/>
  <c r="BU209" i="36" s="1"/>
  <c r="BV209" i="36" s="1"/>
  <c r="BH211" i="36"/>
  <c r="BI211" i="36" s="1"/>
  <c r="BJ211" i="36" s="1"/>
  <c r="BK211" i="36" s="1"/>
  <c r="BL211" i="36" s="1"/>
  <c r="BM211" i="36" s="1"/>
  <c r="BN211" i="36" s="1"/>
  <c r="BO211" i="36" s="1"/>
  <c r="BP211" i="36" s="1"/>
  <c r="BQ211" i="36" s="1"/>
  <c r="BR211" i="36" s="1"/>
  <c r="BS211" i="36" s="1"/>
  <c r="BT211" i="36" s="1"/>
  <c r="BU211" i="36" s="1"/>
  <c r="BV211" i="36" s="1"/>
  <c r="BD213" i="36"/>
  <c r="BE213" i="36" s="1"/>
  <c r="BF213" i="36" s="1"/>
  <c r="BG213" i="36" s="1"/>
  <c r="BH213" i="36" s="1"/>
  <c r="BI213" i="36" s="1"/>
  <c r="BJ213" i="36" s="1"/>
  <c r="BK213" i="36" s="1"/>
  <c r="BL213" i="36" s="1"/>
  <c r="BM213" i="36" s="1"/>
  <c r="BN213" i="36" s="1"/>
  <c r="BO213" i="36" s="1"/>
  <c r="BP213" i="36" s="1"/>
  <c r="BQ213" i="36" s="1"/>
  <c r="BR213" i="36" s="1"/>
  <c r="BS213" i="36" s="1"/>
  <c r="BT213" i="36" s="1"/>
  <c r="BU213" i="36" s="1"/>
  <c r="BV213" i="36" s="1"/>
  <c r="BJ300" i="36"/>
  <c r="BK300" i="36" s="1"/>
  <c r="BL300" i="36"/>
  <c r="BM300" i="36" s="1"/>
  <c r="BN300" i="36" s="1"/>
  <c r="BO300" i="36" s="1"/>
  <c r="BP300" i="36" s="1"/>
  <c r="BQ300" i="36" s="1"/>
  <c r="BR300" i="36" s="1"/>
  <c r="BS300" i="36" s="1"/>
  <c r="BT300" i="36" s="1"/>
  <c r="BU300" i="36" s="1"/>
  <c r="BV300" i="36" s="1"/>
  <c r="BD301" i="36"/>
  <c r="BE301" i="36" s="1"/>
  <c r="BF301" i="36" s="1"/>
  <c r="BG301" i="36" s="1"/>
  <c r="BH301" i="36" s="1"/>
  <c r="BI301" i="36" s="1"/>
  <c r="BJ301" i="36" s="1"/>
  <c r="BK301" i="36" s="1"/>
  <c r="BL301" i="36" s="1"/>
  <c r="BM301" i="36" s="1"/>
  <c r="BN301" i="36" s="1"/>
  <c r="BO301" i="36" s="1"/>
  <c r="BP301" i="36" s="1"/>
  <c r="BQ301" i="36" s="1"/>
  <c r="BR301" i="36" s="1"/>
  <c r="BS301" i="36" s="1"/>
  <c r="BT301" i="36" s="1"/>
  <c r="BU301" i="36" s="1"/>
  <c r="BV301" i="36" s="1"/>
  <c r="BD38" i="36"/>
  <c r="BE38" i="36" s="1"/>
  <c r="BF38" i="36" s="1"/>
  <c r="BG38" i="36" s="1"/>
  <c r="BH38" i="36" s="1"/>
  <c r="BI38" i="36" s="1"/>
  <c r="BJ38" i="36" s="1"/>
  <c r="BK38" i="36" s="1"/>
  <c r="BL38" i="36" s="1"/>
  <c r="BM38" i="36" s="1"/>
  <c r="BN38" i="36" s="1"/>
  <c r="BO38" i="36" s="1"/>
  <c r="BP38" i="36" s="1"/>
  <c r="BQ38" i="36" s="1"/>
  <c r="BR38" i="36" s="1"/>
  <c r="BS38" i="36" s="1"/>
  <c r="BT38" i="36" s="1"/>
  <c r="BU38" i="36" s="1"/>
  <c r="BV38" i="36" s="1"/>
  <c r="BD99" i="36"/>
  <c r="BE99" i="36" s="1"/>
  <c r="BF99" i="36" s="1"/>
  <c r="BG99" i="36" s="1"/>
  <c r="BH99" i="36" s="1"/>
  <c r="BI99" i="36" s="1"/>
  <c r="BJ99" i="36" s="1"/>
  <c r="BK99" i="36" s="1"/>
  <c r="BL99" i="36" s="1"/>
  <c r="BM99" i="36" s="1"/>
  <c r="BN99" i="36" s="1"/>
  <c r="BO99" i="36" s="1"/>
  <c r="BP99" i="36" s="1"/>
  <c r="BQ99" i="36" s="1"/>
  <c r="BR99" i="36" s="1"/>
  <c r="BS99" i="36" s="1"/>
  <c r="BT99" i="36" s="1"/>
  <c r="BU99" i="36" s="1"/>
  <c r="BV99" i="36" s="1"/>
  <c r="BD43" i="36"/>
  <c r="BE43" i="36" s="1"/>
  <c r="BD175" i="36"/>
  <c r="BE175" i="36" s="1"/>
  <c r="BF175" i="36" s="1"/>
  <c r="BG175" i="36" s="1"/>
  <c r="BH175" i="36" s="1"/>
  <c r="BI175" i="36" s="1"/>
  <c r="BJ175" i="36" s="1"/>
  <c r="BK175" i="36" s="1"/>
  <c r="BL175" i="36" s="1"/>
  <c r="BM175" i="36" s="1"/>
  <c r="BN175" i="36" s="1"/>
  <c r="BO175" i="36" s="1"/>
  <c r="BP175" i="36" s="1"/>
  <c r="BQ175" i="36" s="1"/>
  <c r="BR175" i="36" s="1"/>
  <c r="BS175" i="36" s="1"/>
  <c r="BT175" i="36" s="1"/>
  <c r="BU175" i="36" s="1"/>
  <c r="BV175" i="36" s="1"/>
  <c r="BD212" i="36"/>
  <c r="BE212" i="36" s="1"/>
  <c r="BF212" i="36"/>
  <c r="BG212" i="36" s="1"/>
  <c r="BH212" i="36" s="1"/>
  <c r="BI212" i="36" s="1"/>
  <c r="BJ212" i="36" s="1"/>
  <c r="BK212" i="36" s="1"/>
  <c r="BL212" i="36" s="1"/>
  <c r="BM212" i="36" s="1"/>
  <c r="BN212" i="36" s="1"/>
  <c r="BO212" i="36" s="1"/>
  <c r="BP212" i="36" s="1"/>
  <c r="BQ212" i="36" s="1"/>
  <c r="BR212" i="36" s="1"/>
  <c r="BS212" i="36" s="1"/>
  <c r="BT212" i="36" s="1"/>
  <c r="BU212" i="36" s="1"/>
  <c r="BV212" i="36" s="1"/>
  <c r="BD239" i="36"/>
  <c r="BE239" i="36" s="1"/>
  <c r="BF239" i="36" s="1"/>
  <c r="BG239" i="36" s="1"/>
  <c r="BH239" i="36" s="1"/>
  <c r="BI239" i="36" s="1"/>
  <c r="BJ239" i="36" s="1"/>
  <c r="BK239" i="36" s="1"/>
  <c r="BL239" i="36" s="1"/>
  <c r="BM239" i="36" s="1"/>
  <c r="BN239" i="36" s="1"/>
  <c r="BO239" i="36" s="1"/>
  <c r="BP239" i="36" s="1"/>
  <c r="BQ239" i="36" s="1"/>
  <c r="BR239" i="36" s="1"/>
  <c r="BS239" i="36" s="1"/>
  <c r="BT239" i="36" s="1"/>
  <c r="BU239" i="36" s="1"/>
  <c r="BV239" i="36" s="1"/>
  <c r="BD245" i="36"/>
  <c r="BE245" i="36" s="1"/>
  <c r="BF245" i="36" s="1"/>
  <c r="BG245" i="36" s="1"/>
  <c r="BH245" i="36" s="1"/>
  <c r="BI245" i="36" s="1"/>
  <c r="BJ245" i="36" s="1"/>
  <c r="BK245" i="36" s="1"/>
  <c r="BL245" i="36" s="1"/>
  <c r="BM245" i="36" s="1"/>
  <c r="BN245" i="36" s="1"/>
  <c r="BO245" i="36" s="1"/>
  <c r="BP245" i="36" s="1"/>
  <c r="BQ245" i="36" s="1"/>
  <c r="BR245" i="36" s="1"/>
  <c r="BS245" i="36" s="1"/>
  <c r="BT245" i="36" s="1"/>
  <c r="BU245" i="36" s="1"/>
  <c r="BV245" i="36" s="1"/>
  <c r="BD288" i="36"/>
  <c r="BE288" i="36" s="1"/>
  <c r="BF288" i="36" s="1"/>
  <c r="BG288" i="36" s="1"/>
  <c r="BH288" i="36" s="1"/>
  <c r="BI288" i="36" s="1"/>
  <c r="BJ288" i="36" s="1"/>
  <c r="BK288" i="36" s="1"/>
  <c r="BL288" i="36" s="1"/>
  <c r="BM288" i="36" s="1"/>
  <c r="BN288" i="36" s="1"/>
  <c r="BO288" i="36" s="1"/>
  <c r="BP288" i="36" s="1"/>
  <c r="BQ288" i="36" s="1"/>
  <c r="BR288" i="36" s="1"/>
  <c r="BS288" i="36" s="1"/>
  <c r="BT288" i="36" s="1"/>
  <c r="BU288" i="36" s="1"/>
  <c r="BV288" i="36" s="1"/>
  <c r="BD128" i="36"/>
  <c r="BE128" i="36" s="1"/>
  <c r="BF128" i="36" s="1"/>
  <c r="BG128" i="36" s="1"/>
  <c r="BH128" i="36" s="1"/>
  <c r="BI128" i="36" s="1"/>
  <c r="BJ128" i="36" s="1"/>
  <c r="BK128" i="36" s="1"/>
  <c r="BL128" i="36" s="1"/>
  <c r="BM128" i="36" s="1"/>
  <c r="BN128" i="36" s="1"/>
  <c r="BO128" i="36" s="1"/>
  <c r="BP128" i="36" s="1"/>
  <c r="BQ128" i="36" s="1"/>
  <c r="BR128" i="36" s="1"/>
  <c r="BS128" i="36" s="1"/>
  <c r="BT128" i="36" s="1"/>
  <c r="BU128" i="36" s="1"/>
  <c r="BV128" i="36" s="1"/>
  <c r="BD147" i="36"/>
  <c r="BE147" i="36" s="1"/>
  <c r="BF147" i="36"/>
  <c r="BG147" i="36" s="1"/>
  <c r="BH147" i="36" s="1"/>
  <c r="BI147" i="36" s="1"/>
  <c r="BJ147" i="36" s="1"/>
  <c r="BK147" i="36" s="1"/>
  <c r="BL147" i="36" s="1"/>
  <c r="BM147" i="36" s="1"/>
  <c r="BN147" i="36" s="1"/>
  <c r="BO147" i="36" s="1"/>
  <c r="BP147" i="36" s="1"/>
  <c r="BQ147" i="36" s="1"/>
  <c r="BR147" i="36" s="1"/>
  <c r="BS147" i="36" s="1"/>
  <c r="BT147" i="36" s="1"/>
  <c r="BU147" i="36" s="1"/>
  <c r="BV147" i="36" s="1"/>
  <c r="BF11" i="36"/>
  <c r="BG11" i="36" s="1"/>
  <c r="BH11" i="36" s="1"/>
  <c r="BI11" i="36" s="1"/>
  <c r="BJ11" i="36" s="1"/>
  <c r="BK11" i="36" s="1"/>
  <c r="BL11" i="36" s="1"/>
  <c r="BM11" i="36" s="1"/>
  <c r="BN11" i="36" s="1"/>
  <c r="BO11" i="36" s="1"/>
  <c r="BP11" i="36" s="1"/>
  <c r="BQ11" i="36" s="1"/>
  <c r="BR11" i="36" s="1"/>
  <c r="BS11" i="36" s="1"/>
  <c r="BT11" i="36" s="1"/>
  <c r="BU11" i="36" s="1"/>
  <c r="BV11" i="36" s="1"/>
  <c r="BD60" i="36"/>
  <c r="BE60" i="36" s="1"/>
  <c r="BF60" i="36" s="1"/>
  <c r="BG60" i="36" s="1"/>
  <c r="BH60" i="36" s="1"/>
  <c r="BI60" i="36" s="1"/>
  <c r="BJ60" i="36" s="1"/>
  <c r="BK60" i="36" s="1"/>
  <c r="BL60" i="36" s="1"/>
  <c r="BM60" i="36" s="1"/>
  <c r="BN60" i="36" s="1"/>
  <c r="BO60" i="36" s="1"/>
  <c r="BP60" i="36" s="1"/>
  <c r="BQ60" i="36" s="1"/>
  <c r="BR60" i="36" s="1"/>
  <c r="BS60" i="36" s="1"/>
  <c r="BT60" i="36" s="1"/>
  <c r="BU60" i="36" s="1"/>
  <c r="BV60" i="36" s="1"/>
  <c r="BD82" i="36"/>
  <c r="BE82" i="36" s="1"/>
  <c r="BF82" i="36" s="1"/>
  <c r="BG82" i="36" s="1"/>
  <c r="BH82" i="36" s="1"/>
  <c r="BI82" i="36" s="1"/>
  <c r="BJ82" i="36" s="1"/>
  <c r="BK82" i="36" s="1"/>
  <c r="BL82" i="36" s="1"/>
  <c r="BM82" i="36" s="1"/>
  <c r="BN82" i="36" s="1"/>
  <c r="BO82" i="36" s="1"/>
  <c r="BP82" i="36" s="1"/>
  <c r="BQ82" i="36" s="1"/>
  <c r="BR82" i="36" s="1"/>
  <c r="BS82" i="36" s="1"/>
  <c r="BT82" i="36" s="1"/>
  <c r="BU82" i="36" s="1"/>
  <c r="BV82" i="36" s="1"/>
  <c r="BD119" i="36"/>
  <c r="BE119" i="36" s="1"/>
  <c r="BF119" i="36" s="1"/>
  <c r="BG119" i="36" s="1"/>
  <c r="BH119" i="36" s="1"/>
  <c r="BI119" i="36" s="1"/>
  <c r="BJ119" i="36" s="1"/>
  <c r="BK119" i="36" s="1"/>
  <c r="BL119" i="36" s="1"/>
  <c r="BM119" i="36" s="1"/>
  <c r="BN119" i="36" s="1"/>
  <c r="BO119" i="36" s="1"/>
  <c r="BP119" i="36" s="1"/>
  <c r="BQ119" i="36" s="1"/>
  <c r="BR119" i="36" s="1"/>
  <c r="BS119" i="36" s="1"/>
  <c r="BT119" i="36" s="1"/>
  <c r="BU119" i="36" s="1"/>
  <c r="BV119" i="36" s="1"/>
  <c r="BN149" i="36"/>
  <c r="BO149" i="36" s="1"/>
  <c r="BP149" i="36" s="1"/>
  <c r="BQ149" i="36" s="1"/>
  <c r="BR149" i="36" s="1"/>
  <c r="BS149" i="36" s="1"/>
  <c r="BT149" i="36" s="1"/>
  <c r="BU149" i="36" s="1"/>
  <c r="BV149" i="36" s="1"/>
  <c r="BD208" i="36"/>
  <c r="BE208" i="36" s="1"/>
  <c r="BF208" i="36" s="1"/>
  <c r="BG208" i="36" s="1"/>
  <c r="BH208" i="36" s="1"/>
  <c r="BI208" i="36" s="1"/>
  <c r="BJ208" i="36" s="1"/>
  <c r="BK208" i="36" s="1"/>
  <c r="BL208" i="36" s="1"/>
  <c r="BM208" i="36" s="1"/>
  <c r="BN208" i="36" s="1"/>
  <c r="BO208" i="36" s="1"/>
  <c r="BP208" i="36" s="1"/>
  <c r="BQ208" i="36" s="1"/>
  <c r="BR208" i="36" s="1"/>
  <c r="BS208" i="36" s="1"/>
  <c r="BT208" i="36" s="1"/>
  <c r="BU208" i="36" s="1"/>
  <c r="BV208" i="36" s="1"/>
  <c r="BD290" i="36"/>
  <c r="BE290" i="36" s="1"/>
  <c r="BF290" i="36" s="1"/>
  <c r="BG290" i="36" s="1"/>
  <c r="BH290" i="36" s="1"/>
  <c r="BI290" i="36" s="1"/>
  <c r="BJ290" i="36" s="1"/>
  <c r="BK290" i="36" s="1"/>
  <c r="BL290" i="36" s="1"/>
  <c r="BM290" i="36" s="1"/>
  <c r="BN290" i="36" s="1"/>
  <c r="BO290" i="36" s="1"/>
  <c r="BP290" i="36" s="1"/>
  <c r="BQ290" i="36" s="1"/>
  <c r="BR290" i="36" s="1"/>
  <c r="BS290" i="36" s="1"/>
  <c r="BT290" i="36" s="1"/>
  <c r="BU290" i="36" s="1"/>
  <c r="BV290" i="36" s="1"/>
  <c r="BD33" i="36"/>
  <c r="BE33" i="36" s="1"/>
  <c r="BF33" i="36" s="1"/>
  <c r="BG33" i="36" s="1"/>
  <c r="BH33" i="36" s="1"/>
  <c r="BI33" i="36" s="1"/>
  <c r="BJ33" i="36" s="1"/>
  <c r="BK33" i="36" s="1"/>
  <c r="BL33" i="36" s="1"/>
  <c r="BM33" i="36" s="1"/>
  <c r="BN33" i="36" s="1"/>
  <c r="BO33" i="36" s="1"/>
  <c r="BP33" i="36" s="1"/>
  <c r="BQ33" i="36" s="1"/>
  <c r="BR33" i="36" s="1"/>
  <c r="BS33" i="36" s="1"/>
  <c r="BT33" i="36" s="1"/>
  <c r="BU33" i="36" s="1"/>
  <c r="BV33" i="36" s="1"/>
  <c r="BH121" i="36"/>
  <c r="BI121" i="36" s="1"/>
  <c r="BJ121" i="36" s="1"/>
  <c r="BK121" i="36" s="1"/>
  <c r="BL121" i="36" s="1"/>
  <c r="BM121" i="36" s="1"/>
  <c r="BN121" i="36" s="1"/>
  <c r="BO121" i="36" s="1"/>
  <c r="BP121" i="36" s="1"/>
  <c r="BQ121" i="36" s="1"/>
  <c r="BR121" i="36" s="1"/>
  <c r="BS121" i="36" s="1"/>
  <c r="BT121" i="36" s="1"/>
  <c r="BU121" i="36" s="1"/>
  <c r="BV121" i="36" s="1"/>
  <c r="BD132" i="36"/>
  <c r="BE132" i="36" s="1"/>
  <c r="BF132" i="36" s="1"/>
  <c r="BG132" i="36" s="1"/>
  <c r="BH132" i="36" s="1"/>
  <c r="BI132" i="36" s="1"/>
  <c r="BJ132" i="36" s="1"/>
  <c r="BK132" i="36" s="1"/>
  <c r="BL132" i="36" s="1"/>
  <c r="BM132" i="36" s="1"/>
  <c r="BN132" i="36" s="1"/>
  <c r="BO132" i="36" s="1"/>
  <c r="BP132" i="36" s="1"/>
  <c r="BQ132" i="36" s="1"/>
  <c r="BR132" i="36" s="1"/>
  <c r="BS132" i="36" s="1"/>
  <c r="BT132" i="36" s="1"/>
  <c r="BU132" i="36" s="1"/>
  <c r="BV132" i="36" s="1"/>
  <c r="BD143" i="36"/>
  <c r="BE143" i="36" s="1"/>
  <c r="BF143" i="36" s="1"/>
  <c r="BG143" i="36" s="1"/>
  <c r="BH143" i="36" s="1"/>
  <c r="BI143" i="36" s="1"/>
  <c r="BJ143" i="36" s="1"/>
  <c r="BK143" i="36" s="1"/>
  <c r="BL143" i="36" s="1"/>
  <c r="BM143" i="36" s="1"/>
  <c r="BN143" i="36" s="1"/>
  <c r="BO143" i="36" s="1"/>
  <c r="BP143" i="36" s="1"/>
  <c r="BQ143" i="36" s="1"/>
  <c r="BR143" i="36" s="1"/>
  <c r="BS143" i="36" s="1"/>
  <c r="BT143" i="36" s="1"/>
  <c r="BU143" i="36" s="1"/>
  <c r="BV143" i="36" s="1"/>
  <c r="BH167" i="36"/>
  <c r="BI167" i="36" s="1"/>
  <c r="BJ167" i="36" s="1"/>
  <c r="BK167" i="36" s="1"/>
  <c r="BL167" i="36" s="1"/>
  <c r="BM167" i="36" s="1"/>
  <c r="BN167" i="36" s="1"/>
  <c r="BO167" i="36" s="1"/>
  <c r="BP167" i="36" s="1"/>
  <c r="BQ167" i="36" s="1"/>
  <c r="BR167" i="36" s="1"/>
  <c r="BS167" i="36" s="1"/>
  <c r="BT167" i="36" s="1"/>
  <c r="BU167" i="36" s="1"/>
  <c r="BV167" i="36" s="1"/>
  <c r="BD286" i="36"/>
  <c r="BE286" i="36" s="1"/>
  <c r="BF286" i="36" s="1"/>
  <c r="BG286" i="36" s="1"/>
  <c r="BH286" i="36" s="1"/>
  <c r="BI286" i="36" s="1"/>
  <c r="BJ286" i="36" s="1"/>
  <c r="BK286" i="36" s="1"/>
  <c r="BL286" i="36" s="1"/>
  <c r="BM286" i="36" s="1"/>
  <c r="BN286" i="36" s="1"/>
  <c r="BO286" i="36" s="1"/>
  <c r="BP286" i="36" s="1"/>
  <c r="BQ286" i="36" s="1"/>
  <c r="BR286" i="36" s="1"/>
  <c r="BS286" i="36" s="1"/>
  <c r="BT286" i="36" s="1"/>
  <c r="BU286" i="36" s="1"/>
  <c r="BV286" i="36" s="1"/>
  <c r="BF43" i="36"/>
  <c r="BG43" i="36" s="1"/>
  <c r="BH43" i="36" s="1"/>
  <c r="BI43" i="36" s="1"/>
  <c r="BJ43" i="36" s="1"/>
  <c r="BK43" i="36" s="1"/>
  <c r="BL43" i="36" s="1"/>
  <c r="BM43" i="36" s="1"/>
  <c r="BN43" i="36" s="1"/>
  <c r="BO43" i="36" s="1"/>
  <c r="BP43" i="36" s="1"/>
  <c r="BQ43" i="36" s="1"/>
  <c r="BR43" i="36" s="1"/>
  <c r="BS43" i="36" s="1"/>
  <c r="BT43" i="36" s="1"/>
  <c r="BU43" i="36" s="1"/>
  <c r="BV43" i="36" s="1"/>
  <c r="BD77" i="36"/>
  <c r="BE77" i="36" s="1"/>
  <c r="BF77" i="36" s="1"/>
  <c r="BG77" i="36" s="1"/>
  <c r="BH77" i="36" s="1"/>
  <c r="BI77" i="36" s="1"/>
  <c r="BJ77" i="36" s="1"/>
  <c r="BK77" i="36" s="1"/>
  <c r="BL77" i="36" s="1"/>
  <c r="BM77" i="36" s="1"/>
  <c r="BN77" i="36" s="1"/>
  <c r="BO77" i="36" s="1"/>
  <c r="BP77" i="36" s="1"/>
  <c r="BQ77" i="36" s="1"/>
  <c r="BR77" i="36" s="1"/>
  <c r="BS77" i="36" s="1"/>
  <c r="BT77" i="36" s="1"/>
  <c r="BU77" i="36" s="1"/>
  <c r="BV77" i="36" s="1"/>
  <c r="BF94" i="36"/>
  <c r="BG94" i="36" s="1"/>
  <c r="BH94" i="36" s="1"/>
  <c r="BI94" i="36" s="1"/>
  <c r="BJ94" i="36"/>
  <c r="BK94" i="36" s="1"/>
  <c r="BL94" i="36" s="1"/>
  <c r="BM94" i="36" s="1"/>
  <c r="BN94" i="36" s="1"/>
  <c r="BO94" i="36" s="1"/>
  <c r="BP94" i="36" s="1"/>
  <c r="BQ94" i="36" s="1"/>
  <c r="BR94" i="36" s="1"/>
  <c r="BS94" i="36" s="1"/>
  <c r="BT94" i="36" s="1"/>
  <c r="BU94" i="36" s="1"/>
  <c r="BV94" i="36" s="1"/>
  <c r="BD110" i="36"/>
  <c r="BE110" i="36" s="1"/>
  <c r="BF110" i="36" s="1"/>
  <c r="BG110" i="36" s="1"/>
  <c r="BH110" i="36" s="1"/>
  <c r="BI110" i="36" s="1"/>
  <c r="BJ110" i="36" s="1"/>
  <c r="BK110" i="36" s="1"/>
  <c r="BL110" i="36" s="1"/>
  <c r="BM110" i="36" s="1"/>
  <c r="BN110" i="36" s="1"/>
  <c r="BO110" i="36" s="1"/>
  <c r="BP110" i="36" s="1"/>
  <c r="BQ110" i="36" s="1"/>
  <c r="BR110" i="36" s="1"/>
  <c r="BS110" i="36" s="1"/>
  <c r="BT110" i="36" s="1"/>
  <c r="BU110" i="36" s="1"/>
  <c r="BV110" i="36" s="1"/>
  <c r="BH112" i="36"/>
  <c r="BI112" i="36" s="1"/>
  <c r="BJ112" i="36" s="1"/>
  <c r="BK112" i="36" s="1"/>
  <c r="BL112" i="36" s="1"/>
  <c r="BM112" i="36" s="1"/>
  <c r="BN112" i="36" s="1"/>
  <c r="BO112" i="36" s="1"/>
  <c r="BP112" i="36" s="1"/>
  <c r="BQ112" i="36" s="1"/>
  <c r="BR112" i="36" s="1"/>
  <c r="BS112" i="36" s="1"/>
  <c r="BT112" i="36" s="1"/>
  <c r="BU112" i="36" s="1"/>
  <c r="BV112" i="36" s="1"/>
  <c r="BD151" i="36"/>
  <c r="BE151" i="36" s="1"/>
  <c r="BF151" i="36" s="1"/>
  <c r="BG151" i="36" s="1"/>
  <c r="BH151" i="36" s="1"/>
  <c r="BI151" i="36" s="1"/>
  <c r="BJ151" i="36" s="1"/>
  <c r="BK151" i="36" s="1"/>
  <c r="BL151" i="36" s="1"/>
  <c r="BM151" i="36" s="1"/>
  <c r="BN151" i="36" s="1"/>
  <c r="BO151" i="36" s="1"/>
  <c r="BP151" i="36" s="1"/>
  <c r="BQ151" i="36" s="1"/>
  <c r="BR151" i="36" s="1"/>
  <c r="BS151" i="36" s="1"/>
  <c r="BT151" i="36" s="1"/>
  <c r="BU151" i="36" s="1"/>
  <c r="BV151" i="36" s="1"/>
  <c r="BD233" i="36"/>
  <c r="BE233" i="36" s="1"/>
  <c r="BF233" i="36" s="1"/>
  <c r="BG233" i="36" s="1"/>
  <c r="BH233" i="36" s="1"/>
  <c r="BI233" i="36" s="1"/>
  <c r="BJ233" i="36" s="1"/>
  <c r="BK233" i="36" s="1"/>
  <c r="BL233" i="36" s="1"/>
  <c r="BM233" i="36" s="1"/>
  <c r="BN233" i="36" s="1"/>
  <c r="BO233" i="36" s="1"/>
  <c r="BP233" i="36" s="1"/>
  <c r="BQ233" i="36" s="1"/>
  <c r="BR233" i="36" s="1"/>
  <c r="BS233" i="36" s="1"/>
  <c r="BT233" i="36" s="1"/>
  <c r="BU233" i="36" s="1"/>
  <c r="BV233" i="36" s="1"/>
  <c r="BD243" i="36"/>
  <c r="BE243" i="36" s="1"/>
  <c r="BF243" i="36" s="1"/>
  <c r="BG243" i="36" s="1"/>
  <c r="BH243" i="36" s="1"/>
  <c r="BI243" i="36" s="1"/>
  <c r="BJ243" i="36" s="1"/>
  <c r="BK243" i="36" s="1"/>
  <c r="BL243" i="36" s="1"/>
  <c r="BM243" i="36" s="1"/>
  <c r="BN243" i="36" s="1"/>
  <c r="BO243" i="36" s="1"/>
  <c r="BP243" i="36" s="1"/>
  <c r="BQ243" i="36" s="1"/>
  <c r="BR243" i="36" s="1"/>
  <c r="BS243" i="36" s="1"/>
  <c r="BT243" i="36" s="1"/>
  <c r="BU243" i="36" s="1"/>
  <c r="BV243" i="36" s="1"/>
  <c r="BD49" i="36"/>
  <c r="BE49" i="36" s="1"/>
  <c r="BF49" i="36" s="1"/>
  <c r="BG49" i="36" s="1"/>
  <c r="BH49" i="36" s="1"/>
  <c r="BI49" i="36" s="1"/>
  <c r="BJ49" i="36" s="1"/>
  <c r="BK49" i="36" s="1"/>
  <c r="BL49" i="36" s="1"/>
  <c r="BM49" i="36" s="1"/>
  <c r="BN49" i="36" s="1"/>
  <c r="BO49" i="36" s="1"/>
  <c r="BP49" i="36"/>
  <c r="BQ49" i="36" s="1"/>
  <c r="BR49" i="36" s="1"/>
  <c r="BS49" i="36" s="1"/>
  <c r="BT49" i="36" s="1"/>
  <c r="BU49" i="36" s="1"/>
  <c r="BV49" i="36" s="1"/>
  <c r="BH163" i="36"/>
  <c r="BI163" i="36" s="1"/>
  <c r="BJ163" i="36" s="1"/>
  <c r="BK163" i="36" s="1"/>
  <c r="BL163" i="36" s="1"/>
  <c r="BM163" i="36" s="1"/>
  <c r="BN163" i="36" s="1"/>
  <c r="BO163" i="36" s="1"/>
  <c r="BP163" i="36" s="1"/>
  <c r="BQ163" i="36" s="1"/>
  <c r="BR163" i="36" s="1"/>
  <c r="BS163" i="36" s="1"/>
  <c r="BT163" i="36" s="1"/>
  <c r="BU163" i="36" s="1"/>
  <c r="BV163" i="36" s="1"/>
  <c r="BJ101" i="36"/>
  <c r="BK101" i="36" s="1"/>
  <c r="BL101" i="36" s="1"/>
  <c r="BM101" i="36" s="1"/>
  <c r="BN101" i="36" s="1"/>
  <c r="BO101" i="36" s="1"/>
  <c r="BP101" i="36" s="1"/>
  <c r="BQ101" i="36" s="1"/>
  <c r="BR101" i="36" s="1"/>
  <c r="BS101" i="36" s="1"/>
  <c r="BT101" i="36" s="1"/>
  <c r="BU101" i="36" s="1"/>
  <c r="BV101" i="36" s="1"/>
  <c r="BF210" i="36"/>
  <c r="BG210" i="36" s="1"/>
  <c r="BH210" i="36" s="1"/>
  <c r="BI210" i="36" s="1"/>
  <c r="BJ210" i="36" s="1"/>
  <c r="BK210" i="36" s="1"/>
  <c r="BL210" i="36" s="1"/>
  <c r="BM210" i="36" s="1"/>
  <c r="BN210" i="36" s="1"/>
  <c r="BO210" i="36" s="1"/>
  <c r="BP210" i="36" s="1"/>
  <c r="BQ210" i="36" s="1"/>
  <c r="BR210" i="36" s="1"/>
  <c r="BS210" i="36" s="1"/>
  <c r="BT210" i="36" s="1"/>
  <c r="BU210" i="36" s="1"/>
  <c r="BV210" i="36" s="1"/>
  <c r="BD263" i="36"/>
  <c r="BE263" i="36" s="1"/>
  <c r="BF263" i="36" s="1"/>
  <c r="BG263" i="36" s="1"/>
  <c r="BH263" i="36" s="1"/>
  <c r="BI263" i="36" s="1"/>
  <c r="BJ263" i="36" s="1"/>
  <c r="BK263" i="36" s="1"/>
  <c r="BL263" i="36" s="1"/>
  <c r="BM263" i="36" s="1"/>
  <c r="BN263" i="36" s="1"/>
  <c r="BO263" i="36" s="1"/>
  <c r="BP263" i="36" s="1"/>
  <c r="BQ263" i="36" s="1"/>
  <c r="BR263" i="36" s="1"/>
  <c r="BS263" i="36" s="1"/>
  <c r="BT263" i="36" s="1"/>
  <c r="BU263" i="36" s="1"/>
  <c r="BV263" i="36" s="1"/>
  <c r="BF70" i="36"/>
  <c r="BG70" i="36" s="1"/>
  <c r="BH70" i="36" s="1"/>
  <c r="BI70" i="36" s="1"/>
  <c r="BJ70" i="36" s="1"/>
  <c r="BK70" i="36" s="1"/>
  <c r="BL70" i="36" s="1"/>
  <c r="BM70" i="36" s="1"/>
  <c r="BN70" i="36" s="1"/>
  <c r="BO70" i="36" s="1"/>
  <c r="BP70" i="36" s="1"/>
  <c r="BQ70" i="36" s="1"/>
  <c r="BR70" i="36" s="1"/>
  <c r="BS70" i="36" s="1"/>
  <c r="BT70" i="36" s="1"/>
  <c r="BU70" i="36" s="1"/>
  <c r="BV70" i="36" s="1"/>
  <c r="BP81" i="36"/>
  <c r="BQ81" i="36" s="1"/>
  <c r="BR81" i="36" s="1"/>
  <c r="BS81" i="36" s="1"/>
  <c r="BT81" i="36" s="1"/>
  <c r="BU81" i="36" s="1"/>
  <c r="BV81" i="36" s="1"/>
  <c r="BD152" i="36"/>
  <c r="BE152" i="36" s="1"/>
  <c r="BF152" i="36" s="1"/>
  <c r="BG152" i="36" s="1"/>
  <c r="BH152" i="36" s="1"/>
  <c r="BI152" i="36" s="1"/>
  <c r="BJ152" i="36" s="1"/>
  <c r="BK152" i="36" s="1"/>
  <c r="BL152" i="36" s="1"/>
  <c r="BM152" i="36" s="1"/>
  <c r="BN152" i="36" s="1"/>
  <c r="BO152" i="36" s="1"/>
  <c r="BP152" i="36"/>
  <c r="BQ152" i="36" s="1"/>
  <c r="BR152" i="36" s="1"/>
  <c r="BS152" i="36" s="1"/>
  <c r="BT152" i="36" s="1"/>
  <c r="BU152" i="36" s="1"/>
  <c r="BV152" i="36" s="1"/>
  <c r="BR166" i="36"/>
  <c r="BS166" i="36" s="1"/>
  <c r="BT166" i="36" s="1"/>
  <c r="BU166" i="36" s="1"/>
  <c r="BV166" i="36" s="1"/>
  <c r="BD173" i="36"/>
  <c r="BE173" i="36" s="1"/>
  <c r="BF173" i="36" s="1"/>
  <c r="BG173" i="36" s="1"/>
  <c r="BH173" i="36" s="1"/>
  <c r="BI173" i="36" s="1"/>
  <c r="BJ173" i="36" s="1"/>
  <c r="BK173" i="36" s="1"/>
  <c r="BL173" i="36" s="1"/>
  <c r="BM173" i="36" s="1"/>
  <c r="BN173" i="36" s="1"/>
  <c r="BO173" i="36" s="1"/>
  <c r="BP173" i="36" s="1"/>
  <c r="BQ173" i="36" s="1"/>
  <c r="BR173" i="36"/>
  <c r="BS173" i="36" s="1"/>
  <c r="BT173" i="36" s="1"/>
  <c r="BU173" i="36" s="1"/>
  <c r="BV173" i="36" s="1"/>
  <c r="BD189" i="36"/>
  <c r="BE189" i="36" s="1"/>
  <c r="BF189" i="36" s="1"/>
  <c r="BG189" i="36" s="1"/>
  <c r="BH189" i="36" s="1"/>
  <c r="BI189" i="36" s="1"/>
  <c r="BJ189" i="36" s="1"/>
  <c r="BK189" i="36" s="1"/>
  <c r="BL189" i="36" s="1"/>
  <c r="BM189" i="36" s="1"/>
  <c r="BN189" i="36" s="1"/>
  <c r="BO189" i="36" s="1"/>
  <c r="BP189" i="36" s="1"/>
  <c r="BQ189" i="36" s="1"/>
  <c r="BR189" i="36" s="1"/>
  <c r="BS189" i="36" s="1"/>
  <c r="BT189" i="36" s="1"/>
  <c r="BU189" i="36" s="1"/>
  <c r="BV189" i="36" s="1"/>
  <c r="BF219" i="36"/>
  <c r="BG219" i="36" s="1"/>
  <c r="BH219" i="36" s="1"/>
  <c r="BI219" i="36" s="1"/>
  <c r="BJ219" i="36" s="1"/>
  <c r="BK219" i="36" s="1"/>
  <c r="BL219" i="36" s="1"/>
  <c r="BM219" i="36" s="1"/>
  <c r="BN219" i="36" s="1"/>
  <c r="BO219" i="36" s="1"/>
  <c r="BP219" i="36" s="1"/>
  <c r="BQ219" i="36" s="1"/>
  <c r="BR219" i="36" s="1"/>
  <c r="BS219" i="36" s="1"/>
  <c r="BT219" i="36" s="1"/>
  <c r="BU219" i="36" s="1"/>
  <c r="BV219" i="36" s="1"/>
  <c r="BD277" i="36"/>
  <c r="BE277" i="36" s="1"/>
  <c r="BF277" i="36" s="1"/>
  <c r="BG277" i="36" s="1"/>
  <c r="BH277" i="36" s="1"/>
  <c r="BI277" i="36" s="1"/>
  <c r="BJ277" i="36" s="1"/>
  <c r="BK277" i="36" s="1"/>
  <c r="BL277" i="36" s="1"/>
  <c r="BM277" i="36" s="1"/>
  <c r="BN277" i="36" s="1"/>
  <c r="BO277" i="36" s="1"/>
  <c r="BP277" i="36" s="1"/>
  <c r="BQ277" i="36" s="1"/>
  <c r="BR277" i="36" s="1"/>
  <c r="BS277" i="36" s="1"/>
  <c r="BT277" i="36" s="1"/>
  <c r="BU277" i="36" s="1"/>
  <c r="BV277" i="36" s="1"/>
  <c r="BD299" i="36"/>
  <c r="BE299" i="36" s="1"/>
  <c r="BF299" i="36" s="1"/>
  <c r="BG299" i="36" s="1"/>
  <c r="BH299" i="36" s="1"/>
  <c r="BI299" i="36" s="1"/>
  <c r="BJ299" i="36" s="1"/>
  <c r="BK299" i="36" s="1"/>
  <c r="BL299" i="36" s="1"/>
  <c r="BM299" i="36" s="1"/>
  <c r="BN299" i="36" s="1"/>
  <c r="BO299" i="36" s="1"/>
  <c r="BP299" i="36" s="1"/>
  <c r="BQ299" i="36" s="1"/>
  <c r="BR299" i="36" s="1"/>
  <c r="BS299" i="36" s="1"/>
  <c r="BT299" i="36" s="1"/>
  <c r="BU299" i="36" s="1"/>
  <c r="BV299" i="36" s="1"/>
  <c r="BD191" i="36"/>
  <c r="BE191" i="36" s="1"/>
  <c r="BF191" i="36" s="1"/>
  <c r="BG191" i="36" s="1"/>
  <c r="BH191" i="36" s="1"/>
  <c r="BI191" i="36" s="1"/>
  <c r="BJ191" i="36" s="1"/>
  <c r="BK191" i="36" s="1"/>
  <c r="BL191" i="36" s="1"/>
  <c r="BM191" i="36" s="1"/>
  <c r="BN191" i="36" s="1"/>
  <c r="BO191" i="36" s="1"/>
  <c r="BP191" i="36" s="1"/>
  <c r="BQ191" i="36" s="1"/>
  <c r="BR191" i="36" s="1"/>
  <c r="BS191" i="36" s="1"/>
  <c r="BT191" i="36" s="1"/>
  <c r="BU191" i="36" s="1"/>
  <c r="BV191" i="36" s="1"/>
  <c r="BN83" i="36"/>
  <c r="BO83" i="36" s="1"/>
  <c r="BP83" i="36" s="1"/>
  <c r="BQ83" i="36" s="1"/>
  <c r="BR83" i="36" s="1"/>
  <c r="BS83" i="36" s="1"/>
  <c r="BT83" i="36" s="1"/>
  <c r="BU83" i="36" s="1"/>
  <c r="BV83" i="36" s="1"/>
  <c r="BD181" i="36"/>
  <c r="BE181" i="36" s="1"/>
  <c r="BF181" i="36" s="1"/>
  <c r="BG181" i="36" s="1"/>
  <c r="BH181" i="36" s="1"/>
  <c r="BI181" i="36" s="1"/>
  <c r="BJ181" i="36" s="1"/>
  <c r="BK181" i="36" s="1"/>
  <c r="BL181" i="36" s="1"/>
  <c r="BM181" i="36" s="1"/>
  <c r="BN181" i="36" s="1"/>
  <c r="BO181" i="36" s="1"/>
  <c r="BP181" i="36" s="1"/>
  <c r="BQ181" i="36" s="1"/>
  <c r="BR181" i="36" s="1"/>
  <c r="BS181" i="36" s="1"/>
  <c r="BT181" i="36" s="1"/>
  <c r="BU181" i="36" s="1"/>
  <c r="BV181" i="36" s="1"/>
  <c r="BL242" i="36"/>
  <c r="BM242" i="36" s="1"/>
  <c r="BN242" i="36" s="1"/>
  <c r="BO242" i="36" s="1"/>
  <c r="BP242" i="36" s="1"/>
  <c r="BQ242" i="36" s="1"/>
  <c r="BR242" i="36" s="1"/>
  <c r="BS242" i="36" s="1"/>
  <c r="BT242" i="36" s="1"/>
  <c r="BU242" i="36" s="1"/>
  <c r="BV242" i="36" s="1"/>
  <c r="BF42" i="36"/>
  <c r="BG42" i="36" s="1"/>
  <c r="BH42" i="36" s="1"/>
  <c r="BI42" i="36" s="1"/>
  <c r="BJ42" i="36" s="1"/>
  <c r="BK42" i="36" s="1"/>
  <c r="BL42" i="36" s="1"/>
  <c r="BM42" i="36" s="1"/>
  <c r="BN42" i="36" s="1"/>
  <c r="BO42" i="36" s="1"/>
  <c r="BP42" i="36" s="1"/>
  <c r="BQ42" i="36" s="1"/>
  <c r="BR42" i="36" s="1"/>
  <c r="BS42" i="36" s="1"/>
  <c r="BT42" i="36" s="1"/>
  <c r="BU42" i="36" s="1"/>
  <c r="BV42" i="36" s="1"/>
  <c r="BN59" i="36"/>
  <c r="BO59" i="36" s="1"/>
  <c r="BP59" i="36" s="1"/>
  <c r="BQ59" i="36" s="1"/>
  <c r="BR59" i="36" s="1"/>
  <c r="BS59" i="36" s="1"/>
  <c r="BT59" i="36" s="1"/>
  <c r="BU59" i="36" s="1"/>
  <c r="BV59" i="36" s="1"/>
  <c r="BF133" i="36"/>
  <c r="BG133" i="36" s="1"/>
  <c r="BH133" i="36" s="1"/>
  <c r="BI133" i="36" s="1"/>
  <c r="BJ133" i="36" s="1"/>
  <c r="BK133" i="36" s="1"/>
  <c r="BL133" i="36" s="1"/>
  <c r="BM133" i="36" s="1"/>
  <c r="BN133" i="36" s="1"/>
  <c r="BO133" i="36" s="1"/>
  <c r="BP133" i="36" s="1"/>
  <c r="BQ133" i="36" s="1"/>
  <c r="BR133" i="36" s="1"/>
  <c r="BS133" i="36" s="1"/>
  <c r="BT133" i="36" s="1"/>
  <c r="BU133" i="36" s="1"/>
  <c r="BV133" i="36" s="1"/>
  <c r="BD170" i="36"/>
  <c r="BE170" i="36" s="1"/>
  <c r="BF170" i="36" s="1"/>
  <c r="BG170" i="36" s="1"/>
  <c r="BH170" i="36" s="1"/>
  <c r="BI170" i="36" s="1"/>
  <c r="BJ170" i="36" s="1"/>
  <c r="BK170" i="36" s="1"/>
  <c r="BL170" i="36" s="1"/>
  <c r="BM170" i="36" s="1"/>
  <c r="BN170" i="36" s="1"/>
  <c r="BO170" i="36" s="1"/>
  <c r="BP170" i="36" s="1"/>
  <c r="BQ170" i="36" s="1"/>
  <c r="BR170" i="36" s="1"/>
  <c r="BS170" i="36" s="1"/>
  <c r="BT170" i="36" s="1"/>
  <c r="BU170" i="36" s="1"/>
  <c r="BV170" i="36" s="1"/>
  <c r="BP225" i="36"/>
  <c r="BQ225" i="36" s="1"/>
  <c r="BR225" i="36" s="1"/>
  <c r="BS225" i="36" s="1"/>
  <c r="BT225" i="36" s="1"/>
  <c r="BU225" i="36" s="1"/>
  <c r="BV225" i="36" s="1"/>
  <c r="BF261" i="36"/>
  <c r="BG261" i="36" s="1"/>
  <c r="BH261" i="36" s="1"/>
  <c r="BI261" i="36" s="1"/>
  <c r="BJ261" i="36" s="1"/>
  <c r="BK261" i="36" s="1"/>
  <c r="BL261" i="36" s="1"/>
  <c r="BM261" i="36" s="1"/>
  <c r="BN261" i="36" s="1"/>
  <c r="BO261" i="36" s="1"/>
  <c r="BP261" i="36" s="1"/>
  <c r="BQ261" i="36" s="1"/>
  <c r="BR261" i="36"/>
  <c r="BS261" i="36" s="1"/>
  <c r="BT261" i="36" s="1"/>
  <c r="BU261" i="36" s="1"/>
  <c r="BV261" i="36" s="1"/>
  <c r="BJ195" i="36"/>
  <c r="BK195" i="36" s="1"/>
  <c r="BL195" i="36" s="1"/>
  <c r="BM195" i="36" s="1"/>
  <c r="BN195" i="36" s="1"/>
  <c r="BO195" i="36" s="1"/>
  <c r="BP195" i="36" s="1"/>
  <c r="BQ195" i="36" s="1"/>
  <c r="BR195" i="36" s="1"/>
  <c r="BS195" i="36" s="1"/>
  <c r="BT195" i="36" s="1"/>
  <c r="BU195" i="36" s="1"/>
  <c r="BV195" i="36" s="1"/>
  <c r="BD275" i="36"/>
  <c r="BE275" i="36" s="1"/>
  <c r="BF275" i="36" s="1"/>
  <c r="BG275" i="36" s="1"/>
  <c r="BH275" i="36" s="1"/>
  <c r="BI275" i="36" s="1"/>
  <c r="BJ275" i="36" s="1"/>
  <c r="BK275" i="36" s="1"/>
  <c r="BL275" i="36" s="1"/>
  <c r="BM275" i="36" s="1"/>
  <c r="BN275" i="36" s="1"/>
  <c r="BO275" i="36" s="1"/>
  <c r="BP275" i="36" s="1"/>
  <c r="BQ275" i="36" s="1"/>
  <c r="BR275" i="36" s="1"/>
  <c r="BS275" i="36" s="1"/>
  <c r="BT275" i="36" s="1"/>
  <c r="BU275" i="36" s="1"/>
  <c r="BV275" i="36" s="1"/>
  <c r="BN39" i="36"/>
  <c r="BO39" i="36" s="1"/>
  <c r="BP39" i="36" s="1"/>
  <c r="BQ39" i="36" s="1"/>
  <c r="BR39" i="36" s="1"/>
  <c r="BS39" i="36" s="1"/>
  <c r="BT39" i="36" s="1"/>
  <c r="BU39" i="36" s="1"/>
  <c r="BV39" i="36" s="1"/>
  <c r="BP136" i="36"/>
  <c r="BQ136" i="36" s="1"/>
  <c r="BR136" i="36" s="1"/>
  <c r="BS136" i="36" s="1"/>
  <c r="BT136" i="36" s="1"/>
  <c r="BU136" i="36" s="1"/>
  <c r="BV136" i="36" s="1"/>
  <c r="BR164" i="36"/>
  <c r="BS164" i="36" s="1"/>
  <c r="BT164" i="36" s="1"/>
  <c r="BU164" i="36" s="1"/>
  <c r="BV164" i="36" s="1"/>
  <c r="BL192" i="36"/>
  <c r="BM192" i="36" s="1"/>
  <c r="BN192" i="36" s="1"/>
  <c r="BO192" i="36" s="1"/>
  <c r="BP192" i="36" s="1"/>
  <c r="BQ192" i="36" s="1"/>
  <c r="BR192" i="36" s="1"/>
  <c r="BS192" i="36" s="1"/>
  <c r="BT192" i="36" s="1"/>
  <c r="BU192" i="36" s="1"/>
  <c r="BV192" i="36" s="1"/>
  <c r="BJ227" i="36"/>
  <c r="BK227" i="36" s="1"/>
  <c r="BL227" i="36" s="1"/>
  <c r="BM227" i="36" s="1"/>
  <c r="BN227" i="36" s="1"/>
  <c r="BO227" i="36" s="1"/>
  <c r="BP227" i="36" s="1"/>
  <c r="BQ227" i="36" s="1"/>
  <c r="BR227" i="36" s="1"/>
  <c r="BS227" i="36" s="1"/>
  <c r="BT227" i="36" s="1"/>
  <c r="BU227" i="36" s="1"/>
  <c r="BV227" i="36"/>
  <c r="BJ255" i="36"/>
  <c r="BK255" i="36" s="1"/>
  <c r="BL255" i="36" s="1"/>
  <c r="BM255" i="36" s="1"/>
  <c r="BN255" i="36" s="1"/>
  <c r="BO255" i="36" s="1"/>
  <c r="BP255" i="36" s="1"/>
  <c r="BQ255" i="36" s="1"/>
  <c r="BR255" i="36" s="1"/>
  <c r="BS255" i="36" s="1"/>
  <c r="BT255" i="36" s="1"/>
  <c r="BU255" i="36" s="1"/>
  <c r="BV255" i="36" s="1"/>
  <c r="BJ283" i="36"/>
  <c r="BK283" i="36" s="1"/>
  <c r="BL283" i="36" s="1"/>
  <c r="BM283" i="36" s="1"/>
  <c r="BN283" i="36" s="1"/>
  <c r="BO283" i="36" s="1"/>
  <c r="BP283" i="36" s="1"/>
  <c r="BQ283" i="36" s="1"/>
  <c r="BR283" i="36"/>
  <c r="BS283" i="36" s="1"/>
  <c r="BT283" i="36" s="1"/>
  <c r="BU283" i="36" s="1"/>
  <c r="BV283" i="36" s="1"/>
  <c r="BG4" i="36"/>
  <c r="AB304" i="36"/>
  <c r="AC304" i="36" s="1"/>
  <c r="AA304" i="36"/>
  <c r="AB303" i="36"/>
  <c r="AC303" i="36" s="1"/>
  <c r="AA303" i="36"/>
  <c r="AB302" i="36"/>
  <c r="AC302" i="36" s="1"/>
  <c r="AA302" i="36"/>
  <c r="AB301" i="36"/>
  <c r="AC301" i="36" s="1"/>
  <c r="AA301" i="36"/>
  <c r="AB300" i="36"/>
  <c r="AC300" i="36" s="1"/>
  <c r="AA300" i="36"/>
  <c r="AB299" i="36"/>
  <c r="AC299" i="36" s="1"/>
  <c r="AA299" i="36"/>
  <c r="AB298" i="36"/>
  <c r="AC298" i="36" s="1"/>
  <c r="AA298" i="36"/>
  <c r="AB297" i="36"/>
  <c r="AC297" i="36" s="1"/>
  <c r="AA297" i="36"/>
  <c r="AB296" i="36"/>
  <c r="AC296" i="36" s="1"/>
  <c r="AA296" i="36"/>
  <c r="AB295" i="36"/>
  <c r="AC295" i="36" s="1"/>
  <c r="AA295" i="36"/>
  <c r="AB294" i="36"/>
  <c r="AC294" i="36" s="1"/>
  <c r="AA294" i="36"/>
  <c r="AB293" i="36"/>
  <c r="AC293" i="36" s="1"/>
  <c r="AA293" i="36"/>
  <c r="AB292" i="36"/>
  <c r="AC292" i="36" s="1"/>
  <c r="AA292" i="36"/>
  <c r="AB291" i="36"/>
  <c r="AC291" i="36" s="1"/>
  <c r="AA291" i="36"/>
  <c r="AB290" i="36"/>
  <c r="AC290" i="36" s="1"/>
  <c r="AA290" i="36"/>
  <c r="AB289" i="36"/>
  <c r="AC289" i="36" s="1"/>
  <c r="AA289" i="36"/>
  <c r="AB288" i="36"/>
  <c r="AC288" i="36" s="1"/>
  <c r="AA288" i="36"/>
  <c r="AB287" i="36"/>
  <c r="AC287" i="36" s="1"/>
  <c r="AA287" i="36"/>
  <c r="AB286" i="36"/>
  <c r="AC286" i="36" s="1"/>
  <c r="AA286" i="36"/>
  <c r="AB285" i="36"/>
  <c r="AC285" i="36" s="1"/>
  <c r="AA285" i="36"/>
  <c r="AB284" i="36"/>
  <c r="AC284" i="36" s="1"/>
  <c r="AA284" i="36"/>
  <c r="AB283" i="36"/>
  <c r="AC283" i="36" s="1"/>
  <c r="AA283" i="36"/>
  <c r="AB282" i="36"/>
  <c r="AC282" i="36" s="1"/>
  <c r="AA282" i="36"/>
  <c r="AB281" i="36"/>
  <c r="AC281" i="36" s="1"/>
  <c r="AA281" i="36"/>
  <c r="AB280" i="36"/>
  <c r="AC280" i="36" s="1"/>
  <c r="AA280" i="36"/>
  <c r="AB279" i="36"/>
  <c r="AC279" i="36" s="1"/>
  <c r="AA279" i="36"/>
  <c r="AB278" i="36"/>
  <c r="AC278" i="36" s="1"/>
  <c r="AA278" i="36"/>
  <c r="AB277" i="36"/>
  <c r="AC277" i="36" s="1"/>
  <c r="AA277" i="36"/>
  <c r="AB276" i="36"/>
  <c r="AC276" i="36" s="1"/>
  <c r="AA276" i="36"/>
  <c r="AB275" i="36"/>
  <c r="AC275" i="36" s="1"/>
  <c r="AA275" i="36"/>
  <c r="AZ273" i="36" l="1"/>
  <c r="BW129" i="36"/>
  <c r="AZ25" i="36"/>
  <c r="AZ202" i="36"/>
  <c r="AZ162" i="36"/>
  <c r="BW217" i="36"/>
  <c r="BW250" i="36"/>
  <c r="AZ266" i="36"/>
  <c r="BW17" i="36"/>
  <c r="BW201" i="36"/>
  <c r="AZ206" i="36"/>
  <c r="AZ138" i="36"/>
  <c r="AZ142" i="36"/>
  <c r="BW93" i="36"/>
  <c r="BW153" i="36"/>
  <c r="BW77" i="36"/>
  <c r="AZ77" i="36"/>
  <c r="AZ128" i="36"/>
  <c r="BW128" i="36"/>
  <c r="AZ46" i="36"/>
  <c r="BW46" i="36"/>
  <c r="AZ41" i="36"/>
  <c r="BW41" i="36"/>
  <c r="BW185" i="36"/>
  <c r="AZ185" i="36"/>
  <c r="BW67" i="36"/>
  <c r="AZ67" i="36"/>
  <c r="BW9" i="36"/>
  <c r="AZ9" i="36"/>
  <c r="AZ256" i="36"/>
  <c r="BW256" i="36"/>
  <c r="BW222" i="36"/>
  <c r="AZ222" i="36"/>
  <c r="BW89" i="36"/>
  <c r="AZ89" i="36"/>
  <c r="BW104" i="36"/>
  <c r="AZ104" i="36"/>
  <c r="BW260" i="36"/>
  <c r="AZ260" i="36"/>
  <c r="AZ295" i="36"/>
  <c r="BW295" i="36"/>
  <c r="AZ37" i="36"/>
  <c r="BW37" i="36"/>
  <c r="AZ43" i="36"/>
  <c r="BW43" i="36"/>
  <c r="AZ123" i="36"/>
  <c r="BW123" i="36"/>
  <c r="BW268" i="36"/>
  <c r="AZ268" i="36"/>
  <c r="AZ284" i="36"/>
  <c r="BW284" i="36"/>
  <c r="AZ11" i="36"/>
  <c r="BW11" i="36"/>
  <c r="AZ254" i="36"/>
  <c r="BW254" i="36"/>
  <c r="BW279" i="36"/>
  <c r="AZ279" i="36"/>
  <c r="BW121" i="36"/>
  <c r="AZ121" i="36"/>
  <c r="AZ263" i="36"/>
  <c r="BW263" i="36"/>
  <c r="AZ258" i="36"/>
  <c r="BW258" i="36"/>
  <c r="AZ168" i="36"/>
  <c r="BW168" i="36"/>
  <c r="BW116" i="36"/>
  <c r="AZ116" i="36"/>
  <c r="BW144" i="36"/>
  <c r="AZ144" i="36"/>
  <c r="AZ210" i="36"/>
  <c r="BW210" i="36"/>
  <c r="AZ243" i="36"/>
  <c r="BW243" i="36"/>
  <c r="AZ33" i="36"/>
  <c r="BW33" i="36"/>
  <c r="BW212" i="36"/>
  <c r="AZ212" i="36"/>
  <c r="AZ100" i="36"/>
  <c r="BW100" i="36"/>
  <c r="AZ64" i="36"/>
  <c r="BW64" i="36"/>
  <c r="AZ233" i="36"/>
  <c r="BW233" i="36"/>
  <c r="AZ23" i="36"/>
  <c r="BW23" i="36"/>
  <c r="AZ98" i="36"/>
  <c r="BW98" i="36"/>
  <c r="AZ183" i="36"/>
  <c r="BW183" i="36"/>
  <c r="BW224" i="36"/>
  <c r="AZ224" i="36"/>
  <c r="BW48" i="36"/>
  <c r="AZ48" i="36"/>
  <c r="AZ219" i="36"/>
  <c r="BW219" i="36"/>
  <c r="AZ101" i="36"/>
  <c r="BW101" i="36"/>
  <c r="AZ175" i="36"/>
  <c r="BW175" i="36"/>
  <c r="AZ29" i="36"/>
  <c r="BW29" i="36"/>
  <c r="BW58" i="36"/>
  <c r="AZ58" i="36"/>
  <c r="BW22" i="36"/>
  <c r="AZ22" i="36"/>
  <c r="AZ189" i="36"/>
  <c r="BW189" i="36"/>
  <c r="BW151" i="36"/>
  <c r="AZ151" i="36"/>
  <c r="AZ145" i="36"/>
  <c r="BW145" i="36"/>
  <c r="BW86" i="36"/>
  <c r="AZ86" i="36"/>
  <c r="BW198" i="36"/>
  <c r="AZ198" i="36"/>
  <c r="AZ287" i="36"/>
  <c r="BW287" i="36"/>
  <c r="AZ80" i="36"/>
  <c r="BW80" i="36"/>
  <c r="BW240" i="36"/>
  <c r="AZ240" i="36"/>
  <c r="AZ91" i="36"/>
  <c r="BW91" i="36"/>
  <c r="BW103" i="36"/>
  <c r="AZ103" i="36"/>
  <c r="AZ173" i="36"/>
  <c r="BW173" i="36"/>
  <c r="AZ134" i="36"/>
  <c r="BW134" i="36"/>
  <c r="AZ143" i="36"/>
  <c r="BW143" i="36"/>
  <c r="BW54" i="36"/>
  <c r="AZ54" i="36"/>
  <c r="BW297" i="36"/>
  <c r="AZ297" i="36"/>
  <c r="AZ102" i="36"/>
  <c r="BW102" i="36"/>
  <c r="BW272" i="36"/>
  <c r="AZ272" i="36"/>
  <c r="BW108" i="36"/>
  <c r="AZ108" i="36"/>
  <c r="BW66" i="36"/>
  <c r="AZ66" i="36"/>
  <c r="AZ290" i="36"/>
  <c r="BW290" i="36"/>
  <c r="BW132" i="36"/>
  <c r="AZ132" i="36"/>
  <c r="BW68" i="36"/>
  <c r="AZ68" i="36"/>
  <c r="AZ247" i="36"/>
  <c r="BW247" i="36"/>
  <c r="BW56" i="36"/>
  <c r="AZ56" i="36"/>
  <c r="AZ232" i="36"/>
  <c r="BW232" i="36"/>
  <c r="BW15" i="36"/>
  <c r="AZ15" i="36"/>
  <c r="BW298" i="36"/>
  <c r="AZ298" i="36"/>
  <c r="BW31" i="36"/>
  <c r="AZ31" i="36"/>
  <c r="AZ166" i="36"/>
  <c r="BW166" i="36"/>
  <c r="BW119" i="36"/>
  <c r="AZ119" i="36"/>
  <c r="BW288" i="36"/>
  <c r="AZ288" i="36"/>
  <c r="BW244" i="36"/>
  <c r="AZ244" i="36"/>
  <c r="BW294" i="36"/>
  <c r="AZ294" i="36"/>
  <c r="BW63" i="36"/>
  <c r="AZ63" i="36"/>
  <c r="BW221" i="36"/>
  <c r="AZ221" i="36"/>
  <c r="BW203" i="36"/>
  <c r="AZ203" i="36"/>
  <c r="BW148" i="36"/>
  <c r="AZ148" i="36"/>
  <c r="BW275" i="36"/>
  <c r="AZ275" i="36"/>
  <c r="BW8" i="36"/>
  <c r="AZ8" i="36"/>
  <c r="AZ152" i="36"/>
  <c r="BW152" i="36"/>
  <c r="AZ112" i="36"/>
  <c r="BW112" i="36"/>
  <c r="AZ235" i="36"/>
  <c r="BW235" i="36"/>
  <c r="BW274" i="36"/>
  <c r="AZ274" i="36"/>
  <c r="AZ61" i="36"/>
  <c r="BW61" i="36"/>
  <c r="BW200" i="36"/>
  <c r="AZ200" i="36"/>
  <c r="BW259" i="36"/>
  <c r="AZ259" i="36"/>
  <c r="BW304" i="36"/>
  <c r="AZ304" i="36"/>
  <c r="AZ192" i="36"/>
  <c r="BW192" i="36"/>
  <c r="AZ110" i="36"/>
  <c r="BW110" i="36"/>
  <c r="BW82" i="36"/>
  <c r="AZ82" i="36"/>
  <c r="AZ118" i="36"/>
  <c r="BW118" i="36"/>
  <c r="AZ52" i="36"/>
  <c r="BW52" i="36"/>
  <c r="BW186" i="36"/>
  <c r="AZ186" i="36"/>
  <c r="AZ114" i="36"/>
  <c r="BW114" i="36"/>
  <c r="BW265" i="36"/>
  <c r="AZ265" i="36"/>
  <c r="AZ122" i="36"/>
  <c r="BW122" i="36"/>
  <c r="AZ94" i="36"/>
  <c r="BW94" i="36"/>
  <c r="BW60" i="36"/>
  <c r="AZ60" i="36"/>
  <c r="AZ231" i="36"/>
  <c r="BW231" i="36"/>
  <c r="BW36" i="36"/>
  <c r="AZ36" i="36"/>
  <c r="AZ106" i="36"/>
  <c r="BW106" i="36"/>
  <c r="BW111" i="36"/>
  <c r="AZ111" i="36"/>
  <c r="AZ228" i="36"/>
  <c r="BW228" i="36"/>
  <c r="AZ87" i="36"/>
  <c r="BW87" i="36"/>
  <c r="BW208" i="36"/>
  <c r="AZ208" i="36"/>
  <c r="AZ38" i="36"/>
  <c r="BW38" i="36"/>
  <c r="AZ76" i="36"/>
  <c r="BW76" i="36"/>
  <c r="AZ161" i="36"/>
  <c r="BW161" i="36"/>
  <c r="BW34" i="36"/>
  <c r="AZ34" i="36"/>
  <c r="BW125" i="36"/>
  <c r="AZ125" i="36"/>
  <c r="AZ73" i="36"/>
  <c r="BW73" i="36"/>
  <c r="BW65" i="36"/>
  <c r="AZ65" i="36"/>
  <c r="BW190" i="36"/>
  <c r="AZ190" i="36"/>
  <c r="AZ136" i="36"/>
  <c r="BW136" i="36"/>
  <c r="AZ262" i="36"/>
  <c r="BW262" i="36"/>
  <c r="AZ10" i="36"/>
  <c r="BW10" i="36"/>
  <c r="AZ72" i="36"/>
  <c r="BW72" i="36"/>
  <c r="BW69" i="36"/>
  <c r="AZ69" i="36"/>
  <c r="BW97" i="36"/>
  <c r="AZ97" i="36"/>
  <c r="AZ30" i="36"/>
  <c r="BW30" i="36"/>
  <c r="BW47" i="36"/>
  <c r="AZ47" i="36"/>
  <c r="BW109" i="36"/>
  <c r="AZ109" i="36"/>
  <c r="AZ163" i="36"/>
  <c r="BW163" i="36"/>
  <c r="AZ149" i="36"/>
  <c r="BW149" i="36"/>
  <c r="BW105" i="36"/>
  <c r="AZ105" i="36"/>
  <c r="AZ139" i="36"/>
  <c r="BW139" i="36"/>
  <c r="BW12" i="36"/>
  <c r="AZ12" i="36"/>
  <c r="BW113" i="36"/>
  <c r="AZ113" i="36"/>
  <c r="BW19" i="36"/>
  <c r="AZ19" i="36"/>
  <c r="AZ45" i="36"/>
  <c r="BW45" i="36"/>
  <c r="BW131" i="36"/>
  <c r="AZ131" i="36"/>
  <c r="AZ229" i="36"/>
  <c r="BW229" i="36"/>
  <c r="BW191" i="36"/>
  <c r="AZ191" i="36"/>
  <c r="BW88" i="36"/>
  <c r="AZ88" i="36"/>
  <c r="AZ196" i="36"/>
  <c r="BW196" i="36"/>
  <c r="AZ6" i="36"/>
  <c r="BW6" i="36"/>
  <c r="AZ252" i="36"/>
  <c r="BW252" i="36"/>
  <c r="BW188" i="36"/>
  <c r="AZ188" i="36"/>
  <c r="AZ215" i="36"/>
  <c r="BW215" i="36"/>
  <c r="AZ7" i="36"/>
  <c r="BW7" i="36"/>
  <c r="AZ115" i="36"/>
  <c r="BW115" i="36"/>
  <c r="BW226" i="36"/>
  <c r="AZ226" i="36"/>
  <c r="AZ13" i="36"/>
  <c r="BW13" i="36"/>
  <c r="BW20" i="36"/>
  <c r="AZ20" i="36"/>
  <c r="BW158" i="36"/>
  <c r="AZ158" i="36"/>
  <c r="AZ157" i="36"/>
  <c r="BW157" i="36"/>
  <c r="BW300" i="36"/>
  <c r="AZ300" i="36"/>
  <c r="AZ180" i="36"/>
  <c r="BW180" i="36"/>
  <c r="AZ95" i="36"/>
  <c r="BW95" i="36"/>
  <c r="AZ285" i="36"/>
  <c r="BW285" i="36"/>
  <c r="BW75" i="36"/>
  <c r="AZ75" i="36"/>
  <c r="AZ286" i="36"/>
  <c r="BW286" i="36"/>
  <c r="AZ107" i="36"/>
  <c r="BW107" i="36"/>
  <c r="AZ223" i="36"/>
  <c r="BW223" i="36"/>
  <c r="AZ150" i="36"/>
  <c r="BW150" i="36"/>
  <c r="AZ253" i="36"/>
  <c r="BW253" i="36"/>
  <c r="BW74" i="36"/>
  <c r="AZ74" i="36"/>
  <c r="BW271" i="36"/>
  <c r="AZ271" i="36"/>
  <c r="AZ239" i="36"/>
  <c r="BW239" i="36"/>
  <c r="BW282" i="36"/>
  <c r="AZ282" i="36"/>
  <c r="AZ57" i="36"/>
  <c r="BW57" i="36"/>
  <c r="AZ237" i="36"/>
  <c r="BW237" i="36"/>
  <c r="BW32" i="36"/>
  <c r="AZ32" i="36"/>
  <c r="BW165" i="36"/>
  <c r="AZ165" i="36"/>
  <c r="BW174" i="36"/>
  <c r="AZ174" i="36"/>
  <c r="BW302" i="36"/>
  <c r="AZ302" i="36"/>
  <c r="BW216" i="36"/>
  <c r="AZ216" i="36"/>
  <c r="BW27" i="36"/>
  <c r="AZ27" i="36"/>
  <c r="BW179" i="36"/>
  <c r="AZ179" i="36"/>
  <c r="AZ204" i="36"/>
  <c r="BW204" i="36"/>
  <c r="BW301" i="36"/>
  <c r="AZ301" i="36"/>
  <c r="BW303" i="36"/>
  <c r="AZ303" i="36"/>
  <c r="AZ159" i="36"/>
  <c r="BW159" i="36"/>
  <c r="AZ137" i="36"/>
  <c r="BW137" i="36"/>
  <c r="BW156" i="36"/>
  <c r="AZ156" i="36"/>
  <c r="BW177" i="36"/>
  <c r="AZ177" i="36"/>
  <c r="AZ147" i="36"/>
  <c r="BW147" i="36"/>
  <c r="BW211" i="36"/>
  <c r="AZ211" i="36"/>
  <c r="AZ291" i="36"/>
  <c r="BW291" i="36"/>
  <c r="AZ124" i="36"/>
  <c r="BW124" i="36"/>
  <c r="BW96" i="36"/>
  <c r="AZ96" i="36"/>
  <c r="AZ84" i="36"/>
  <c r="BW84" i="36"/>
  <c r="BW24" i="36"/>
  <c r="AZ24" i="36"/>
  <c r="AZ167" i="36"/>
  <c r="BW167" i="36"/>
  <c r="AZ209" i="36"/>
  <c r="BW209" i="36"/>
  <c r="AZ280" i="36"/>
  <c r="BW280" i="36"/>
  <c r="BW218" i="36"/>
  <c r="AZ218" i="36"/>
  <c r="BW141" i="36"/>
  <c r="AZ141" i="36"/>
  <c r="BW40" i="36"/>
  <c r="AZ40" i="36"/>
  <c r="BW14" i="36"/>
  <c r="AZ14" i="36"/>
  <c r="BW234" i="36"/>
  <c r="AZ234" i="36"/>
  <c r="BW120" i="36"/>
  <c r="AZ120" i="36"/>
  <c r="BW62" i="36"/>
  <c r="AZ62" i="36"/>
  <c r="BW21" i="36"/>
  <c r="AZ21" i="36"/>
  <c r="BW214" i="36"/>
  <c r="AZ214" i="36"/>
  <c r="BW182" i="36"/>
  <c r="AZ182" i="36"/>
  <c r="BW246" i="36"/>
  <c r="AZ246" i="36"/>
  <c r="BW207" i="36"/>
  <c r="AZ207" i="36"/>
  <c r="BW160" i="36"/>
  <c r="AZ160" i="36"/>
  <c r="BW78" i="36"/>
  <c r="AZ78" i="36"/>
  <c r="BW197" i="36"/>
  <c r="AZ197" i="36"/>
  <c r="BW92" i="36"/>
  <c r="AZ92" i="36"/>
  <c r="BW176" i="36"/>
  <c r="AZ176" i="36"/>
  <c r="AZ213" i="36"/>
  <c r="BW213" i="36"/>
  <c r="BW205" i="36"/>
  <c r="AZ205" i="36"/>
  <c r="AZ154" i="36"/>
  <c r="BW154" i="36"/>
  <c r="AZ90" i="36"/>
  <c r="BW90" i="36"/>
  <c r="AZ44" i="36"/>
  <c r="BW44" i="36"/>
  <c r="BW155" i="36"/>
  <c r="AZ155" i="36"/>
  <c r="BW248" i="36"/>
  <c r="AZ248" i="36"/>
  <c r="AZ296" i="36"/>
  <c r="BW296" i="36"/>
  <c r="AZ245" i="36"/>
  <c r="BW245" i="36"/>
  <c r="AZ16" i="36"/>
  <c r="BW16" i="36"/>
  <c r="BW146" i="36"/>
  <c r="AZ146" i="36"/>
  <c r="AZ79" i="36"/>
  <c r="BW79" i="36"/>
  <c r="BW26" i="36"/>
  <c r="AZ26" i="36"/>
  <c r="BW126" i="36"/>
  <c r="AZ126" i="36"/>
  <c r="BW269" i="36"/>
  <c r="AZ269" i="36"/>
  <c r="BW230" i="36"/>
  <c r="AZ230" i="36"/>
  <c r="AZ299" i="36"/>
  <c r="BW299" i="36"/>
  <c r="AZ293" i="36"/>
  <c r="BW293" i="36"/>
  <c r="BW276" i="36"/>
  <c r="AZ276" i="36"/>
  <c r="BW99" i="36"/>
  <c r="AZ99" i="36"/>
  <c r="BW172" i="36"/>
  <c r="AZ172" i="36"/>
  <c r="AZ184" i="36"/>
  <c r="BW184" i="36"/>
  <c r="AZ35" i="36"/>
  <c r="BW35" i="36"/>
  <c r="AZ194" i="36"/>
  <c r="BW194" i="36"/>
  <c r="BW51" i="36"/>
  <c r="AZ51" i="36"/>
  <c r="AZ81" i="36"/>
  <c r="BW81" i="36"/>
  <c r="AZ70" i="36"/>
  <c r="BW70" i="36"/>
  <c r="BW261" i="36"/>
  <c r="AZ261" i="36"/>
  <c r="BW71" i="36"/>
  <c r="AZ71" i="36"/>
  <c r="AZ292" i="36"/>
  <c r="BW292" i="36"/>
  <c r="BW283" i="36"/>
  <c r="AZ283" i="36"/>
  <c r="BW249" i="36"/>
  <c r="AZ249" i="36"/>
  <c r="AZ55" i="36"/>
  <c r="BW55" i="36"/>
  <c r="AZ289" i="36"/>
  <c r="BW289" i="36"/>
  <c r="BW277" i="36"/>
  <c r="AZ277" i="36"/>
  <c r="BW53" i="36"/>
  <c r="AZ53" i="36"/>
  <c r="BW117" i="36"/>
  <c r="AZ117" i="36"/>
  <c r="BW169" i="36"/>
  <c r="AZ169" i="36"/>
  <c r="BW5" i="36"/>
  <c r="AZ5" i="36"/>
  <c r="AZ18" i="36"/>
  <c r="BW18" i="36"/>
  <c r="BW257" i="36"/>
  <c r="AZ257" i="36"/>
  <c r="AZ181" i="36"/>
  <c r="BW181" i="36"/>
  <c r="BH4" i="36"/>
  <c r="BI4" i="36" s="1"/>
  <c r="BW238" i="36"/>
  <c r="AZ238" i="36"/>
  <c r="BW135" i="36"/>
  <c r="AZ135" i="36"/>
  <c r="AZ195" i="36"/>
  <c r="BW195" i="36"/>
  <c r="BW83" i="36"/>
  <c r="AZ83" i="36"/>
  <c r="AZ251" i="36"/>
  <c r="BW251" i="36"/>
  <c r="BW264" i="36"/>
  <c r="AZ264" i="36"/>
  <c r="BW187" i="36"/>
  <c r="AZ187" i="36"/>
  <c r="AZ267" i="36"/>
  <c r="BW267" i="36"/>
  <c r="AZ225" i="36"/>
  <c r="BW225" i="36"/>
  <c r="AZ236" i="36"/>
  <c r="BW236" i="36"/>
  <c r="AZ170" i="36"/>
  <c r="BW170" i="36"/>
  <c r="BW255" i="36"/>
  <c r="AZ255" i="36"/>
  <c r="BW140" i="36"/>
  <c r="AZ140" i="36"/>
  <c r="BW133" i="36"/>
  <c r="AZ133" i="36"/>
  <c r="AZ227" i="36"/>
  <c r="BW227" i="36"/>
  <c r="AZ50" i="36"/>
  <c r="BW50" i="36"/>
  <c r="AZ130" i="36"/>
  <c r="BW130" i="36"/>
  <c r="BW39" i="36"/>
  <c r="AZ39" i="36"/>
  <c r="AZ127" i="36"/>
  <c r="BW127" i="36"/>
  <c r="BW220" i="36"/>
  <c r="AZ220" i="36"/>
  <c r="AZ28" i="36"/>
  <c r="BW28" i="36"/>
  <c r="BW85" i="36"/>
  <c r="AZ85" i="36"/>
  <c r="BW199" i="36"/>
  <c r="AZ199" i="36"/>
  <c r="AZ59" i="36"/>
  <c r="BW59" i="36"/>
  <c r="AZ242" i="36"/>
  <c r="BW242" i="36"/>
  <c r="AZ42" i="36"/>
  <c r="BW42" i="36"/>
  <c r="BW49" i="36"/>
  <c r="AZ49" i="36"/>
  <c r="BW171" i="36"/>
  <c r="AZ171" i="36"/>
  <c r="BW164" i="36"/>
  <c r="AZ164" i="36"/>
  <c r="AD292" i="36"/>
  <c r="AE292" i="36" s="1"/>
  <c r="AF292" i="36" s="1"/>
  <c r="AG292" i="36" s="1"/>
  <c r="AH292" i="36" s="1"/>
  <c r="AI292" i="36" s="1"/>
  <c r="AJ292" i="36" s="1"/>
  <c r="AK292" i="36" s="1"/>
  <c r="AL292" i="36" s="1"/>
  <c r="AM292" i="36" s="1"/>
  <c r="AN292" i="36" s="1"/>
  <c r="AO292" i="36" s="1"/>
  <c r="AP292" i="36" s="1"/>
  <c r="AQ292" i="36" s="1"/>
  <c r="AR292" i="36" s="1"/>
  <c r="AS292" i="36" s="1"/>
  <c r="AT292" i="36" s="1"/>
  <c r="AU292" i="36" s="1"/>
  <c r="AV292" i="36" s="1"/>
  <c r="AW292" i="36" s="1"/>
  <c r="AX292" i="36" s="1"/>
  <c r="Z292" i="36" s="1"/>
  <c r="AD278" i="36"/>
  <c r="AE278" i="36" s="1"/>
  <c r="AF278" i="36" s="1"/>
  <c r="AG278" i="36" s="1"/>
  <c r="AH278" i="36" s="1"/>
  <c r="AI278" i="36" s="1"/>
  <c r="AJ278" i="36" s="1"/>
  <c r="AK278" i="36" s="1"/>
  <c r="AL278" i="36" s="1"/>
  <c r="AM278" i="36" s="1"/>
  <c r="AN278" i="36" s="1"/>
  <c r="AO278" i="36" s="1"/>
  <c r="AP278" i="36" s="1"/>
  <c r="AQ278" i="36" s="1"/>
  <c r="AR278" i="36" s="1"/>
  <c r="AS278" i="36" s="1"/>
  <c r="AT278" i="36" s="1"/>
  <c r="AU278" i="36" s="1"/>
  <c r="AV278" i="36" s="1"/>
  <c r="AW278" i="36" s="1"/>
  <c r="AX278" i="36" s="1"/>
  <c r="Z278" i="36" s="1"/>
  <c r="AD294" i="36"/>
  <c r="AE294" i="36" s="1"/>
  <c r="AF294" i="36" s="1"/>
  <c r="AG294" i="36" s="1"/>
  <c r="AH294" i="36" s="1"/>
  <c r="AI294" i="36" s="1"/>
  <c r="AJ294" i="36" s="1"/>
  <c r="AK294" i="36" s="1"/>
  <c r="AL294" i="36" s="1"/>
  <c r="AM294" i="36" s="1"/>
  <c r="AN294" i="36" s="1"/>
  <c r="AO294" i="36" s="1"/>
  <c r="AP294" i="36" s="1"/>
  <c r="AQ294" i="36" s="1"/>
  <c r="AR294" i="36" s="1"/>
  <c r="AS294" i="36" s="1"/>
  <c r="AT294" i="36" s="1"/>
  <c r="AU294" i="36" s="1"/>
  <c r="AV294" i="36" s="1"/>
  <c r="AW294" i="36" s="1"/>
  <c r="AX294" i="36" s="1"/>
  <c r="Z294" i="36" s="1"/>
  <c r="AD279" i="36"/>
  <c r="AE279" i="36" s="1"/>
  <c r="AF279" i="36" s="1"/>
  <c r="AG279" i="36" s="1"/>
  <c r="AH279" i="36" s="1"/>
  <c r="AI279" i="36" s="1"/>
  <c r="AJ279" i="36" s="1"/>
  <c r="AK279" i="36" s="1"/>
  <c r="AL279" i="36" s="1"/>
  <c r="AM279" i="36" s="1"/>
  <c r="AN279" i="36" s="1"/>
  <c r="AO279" i="36" s="1"/>
  <c r="AP279" i="36" s="1"/>
  <c r="AQ279" i="36" s="1"/>
  <c r="AR279" i="36" s="1"/>
  <c r="AS279" i="36" s="1"/>
  <c r="AT279" i="36" s="1"/>
  <c r="AU279" i="36" s="1"/>
  <c r="AV279" i="36" s="1"/>
  <c r="AW279" i="36" s="1"/>
  <c r="AX279" i="36" s="1"/>
  <c r="Z279" i="36" s="1"/>
  <c r="AD295" i="36"/>
  <c r="AE295" i="36" s="1"/>
  <c r="AF295" i="36" s="1"/>
  <c r="AG295" i="36" s="1"/>
  <c r="AH295" i="36" s="1"/>
  <c r="AI295" i="36" s="1"/>
  <c r="AJ295" i="36" s="1"/>
  <c r="AK295" i="36" s="1"/>
  <c r="AL295" i="36" s="1"/>
  <c r="AM295" i="36" s="1"/>
  <c r="AN295" i="36" s="1"/>
  <c r="AO295" i="36" s="1"/>
  <c r="AP295" i="36" s="1"/>
  <c r="AQ295" i="36" s="1"/>
  <c r="AR295" i="36" s="1"/>
  <c r="AS295" i="36" s="1"/>
  <c r="AT295" i="36" s="1"/>
  <c r="AU295" i="36" s="1"/>
  <c r="AV295" i="36" s="1"/>
  <c r="AW295" i="36" s="1"/>
  <c r="AX295" i="36" s="1"/>
  <c r="Z295" i="36" s="1"/>
  <c r="AD303" i="36"/>
  <c r="AE303" i="36" s="1"/>
  <c r="AF303" i="36" s="1"/>
  <c r="AG303" i="36" s="1"/>
  <c r="AH303" i="36" s="1"/>
  <c r="AI303" i="36" s="1"/>
  <c r="AJ303" i="36" s="1"/>
  <c r="AK303" i="36" s="1"/>
  <c r="AL303" i="36" s="1"/>
  <c r="AM303" i="36" s="1"/>
  <c r="AN303" i="36" s="1"/>
  <c r="AO303" i="36" s="1"/>
  <c r="AP303" i="36" s="1"/>
  <c r="AQ303" i="36" s="1"/>
  <c r="AR303" i="36" s="1"/>
  <c r="AS303" i="36" s="1"/>
  <c r="AT303" i="36" s="1"/>
  <c r="AU303" i="36" s="1"/>
  <c r="AV303" i="36" s="1"/>
  <c r="AW303" i="36" s="1"/>
  <c r="AX303" i="36" s="1"/>
  <c r="Z303" i="36" s="1"/>
  <c r="AD301" i="36"/>
  <c r="AE301" i="36" s="1"/>
  <c r="AF301" i="36" s="1"/>
  <c r="AG301" i="36" s="1"/>
  <c r="AH301" i="36" s="1"/>
  <c r="AI301" i="36" s="1"/>
  <c r="AJ301" i="36" s="1"/>
  <c r="AK301" i="36" s="1"/>
  <c r="AL301" i="36" s="1"/>
  <c r="AM301" i="36" s="1"/>
  <c r="AN301" i="36" s="1"/>
  <c r="AO301" i="36" s="1"/>
  <c r="AP301" i="36" s="1"/>
  <c r="AQ301" i="36" s="1"/>
  <c r="AR301" i="36" s="1"/>
  <c r="AS301" i="36" s="1"/>
  <c r="AT301" i="36" s="1"/>
  <c r="AU301" i="36" s="1"/>
  <c r="AV301" i="36" s="1"/>
  <c r="AW301" i="36" s="1"/>
  <c r="AX301" i="36" s="1"/>
  <c r="Z301" i="36" s="1"/>
  <c r="AD304" i="36"/>
  <c r="AE304" i="36" s="1"/>
  <c r="AF304" i="36" s="1"/>
  <c r="AG304" i="36" s="1"/>
  <c r="AH304" i="36" s="1"/>
  <c r="AI304" i="36" s="1"/>
  <c r="AJ304" i="36" s="1"/>
  <c r="AK304" i="36" s="1"/>
  <c r="AL304" i="36" s="1"/>
  <c r="AM304" i="36" s="1"/>
  <c r="AN304" i="36" s="1"/>
  <c r="AO304" i="36" s="1"/>
  <c r="AP304" i="36" s="1"/>
  <c r="AQ304" i="36" s="1"/>
  <c r="AR304" i="36" s="1"/>
  <c r="AS304" i="36" s="1"/>
  <c r="AT304" i="36" s="1"/>
  <c r="AU304" i="36" s="1"/>
  <c r="AV304" i="36" s="1"/>
  <c r="AW304" i="36" s="1"/>
  <c r="AX304" i="36" s="1"/>
  <c r="Z304" i="36" s="1"/>
  <c r="AD298" i="36"/>
  <c r="AE298" i="36" s="1"/>
  <c r="AF298" i="36" s="1"/>
  <c r="AG298" i="36" s="1"/>
  <c r="AH298" i="36" s="1"/>
  <c r="AI298" i="36" s="1"/>
  <c r="AJ298" i="36" s="1"/>
  <c r="AK298" i="36" s="1"/>
  <c r="AL298" i="36" s="1"/>
  <c r="AM298" i="36" s="1"/>
  <c r="AN298" i="36" s="1"/>
  <c r="AO298" i="36" s="1"/>
  <c r="AP298" i="36" s="1"/>
  <c r="AQ298" i="36" s="1"/>
  <c r="AR298" i="36" s="1"/>
  <c r="AS298" i="36" s="1"/>
  <c r="AT298" i="36" s="1"/>
  <c r="AU298" i="36" s="1"/>
  <c r="AV298" i="36" s="1"/>
  <c r="AW298" i="36" s="1"/>
  <c r="AX298" i="36" s="1"/>
  <c r="Z298" i="36" s="1"/>
  <c r="AD284" i="36"/>
  <c r="AE284" i="36" s="1"/>
  <c r="AF284" i="36" s="1"/>
  <c r="AG284" i="36" s="1"/>
  <c r="AH284" i="36" s="1"/>
  <c r="AI284" i="36" s="1"/>
  <c r="AJ284" i="36" s="1"/>
  <c r="AK284" i="36" s="1"/>
  <c r="AL284" i="36" s="1"/>
  <c r="AM284" i="36" s="1"/>
  <c r="AN284" i="36" s="1"/>
  <c r="AO284" i="36" s="1"/>
  <c r="AP284" i="36" s="1"/>
  <c r="AQ284" i="36" s="1"/>
  <c r="AR284" i="36" s="1"/>
  <c r="AS284" i="36" s="1"/>
  <c r="AT284" i="36" s="1"/>
  <c r="AU284" i="36" s="1"/>
  <c r="AV284" i="36" s="1"/>
  <c r="AW284" i="36" s="1"/>
  <c r="AX284" i="36" s="1"/>
  <c r="Z284" i="36" s="1"/>
  <c r="AD287" i="36"/>
  <c r="AE287" i="36" s="1"/>
  <c r="AF287" i="36" s="1"/>
  <c r="AG287" i="36" s="1"/>
  <c r="AH287" i="36" s="1"/>
  <c r="AI287" i="36" s="1"/>
  <c r="AJ287" i="36" s="1"/>
  <c r="AK287" i="36" s="1"/>
  <c r="AL287" i="36" s="1"/>
  <c r="AM287" i="36" s="1"/>
  <c r="AN287" i="36" s="1"/>
  <c r="AO287" i="36" s="1"/>
  <c r="AP287" i="36" s="1"/>
  <c r="AQ287" i="36" s="1"/>
  <c r="AR287" i="36" s="1"/>
  <c r="AS287" i="36" s="1"/>
  <c r="AT287" i="36" s="1"/>
  <c r="AU287" i="36" s="1"/>
  <c r="AV287" i="36" s="1"/>
  <c r="AW287" i="36" s="1"/>
  <c r="AX287" i="36" s="1"/>
  <c r="Z287" i="36" s="1"/>
  <c r="AD299" i="36"/>
  <c r="AE299" i="36" s="1"/>
  <c r="AF299" i="36" s="1"/>
  <c r="AG299" i="36" s="1"/>
  <c r="AH299" i="36" s="1"/>
  <c r="AI299" i="36" s="1"/>
  <c r="AJ299" i="36" s="1"/>
  <c r="AK299" i="36" s="1"/>
  <c r="AL299" i="36" s="1"/>
  <c r="AM299" i="36" s="1"/>
  <c r="AN299" i="36" s="1"/>
  <c r="AO299" i="36" s="1"/>
  <c r="AP299" i="36" s="1"/>
  <c r="AQ299" i="36" s="1"/>
  <c r="AR299" i="36" s="1"/>
  <c r="AS299" i="36" s="1"/>
  <c r="AT299" i="36" s="1"/>
  <c r="AU299" i="36" s="1"/>
  <c r="AV299" i="36" s="1"/>
  <c r="AW299" i="36" s="1"/>
  <c r="AX299" i="36" s="1"/>
  <c r="Z299" i="36" s="1"/>
  <c r="AD302" i="36"/>
  <c r="AE302" i="36" s="1"/>
  <c r="AF302" i="36" s="1"/>
  <c r="AG302" i="36" s="1"/>
  <c r="AH302" i="36" s="1"/>
  <c r="AI302" i="36" s="1"/>
  <c r="AJ302" i="36" s="1"/>
  <c r="AK302" i="36" s="1"/>
  <c r="AL302" i="36" s="1"/>
  <c r="AM302" i="36" s="1"/>
  <c r="AN302" i="36" s="1"/>
  <c r="AO302" i="36" s="1"/>
  <c r="AP302" i="36" s="1"/>
  <c r="AQ302" i="36" s="1"/>
  <c r="AR302" i="36" s="1"/>
  <c r="AS302" i="36" s="1"/>
  <c r="AT302" i="36" s="1"/>
  <c r="AU302" i="36" s="1"/>
  <c r="AV302" i="36" s="1"/>
  <c r="AW302" i="36" s="1"/>
  <c r="AX302" i="36" s="1"/>
  <c r="Z302" i="36" s="1"/>
  <c r="AD282" i="36"/>
  <c r="AE282" i="36" s="1"/>
  <c r="AF282" i="36" s="1"/>
  <c r="AG282" i="36" s="1"/>
  <c r="AH282" i="36" s="1"/>
  <c r="AI282" i="36" s="1"/>
  <c r="AJ282" i="36" s="1"/>
  <c r="AK282" i="36" s="1"/>
  <c r="AL282" i="36" s="1"/>
  <c r="AM282" i="36" s="1"/>
  <c r="AN282" i="36" s="1"/>
  <c r="AO282" i="36" s="1"/>
  <c r="AP282" i="36" s="1"/>
  <c r="AQ282" i="36" s="1"/>
  <c r="AR282" i="36" s="1"/>
  <c r="AS282" i="36" s="1"/>
  <c r="AT282" i="36" s="1"/>
  <c r="AU282" i="36" s="1"/>
  <c r="AV282" i="36" s="1"/>
  <c r="AW282" i="36" s="1"/>
  <c r="AX282" i="36" s="1"/>
  <c r="Z282" i="36" s="1"/>
  <c r="AD300" i="36"/>
  <c r="AE300" i="36" s="1"/>
  <c r="AF300" i="36" s="1"/>
  <c r="AG300" i="36" s="1"/>
  <c r="AH300" i="36" s="1"/>
  <c r="AI300" i="36" s="1"/>
  <c r="AJ300" i="36" s="1"/>
  <c r="AK300" i="36" s="1"/>
  <c r="AL300" i="36" s="1"/>
  <c r="AM300" i="36" s="1"/>
  <c r="AN300" i="36" s="1"/>
  <c r="AO300" i="36" s="1"/>
  <c r="AP300" i="36" s="1"/>
  <c r="AQ300" i="36" s="1"/>
  <c r="AR300" i="36" s="1"/>
  <c r="AS300" i="36" s="1"/>
  <c r="AT300" i="36" s="1"/>
  <c r="AU300" i="36" s="1"/>
  <c r="AV300" i="36" s="1"/>
  <c r="AW300" i="36" s="1"/>
  <c r="AX300" i="36" s="1"/>
  <c r="Z300" i="36" s="1"/>
  <c r="AD275" i="36"/>
  <c r="AE275" i="36" s="1"/>
  <c r="AF275" i="36" s="1"/>
  <c r="AG275" i="36" s="1"/>
  <c r="AH275" i="36" s="1"/>
  <c r="AI275" i="36" s="1"/>
  <c r="AJ275" i="36" s="1"/>
  <c r="AK275" i="36" s="1"/>
  <c r="AL275" i="36" s="1"/>
  <c r="AM275" i="36" s="1"/>
  <c r="AN275" i="36" s="1"/>
  <c r="AO275" i="36" s="1"/>
  <c r="AP275" i="36" s="1"/>
  <c r="AQ275" i="36" s="1"/>
  <c r="AR275" i="36" s="1"/>
  <c r="AS275" i="36" s="1"/>
  <c r="AT275" i="36" s="1"/>
  <c r="AU275" i="36" s="1"/>
  <c r="AV275" i="36" s="1"/>
  <c r="AW275" i="36" s="1"/>
  <c r="AX275" i="36" s="1"/>
  <c r="Z275" i="36" s="1"/>
  <c r="AD286" i="36"/>
  <c r="AE286" i="36" s="1"/>
  <c r="AF286" i="36" s="1"/>
  <c r="AG286" i="36" s="1"/>
  <c r="AH286" i="36" s="1"/>
  <c r="AI286" i="36" s="1"/>
  <c r="AJ286" i="36" s="1"/>
  <c r="AK286" i="36" s="1"/>
  <c r="AL286" i="36" s="1"/>
  <c r="AM286" i="36" s="1"/>
  <c r="AN286" i="36" s="1"/>
  <c r="AO286" i="36" s="1"/>
  <c r="AP286" i="36" s="1"/>
  <c r="AQ286" i="36" s="1"/>
  <c r="AR286" i="36" s="1"/>
  <c r="AS286" i="36" s="1"/>
  <c r="AT286" i="36" s="1"/>
  <c r="AU286" i="36" s="1"/>
  <c r="AV286" i="36" s="1"/>
  <c r="AW286" i="36" s="1"/>
  <c r="AX286" i="36" s="1"/>
  <c r="Z286" i="36" s="1"/>
  <c r="AD280" i="36"/>
  <c r="AE280" i="36" s="1"/>
  <c r="AF280" i="36" s="1"/>
  <c r="AG280" i="36" s="1"/>
  <c r="AH280" i="36" s="1"/>
  <c r="AI280" i="36" s="1"/>
  <c r="AJ280" i="36" s="1"/>
  <c r="AK280" i="36" s="1"/>
  <c r="AL280" i="36" s="1"/>
  <c r="AM280" i="36" s="1"/>
  <c r="AN280" i="36" s="1"/>
  <c r="AO280" i="36" s="1"/>
  <c r="AP280" i="36" s="1"/>
  <c r="AQ280" i="36" s="1"/>
  <c r="AR280" i="36" s="1"/>
  <c r="AS280" i="36" s="1"/>
  <c r="AT280" i="36" s="1"/>
  <c r="AU280" i="36" s="1"/>
  <c r="AV280" i="36" s="1"/>
  <c r="AW280" i="36" s="1"/>
  <c r="AX280" i="36" s="1"/>
  <c r="Z280" i="36" s="1"/>
  <c r="AD281" i="36"/>
  <c r="AE281" i="36" s="1"/>
  <c r="AF281" i="36" s="1"/>
  <c r="AG281" i="36" s="1"/>
  <c r="AH281" i="36" s="1"/>
  <c r="AI281" i="36" s="1"/>
  <c r="AJ281" i="36" s="1"/>
  <c r="AK281" i="36" s="1"/>
  <c r="AL281" i="36" s="1"/>
  <c r="AM281" i="36" s="1"/>
  <c r="AN281" i="36" s="1"/>
  <c r="AO281" i="36" s="1"/>
  <c r="AP281" i="36" s="1"/>
  <c r="AQ281" i="36" s="1"/>
  <c r="AR281" i="36" s="1"/>
  <c r="AS281" i="36" s="1"/>
  <c r="AT281" i="36" s="1"/>
  <c r="AU281" i="36" s="1"/>
  <c r="AV281" i="36" s="1"/>
  <c r="AW281" i="36" s="1"/>
  <c r="AX281" i="36" s="1"/>
  <c r="Z281" i="36" s="1"/>
  <c r="AD285" i="36"/>
  <c r="AE285" i="36" s="1"/>
  <c r="AF285" i="36" s="1"/>
  <c r="AG285" i="36" s="1"/>
  <c r="AH285" i="36" s="1"/>
  <c r="AI285" i="36" s="1"/>
  <c r="AJ285" i="36" s="1"/>
  <c r="AK285" i="36" s="1"/>
  <c r="AL285" i="36" s="1"/>
  <c r="AM285" i="36" s="1"/>
  <c r="AN285" i="36" s="1"/>
  <c r="AO285" i="36" s="1"/>
  <c r="AP285" i="36" s="1"/>
  <c r="AQ285" i="36" s="1"/>
  <c r="AR285" i="36" s="1"/>
  <c r="AS285" i="36" s="1"/>
  <c r="AT285" i="36" s="1"/>
  <c r="AU285" i="36" s="1"/>
  <c r="AV285" i="36" s="1"/>
  <c r="AW285" i="36" s="1"/>
  <c r="AX285" i="36" s="1"/>
  <c r="Z285" i="36" s="1"/>
  <c r="AD289" i="36"/>
  <c r="AE289" i="36" s="1"/>
  <c r="AF289" i="36" s="1"/>
  <c r="AG289" i="36" s="1"/>
  <c r="AH289" i="36" s="1"/>
  <c r="AI289" i="36" s="1"/>
  <c r="AJ289" i="36" s="1"/>
  <c r="AK289" i="36" s="1"/>
  <c r="AL289" i="36" s="1"/>
  <c r="AM289" i="36" s="1"/>
  <c r="AN289" i="36" s="1"/>
  <c r="AO289" i="36" s="1"/>
  <c r="AP289" i="36" s="1"/>
  <c r="AQ289" i="36" s="1"/>
  <c r="AR289" i="36" s="1"/>
  <c r="AS289" i="36" s="1"/>
  <c r="AT289" i="36" s="1"/>
  <c r="AU289" i="36" s="1"/>
  <c r="AV289" i="36" s="1"/>
  <c r="AW289" i="36" s="1"/>
  <c r="AX289" i="36" s="1"/>
  <c r="Z289" i="36" s="1"/>
  <c r="AD276" i="36"/>
  <c r="AE276" i="36" s="1"/>
  <c r="AF276" i="36" s="1"/>
  <c r="AG276" i="36" s="1"/>
  <c r="AH276" i="36" s="1"/>
  <c r="AI276" i="36" s="1"/>
  <c r="AJ276" i="36" s="1"/>
  <c r="AK276" i="36" s="1"/>
  <c r="AL276" i="36" s="1"/>
  <c r="AM276" i="36" s="1"/>
  <c r="AN276" i="36" s="1"/>
  <c r="AO276" i="36" s="1"/>
  <c r="AP276" i="36" s="1"/>
  <c r="AQ276" i="36" s="1"/>
  <c r="AR276" i="36" s="1"/>
  <c r="AS276" i="36" s="1"/>
  <c r="AT276" i="36" s="1"/>
  <c r="AU276" i="36" s="1"/>
  <c r="AV276" i="36" s="1"/>
  <c r="AW276" i="36" s="1"/>
  <c r="AX276" i="36" s="1"/>
  <c r="Z276" i="36" s="1"/>
  <c r="AD293" i="36"/>
  <c r="AE293" i="36" s="1"/>
  <c r="AF293" i="36" s="1"/>
  <c r="AG293" i="36" s="1"/>
  <c r="AH293" i="36" s="1"/>
  <c r="AI293" i="36" s="1"/>
  <c r="AJ293" i="36" s="1"/>
  <c r="AK293" i="36" s="1"/>
  <c r="AL293" i="36" s="1"/>
  <c r="AM293" i="36" s="1"/>
  <c r="AN293" i="36" s="1"/>
  <c r="AO293" i="36" s="1"/>
  <c r="AP293" i="36" s="1"/>
  <c r="AQ293" i="36" s="1"/>
  <c r="AR293" i="36" s="1"/>
  <c r="AS293" i="36" s="1"/>
  <c r="AT293" i="36" s="1"/>
  <c r="AU293" i="36" s="1"/>
  <c r="AV293" i="36" s="1"/>
  <c r="AW293" i="36" s="1"/>
  <c r="AX293" i="36" s="1"/>
  <c r="Z293" i="36" s="1"/>
  <c r="AD296" i="36"/>
  <c r="AE296" i="36" s="1"/>
  <c r="AF296" i="36" s="1"/>
  <c r="AG296" i="36" s="1"/>
  <c r="AH296" i="36" s="1"/>
  <c r="AI296" i="36" s="1"/>
  <c r="AJ296" i="36" s="1"/>
  <c r="AK296" i="36" s="1"/>
  <c r="AL296" i="36" s="1"/>
  <c r="AM296" i="36" s="1"/>
  <c r="AN296" i="36" s="1"/>
  <c r="AO296" i="36" s="1"/>
  <c r="AP296" i="36" s="1"/>
  <c r="AQ296" i="36" s="1"/>
  <c r="AR296" i="36" s="1"/>
  <c r="AS296" i="36" s="1"/>
  <c r="AT296" i="36" s="1"/>
  <c r="AU296" i="36" s="1"/>
  <c r="AV296" i="36" s="1"/>
  <c r="AW296" i="36" s="1"/>
  <c r="AX296" i="36" s="1"/>
  <c r="Z296" i="36" s="1"/>
  <c r="AD297" i="36"/>
  <c r="AE297" i="36" s="1"/>
  <c r="AF297" i="36" s="1"/>
  <c r="AG297" i="36" s="1"/>
  <c r="AH297" i="36" s="1"/>
  <c r="AI297" i="36" s="1"/>
  <c r="AJ297" i="36" s="1"/>
  <c r="AK297" i="36" s="1"/>
  <c r="AL297" i="36" s="1"/>
  <c r="AM297" i="36" s="1"/>
  <c r="AN297" i="36" s="1"/>
  <c r="AO297" i="36" s="1"/>
  <c r="AP297" i="36" s="1"/>
  <c r="AQ297" i="36" s="1"/>
  <c r="AR297" i="36" s="1"/>
  <c r="AS297" i="36" s="1"/>
  <c r="AT297" i="36" s="1"/>
  <c r="AU297" i="36" s="1"/>
  <c r="AV297" i="36" s="1"/>
  <c r="AW297" i="36" s="1"/>
  <c r="AX297" i="36" s="1"/>
  <c r="Z297" i="36" s="1"/>
  <c r="AD277" i="36"/>
  <c r="AE277" i="36" s="1"/>
  <c r="AF277" i="36" s="1"/>
  <c r="AG277" i="36" s="1"/>
  <c r="AH277" i="36" s="1"/>
  <c r="AI277" i="36" s="1"/>
  <c r="AJ277" i="36" s="1"/>
  <c r="AK277" i="36" s="1"/>
  <c r="AL277" i="36" s="1"/>
  <c r="AM277" i="36" s="1"/>
  <c r="AN277" i="36" s="1"/>
  <c r="AO277" i="36" s="1"/>
  <c r="AP277" i="36" s="1"/>
  <c r="AQ277" i="36" s="1"/>
  <c r="AR277" i="36" s="1"/>
  <c r="AS277" i="36" s="1"/>
  <c r="AT277" i="36" s="1"/>
  <c r="AU277" i="36" s="1"/>
  <c r="AV277" i="36" s="1"/>
  <c r="AW277" i="36" s="1"/>
  <c r="AX277" i="36" s="1"/>
  <c r="Z277" i="36" s="1"/>
  <c r="AD290" i="36"/>
  <c r="AE290" i="36" s="1"/>
  <c r="AF290" i="36" s="1"/>
  <c r="AG290" i="36" s="1"/>
  <c r="AH290" i="36" s="1"/>
  <c r="AI290" i="36" s="1"/>
  <c r="AJ290" i="36" s="1"/>
  <c r="AK290" i="36" s="1"/>
  <c r="AL290" i="36" s="1"/>
  <c r="AM290" i="36" s="1"/>
  <c r="AN290" i="36" s="1"/>
  <c r="AO290" i="36" s="1"/>
  <c r="AP290" i="36" s="1"/>
  <c r="AQ290" i="36" s="1"/>
  <c r="AR290" i="36" s="1"/>
  <c r="AS290" i="36" s="1"/>
  <c r="AT290" i="36" s="1"/>
  <c r="AU290" i="36" s="1"/>
  <c r="AV290" i="36" s="1"/>
  <c r="AW290" i="36" s="1"/>
  <c r="AX290" i="36" s="1"/>
  <c r="Z290" i="36" s="1"/>
  <c r="AD288" i="36"/>
  <c r="AE288" i="36" s="1"/>
  <c r="AF288" i="36" s="1"/>
  <c r="AG288" i="36" s="1"/>
  <c r="AH288" i="36" s="1"/>
  <c r="AI288" i="36" s="1"/>
  <c r="AJ288" i="36" s="1"/>
  <c r="AK288" i="36" s="1"/>
  <c r="AL288" i="36" s="1"/>
  <c r="AM288" i="36" s="1"/>
  <c r="AN288" i="36" s="1"/>
  <c r="AO288" i="36" s="1"/>
  <c r="AP288" i="36" s="1"/>
  <c r="AQ288" i="36" s="1"/>
  <c r="AR288" i="36" s="1"/>
  <c r="AS288" i="36" s="1"/>
  <c r="AT288" i="36" s="1"/>
  <c r="AU288" i="36" s="1"/>
  <c r="AV288" i="36" s="1"/>
  <c r="AW288" i="36" s="1"/>
  <c r="AX288" i="36" s="1"/>
  <c r="Z288" i="36" s="1"/>
  <c r="AD291" i="36"/>
  <c r="AE291" i="36" s="1"/>
  <c r="AF291" i="36" s="1"/>
  <c r="AG291" i="36" s="1"/>
  <c r="AH291" i="36" s="1"/>
  <c r="AI291" i="36" s="1"/>
  <c r="AJ291" i="36" s="1"/>
  <c r="AK291" i="36" s="1"/>
  <c r="AL291" i="36" s="1"/>
  <c r="AM291" i="36" s="1"/>
  <c r="AN291" i="36" s="1"/>
  <c r="AO291" i="36" s="1"/>
  <c r="AP291" i="36" s="1"/>
  <c r="AQ291" i="36" s="1"/>
  <c r="AR291" i="36" s="1"/>
  <c r="AS291" i="36" s="1"/>
  <c r="AT291" i="36" s="1"/>
  <c r="AU291" i="36" s="1"/>
  <c r="AV291" i="36" s="1"/>
  <c r="AW291" i="36" s="1"/>
  <c r="AX291" i="36" s="1"/>
  <c r="Z291" i="36" s="1"/>
  <c r="AD283" i="36"/>
  <c r="AE283" i="36" s="1"/>
  <c r="AF283" i="36" s="1"/>
  <c r="AG283" i="36" s="1"/>
  <c r="AH283" i="36" s="1"/>
  <c r="AI283" i="36" s="1"/>
  <c r="AJ283" i="36" s="1"/>
  <c r="AK283" i="36" s="1"/>
  <c r="AL283" i="36" s="1"/>
  <c r="AM283" i="36" s="1"/>
  <c r="AN283" i="36" s="1"/>
  <c r="AO283" i="36" s="1"/>
  <c r="AP283" i="36" s="1"/>
  <c r="AQ283" i="36" s="1"/>
  <c r="AR283" i="36" s="1"/>
  <c r="AS283" i="36" s="1"/>
  <c r="AT283" i="36" s="1"/>
  <c r="AU283" i="36" s="1"/>
  <c r="AV283" i="36" s="1"/>
  <c r="AW283" i="36" s="1"/>
  <c r="AX283" i="36" s="1"/>
  <c r="Z283" i="36" s="1"/>
  <c r="J15" i="12" a="1"/>
  <c r="J15" i="12" s="1"/>
  <c r="J14" i="12" a="1"/>
  <c r="J14" i="12" s="1"/>
  <c r="J13" i="12" a="1"/>
  <c r="J13" i="12" s="1"/>
  <c r="I15" i="12" a="1"/>
  <c r="I15" i="12" s="1"/>
  <c r="I14" i="12" a="1"/>
  <c r="I14" i="12" s="1"/>
  <c r="I13" i="12" a="1"/>
  <c r="I13" i="12" s="1"/>
  <c r="F19" i="13"/>
  <c r="E4" i="38" l="1"/>
  <c r="I4" i="38" s="1"/>
  <c r="D4" i="38"/>
  <c r="H4" i="38" s="1"/>
  <c r="C4" i="38"/>
  <c r="G4" i="38" s="1"/>
  <c r="BJ4" i="36"/>
  <c r="BK4" i="36" s="1"/>
  <c r="BL4" i="36" s="1"/>
  <c r="BM4" i="36" s="1"/>
  <c r="BN4" i="36" s="1"/>
  <c r="BO4" i="36" s="1"/>
  <c r="BP4" i="36" s="1"/>
  <c r="BQ4" i="36" s="1"/>
  <c r="BR4" i="36" s="1"/>
  <c r="BS4" i="36" s="1"/>
  <c r="BT4" i="36" s="1"/>
  <c r="BU4" i="36" s="1"/>
  <c r="BV4" i="36" s="1"/>
  <c r="H5" i="38" l="1"/>
  <c r="I5" i="38"/>
  <c r="BW4" i="36"/>
  <c r="AZ4" i="36"/>
  <c r="G5" i="38" l="1"/>
  <c r="C23" i="12"/>
  <c r="D22" i="37" l="1"/>
  <c r="M22" i="37" s="1"/>
  <c r="D14" i="37"/>
  <c r="M14" i="37" s="1"/>
  <c r="D6" i="37"/>
  <c r="M6" i="37" s="1"/>
  <c r="M333" i="37" l="1"/>
  <c r="L333" i="37"/>
  <c r="M332" i="37"/>
  <c r="L332" i="37"/>
  <c r="M331" i="37"/>
  <c r="L331" i="37"/>
  <c r="M330" i="37"/>
  <c r="L330" i="37"/>
  <c r="M329" i="37"/>
  <c r="L329" i="37"/>
  <c r="M328" i="37"/>
  <c r="L328" i="37"/>
  <c r="M327" i="37"/>
  <c r="L327" i="37"/>
  <c r="M326" i="37"/>
  <c r="L326" i="37"/>
  <c r="M325" i="37"/>
  <c r="L325" i="37"/>
  <c r="M324" i="37"/>
  <c r="L324" i="37"/>
  <c r="M323" i="37"/>
  <c r="L323" i="37"/>
  <c r="M322" i="37"/>
  <c r="L322" i="37"/>
  <c r="M321" i="37"/>
  <c r="L321" i="37"/>
  <c r="M320" i="37"/>
  <c r="L320" i="37"/>
  <c r="M319" i="37"/>
  <c r="L319" i="37"/>
  <c r="M318" i="37"/>
  <c r="L318" i="37"/>
  <c r="M317" i="37"/>
  <c r="L317" i="37"/>
  <c r="M316" i="37"/>
  <c r="L316" i="37"/>
  <c r="M315" i="37"/>
  <c r="L315" i="37"/>
  <c r="M314" i="37"/>
  <c r="L314" i="37"/>
  <c r="M313" i="37"/>
  <c r="L313" i="37"/>
  <c r="M312" i="37"/>
  <c r="L312" i="37"/>
  <c r="M311" i="37"/>
  <c r="L311" i="37"/>
  <c r="M310" i="37"/>
  <c r="L310" i="37"/>
  <c r="M309" i="37"/>
  <c r="L309" i="37"/>
  <c r="M308" i="37"/>
  <c r="L308" i="37"/>
  <c r="M307" i="37"/>
  <c r="L307" i="37"/>
  <c r="M306" i="37"/>
  <c r="L306" i="37"/>
  <c r="M305" i="37"/>
  <c r="L305" i="37"/>
  <c r="M304" i="37"/>
  <c r="L304" i="37"/>
  <c r="M303" i="37"/>
  <c r="L303" i="37"/>
  <c r="M302" i="37"/>
  <c r="L302" i="37"/>
  <c r="M301" i="37"/>
  <c r="L301" i="37"/>
  <c r="M300" i="37"/>
  <c r="L300" i="37"/>
  <c r="M299" i="37"/>
  <c r="L299" i="37"/>
  <c r="M298" i="37"/>
  <c r="L298" i="37"/>
  <c r="M297" i="37"/>
  <c r="L297" i="37"/>
  <c r="M296" i="37"/>
  <c r="L296" i="37"/>
  <c r="M295" i="37"/>
  <c r="L295" i="37"/>
  <c r="M294" i="37"/>
  <c r="L294" i="37"/>
  <c r="M293" i="37"/>
  <c r="L293" i="37"/>
  <c r="M292" i="37"/>
  <c r="L292" i="37"/>
  <c r="M291" i="37"/>
  <c r="L291" i="37"/>
  <c r="M290" i="37"/>
  <c r="L290" i="37"/>
  <c r="M289" i="37"/>
  <c r="L289" i="37"/>
  <c r="M288" i="37"/>
  <c r="L288" i="37"/>
  <c r="M287" i="37"/>
  <c r="L287" i="37"/>
  <c r="M286" i="37"/>
  <c r="L286" i="37"/>
  <c r="M285" i="37"/>
  <c r="L285" i="37"/>
  <c r="M284" i="37"/>
  <c r="L284" i="37"/>
  <c r="M283" i="37"/>
  <c r="L283" i="37"/>
  <c r="M282" i="37"/>
  <c r="L282" i="37"/>
  <c r="M281" i="37"/>
  <c r="L281" i="37"/>
  <c r="M280" i="37"/>
  <c r="L280" i="37"/>
  <c r="M279" i="37"/>
  <c r="L279" i="37"/>
  <c r="M278" i="37"/>
  <c r="L278" i="37"/>
  <c r="M277" i="37"/>
  <c r="L277" i="37"/>
  <c r="M276" i="37"/>
  <c r="L276" i="37"/>
  <c r="M275" i="37"/>
  <c r="L275" i="37"/>
  <c r="M274" i="37"/>
  <c r="L274" i="37"/>
  <c r="M273" i="37"/>
  <c r="L273" i="37"/>
  <c r="M272" i="37"/>
  <c r="L272" i="37"/>
  <c r="M271" i="37"/>
  <c r="L271" i="37"/>
  <c r="M270" i="37"/>
  <c r="L270" i="37"/>
  <c r="M269" i="37"/>
  <c r="L269" i="37"/>
  <c r="M268" i="37"/>
  <c r="L268" i="37"/>
  <c r="M267" i="37"/>
  <c r="L267" i="37"/>
  <c r="M266" i="37"/>
  <c r="L266" i="37"/>
  <c r="M265" i="37"/>
  <c r="L265" i="37"/>
  <c r="M264" i="37"/>
  <c r="L264" i="37"/>
  <c r="M263" i="37"/>
  <c r="L263" i="37"/>
  <c r="M262" i="37"/>
  <c r="L262" i="37"/>
  <c r="M261" i="37"/>
  <c r="L261" i="37"/>
  <c r="M260" i="37"/>
  <c r="L260" i="37"/>
  <c r="M259" i="37"/>
  <c r="L259" i="37"/>
  <c r="M258" i="37"/>
  <c r="L258" i="37"/>
  <c r="M257" i="37"/>
  <c r="L257" i="37"/>
  <c r="M256" i="37"/>
  <c r="L256" i="37"/>
  <c r="M255" i="37"/>
  <c r="L255" i="37"/>
  <c r="M254" i="37"/>
  <c r="L254" i="37"/>
  <c r="M253" i="37"/>
  <c r="L253" i="37"/>
  <c r="M252" i="37"/>
  <c r="L252" i="37"/>
  <c r="M251" i="37"/>
  <c r="L251" i="37"/>
  <c r="M250" i="37"/>
  <c r="L250" i="37"/>
  <c r="M249" i="37"/>
  <c r="L249" i="37"/>
  <c r="M248" i="37"/>
  <c r="L248" i="37"/>
  <c r="M247" i="37"/>
  <c r="L247" i="37"/>
  <c r="M246" i="37"/>
  <c r="L246" i="37"/>
  <c r="M245" i="37"/>
  <c r="L245" i="37"/>
  <c r="M244" i="37"/>
  <c r="L244" i="37"/>
  <c r="M243" i="37"/>
  <c r="L243" i="37"/>
  <c r="M242" i="37"/>
  <c r="L242" i="37"/>
  <c r="M241" i="37"/>
  <c r="L241" i="37"/>
  <c r="M240" i="37"/>
  <c r="L240" i="37"/>
  <c r="M239" i="37"/>
  <c r="L239" i="37"/>
  <c r="M238" i="37"/>
  <c r="L238" i="37"/>
  <c r="M237" i="37"/>
  <c r="L237" i="37"/>
  <c r="M236" i="37"/>
  <c r="L236" i="37"/>
  <c r="M235" i="37"/>
  <c r="L235" i="37"/>
  <c r="M234" i="37"/>
  <c r="L234" i="37"/>
  <c r="M233" i="37"/>
  <c r="L233" i="37"/>
  <c r="M232" i="37"/>
  <c r="L232" i="37"/>
  <c r="M231" i="37"/>
  <c r="L231" i="37"/>
  <c r="M230" i="37"/>
  <c r="L230" i="37"/>
  <c r="M229" i="37"/>
  <c r="L229" i="37"/>
  <c r="M228" i="37"/>
  <c r="L228" i="37"/>
  <c r="M227" i="37"/>
  <c r="L227" i="37"/>
  <c r="M226" i="37"/>
  <c r="L226" i="37"/>
  <c r="M225" i="37"/>
  <c r="L225" i="37"/>
  <c r="M224" i="37"/>
  <c r="L224" i="37"/>
  <c r="M223" i="37"/>
  <c r="L223" i="37"/>
  <c r="M222" i="37"/>
  <c r="L222" i="37"/>
  <c r="M221" i="37"/>
  <c r="L221" i="37"/>
  <c r="M220" i="37"/>
  <c r="L220" i="37"/>
  <c r="M219" i="37"/>
  <c r="L219" i="37"/>
  <c r="M218" i="37"/>
  <c r="L218" i="37"/>
  <c r="M217" i="37"/>
  <c r="L217" i="37"/>
  <c r="M216" i="37"/>
  <c r="L216" i="37"/>
  <c r="M215" i="37"/>
  <c r="L215" i="37"/>
  <c r="M214" i="37"/>
  <c r="L214" i="37"/>
  <c r="M213" i="37"/>
  <c r="L213" i="37"/>
  <c r="M212" i="37"/>
  <c r="L212" i="37"/>
  <c r="M211" i="37"/>
  <c r="L211" i="37"/>
  <c r="M210" i="37"/>
  <c r="L210" i="37"/>
  <c r="M209" i="37"/>
  <c r="L209" i="37"/>
  <c r="M208" i="37"/>
  <c r="L208" i="37"/>
  <c r="M207" i="37"/>
  <c r="L207" i="37"/>
  <c r="M206" i="37"/>
  <c r="L206" i="37"/>
  <c r="M205" i="37"/>
  <c r="L205" i="37"/>
  <c r="M204" i="37"/>
  <c r="L204" i="37"/>
  <c r="M203" i="37"/>
  <c r="L203" i="37"/>
  <c r="M202" i="37"/>
  <c r="L202" i="37"/>
  <c r="M201" i="37"/>
  <c r="L201" i="37"/>
  <c r="M200" i="37"/>
  <c r="L200" i="37"/>
  <c r="M199" i="37"/>
  <c r="L199" i="37"/>
  <c r="M198" i="37"/>
  <c r="L198" i="37"/>
  <c r="M197" i="37"/>
  <c r="L197" i="37"/>
  <c r="M196" i="37"/>
  <c r="L196" i="37"/>
  <c r="M195" i="37"/>
  <c r="L195" i="37"/>
  <c r="M194" i="37"/>
  <c r="L194" i="37"/>
  <c r="M193" i="37"/>
  <c r="L193" i="37"/>
  <c r="M192" i="37"/>
  <c r="L192" i="37"/>
  <c r="M191" i="37"/>
  <c r="L191" i="37"/>
  <c r="M190" i="37"/>
  <c r="L190" i="37"/>
  <c r="M189" i="37"/>
  <c r="L189" i="37"/>
  <c r="M188" i="37"/>
  <c r="L188" i="37"/>
  <c r="M187" i="37"/>
  <c r="L187" i="37"/>
  <c r="M186" i="37"/>
  <c r="L186" i="37"/>
  <c r="M185" i="37"/>
  <c r="L185" i="37"/>
  <c r="M184" i="37"/>
  <c r="L184" i="37"/>
  <c r="M183" i="37"/>
  <c r="L183" i="37"/>
  <c r="M182" i="37"/>
  <c r="L182" i="37"/>
  <c r="M181" i="37"/>
  <c r="L181" i="37"/>
  <c r="M180" i="37"/>
  <c r="L180" i="37"/>
  <c r="M179" i="37"/>
  <c r="L179" i="37"/>
  <c r="M178" i="37"/>
  <c r="L178" i="37"/>
  <c r="M177" i="37"/>
  <c r="L177" i="37"/>
  <c r="M176" i="37"/>
  <c r="L176" i="37"/>
  <c r="M175" i="37"/>
  <c r="L175" i="37"/>
  <c r="M174" i="37"/>
  <c r="L174" i="37"/>
  <c r="M173" i="37"/>
  <c r="L173" i="37"/>
  <c r="M172" i="37"/>
  <c r="L172" i="37"/>
  <c r="M171" i="37"/>
  <c r="L171" i="37"/>
  <c r="M170" i="37"/>
  <c r="L170" i="37"/>
  <c r="M169" i="37"/>
  <c r="L169" i="37"/>
  <c r="M168" i="37"/>
  <c r="L168" i="37"/>
  <c r="M167" i="37"/>
  <c r="L167" i="37"/>
  <c r="M166" i="37"/>
  <c r="L166" i="37"/>
  <c r="M165" i="37"/>
  <c r="L165" i="37"/>
  <c r="M164" i="37"/>
  <c r="L164" i="37"/>
  <c r="M163" i="37"/>
  <c r="L163" i="37"/>
  <c r="M162" i="37"/>
  <c r="L162" i="37"/>
  <c r="M161" i="37"/>
  <c r="L161" i="37"/>
  <c r="M160" i="37"/>
  <c r="L160" i="37"/>
  <c r="M159" i="37"/>
  <c r="L159" i="37"/>
  <c r="M158" i="37"/>
  <c r="L158" i="37"/>
  <c r="M157" i="37"/>
  <c r="L157" i="37"/>
  <c r="M156" i="37"/>
  <c r="L156" i="37"/>
  <c r="M155" i="37"/>
  <c r="L155" i="37"/>
  <c r="M154" i="37"/>
  <c r="L154" i="37"/>
  <c r="M153" i="37"/>
  <c r="L153" i="37"/>
  <c r="M152" i="37"/>
  <c r="L152" i="37"/>
  <c r="M151" i="37"/>
  <c r="L151" i="37"/>
  <c r="M150" i="37"/>
  <c r="L150" i="37"/>
  <c r="M149" i="37"/>
  <c r="L149" i="37"/>
  <c r="M148" i="37"/>
  <c r="L148" i="37"/>
  <c r="M147" i="37"/>
  <c r="L147" i="37"/>
  <c r="M146" i="37"/>
  <c r="L146" i="37"/>
  <c r="M145" i="37"/>
  <c r="L145" i="37"/>
  <c r="M144" i="37"/>
  <c r="L144" i="37"/>
  <c r="M143" i="37"/>
  <c r="L143" i="37"/>
  <c r="M142" i="37"/>
  <c r="L142" i="37"/>
  <c r="M141" i="37"/>
  <c r="L141" i="37"/>
  <c r="M140" i="37"/>
  <c r="L140" i="37"/>
  <c r="M139" i="37"/>
  <c r="L139" i="37"/>
  <c r="M138" i="37"/>
  <c r="L138" i="37"/>
  <c r="M137" i="37"/>
  <c r="L137" i="37"/>
  <c r="M136" i="37"/>
  <c r="L136" i="37"/>
  <c r="M135" i="37"/>
  <c r="L135" i="37"/>
  <c r="M134" i="37"/>
  <c r="L134" i="37"/>
  <c r="M133" i="37"/>
  <c r="L133" i="37"/>
  <c r="M132" i="37"/>
  <c r="L132" i="37"/>
  <c r="M131" i="37"/>
  <c r="L131" i="37"/>
  <c r="M130" i="37"/>
  <c r="L130" i="37"/>
  <c r="M129" i="37"/>
  <c r="L129" i="37"/>
  <c r="M128" i="37"/>
  <c r="L128" i="37"/>
  <c r="M127" i="37"/>
  <c r="L127" i="37"/>
  <c r="M126" i="37"/>
  <c r="L126" i="37"/>
  <c r="M125" i="37"/>
  <c r="L125" i="37"/>
  <c r="M124" i="37"/>
  <c r="L124" i="37"/>
  <c r="M123" i="37"/>
  <c r="L123" i="37"/>
  <c r="M122" i="37"/>
  <c r="L122" i="37"/>
  <c r="M121" i="37"/>
  <c r="L121" i="37"/>
  <c r="M120" i="37"/>
  <c r="L120" i="37"/>
  <c r="M119" i="37"/>
  <c r="L119" i="37"/>
  <c r="M118" i="37"/>
  <c r="L118" i="37"/>
  <c r="M117" i="37"/>
  <c r="L117" i="37"/>
  <c r="M116" i="37"/>
  <c r="L116" i="37"/>
  <c r="M115" i="37"/>
  <c r="L115" i="37"/>
  <c r="M114" i="37"/>
  <c r="L114" i="37"/>
  <c r="M113" i="37"/>
  <c r="L113" i="37"/>
  <c r="M112" i="37"/>
  <c r="L112" i="37"/>
  <c r="M111" i="37"/>
  <c r="L111" i="37"/>
  <c r="M110" i="37"/>
  <c r="L110" i="37"/>
  <c r="M109" i="37"/>
  <c r="L109" i="37"/>
  <c r="M108" i="37"/>
  <c r="L108" i="37"/>
  <c r="M107" i="37"/>
  <c r="L107" i="37"/>
  <c r="M106" i="37"/>
  <c r="L106" i="37"/>
  <c r="M105" i="37"/>
  <c r="L105" i="37"/>
  <c r="M104" i="37"/>
  <c r="L104" i="37"/>
  <c r="M103" i="37"/>
  <c r="L103" i="37"/>
  <c r="M102" i="37"/>
  <c r="L102" i="37"/>
  <c r="M101" i="37"/>
  <c r="L101" i="37"/>
  <c r="M100" i="37"/>
  <c r="L100" i="37"/>
  <c r="M99" i="37"/>
  <c r="L99" i="37"/>
  <c r="M98" i="37"/>
  <c r="L98" i="37"/>
  <c r="M97" i="37"/>
  <c r="L97" i="37"/>
  <c r="M96" i="37"/>
  <c r="L96" i="37"/>
  <c r="M95" i="37"/>
  <c r="L95" i="37"/>
  <c r="M94" i="37"/>
  <c r="L94" i="37"/>
  <c r="M93" i="37"/>
  <c r="L93" i="37"/>
  <c r="M92" i="37"/>
  <c r="L92" i="37"/>
  <c r="M91" i="37"/>
  <c r="L91" i="37"/>
  <c r="M90" i="37"/>
  <c r="L90" i="37"/>
  <c r="M89" i="37"/>
  <c r="L89" i="37"/>
  <c r="M88" i="37"/>
  <c r="L88" i="37"/>
  <c r="M87" i="37"/>
  <c r="L87" i="37"/>
  <c r="M86" i="37"/>
  <c r="L86" i="37"/>
  <c r="M85" i="37"/>
  <c r="L85" i="37"/>
  <c r="M84" i="37"/>
  <c r="L84" i="37"/>
  <c r="M83" i="37"/>
  <c r="L83" i="37"/>
  <c r="M82" i="37"/>
  <c r="L82" i="37"/>
  <c r="M81" i="37"/>
  <c r="L81" i="37"/>
  <c r="M80" i="37"/>
  <c r="L80" i="37"/>
  <c r="M79" i="37"/>
  <c r="L79" i="37"/>
  <c r="M78" i="37"/>
  <c r="L78" i="37"/>
  <c r="M77" i="37"/>
  <c r="L77" i="37"/>
  <c r="M76" i="37"/>
  <c r="L76" i="37"/>
  <c r="M75" i="37"/>
  <c r="L75" i="37"/>
  <c r="M74" i="37"/>
  <c r="L74" i="37"/>
  <c r="M73" i="37"/>
  <c r="L73" i="37"/>
  <c r="M72" i="37"/>
  <c r="L72" i="37"/>
  <c r="M71" i="37"/>
  <c r="L71" i="37"/>
  <c r="M70" i="37"/>
  <c r="L70" i="37"/>
  <c r="M69" i="37"/>
  <c r="L69" i="37"/>
  <c r="M68" i="37"/>
  <c r="L68" i="37"/>
  <c r="M67" i="37"/>
  <c r="L67" i="37"/>
  <c r="M66" i="37"/>
  <c r="L66" i="37"/>
  <c r="M65" i="37"/>
  <c r="L65" i="37"/>
  <c r="M64" i="37"/>
  <c r="L64" i="37"/>
  <c r="M63" i="37"/>
  <c r="L63" i="37"/>
  <c r="M62" i="37"/>
  <c r="L62" i="37"/>
  <c r="M61" i="37"/>
  <c r="L61" i="37"/>
  <c r="M60" i="37"/>
  <c r="L60" i="37"/>
  <c r="M59" i="37"/>
  <c r="L59" i="37"/>
  <c r="M58" i="37"/>
  <c r="L58" i="37"/>
  <c r="M57" i="37"/>
  <c r="L57" i="37"/>
  <c r="M56" i="37"/>
  <c r="L56" i="37"/>
  <c r="M55" i="37"/>
  <c r="L55" i="37"/>
  <c r="M54" i="37"/>
  <c r="L54" i="37"/>
  <c r="M53" i="37"/>
  <c r="L53" i="37"/>
  <c r="M52" i="37"/>
  <c r="L52" i="37"/>
  <c r="M51" i="37"/>
  <c r="L51" i="37"/>
  <c r="M50" i="37"/>
  <c r="L50" i="37"/>
  <c r="M49" i="37"/>
  <c r="L49" i="37"/>
  <c r="M48" i="37"/>
  <c r="L48" i="37"/>
  <c r="M47" i="37"/>
  <c r="L47" i="37"/>
  <c r="M46" i="37"/>
  <c r="L46" i="37"/>
  <c r="M45" i="37"/>
  <c r="L45" i="37"/>
  <c r="M44" i="37"/>
  <c r="L44" i="37"/>
  <c r="M43" i="37"/>
  <c r="L43" i="37"/>
  <c r="M42" i="37"/>
  <c r="L42" i="37"/>
  <c r="M41" i="37"/>
  <c r="L41" i="37"/>
  <c r="M40" i="37"/>
  <c r="L40" i="37"/>
  <c r="M39" i="37"/>
  <c r="L39" i="37"/>
  <c r="M38" i="37"/>
  <c r="L38" i="37"/>
  <c r="M37" i="37"/>
  <c r="L37" i="37"/>
  <c r="M36" i="37"/>
  <c r="L36" i="37"/>
  <c r="M35" i="37"/>
  <c r="L35" i="37"/>
  <c r="M34" i="37"/>
  <c r="L34" i="37"/>
  <c r="M33" i="37"/>
  <c r="L33" i="37"/>
  <c r="M32" i="37"/>
  <c r="L32" i="37"/>
  <c r="C28" i="37" l="1"/>
  <c r="L28" i="37" s="1"/>
  <c r="C20" i="37"/>
  <c r="L20" i="37" s="1"/>
  <c r="C12" i="37"/>
  <c r="L12" i="37" s="1"/>
  <c r="D31" i="12" l="1"/>
  <c r="D22" i="12"/>
  <c r="D13" i="12"/>
  <c r="D26" i="37"/>
  <c r="M26" i="37" s="1"/>
  <c r="D25" i="37"/>
  <c r="M25" i="37" s="1"/>
  <c r="D24" i="37"/>
  <c r="M24" i="37" s="1"/>
  <c r="C27" i="37"/>
  <c r="L27" i="37" s="1"/>
  <c r="C26" i="37"/>
  <c r="L26" i="37" s="1"/>
  <c r="C24" i="37"/>
  <c r="L24" i="37" s="1"/>
  <c r="D18" i="37"/>
  <c r="M18" i="37" s="1"/>
  <c r="D17" i="37"/>
  <c r="M17" i="37" s="1"/>
  <c r="D16" i="37"/>
  <c r="M16" i="37" s="1"/>
  <c r="C19" i="37"/>
  <c r="L19" i="37" s="1"/>
  <c r="C18" i="37"/>
  <c r="L18" i="37" s="1"/>
  <c r="C16" i="37"/>
  <c r="L16" i="37" s="1"/>
  <c r="D10" i="37"/>
  <c r="M10" i="37" s="1"/>
  <c r="D9" i="37"/>
  <c r="M9" i="37" s="1"/>
  <c r="D8" i="37"/>
  <c r="M8" i="37" s="1"/>
  <c r="C11" i="37"/>
  <c r="L11" i="37" s="1"/>
  <c r="C10" i="37"/>
  <c r="L10" i="37" s="1"/>
  <c r="C8" i="37"/>
  <c r="L8" i="37" s="1"/>
  <c r="B22" i="37"/>
  <c r="L22" i="37" s="1"/>
  <c r="B14" i="37"/>
  <c r="L14" i="37" s="1"/>
  <c r="B6" i="37"/>
  <c r="L6" i="37" s="1"/>
  <c r="C4" i="37"/>
  <c r="C3" i="37"/>
  <c r="L3" i="37" s="1"/>
  <c r="D30" i="12"/>
  <c r="D21" i="12"/>
  <c r="D12" i="12"/>
  <c r="L4" i="37" l="1"/>
  <c r="B1" i="37"/>
  <c r="D1" i="37" s="1"/>
  <c r="AB274" i="36"/>
  <c r="AC274" i="36" s="1"/>
  <c r="AA274" i="36"/>
  <c r="AB273" i="36"/>
  <c r="AC273" i="36" s="1"/>
  <c r="AA273" i="36"/>
  <c r="AB272" i="36"/>
  <c r="AC272" i="36" s="1"/>
  <c r="AA272" i="36"/>
  <c r="AB271" i="36"/>
  <c r="AC271" i="36" s="1"/>
  <c r="AA271" i="36"/>
  <c r="AB270" i="36"/>
  <c r="AC270" i="36" s="1"/>
  <c r="AA270" i="36"/>
  <c r="AB269" i="36"/>
  <c r="AC269" i="36" s="1"/>
  <c r="AA269" i="36"/>
  <c r="AB268" i="36"/>
  <c r="AC268" i="36" s="1"/>
  <c r="AA268" i="36"/>
  <c r="AB267" i="36"/>
  <c r="AC267" i="36" s="1"/>
  <c r="AA267" i="36"/>
  <c r="AB266" i="36"/>
  <c r="AC266" i="36" s="1"/>
  <c r="AA266" i="36"/>
  <c r="AB265" i="36"/>
  <c r="AC265" i="36" s="1"/>
  <c r="AA265" i="36"/>
  <c r="AB264" i="36"/>
  <c r="AC264" i="36" s="1"/>
  <c r="AA264" i="36"/>
  <c r="AB263" i="36"/>
  <c r="AC263" i="36" s="1"/>
  <c r="AA263" i="36"/>
  <c r="AB262" i="36"/>
  <c r="AC262" i="36" s="1"/>
  <c r="AA262" i="36"/>
  <c r="AB261" i="36"/>
  <c r="AC261" i="36" s="1"/>
  <c r="AA261" i="36"/>
  <c r="AB260" i="36"/>
  <c r="AC260" i="36" s="1"/>
  <c r="AA260" i="36"/>
  <c r="AB259" i="36"/>
  <c r="AC259" i="36" s="1"/>
  <c r="AA259" i="36"/>
  <c r="AB258" i="36"/>
  <c r="AC258" i="36" s="1"/>
  <c r="AA258" i="36"/>
  <c r="AB257" i="36"/>
  <c r="AC257" i="36" s="1"/>
  <c r="AA257" i="36"/>
  <c r="AB256" i="36"/>
  <c r="AC256" i="36" s="1"/>
  <c r="AA256" i="36"/>
  <c r="AB255" i="36"/>
  <c r="AC255" i="36" s="1"/>
  <c r="AA255" i="36"/>
  <c r="AB254" i="36"/>
  <c r="AC254" i="36" s="1"/>
  <c r="AA254" i="36"/>
  <c r="AB253" i="36"/>
  <c r="AC253" i="36" s="1"/>
  <c r="AA253" i="36"/>
  <c r="AB252" i="36"/>
  <c r="AC252" i="36" s="1"/>
  <c r="AA252" i="36"/>
  <c r="AB251" i="36"/>
  <c r="AC251" i="36" s="1"/>
  <c r="AA251" i="36"/>
  <c r="AB250" i="36"/>
  <c r="AC250" i="36" s="1"/>
  <c r="AA250" i="36"/>
  <c r="AB249" i="36"/>
  <c r="AC249" i="36" s="1"/>
  <c r="AA249" i="36"/>
  <c r="AB248" i="36"/>
  <c r="AC248" i="36" s="1"/>
  <c r="AA248" i="36"/>
  <c r="AB247" i="36"/>
  <c r="AC247" i="36" s="1"/>
  <c r="AA247" i="36"/>
  <c r="AB246" i="36"/>
  <c r="AC246" i="36" s="1"/>
  <c r="AA246" i="36"/>
  <c r="AB245" i="36"/>
  <c r="AC245" i="36" s="1"/>
  <c r="AA245" i="36"/>
  <c r="AB244" i="36"/>
  <c r="AC244" i="36" s="1"/>
  <c r="AA244" i="36"/>
  <c r="AB243" i="36"/>
  <c r="AC243" i="36" s="1"/>
  <c r="AA243" i="36"/>
  <c r="AB242" i="36"/>
  <c r="AC242" i="36" s="1"/>
  <c r="AA242" i="36"/>
  <c r="AB241" i="36"/>
  <c r="AC241" i="36" s="1"/>
  <c r="AA241" i="36"/>
  <c r="AB240" i="36"/>
  <c r="AC240" i="36" s="1"/>
  <c r="AA240" i="36"/>
  <c r="AB239" i="36"/>
  <c r="AC239" i="36" s="1"/>
  <c r="AA239" i="36"/>
  <c r="AB238" i="36"/>
  <c r="AC238" i="36" s="1"/>
  <c r="AA238" i="36"/>
  <c r="AB237" i="36"/>
  <c r="AC237" i="36" s="1"/>
  <c r="AA237" i="36"/>
  <c r="AB236" i="36"/>
  <c r="AC236" i="36" s="1"/>
  <c r="AA236" i="36"/>
  <c r="AB235" i="36"/>
  <c r="AC235" i="36" s="1"/>
  <c r="AA235" i="36"/>
  <c r="AB234" i="36"/>
  <c r="AC234" i="36" s="1"/>
  <c r="AA234" i="36"/>
  <c r="AB233" i="36"/>
  <c r="AC233" i="36" s="1"/>
  <c r="AA233" i="36"/>
  <c r="AB232" i="36"/>
  <c r="AC232" i="36" s="1"/>
  <c r="AA232" i="36"/>
  <c r="AB231" i="36"/>
  <c r="AC231" i="36" s="1"/>
  <c r="AA231" i="36"/>
  <c r="AB230" i="36"/>
  <c r="AC230" i="36" s="1"/>
  <c r="AA230" i="36"/>
  <c r="AB229" i="36"/>
  <c r="AC229" i="36" s="1"/>
  <c r="AA229" i="36"/>
  <c r="AB228" i="36"/>
  <c r="AC228" i="36" s="1"/>
  <c r="AA228" i="36"/>
  <c r="AB227" i="36"/>
  <c r="AC227" i="36" s="1"/>
  <c r="AA227" i="36"/>
  <c r="AB226" i="36"/>
  <c r="AC226" i="36" s="1"/>
  <c r="AA226" i="36"/>
  <c r="AB225" i="36"/>
  <c r="AC225" i="36" s="1"/>
  <c r="AA225" i="36"/>
  <c r="AB224" i="36"/>
  <c r="AC224" i="36" s="1"/>
  <c r="AA224" i="36"/>
  <c r="AB223" i="36"/>
  <c r="AC223" i="36" s="1"/>
  <c r="AA223" i="36"/>
  <c r="AB222" i="36"/>
  <c r="AC222" i="36" s="1"/>
  <c r="AA222" i="36"/>
  <c r="AB221" i="36"/>
  <c r="AC221" i="36" s="1"/>
  <c r="AA221" i="36"/>
  <c r="AB220" i="36"/>
  <c r="AC220" i="36" s="1"/>
  <c r="AA220" i="36"/>
  <c r="AB219" i="36"/>
  <c r="AC219" i="36" s="1"/>
  <c r="AA219" i="36"/>
  <c r="AB218" i="36"/>
  <c r="AC218" i="36" s="1"/>
  <c r="AA218" i="36"/>
  <c r="AB217" i="36"/>
  <c r="AC217" i="36" s="1"/>
  <c r="AA217" i="36"/>
  <c r="AB216" i="36"/>
  <c r="AC216" i="36" s="1"/>
  <c r="AA216" i="36"/>
  <c r="AB215" i="36"/>
  <c r="AC215" i="36" s="1"/>
  <c r="AA215" i="36"/>
  <c r="AB214" i="36"/>
  <c r="AC214" i="36" s="1"/>
  <c r="AA214" i="36"/>
  <c r="AB213" i="36"/>
  <c r="AC213" i="36" s="1"/>
  <c r="AA213" i="36"/>
  <c r="AB212" i="36"/>
  <c r="AC212" i="36" s="1"/>
  <c r="AA212" i="36"/>
  <c r="AB211" i="36"/>
  <c r="AC211" i="36" s="1"/>
  <c r="AA211" i="36"/>
  <c r="AB210" i="36"/>
  <c r="AC210" i="36" s="1"/>
  <c r="AA210" i="36"/>
  <c r="AB209" i="36"/>
  <c r="AC209" i="36" s="1"/>
  <c r="AA209" i="36"/>
  <c r="AB208" i="36"/>
  <c r="AC208" i="36" s="1"/>
  <c r="AA208" i="36"/>
  <c r="AB207" i="36"/>
  <c r="AC207" i="36" s="1"/>
  <c r="AA207" i="36"/>
  <c r="AB206" i="36"/>
  <c r="AC206" i="36" s="1"/>
  <c r="AA206" i="36"/>
  <c r="AB205" i="36"/>
  <c r="AC205" i="36" s="1"/>
  <c r="AA205" i="36"/>
  <c r="AB204" i="36"/>
  <c r="AC204" i="36" s="1"/>
  <c r="AA204" i="36"/>
  <c r="AB203" i="36"/>
  <c r="AC203" i="36" s="1"/>
  <c r="AA203" i="36"/>
  <c r="AB202" i="36"/>
  <c r="AC202" i="36" s="1"/>
  <c r="AA202" i="36"/>
  <c r="AB201" i="36"/>
  <c r="AC201" i="36" s="1"/>
  <c r="AA201" i="36"/>
  <c r="AB200" i="36"/>
  <c r="AC200" i="36" s="1"/>
  <c r="AA200" i="36"/>
  <c r="AB199" i="36"/>
  <c r="AC199" i="36" s="1"/>
  <c r="AA199" i="36"/>
  <c r="AB198" i="36"/>
  <c r="AC198" i="36" s="1"/>
  <c r="AA198" i="36"/>
  <c r="AB197" i="36"/>
  <c r="AC197" i="36" s="1"/>
  <c r="AA197" i="36"/>
  <c r="AB196" i="36"/>
  <c r="AC196" i="36" s="1"/>
  <c r="AA196" i="36"/>
  <c r="AB195" i="36"/>
  <c r="AC195" i="36" s="1"/>
  <c r="AA195" i="36"/>
  <c r="AB194" i="36"/>
  <c r="AC194" i="36" s="1"/>
  <c r="AA194" i="36"/>
  <c r="AB193" i="36"/>
  <c r="AC193" i="36" s="1"/>
  <c r="AA193" i="36"/>
  <c r="AB192" i="36"/>
  <c r="AC192" i="36" s="1"/>
  <c r="AA192" i="36"/>
  <c r="AB191" i="36"/>
  <c r="AC191" i="36" s="1"/>
  <c r="AA191" i="36"/>
  <c r="AB190" i="36"/>
  <c r="AC190" i="36" s="1"/>
  <c r="AA190" i="36"/>
  <c r="AB189" i="36"/>
  <c r="AC189" i="36" s="1"/>
  <c r="AA189" i="36"/>
  <c r="AB188" i="36"/>
  <c r="AC188" i="36" s="1"/>
  <c r="AA188" i="36"/>
  <c r="AB187" i="36"/>
  <c r="AC187" i="36" s="1"/>
  <c r="AA187" i="36"/>
  <c r="AB186" i="36"/>
  <c r="AC186" i="36" s="1"/>
  <c r="AA186" i="36"/>
  <c r="AB185" i="36"/>
  <c r="AC185" i="36" s="1"/>
  <c r="AA185" i="36"/>
  <c r="AB184" i="36"/>
  <c r="AC184" i="36" s="1"/>
  <c r="AA184" i="36"/>
  <c r="AB183" i="36"/>
  <c r="AC183" i="36" s="1"/>
  <c r="AA183" i="36"/>
  <c r="AB182" i="36"/>
  <c r="AC182" i="36" s="1"/>
  <c r="AA182" i="36"/>
  <c r="AB181" i="36"/>
  <c r="AC181" i="36" s="1"/>
  <c r="AA181" i="36"/>
  <c r="AB180" i="36"/>
  <c r="AC180" i="36" s="1"/>
  <c r="AA180" i="36"/>
  <c r="AB179" i="36"/>
  <c r="AC179" i="36" s="1"/>
  <c r="AA179" i="36"/>
  <c r="AB178" i="36"/>
  <c r="AC178" i="36" s="1"/>
  <c r="AA178" i="36"/>
  <c r="AB177" i="36"/>
  <c r="AC177" i="36" s="1"/>
  <c r="AA177" i="36"/>
  <c r="AB176" i="36"/>
  <c r="AC176" i="36" s="1"/>
  <c r="AA176" i="36"/>
  <c r="AB175" i="36"/>
  <c r="AC175" i="36" s="1"/>
  <c r="AA175" i="36"/>
  <c r="AB174" i="36"/>
  <c r="AC174" i="36" s="1"/>
  <c r="AA174" i="36"/>
  <c r="AB173" i="36"/>
  <c r="AC173" i="36" s="1"/>
  <c r="AA173" i="36"/>
  <c r="AB172" i="36"/>
  <c r="AC172" i="36" s="1"/>
  <c r="AA172" i="36"/>
  <c r="AB171" i="36"/>
  <c r="AC171" i="36" s="1"/>
  <c r="AA171" i="36"/>
  <c r="AB170" i="36"/>
  <c r="AC170" i="36" s="1"/>
  <c r="AA170" i="36"/>
  <c r="AB169" i="36"/>
  <c r="AC169" i="36" s="1"/>
  <c r="AA169" i="36"/>
  <c r="AB168" i="36"/>
  <c r="AC168" i="36" s="1"/>
  <c r="AA168" i="36"/>
  <c r="AB167" i="36"/>
  <c r="AC167" i="36" s="1"/>
  <c r="AA167" i="36"/>
  <c r="AB166" i="36"/>
  <c r="AC166" i="36" s="1"/>
  <c r="AA166" i="36"/>
  <c r="AB165" i="36"/>
  <c r="AC165" i="36" s="1"/>
  <c r="AA165" i="36"/>
  <c r="AB164" i="36"/>
  <c r="AC164" i="36" s="1"/>
  <c r="AA164" i="36"/>
  <c r="AB163" i="36"/>
  <c r="AC163" i="36" s="1"/>
  <c r="AA163" i="36"/>
  <c r="AB162" i="36"/>
  <c r="AC162" i="36" s="1"/>
  <c r="AA162" i="36"/>
  <c r="AB161" i="36"/>
  <c r="AC161" i="36" s="1"/>
  <c r="AA161" i="36"/>
  <c r="AB160" i="36"/>
  <c r="AC160" i="36" s="1"/>
  <c r="AA160" i="36"/>
  <c r="AB159" i="36"/>
  <c r="AC159" i="36" s="1"/>
  <c r="AA159" i="36"/>
  <c r="AB158" i="36"/>
  <c r="AC158" i="36" s="1"/>
  <c r="AA158" i="36"/>
  <c r="AB157" i="36"/>
  <c r="AC157" i="36" s="1"/>
  <c r="AA157" i="36"/>
  <c r="AB156" i="36"/>
  <c r="AC156" i="36" s="1"/>
  <c r="AA156" i="36"/>
  <c r="AB155" i="36"/>
  <c r="AC155" i="36" s="1"/>
  <c r="AA155" i="36"/>
  <c r="AB154" i="36"/>
  <c r="AC154" i="36" s="1"/>
  <c r="AA154" i="36"/>
  <c r="AB153" i="36"/>
  <c r="AC153" i="36" s="1"/>
  <c r="AA153" i="36"/>
  <c r="AB152" i="36"/>
  <c r="AC152" i="36" s="1"/>
  <c r="AA152" i="36"/>
  <c r="AB151" i="36"/>
  <c r="AC151" i="36" s="1"/>
  <c r="AA151" i="36"/>
  <c r="AB150" i="36"/>
  <c r="AC150" i="36" s="1"/>
  <c r="AA150" i="36"/>
  <c r="AB149" i="36"/>
  <c r="AC149" i="36" s="1"/>
  <c r="AA149" i="36"/>
  <c r="AB148" i="36"/>
  <c r="AC148" i="36" s="1"/>
  <c r="AA148" i="36"/>
  <c r="AB147" i="36"/>
  <c r="AC147" i="36" s="1"/>
  <c r="AA147" i="36"/>
  <c r="AB146" i="36"/>
  <c r="AC146" i="36" s="1"/>
  <c r="AA146" i="36"/>
  <c r="AB145" i="36"/>
  <c r="AC145" i="36" s="1"/>
  <c r="AA145" i="36"/>
  <c r="AB144" i="36"/>
  <c r="AC144" i="36" s="1"/>
  <c r="AA144" i="36"/>
  <c r="AB143" i="36"/>
  <c r="AC143" i="36" s="1"/>
  <c r="AA143" i="36"/>
  <c r="AB142" i="36"/>
  <c r="AC142" i="36" s="1"/>
  <c r="AA142" i="36"/>
  <c r="AB141" i="36"/>
  <c r="AC141" i="36" s="1"/>
  <c r="AA141" i="36"/>
  <c r="AB140" i="36"/>
  <c r="AC140" i="36" s="1"/>
  <c r="AA140" i="36"/>
  <c r="AB139" i="36"/>
  <c r="AC139" i="36" s="1"/>
  <c r="AA139" i="36"/>
  <c r="AB138" i="36"/>
  <c r="AC138" i="36" s="1"/>
  <c r="AA138" i="36"/>
  <c r="AB137" i="36"/>
  <c r="AC137" i="36" s="1"/>
  <c r="AA137" i="36"/>
  <c r="AB136" i="36"/>
  <c r="AC136" i="36" s="1"/>
  <c r="AA136" i="36"/>
  <c r="AB135" i="36"/>
  <c r="AC135" i="36" s="1"/>
  <c r="AA135" i="36"/>
  <c r="AB134" i="36"/>
  <c r="AC134" i="36" s="1"/>
  <c r="AA134" i="36"/>
  <c r="AB133" i="36"/>
  <c r="AC133" i="36" s="1"/>
  <c r="AA133" i="36"/>
  <c r="AB132" i="36"/>
  <c r="AC132" i="36" s="1"/>
  <c r="AA132" i="36"/>
  <c r="AB131" i="36"/>
  <c r="AC131" i="36" s="1"/>
  <c r="AA131" i="36"/>
  <c r="AB130" i="36"/>
  <c r="AC130" i="36" s="1"/>
  <c r="AA130" i="36"/>
  <c r="AB129" i="36"/>
  <c r="AC129" i="36" s="1"/>
  <c r="AA129" i="36"/>
  <c r="AB128" i="36"/>
  <c r="AC128" i="36" s="1"/>
  <c r="AA128" i="36"/>
  <c r="AB127" i="36"/>
  <c r="AC127" i="36" s="1"/>
  <c r="AA127" i="36"/>
  <c r="AB126" i="36"/>
  <c r="AC126" i="36" s="1"/>
  <c r="AA126" i="36"/>
  <c r="AB125" i="36"/>
  <c r="AC125" i="36" s="1"/>
  <c r="AA125" i="36"/>
  <c r="AB55" i="36"/>
  <c r="AC55" i="36" s="1"/>
  <c r="AA55" i="36"/>
  <c r="AB54" i="36"/>
  <c r="AC54" i="36" s="1"/>
  <c r="AA54" i="36"/>
  <c r="AB53" i="36"/>
  <c r="AC53" i="36" s="1"/>
  <c r="AA53" i="36"/>
  <c r="AB52" i="36"/>
  <c r="AC52" i="36" s="1"/>
  <c r="AA52" i="36"/>
  <c r="AB51" i="36"/>
  <c r="AC51" i="36" s="1"/>
  <c r="AA51" i="36"/>
  <c r="AB50" i="36"/>
  <c r="AC50" i="36" s="1"/>
  <c r="AA50" i="36"/>
  <c r="AB49" i="36"/>
  <c r="AC49" i="36" s="1"/>
  <c r="AA49" i="36"/>
  <c r="AB48" i="36"/>
  <c r="AC48" i="36" s="1"/>
  <c r="AA48" i="36"/>
  <c r="AB47" i="36"/>
  <c r="AC47" i="36" s="1"/>
  <c r="AA47" i="36"/>
  <c r="AB46" i="36"/>
  <c r="AC46" i="36" s="1"/>
  <c r="AA46" i="36"/>
  <c r="AB45" i="36"/>
  <c r="AC45" i="36" s="1"/>
  <c r="AA45" i="36"/>
  <c r="AB44" i="36"/>
  <c r="AC44" i="36" s="1"/>
  <c r="AA44" i="36"/>
  <c r="AB43" i="36"/>
  <c r="AC43" i="36" s="1"/>
  <c r="AA43" i="36"/>
  <c r="AB42" i="36"/>
  <c r="AC42" i="36" s="1"/>
  <c r="AA42" i="36"/>
  <c r="AB41" i="36"/>
  <c r="AC41" i="36" s="1"/>
  <c r="AA41" i="36"/>
  <c r="AB40" i="36"/>
  <c r="AC40" i="36" s="1"/>
  <c r="AA40" i="36"/>
  <c r="AB39" i="36"/>
  <c r="AC39" i="36" s="1"/>
  <c r="AA39" i="36"/>
  <c r="AB38" i="36"/>
  <c r="AC38" i="36" s="1"/>
  <c r="AA38" i="36"/>
  <c r="AB37" i="36"/>
  <c r="AC37" i="36" s="1"/>
  <c r="AA37" i="36"/>
  <c r="AB36" i="36"/>
  <c r="AC36" i="36" s="1"/>
  <c r="AA36" i="36"/>
  <c r="AB35" i="36"/>
  <c r="AC35" i="36" s="1"/>
  <c r="AA35" i="36"/>
  <c r="AB34" i="36"/>
  <c r="AC34" i="36" s="1"/>
  <c r="AA34" i="36"/>
  <c r="AB33" i="36"/>
  <c r="AC33" i="36" s="1"/>
  <c r="AA33" i="36"/>
  <c r="AB32" i="36"/>
  <c r="AC32" i="36" s="1"/>
  <c r="AA32" i="36"/>
  <c r="AB31" i="36"/>
  <c r="AC31" i="36" s="1"/>
  <c r="AA31" i="36"/>
  <c r="AB30" i="36"/>
  <c r="AC30" i="36" s="1"/>
  <c r="AA30" i="36"/>
  <c r="AB29" i="36"/>
  <c r="AC29" i="36" s="1"/>
  <c r="AD29" i="36" s="1"/>
  <c r="AE29" i="36" s="1"/>
  <c r="AF29" i="36" s="1"/>
  <c r="AG29" i="36" s="1"/>
  <c r="AH29" i="36" s="1"/>
  <c r="AI29" i="36" s="1"/>
  <c r="AJ29" i="36" s="1"/>
  <c r="AK29" i="36" s="1"/>
  <c r="AL29" i="36" s="1"/>
  <c r="AM29" i="36" s="1"/>
  <c r="AN29" i="36" s="1"/>
  <c r="AO29" i="36" s="1"/>
  <c r="AP29" i="36" s="1"/>
  <c r="AQ29" i="36" s="1"/>
  <c r="AR29" i="36" s="1"/>
  <c r="AS29" i="36" s="1"/>
  <c r="AT29" i="36" s="1"/>
  <c r="AU29" i="36" s="1"/>
  <c r="AV29" i="36" s="1"/>
  <c r="AW29" i="36" s="1"/>
  <c r="AX29" i="36" s="1"/>
  <c r="Z29" i="36" s="1"/>
  <c r="AA29" i="36"/>
  <c r="AB28" i="36"/>
  <c r="AC28" i="36" s="1"/>
  <c r="AA28" i="36"/>
  <c r="AB27" i="36"/>
  <c r="AC27" i="36" s="1"/>
  <c r="AA27" i="36"/>
  <c r="AB26" i="36"/>
  <c r="AC26" i="36" s="1"/>
  <c r="AA26" i="36"/>
  <c r="AB25" i="36"/>
  <c r="AC25" i="36" s="1"/>
  <c r="AA25" i="36"/>
  <c r="AB24" i="36"/>
  <c r="AC24" i="36" s="1"/>
  <c r="AA24" i="36"/>
  <c r="AB23" i="36"/>
  <c r="AC23" i="36" s="1"/>
  <c r="AA23" i="36"/>
  <c r="AB22" i="36"/>
  <c r="AC22" i="36" s="1"/>
  <c r="AA22" i="36"/>
  <c r="AB21" i="36"/>
  <c r="AC21" i="36" s="1"/>
  <c r="AA21" i="36"/>
  <c r="AB20" i="36"/>
  <c r="AC20" i="36" s="1"/>
  <c r="AA20" i="36"/>
  <c r="AB19" i="36"/>
  <c r="AC19" i="36" s="1"/>
  <c r="AA19" i="36"/>
  <c r="AB18" i="36"/>
  <c r="AC18" i="36" s="1"/>
  <c r="AA18" i="36"/>
  <c r="AB17" i="36"/>
  <c r="AC17" i="36" s="1"/>
  <c r="AA17" i="36"/>
  <c r="AB16" i="36"/>
  <c r="AC16" i="36" s="1"/>
  <c r="AA16" i="36"/>
  <c r="AB15" i="36"/>
  <c r="AC15" i="36" s="1"/>
  <c r="AA15" i="36"/>
  <c r="AB14" i="36"/>
  <c r="AC14" i="36" s="1"/>
  <c r="AA14" i="36"/>
  <c r="AB13" i="36"/>
  <c r="AC13" i="36" s="1"/>
  <c r="AA13" i="36"/>
  <c r="AB12" i="36"/>
  <c r="AC12" i="36" s="1"/>
  <c r="AA12" i="36"/>
  <c r="AB11" i="36"/>
  <c r="AC11" i="36" s="1"/>
  <c r="AA11" i="36"/>
  <c r="AB10" i="36"/>
  <c r="AC10" i="36" s="1"/>
  <c r="AA10" i="36"/>
  <c r="AB9" i="36"/>
  <c r="AC9" i="36" s="1"/>
  <c r="AA9" i="36"/>
  <c r="AB8" i="36"/>
  <c r="AC8" i="36" s="1"/>
  <c r="AA8" i="36"/>
  <c r="AB7" i="36"/>
  <c r="AC7" i="36" s="1"/>
  <c r="AA7" i="36"/>
  <c r="AB6" i="36"/>
  <c r="AC6" i="36" s="1"/>
  <c r="AA6" i="36"/>
  <c r="AB5" i="36"/>
  <c r="AC5" i="36" s="1"/>
  <c r="AA5" i="36"/>
  <c r="AB103" i="36"/>
  <c r="AC103" i="36" s="1"/>
  <c r="AA103" i="36"/>
  <c r="AB102" i="36"/>
  <c r="AC102" i="36" s="1"/>
  <c r="AA102" i="36"/>
  <c r="AB101" i="36"/>
  <c r="AC101" i="36" s="1"/>
  <c r="AA101" i="36"/>
  <c r="AB100" i="36"/>
  <c r="AC100" i="36" s="1"/>
  <c r="AA100" i="36"/>
  <c r="AB99" i="36"/>
  <c r="AC99" i="36" s="1"/>
  <c r="AA99" i="36"/>
  <c r="AB98" i="36"/>
  <c r="AC98" i="36" s="1"/>
  <c r="AA98" i="36"/>
  <c r="AB97" i="36"/>
  <c r="AC97" i="36" s="1"/>
  <c r="AA97" i="36"/>
  <c r="AB96" i="36"/>
  <c r="AC96" i="36" s="1"/>
  <c r="AA96" i="36"/>
  <c r="AB95" i="36"/>
  <c r="AC95" i="36" s="1"/>
  <c r="AA95" i="36"/>
  <c r="AB94" i="36"/>
  <c r="AC94" i="36" s="1"/>
  <c r="AA94" i="36"/>
  <c r="AB93" i="36"/>
  <c r="AC93" i="36" s="1"/>
  <c r="AA93" i="36"/>
  <c r="AB92" i="36"/>
  <c r="AC92" i="36" s="1"/>
  <c r="AA92" i="36"/>
  <c r="AB91" i="36"/>
  <c r="AC91" i="36" s="1"/>
  <c r="AA91" i="36"/>
  <c r="AB90" i="36"/>
  <c r="AC90" i="36" s="1"/>
  <c r="AA90" i="36"/>
  <c r="AB89" i="36"/>
  <c r="AC89" i="36" s="1"/>
  <c r="AA89" i="36"/>
  <c r="AB88" i="36"/>
  <c r="AC88" i="36" s="1"/>
  <c r="AA88" i="36"/>
  <c r="AB87" i="36"/>
  <c r="AC87" i="36" s="1"/>
  <c r="AA87" i="36"/>
  <c r="AB86" i="36"/>
  <c r="AC86" i="36" s="1"/>
  <c r="AA86" i="36"/>
  <c r="AB85" i="36"/>
  <c r="AC85" i="36" s="1"/>
  <c r="AA85" i="36"/>
  <c r="AB84" i="36"/>
  <c r="AC84" i="36" s="1"/>
  <c r="AA84" i="36"/>
  <c r="AB83" i="36"/>
  <c r="AC83" i="36" s="1"/>
  <c r="AA83" i="36"/>
  <c r="AB82" i="36"/>
  <c r="AC82" i="36" s="1"/>
  <c r="AA82" i="36"/>
  <c r="AB81" i="36"/>
  <c r="AC81" i="36" s="1"/>
  <c r="AA81" i="36"/>
  <c r="AB80" i="36"/>
  <c r="AC80" i="36" s="1"/>
  <c r="AA80" i="36"/>
  <c r="AB79" i="36"/>
  <c r="AC79" i="36" s="1"/>
  <c r="AA79" i="36"/>
  <c r="AB78" i="36"/>
  <c r="AC78" i="36" s="1"/>
  <c r="AA78" i="36"/>
  <c r="AB77" i="36"/>
  <c r="AC77" i="36" s="1"/>
  <c r="AA77" i="36"/>
  <c r="AB76" i="36"/>
  <c r="AC76" i="36" s="1"/>
  <c r="AA76" i="36"/>
  <c r="AB75" i="36"/>
  <c r="AC75" i="36" s="1"/>
  <c r="AA75" i="36"/>
  <c r="AB74" i="36"/>
  <c r="AC74" i="36" s="1"/>
  <c r="AA74" i="36"/>
  <c r="AB73" i="36"/>
  <c r="AC73" i="36" s="1"/>
  <c r="AA73" i="36"/>
  <c r="AB72" i="36"/>
  <c r="AC72" i="36" s="1"/>
  <c r="AA72" i="36"/>
  <c r="AB71" i="36"/>
  <c r="AC71" i="36" s="1"/>
  <c r="AA71" i="36"/>
  <c r="AB70" i="36"/>
  <c r="AC70" i="36" s="1"/>
  <c r="AA70" i="36"/>
  <c r="AB69" i="36"/>
  <c r="AC69" i="36" s="1"/>
  <c r="AA69" i="36"/>
  <c r="AD69" i="36" s="1"/>
  <c r="AE69" i="36" s="1"/>
  <c r="AF69" i="36" s="1"/>
  <c r="AG69" i="36" s="1"/>
  <c r="AH69" i="36" s="1"/>
  <c r="AI69" i="36" s="1"/>
  <c r="AJ69" i="36" s="1"/>
  <c r="AK69" i="36" s="1"/>
  <c r="AL69" i="36" s="1"/>
  <c r="AM69" i="36" s="1"/>
  <c r="AN69" i="36" s="1"/>
  <c r="AO69" i="36" s="1"/>
  <c r="AP69" i="36" s="1"/>
  <c r="AQ69" i="36" s="1"/>
  <c r="AR69" i="36" s="1"/>
  <c r="AS69" i="36" s="1"/>
  <c r="AT69" i="36" s="1"/>
  <c r="AU69" i="36" s="1"/>
  <c r="AV69" i="36" s="1"/>
  <c r="AW69" i="36" s="1"/>
  <c r="AX69" i="36" s="1"/>
  <c r="Z69" i="36" s="1"/>
  <c r="AB68" i="36"/>
  <c r="AC68" i="36" s="1"/>
  <c r="AA68" i="36"/>
  <c r="AB67" i="36"/>
  <c r="AC67" i="36" s="1"/>
  <c r="AA67" i="36"/>
  <c r="AB66" i="36"/>
  <c r="AC66" i="36" s="1"/>
  <c r="AA66" i="36"/>
  <c r="AB65" i="36"/>
  <c r="AC65" i="36" s="1"/>
  <c r="AA65" i="36"/>
  <c r="AB64" i="36"/>
  <c r="AC64" i="36" s="1"/>
  <c r="AA64" i="36"/>
  <c r="AB63" i="36"/>
  <c r="AC63" i="36" s="1"/>
  <c r="AA63" i="36"/>
  <c r="AB62" i="36"/>
  <c r="AC62" i="36" s="1"/>
  <c r="AA62" i="36"/>
  <c r="AB61" i="36"/>
  <c r="AC61" i="36" s="1"/>
  <c r="AA61" i="36"/>
  <c r="AB60" i="36"/>
  <c r="AC60" i="36" s="1"/>
  <c r="AA60" i="36"/>
  <c r="AB59" i="36"/>
  <c r="AC59" i="36" s="1"/>
  <c r="AA59" i="36"/>
  <c r="AB58" i="36"/>
  <c r="AC58" i="36" s="1"/>
  <c r="AA58" i="36"/>
  <c r="AB57" i="36"/>
  <c r="AC57" i="36" s="1"/>
  <c r="AA57" i="36"/>
  <c r="AB56" i="36"/>
  <c r="AC56" i="36" s="1"/>
  <c r="AA56" i="36"/>
  <c r="AB122" i="36"/>
  <c r="AC122" i="36" s="1"/>
  <c r="AA122" i="36"/>
  <c r="AB121" i="36"/>
  <c r="AC121" i="36" s="1"/>
  <c r="AA121" i="36"/>
  <c r="AB120" i="36"/>
  <c r="AC120" i="36" s="1"/>
  <c r="AA120" i="36"/>
  <c r="AB119" i="36"/>
  <c r="AC119" i="36" s="1"/>
  <c r="AA119" i="36"/>
  <c r="AB118" i="36"/>
  <c r="AC118" i="36" s="1"/>
  <c r="AA118" i="36"/>
  <c r="AB117" i="36"/>
  <c r="AC117" i="36" s="1"/>
  <c r="AA117" i="36"/>
  <c r="AB116" i="36"/>
  <c r="AC116" i="36" s="1"/>
  <c r="AA116" i="36"/>
  <c r="AB115" i="36"/>
  <c r="AC115" i="36" s="1"/>
  <c r="AA115" i="36"/>
  <c r="AB114" i="36"/>
  <c r="AC114" i="36" s="1"/>
  <c r="AA114" i="36"/>
  <c r="AB113" i="36"/>
  <c r="AC113" i="36" s="1"/>
  <c r="AA113" i="36"/>
  <c r="AB112" i="36"/>
  <c r="AC112" i="36" s="1"/>
  <c r="AA112" i="36"/>
  <c r="AB111" i="36"/>
  <c r="AC111" i="36" s="1"/>
  <c r="AA111" i="36"/>
  <c r="AB110" i="36"/>
  <c r="AC110" i="36" s="1"/>
  <c r="AA110" i="36"/>
  <c r="AB109" i="36"/>
  <c r="AC109" i="36" s="1"/>
  <c r="AA109" i="36"/>
  <c r="AB108" i="36"/>
  <c r="AC108" i="36" s="1"/>
  <c r="AA108" i="36"/>
  <c r="AB107" i="36"/>
  <c r="AC107" i="36" s="1"/>
  <c r="AA107" i="36"/>
  <c r="AB106" i="36"/>
  <c r="AC106" i="36" s="1"/>
  <c r="AA106" i="36"/>
  <c r="AB105" i="36"/>
  <c r="AC105" i="36" s="1"/>
  <c r="AA105" i="36"/>
  <c r="AB104" i="36"/>
  <c r="AC104" i="36" s="1"/>
  <c r="AA104" i="36"/>
  <c r="AB123" i="36"/>
  <c r="AC123" i="36" s="1"/>
  <c r="AA123" i="36"/>
  <c r="AB124" i="36"/>
  <c r="AC124" i="36" s="1"/>
  <c r="AA124" i="36"/>
  <c r="D20" i="36"/>
  <c r="E19" i="36"/>
  <c r="D4" i="14"/>
  <c r="C4" i="14"/>
  <c r="AD194" i="36" l="1"/>
  <c r="AE194" i="36" s="1"/>
  <c r="AF194" i="36" s="1"/>
  <c r="AG194" i="36" s="1"/>
  <c r="AH194" i="36" s="1"/>
  <c r="AI194" i="36" s="1"/>
  <c r="AJ194" i="36" s="1"/>
  <c r="AK194" i="36" s="1"/>
  <c r="AL194" i="36" s="1"/>
  <c r="AM194" i="36" s="1"/>
  <c r="AN194" i="36" s="1"/>
  <c r="AO194" i="36" s="1"/>
  <c r="AP194" i="36" s="1"/>
  <c r="AQ194" i="36" s="1"/>
  <c r="AR194" i="36" s="1"/>
  <c r="AS194" i="36" s="1"/>
  <c r="AT194" i="36" s="1"/>
  <c r="AU194" i="36" s="1"/>
  <c r="AV194" i="36" s="1"/>
  <c r="AW194" i="36" s="1"/>
  <c r="AX194" i="36" s="1"/>
  <c r="Z194" i="36" s="1"/>
  <c r="AD210" i="36"/>
  <c r="AE210" i="36" s="1"/>
  <c r="AF210" i="36" s="1"/>
  <c r="AG210" i="36" s="1"/>
  <c r="AH210" i="36" s="1"/>
  <c r="AI210" i="36" s="1"/>
  <c r="AJ210" i="36" s="1"/>
  <c r="AK210" i="36" s="1"/>
  <c r="AL210" i="36" s="1"/>
  <c r="AM210" i="36" s="1"/>
  <c r="AN210" i="36" s="1"/>
  <c r="AO210" i="36" s="1"/>
  <c r="AP210" i="36" s="1"/>
  <c r="AQ210" i="36" s="1"/>
  <c r="AR210" i="36" s="1"/>
  <c r="AS210" i="36" s="1"/>
  <c r="AT210" i="36" s="1"/>
  <c r="AU210" i="36" s="1"/>
  <c r="AV210" i="36" s="1"/>
  <c r="AW210" i="36" s="1"/>
  <c r="AX210" i="36" s="1"/>
  <c r="Z210" i="36" s="1"/>
  <c r="AD170" i="36"/>
  <c r="AE170" i="36" s="1"/>
  <c r="AF170" i="36" s="1"/>
  <c r="AG170" i="36" s="1"/>
  <c r="AH170" i="36" s="1"/>
  <c r="AI170" i="36" s="1"/>
  <c r="AJ170" i="36" s="1"/>
  <c r="AK170" i="36" s="1"/>
  <c r="AL170" i="36" s="1"/>
  <c r="AM170" i="36" s="1"/>
  <c r="AN170" i="36" s="1"/>
  <c r="AO170" i="36" s="1"/>
  <c r="AP170" i="36" s="1"/>
  <c r="AQ170" i="36" s="1"/>
  <c r="AR170" i="36" s="1"/>
  <c r="AS170" i="36" s="1"/>
  <c r="AT170" i="36" s="1"/>
  <c r="AU170" i="36" s="1"/>
  <c r="AV170" i="36" s="1"/>
  <c r="AW170" i="36" s="1"/>
  <c r="AX170" i="36" s="1"/>
  <c r="Z170" i="36" s="1"/>
  <c r="AD116" i="36"/>
  <c r="AE116" i="36" s="1"/>
  <c r="AF116" i="36" s="1"/>
  <c r="AG116" i="36" s="1"/>
  <c r="AH116" i="36" s="1"/>
  <c r="AI116" i="36" s="1"/>
  <c r="AJ116" i="36" s="1"/>
  <c r="AK116" i="36" s="1"/>
  <c r="AL116" i="36" s="1"/>
  <c r="AM116" i="36" s="1"/>
  <c r="AN116" i="36" s="1"/>
  <c r="AO116" i="36" s="1"/>
  <c r="AP116" i="36" s="1"/>
  <c r="AQ116" i="36" s="1"/>
  <c r="AR116" i="36" s="1"/>
  <c r="AS116" i="36" s="1"/>
  <c r="AT116" i="36" s="1"/>
  <c r="AU116" i="36" s="1"/>
  <c r="AV116" i="36" s="1"/>
  <c r="AW116" i="36" s="1"/>
  <c r="AX116" i="36" s="1"/>
  <c r="Z116" i="36" s="1"/>
  <c r="AD81" i="36"/>
  <c r="AE81" i="36" s="1"/>
  <c r="AF81" i="36" s="1"/>
  <c r="AG81" i="36" s="1"/>
  <c r="AH81" i="36" s="1"/>
  <c r="AI81" i="36" s="1"/>
  <c r="AJ81" i="36" s="1"/>
  <c r="AK81" i="36" s="1"/>
  <c r="AL81" i="36" s="1"/>
  <c r="AM81" i="36" s="1"/>
  <c r="AN81" i="36" s="1"/>
  <c r="AO81" i="36" s="1"/>
  <c r="AP81" i="36" s="1"/>
  <c r="AQ81" i="36" s="1"/>
  <c r="AR81" i="36" s="1"/>
  <c r="AS81" i="36" s="1"/>
  <c r="AT81" i="36" s="1"/>
  <c r="AU81" i="36" s="1"/>
  <c r="AV81" i="36" s="1"/>
  <c r="AW81" i="36" s="1"/>
  <c r="AX81" i="36" s="1"/>
  <c r="Z81" i="36" s="1"/>
  <c r="AD97" i="36"/>
  <c r="AE97" i="36" s="1"/>
  <c r="AF97" i="36" s="1"/>
  <c r="AG97" i="36" s="1"/>
  <c r="AH97" i="36" s="1"/>
  <c r="AI97" i="36" s="1"/>
  <c r="AJ97" i="36" s="1"/>
  <c r="AK97" i="36" s="1"/>
  <c r="AL97" i="36" s="1"/>
  <c r="AM97" i="36" s="1"/>
  <c r="AN97" i="36" s="1"/>
  <c r="AO97" i="36" s="1"/>
  <c r="AP97" i="36" s="1"/>
  <c r="AQ97" i="36" s="1"/>
  <c r="AR97" i="36" s="1"/>
  <c r="AS97" i="36" s="1"/>
  <c r="AT97" i="36" s="1"/>
  <c r="AU97" i="36" s="1"/>
  <c r="AV97" i="36" s="1"/>
  <c r="AW97" i="36" s="1"/>
  <c r="AX97" i="36" s="1"/>
  <c r="Z97" i="36" s="1"/>
  <c r="AD179" i="36"/>
  <c r="AE179" i="36" s="1"/>
  <c r="AF179" i="36" s="1"/>
  <c r="AG179" i="36" s="1"/>
  <c r="AH179" i="36" s="1"/>
  <c r="AI179" i="36" s="1"/>
  <c r="AJ179" i="36" s="1"/>
  <c r="AK179" i="36" s="1"/>
  <c r="AL179" i="36" s="1"/>
  <c r="AM179" i="36" s="1"/>
  <c r="AN179" i="36" s="1"/>
  <c r="AO179" i="36" s="1"/>
  <c r="AP179" i="36" s="1"/>
  <c r="AQ179" i="36" s="1"/>
  <c r="AR179" i="36" s="1"/>
  <c r="AS179" i="36" s="1"/>
  <c r="AT179" i="36" s="1"/>
  <c r="AU179" i="36" s="1"/>
  <c r="AV179" i="36" s="1"/>
  <c r="AW179" i="36" s="1"/>
  <c r="AX179" i="36" s="1"/>
  <c r="Z179" i="36" s="1"/>
  <c r="AD227" i="36"/>
  <c r="AE227" i="36" s="1"/>
  <c r="AF227" i="36" s="1"/>
  <c r="AG227" i="36" s="1"/>
  <c r="AH227" i="36" s="1"/>
  <c r="AI227" i="36" s="1"/>
  <c r="AJ227" i="36" s="1"/>
  <c r="AK227" i="36" s="1"/>
  <c r="AL227" i="36" s="1"/>
  <c r="AM227" i="36" s="1"/>
  <c r="AN227" i="36" s="1"/>
  <c r="AO227" i="36" s="1"/>
  <c r="AP227" i="36" s="1"/>
  <c r="AQ227" i="36" s="1"/>
  <c r="AR227" i="36" s="1"/>
  <c r="AS227" i="36" s="1"/>
  <c r="AT227" i="36" s="1"/>
  <c r="AU227" i="36" s="1"/>
  <c r="AV227" i="36" s="1"/>
  <c r="AW227" i="36" s="1"/>
  <c r="AX227" i="36" s="1"/>
  <c r="Z227" i="36" s="1"/>
  <c r="AD216" i="36"/>
  <c r="AE216" i="36" s="1"/>
  <c r="AF216" i="36" s="1"/>
  <c r="AG216" i="36" s="1"/>
  <c r="AH216" i="36" s="1"/>
  <c r="AI216" i="36" s="1"/>
  <c r="AJ216" i="36" s="1"/>
  <c r="AK216" i="36" s="1"/>
  <c r="AL216" i="36" s="1"/>
  <c r="AM216" i="36" s="1"/>
  <c r="AN216" i="36" s="1"/>
  <c r="AO216" i="36" s="1"/>
  <c r="AP216" i="36" s="1"/>
  <c r="AQ216" i="36" s="1"/>
  <c r="AR216" i="36" s="1"/>
  <c r="AS216" i="36" s="1"/>
  <c r="AT216" i="36" s="1"/>
  <c r="AU216" i="36" s="1"/>
  <c r="AV216" i="36" s="1"/>
  <c r="AW216" i="36" s="1"/>
  <c r="AX216" i="36" s="1"/>
  <c r="Z216" i="36" s="1"/>
  <c r="AD237" i="36"/>
  <c r="AE237" i="36" s="1"/>
  <c r="AF237" i="36" s="1"/>
  <c r="AG237" i="36" s="1"/>
  <c r="AH237" i="36" s="1"/>
  <c r="AI237" i="36" s="1"/>
  <c r="AJ237" i="36" s="1"/>
  <c r="AK237" i="36" s="1"/>
  <c r="AL237" i="36" s="1"/>
  <c r="AM237" i="36" s="1"/>
  <c r="AN237" i="36" s="1"/>
  <c r="AO237" i="36" s="1"/>
  <c r="AP237" i="36" s="1"/>
  <c r="AQ237" i="36" s="1"/>
  <c r="AR237" i="36" s="1"/>
  <c r="AS237" i="36" s="1"/>
  <c r="AT237" i="36" s="1"/>
  <c r="AU237" i="36" s="1"/>
  <c r="AV237" i="36" s="1"/>
  <c r="AW237" i="36" s="1"/>
  <c r="AX237" i="36" s="1"/>
  <c r="Z237" i="36" s="1"/>
  <c r="AD142" i="36"/>
  <c r="AE142" i="36" s="1"/>
  <c r="AF142" i="36" s="1"/>
  <c r="AG142" i="36" s="1"/>
  <c r="AH142" i="36" s="1"/>
  <c r="AI142" i="36" s="1"/>
  <c r="AJ142" i="36" s="1"/>
  <c r="AK142" i="36" s="1"/>
  <c r="AL142" i="36" s="1"/>
  <c r="AM142" i="36" s="1"/>
  <c r="AN142" i="36" s="1"/>
  <c r="AO142" i="36" s="1"/>
  <c r="AP142" i="36" s="1"/>
  <c r="AQ142" i="36" s="1"/>
  <c r="AR142" i="36" s="1"/>
  <c r="AS142" i="36" s="1"/>
  <c r="AT142" i="36" s="1"/>
  <c r="AU142" i="36" s="1"/>
  <c r="AV142" i="36" s="1"/>
  <c r="AW142" i="36" s="1"/>
  <c r="AX142" i="36" s="1"/>
  <c r="Z142" i="36" s="1"/>
  <c r="AD208" i="36"/>
  <c r="AE208" i="36" s="1"/>
  <c r="AF208" i="36" s="1"/>
  <c r="AG208" i="36" s="1"/>
  <c r="AH208" i="36" s="1"/>
  <c r="AI208" i="36" s="1"/>
  <c r="AJ208" i="36" s="1"/>
  <c r="AK208" i="36" s="1"/>
  <c r="AL208" i="36" s="1"/>
  <c r="AM208" i="36" s="1"/>
  <c r="AN208" i="36" s="1"/>
  <c r="AO208" i="36" s="1"/>
  <c r="AP208" i="36" s="1"/>
  <c r="AQ208" i="36" s="1"/>
  <c r="AR208" i="36" s="1"/>
  <c r="AS208" i="36" s="1"/>
  <c r="AT208" i="36" s="1"/>
  <c r="AU208" i="36" s="1"/>
  <c r="AV208" i="36" s="1"/>
  <c r="AW208" i="36" s="1"/>
  <c r="AX208" i="36" s="1"/>
  <c r="Z208" i="36" s="1"/>
  <c r="AD205" i="36"/>
  <c r="AE205" i="36" s="1"/>
  <c r="AF205" i="36" s="1"/>
  <c r="AG205" i="36" s="1"/>
  <c r="AH205" i="36" s="1"/>
  <c r="AI205" i="36" s="1"/>
  <c r="AJ205" i="36" s="1"/>
  <c r="AK205" i="36" s="1"/>
  <c r="AL205" i="36" s="1"/>
  <c r="AM205" i="36" s="1"/>
  <c r="AN205" i="36" s="1"/>
  <c r="AO205" i="36" s="1"/>
  <c r="AP205" i="36" s="1"/>
  <c r="AQ205" i="36" s="1"/>
  <c r="AR205" i="36" s="1"/>
  <c r="AS205" i="36" s="1"/>
  <c r="AT205" i="36" s="1"/>
  <c r="AU205" i="36" s="1"/>
  <c r="AV205" i="36" s="1"/>
  <c r="AW205" i="36" s="1"/>
  <c r="AX205" i="36" s="1"/>
  <c r="Z205" i="36" s="1"/>
  <c r="AD141" i="36"/>
  <c r="AE141" i="36" s="1"/>
  <c r="AF141" i="36" s="1"/>
  <c r="AG141" i="36" s="1"/>
  <c r="AH141" i="36" s="1"/>
  <c r="AI141" i="36" s="1"/>
  <c r="AJ141" i="36" s="1"/>
  <c r="AK141" i="36" s="1"/>
  <c r="AL141" i="36" s="1"/>
  <c r="AM141" i="36" s="1"/>
  <c r="AN141" i="36" s="1"/>
  <c r="AO141" i="36" s="1"/>
  <c r="AP141" i="36" s="1"/>
  <c r="AQ141" i="36" s="1"/>
  <c r="AR141" i="36" s="1"/>
  <c r="AS141" i="36" s="1"/>
  <c r="AT141" i="36" s="1"/>
  <c r="AU141" i="36" s="1"/>
  <c r="AV141" i="36" s="1"/>
  <c r="AW141" i="36" s="1"/>
  <c r="AX141" i="36" s="1"/>
  <c r="Z141" i="36" s="1"/>
  <c r="AD92" i="36"/>
  <c r="AE92" i="36" s="1"/>
  <c r="AF92" i="36" s="1"/>
  <c r="AG92" i="36" s="1"/>
  <c r="AH92" i="36" s="1"/>
  <c r="AI92" i="36" s="1"/>
  <c r="AJ92" i="36" s="1"/>
  <c r="AK92" i="36" s="1"/>
  <c r="AL92" i="36" s="1"/>
  <c r="AM92" i="36" s="1"/>
  <c r="AN92" i="36" s="1"/>
  <c r="AO92" i="36" s="1"/>
  <c r="AP92" i="36" s="1"/>
  <c r="AQ92" i="36" s="1"/>
  <c r="AR92" i="36" s="1"/>
  <c r="AS92" i="36" s="1"/>
  <c r="AT92" i="36" s="1"/>
  <c r="AU92" i="36" s="1"/>
  <c r="AV92" i="36" s="1"/>
  <c r="AW92" i="36" s="1"/>
  <c r="AX92" i="36" s="1"/>
  <c r="Z92" i="36" s="1"/>
  <c r="AD226" i="36"/>
  <c r="AE226" i="36" s="1"/>
  <c r="AF226" i="36" s="1"/>
  <c r="AG226" i="36" s="1"/>
  <c r="AH226" i="36" s="1"/>
  <c r="AI226" i="36" s="1"/>
  <c r="AJ226" i="36" s="1"/>
  <c r="AK226" i="36" s="1"/>
  <c r="AL226" i="36" s="1"/>
  <c r="AM226" i="36" s="1"/>
  <c r="AN226" i="36" s="1"/>
  <c r="AO226" i="36" s="1"/>
  <c r="AP226" i="36" s="1"/>
  <c r="AQ226" i="36" s="1"/>
  <c r="AR226" i="36" s="1"/>
  <c r="AS226" i="36" s="1"/>
  <c r="AT226" i="36" s="1"/>
  <c r="AU226" i="36" s="1"/>
  <c r="AV226" i="36" s="1"/>
  <c r="AW226" i="36" s="1"/>
  <c r="AX226" i="36" s="1"/>
  <c r="Z226" i="36" s="1"/>
  <c r="AD173" i="36"/>
  <c r="AE173" i="36" s="1"/>
  <c r="AF173" i="36" s="1"/>
  <c r="AG173" i="36" s="1"/>
  <c r="AH173" i="36" s="1"/>
  <c r="AI173" i="36" s="1"/>
  <c r="AJ173" i="36" s="1"/>
  <c r="AK173" i="36" s="1"/>
  <c r="AL173" i="36" s="1"/>
  <c r="AM173" i="36" s="1"/>
  <c r="AN173" i="36" s="1"/>
  <c r="AO173" i="36" s="1"/>
  <c r="AP173" i="36" s="1"/>
  <c r="AQ173" i="36" s="1"/>
  <c r="AR173" i="36" s="1"/>
  <c r="AS173" i="36" s="1"/>
  <c r="AT173" i="36" s="1"/>
  <c r="AU173" i="36" s="1"/>
  <c r="AV173" i="36" s="1"/>
  <c r="AW173" i="36" s="1"/>
  <c r="AX173" i="36" s="1"/>
  <c r="Z173" i="36" s="1"/>
  <c r="AD41" i="36"/>
  <c r="AE41" i="36" s="1"/>
  <c r="AF41" i="36" s="1"/>
  <c r="AG41" i="36" s="1"/>
  <c r="AH41" i="36" s="1"/>
  <c r="AI41" i="36" s="1"/>
  <c r="AJ41" i="36" s="1"/>
  <c r="AK41" i="36" s="1"/>
  <c r="AL41" i="36" s="1"/>
  <c r="AM41" i="36" s="1"/>
  <c r="AN41" i="36" s="1"/>
  <c r="AO41" i="36" s="1"/>
  <c r="AP41" i="36" s="1"/>
  <c r="AQ41" i="36" s="1"/>
  <c r="AR41" i="36" s="1"/>
  <c r="AS41" i="36" s="1"/>
  <c r="AT41" i="36" s="1"/>
  <c r="AU41" i="36" s="1"/>
  <c r="AV41" i="36" s="1"/>
  <c r="AW41" i="36" s="1"/>
  <c r="AX41" i="36" s="1"/>
  <c r="Z41" i="36" s="1"/>
  <c r="AD253" i="36"/>
  <c r="AE253" i="36" s="1"/>
  <c r="AF253" i="36" s="1"/>
  <c r="AG253" i="36" s="1"/>
  <c r="AH253" i="36" s="1"/>
  <c r="AI253" i="36" s="1"/>
  <c r="AJ253" i="36" s="1"/>
  <c r="AK253" i="36" s="1"/>
  <c r="AL253" i="36" s="1"/>
  <c r="AM253" i="36" s="1"/>
  <c r="AN253" i="36" s="1"/>
  <c r="AO253" i="36" s="1"/>
  <c r="AP253" i="36" s="1"/>
  <c r="AQ253" i="36" s="1"/>
  <c r="AR253" i="36" s="1"/>
  <c r="AS253" i="36" s="1"/>
  <c r="AT253" i="36" s="1"/>
  <c r="AU253" i="36" s="1"/>
  <c r="AV253" i="36" s="1"/>
  <c r="AW253" i="36" s="1"/>
  <c r="AX253" i="36" s="1"/>
  <c r="Z253" i="36" s="1"/>
  <c r="AD118" i="36"/>
  <c r="AE118" i="36" s="1"/>
  <c r="AF118" i="36" s="1"/>
  <c r="AG118" i="36" s="1"/>
  <c r="AH118" i="36" s="1"/>
  <c r="AI118" i="36" s="1"/>
  <c r="AJ118" i="36" s="1"/>
  <c r="AK118" i="36" s="1"/>
  <c r="AL118" i="36" s="1"/>
  <c r="AM118" i="36" s="1"/>
  <c r="AN118" i="36" s="1"/>
  <c r="AO118" i="36" s="1"/>
  <c r="AP118" i="36" s="1"/>
  <c r="AQ118" i="36" s="1"/>
  <c r="AR118" i="36" s="1"/>
  <c r="AS118" i="36" s="1"/>
  <c r="AT118" i="36" s="1"/>
  <c r="AU118" i="36" s="1"/>
  <c r="AV118" i="36" s="1"/>
  <c r="AW118" i="36" s="1"/>
  <c r="AX118" i="36" s="1"/>
  <c r="Z118" i="36" s="1"/>
  <c r="AD86" i="36"/>
  <c r="AE86" i="36" s="1"/>
  <c r="AF86" i="36" s="1"/>
  <c r="AG86" i="36" s="1"/>
  <c r="AH86" i="36" s="1"/>
  <c r="AI86" i="36" s="1"/>
  <c r="AJ86" i="36" s="1"/>
  <c r="AK86" i="36" s="1"/>
  <c r="AL86" i="36" s="1"/>
  <c r="AM86" i="36" s="1"/>
  <c r="AN86" i="36" s="1"/>
  <c r="AO86" i="36" s="1"/>
  <c r="AP86" i="36" s="1"/>
  <c r="AQ86" i="36" s="1"/>
  <c r="AR86" i="36" s="1"/>
  <c r="AS86" i="36" s="1"/>
  <c r="AT86" i="36" s="1"/>
  <c r="AU86" i="36" s="1"/>
  <c r="AV86" i="36" s="1"/>
  <c r="AW86" i="36" s="1"/>
  <c r="AX86" i="36" s="1"/>
  <c r="Z86" i="36" s="1"/>
  <c r="AD184" i="36"/>
  <c r="AE184" i="36" s="1"/>
  <c r="AF184" i="36" s="1"/>
  <c r="AG184" i="36" s="1"/>
  <c r="AH184" i="36" s="1"/>
  <c r="AI184" i="36" s="1"/>
  <c r="AJ184" i="36" s="1"/>
  <c r="AK184" i="36" s="1"/>
  <c r="AL184" i="36" s="1"/>
  <c r="AM184" i="36" s="1"/>
  <c r="AN184" i="36" s="1"/>
  <c r="AO184" i="36" s="1"/>
  <c r="AP184" i="36" s="1"/>
  <c r="AQ184" i="36" s="1"/>
  <c r="AR184" i="36" s="1"/>
  <c r="AS184" i="36" s="1"/>
  <c r="AT184" i="36" s="1"/>
  <c r="AU184" i="36" s="1"/>
  <c r="AV184" i="36" s="1"/>
  <c r="AW184" i="36" s="1"/>
  <c r="AX184" i="36" s="1"/>
  <c r="Z184" i="36" s="1"/>
  <c r="AD106" i="36"/>
  <c r="AE106" i="36" s="1"/>
  <c r="AF106" i="36" s="1"/>
  <c r="AG106" i="36" s="1"/>
  <c r="AH106" i="36" s="1"/>
  <c r="AI106" i="36" s="1"/>
  <c r="AJ106" i="36" s="1"/>
  <c r="AK106" i="36" s="1"/>
  <c r="AL106" i="36" s="1"/>
  <c r="AM106" i="36" s="1"/>
  <c r="AN106" i="36" s="1"/>
  <c r="AO106" i="36" s="1"/>
  <c r="AP106" i="36" s="1"/>
  <c r="AQ106" i="36" s="1"/>
  <c r="AR106" i="36" s="1"/>
  <c r="AS106" i="36" s="1"/>
  <c r="AT106" i="36" s="1"/>
  <c r="AU106" i="36" s="1"/>
  <c r="AV106" i="36" s="1"/>
  <c r="AW106" i="36" s="1"/>
  <c r="AX106" i="36" s="1"/>
  <c r="Z106" i="36" s="1"/>
  <c r="AD71" i="36"/>
  <c r="AE71" i="36" s="1"/>
  <c r="AF71" i="36" s="1"/>
  <c r="AG71" i="36" s="1"/>
  <c r="AH71" i="36" s="1"/>
  <c r="AI71" i="36" s="1"/>
  <c r="AJ71" i="36" s="1"/>
  <c r="AK71" i="36" s="1"/>
  <c r="AL71" i="36" s="1"/>
  <c r="AM71" i="36" s="1"/>
  <c r="AN71" i="36" s="1"/>
  <c r="AO71" i="36" s="1"/>
  <c r="AP71" i="36" s="1"/>
  <c r="AQ71" i="36" s="1"/>
  <c r="AR71" i="36" s="1"/>
  <c r="AS71" i="36" s="1"/>
  <c r="AT71" i="36" s="1"/>
  <c r="AU71" i="36" s="1"/>
  <c r="AV71" i="36" s="1"/>
  <c r="AW71" i="36" s="1"/>
  <c r="AX71" i="36" s="1"/>
  <c r="Z71" i="36" s="1"/>
  <c r="AD36" i="36"/>
  <c r="AE36" i="36" s="1"/>
  <c r="AF36" i="36" s="1"/>
  <c r="AG36" i="36" s="1"/>
  <c r="AH36" i="36" s="1"/>
  <c r="AI36" i="36" s="1"/>
  <c r="AJ36" i="36" s="1"/>
  <c r="AK36" i="36" s="1"/>
  <c r="AL36" i="36" s="1"/>
  <c r="AM36" i="36" s="1"/>
  <c r="AN36" i="36" s="1"/>
  <c r="AO36" i="36" s="1"/>
  <c r="AP36" i="36" s="1"/>
  <c r="AQ36" i="36" s="1"/>
  <c r="AR36" i="36" s="1"/>
  <c r="AS36" i="36" s="1"/>
  <c r="AT36" i="36" s="1"/>
  <c r="AU36" i="36" s="1"/>
  <c r="AV36" i="36" s="1"/>
  <c r="AW36" i="36" s="1"/>
  <c r="AX36" i="36" s="1"/>
  <c r="Z36" i="36" s="1"/>
  <c r="AD52" i="36"/>
  <c r="AE52" i="36" s="1"/>
  <c r="AF52" i="36" s="1"/>
  <c r="AG52" i="36" s="1"/>
  <c r="AH52" i="36" s="1"/>
  <c r="AI52" i="36" s="1"/>
  <c r="AJ52" i="36" s="1"/>
  <c r="AK52" i="36" s="1"/>
  <c r="AL52" i="36" s="1"/>
  <c r="AM52" i="36" s="1"/>
  <c r="AN52" i="36" s="1"/>
  <c r="AO52" i="36" s="1"/>
  <c r="AP52" i="36" s="1"/>
  <c r="AQ52" i="36" s="1"/>
  <c r="AR52" i="36" s="1"/>
  <c r="AS52" i="36" s="1"/>
  <c r="AT52" i="36" s="1"/>
  <c r="AU52" i="36" s="1"/>
  <c r="AV52" i="36" s="1"/>
  <c r="AW52" i="36" s="1"/>
  <c r="AX52" i="36" s="1"/>
  <c r="Z52" i="36" s="1"/>
  <c r="AD185" i="36"/>
  <c r="AE185" i="36" s="1"/>
  <c r="AF185" i="36" s="1"/>
  <c r="AG185" i="36" s="1"/>
  <c r="AH185" i="36" s="1"/>
  <c r="AI185" i="36" s="1"/>
  <c r="AJ185" i="36" s="1"/>
  <c r="AK185" i="36" s="1"/>
  <c r="AL185" i="36" s="1"/>
  <c r="AM185" i="36" s="1"/>
  <c r="AN185" i="36" s="1"/>
  <c r="AO185" i="36" s="1"/>
  <c r="AP185" i="36" s="1"/>
  <c r="AQ185" i="36" s="1"/>
  <c r="AR185" i="36" s="1"/>
  <c r="AS185" i="36" s="1"/>
  <c r="AT185" i="36" s="1"/>
  <c r="AU185" i="36" s="1"/>
  <c r="AV185" i="36" s="1"/>
  <c r="AW185" i="36" s="1"/>
  <c r="AX185" i="36" s="1"/>
  <c r="Z185" i="36" s="1"/>
  <c r="AD201" i="36"/>
  <c r="AE201" i="36" s="1"/>
  <c r="AF201" i="36" s="1"/>
  <c r="AG201" i="36" s="1"/>
  <c r="AH201" i="36" s="1"/>
  <c r="AI201" i="36" s="1"/>
  <c r="AJ201" i="36" s="1"/>
  <c r="AK201" i="36" s="1"/>
  <c r="AL201" i="36" s="1"/>
  <c r="AM201" i="36" s="1"/>
  <c r="AN201" i="36" s="1"/>
  <c r="AO201" i="36" s="1"/>
  <c r="AP201" i="36" s="1"/>
  <c r="AQ201" i="36" s="1"/>
  <c r="AR201" i="36" s="1"/>
  <c r="AS201" i="36" s="1"/>
  <c r="AT201" i="36" s="1"/>
  <c r="AU201" i="36" s="1"/>
  <c r="AV201" i="36" s="1"/>
  <c r="AW201" i="36" s="1"/>
  <c r="AX201" i="36" s="1"/>
  <c r="Z201" i="36" s="1"/>
  <c r="AD219" i="36"/>
  <c r="AE219" i="36" s="1"/>
  <c r="AF219" i="36" s="1"/>
  <c r="AG219" i="36" s="1"/>
  <c r="AH219" i="36" s="1"/>
  <c r="AI219" i="36" s="1"/>
  <c r="AJ219" i="36" s="1"/>
  <c r="AK219" i="36" s="1"/>
  <c r="AL219" i="36" s="1"/>
  <c r="AM219" i="36" s="1"/>
  <c r="AN219" i="36" s="1"/>
  <c r="AO219" i="36" s="1"/>
  <c r="AP219" i="36" s="1"/>
  <c r="AQ219" i="36" s="1"/>
  <c r="AR219" i="36" s="1"/>
  <c r="AS219" i="36" s="1"/>
  <c r="AT219" i="36" s="1"/>
  <c r="AU219" i="36" s="1"/>
  <c r="AV219" i="36" s="1"/>
  <c r="AW219" i="36" s="1"/>
  <c r="AX219" i="36" s="1"/>
  <c r="Z219" i="36" s="1"/>
  <c r="AD251" i="36"/>
  <c r="AE251" i="36" s="1"/>
  <c r="AF251" i="36" s="1"/>
  <c r="AG251" i="36" s="1"/>
  <c r="AH251" i="36" s="1"/>
  <c r="AI251" i="36" s="1"/>
  <c r="AJ251" i="36" s="1"/>
  <c r="AK251" i="36" s="1"/>
  <c r="AL251" i="36" s="1"/>
  <c r="AM251" i="36" s="1"/>
  <c r="AN251" i="36" s="1"/>
  <c r="AO251" i="36" s="1"/>
  <c r="AP251" i="36" s="1"/>
  <c r="AQ251" i="36" s="1"/>
  <c r="AR251" i="36" s="1"/>
  <c r="AS251" i="36" s="1"/>
  <c r="AT251" i="36" s="1"/>
  <c r="AU251" i="36" s="1"/>
  <c r="AV251" i="36" s="1"/>
  <c r="AW251" i="36" s="1"/>
  <c r="AX251" i="36" s="1"/>
  <c r="Z251" i="36" s="1"/>
  <c r="AD82" i="36"/>
  <c r="AE82" i="36" s="1"/>
  <c r="AF82" i="36" s="1"/>
  <c r="AG82" i="36" s="1"/>
  <c r="AH82" i="36" s="1"/>
  <c r="AI82" i="36" s="1"/>
  <c r="AJ82" i="36" s="1"/>
  <c r="AK82" i="36" s="1"/>
  <c r="AL82" i="36" s="1"/>
  <c r="AM82" i="36" s="1"/>
  <c r="AN82" i="36" s="1"/>
  <c r="AO82" i="36" s="1"/>
  <c r="AP82" i="36" s="1"/>
  <c r="AQ82" i="36" s="1"/>
  <c r="AR82" i="36" s="1"/>
  <c r="AS82" i="36" s="1"/>
  <c r="AT82" i="36" s="1"/>
  <c r="AU82" i="36" s="1"/>
  <c r="AV82" i="36" s="1"/>
  <c r="AW82" i="36" s="1"/>
  <c r="AX82" i="36" s="1"/>
  <c r="Z82" i="36" s="1"/>
  <c r="AD244" i="36"/>
  <c r="AE244" i="36" s="1"/>
  <c r="AF244" i="36" s="1"/>
  <c r="AG244" i="36" s="1"/>
  <c r="AH244" i="36" s="1"/>
  <c r="AI244" i="36" s="1"/>
  <c r="AJ244" i="36" s="1"/>
  <c r="AK244" i="36" s="1"/>
  <c r="AL244" i="36" s="1"/>
  <c r="AM244" i="36" s="1"/>
  <c r="AN244" i="36" s="1"/>
  <c r="AO244" i="36" s="1"/>
  <c r="AP244" i="36" s="1"/>
  <c r="AQ244" i="36" s="1"/>
  <c r="AR244" i="36" s="1"/>
  <c r="AS244" i="36" s="1"/>
  <c r="AT244" i="36" s="1"/>
  <c r="AU244" i="36" s="1"/>
  <c r="AV244" i="36" s="1"/>
  <c r="AW244" i="36" s="1"/>
  <c r="AX244" i="36" s="1"/>
  <c r="Z244" i="36" s="1"/>
  <c r="AD23" i="36"/>
  <c r="AE23" i="36" s="1"/>
  <c r="AF23" i="36" s="1"/>
  <c r="AG23" i="36" s="1"/>
  <c r="AH23" i="36" s="1"/>
  <c r="AI23" i="36" s="1"/>
  <c r="AJ23" i="36" s="1"/>
  <c r="AK23" i="36" s="1"/>
  <c r="AL23" i="36" s="1"/>
  <c r="AM23" i="36" s="1"/>
  <c r="AN23" i="36" s="1"/>
  <c r="AO23" i="36" s="1"/>
  <c r="AP23" i="36" s="1"/>
  <c r="AQ23" i="36" s="1"/>
  <c r="AR23" i="36" s="1"/>
  <c r="AS23" i="36" s="1"/>
  <c r="AT23" i="36" s="1"/>
  <c r="AU23" i="36" s="1"/>
  <c r="AV23" i="36" s="1"/>
  <c r="AW23" i="36" s="1"/>
  <c r="AX23" i="36" s="1"/>
  <c r="Z23" i="36" s="1"/>
  <c r="AD188" i="36"/>
  <c r="AE188" i="36" s="1"/>
  <c r="AF188" i="36" s="1"/>
  <c r="AG188" i="36" s="1"/>
  <c r="AH188" i="36" s="1"/>
  <c r="AI188" i="36" s="1"/>
  <c r="AJ188" i="36" s="1"/>
  <c r="AK188" i="36" s="1"/>
  <c r="AL188" i="36" s="1"/>
  <c r="AM188" i="36" s="1"/>
  <c r="AN188" i="36" s="1"/>
  <c r="AO188" i="36" s="1"/>
  <c r="AP188" i="36" s="1"/>
  <c r="AQ188" i="36" s="1"/>
  <c r="AR188" i="36" s="1"/>
  <c r="AS188" i="36" s="1"/>
  <c r="AT188" i="36" s="1"/>
  <c r="AU188" i="36" s="1"/>
  <c r="AV188" i="36" s="1"/>
  <c r="AW188" i="36" s="1"/>
  <c r="AX188" i="36" s="1"/>
  <c r="Z188" i="36" s="1"/>
  <c r="AD220" i="36"/>
  <c r="AE220" i="36" s="1"/>
  <c r="AF220" i="36" s="1"/>
  <c r="AG220" i="36" s="1"/>
  <c r="AH220" i="36" s="1"/>
  <c r="AI220" i="36" s="1"/>
  <c r="AJ220" i="36" s="1"/>
  <c r="AK220" i="36" s="1"/>
  <c r="AL220" i="36" s="1"/>
  <c r="AM220" i="36" s="1"/>
  <c r="AN220" i="36" s="1"/>
  <c r="AO220" i="36" s="1"/>
  <c r="AP220" i="36" s="1"/>
  <c r="AQ220" i="36" s="1"/>
  <c r="AR220" i="36" s="1"/>
  <c r="AS220" i="36" s="1"/>
  <c r="AT220" i="36" s="1"/>
  <c r="AU220" i="36" s="1"/>
  <c r="AV220" i="36" s="1"/>
  <c r="AW220" i="36" s="1"/>
  <c r="AX220" i="36" s="1"/>
  <c r="Z220" i="36" s="1"/>
  <c r="AD236" i="36"/>
  <c r="AE236" i="36" s="1"/>
  <c r="AF236" i="36" s="1"/>
  <c r="AG236" i="36" s="1"/>
  <c r="AH236" i="36" s="1"/>
  <c r="AI236" i="36" s="1"/>
  <c r="AJ236" i="36" s="1"/>
  <c r="AK236" i="36" s="1"/>
  <c r="AL236" i="36" s="1"/>
  <c r="AM236" i="36" s="1"/>
  <c r="AN236" i="36" s="1"/>
  <c r="AO236" i="36" s="1"/>
  <c r="AP236" i="36" s="1"/>
  <c r="AQ236" i="36" s="1"/>
  <c r="AR236" i="36" s="1"/>
  <c r="AS236" i="36" s="1"/>
  <c r="AT236" i="36" s="1"/>
  <c r="AU236" i="36" s="1"/>
  <c r="AV236" i="36" s="1"/>
  <c r="AW236" i="36" s="1"/>
  <c r="AX236" i="36" s="1"/>
  <c r="Z236" i="36" s="1"/>
  <c r="AD252" i="36"/>
  <c r="AE252" i="36" s="1"/>
  <c r="AF252" i="36" s="1"/>
  <c r="AG252" i="36" s="1"/>
  <c r="AH252" i="36" s="1"/>
  <c r="AI252" i="36" s="1"/>
  <c r="AJ252" i="36" s="1"/>
  <c r="AK252" i="36" s="1"/>
  <c r="AL252" i="36" s="1"/>
  <c r="AM252" i="36" s="1"/>
  <c r="AN252" i="36" s="1"/>
  <c r="AO252" i="36" s="1"/>
  <c r="AP252" i="36" s="1"/>
  <c r="AQ252" i="36" s="1"/>
  <c r="AR252" i="36" s="1"/>
  <c r="AS252" i="36" s="1"/>
  <c r="AT252" i="36" s="1"/>
  <c r="AU252" i="36" s="1"/>
  <c r="AV252" i="36" s="1"/>
  <c r="AW252" i="36" s="1"/>
  <c r="AX252" i="36" s="1"/>
  <c r="Z252" i="36" s="1"/>
  <c r="AD268" i="36"/>
  <c r="AE268" i="36" s="1"/>
  <c r="AF268" i="36" s="1"/>
  <c r="AG268" i="36" s="1"/>
  <c r="AH268" i="36" s="1"/>
  <c r="AI268" i="36" s="1"/>
  <c r="AJ268" i="36" s="1"/>
  <c r="AK268" i="36" s="1"/>
  <c r="AL268" i="36" s="1"/>
  <c r="AM268" i="36" s="1"/>
  <c r="AN268" i="36" s="1"/>
  <c r="AO268" i="36" s="1"/>
  <c r="AP268" i="36" s="1"/>
  <c r="AQ268" i="36" s="1"/>
  <c r="AR268" i="36" s="1"/>
  <c r="AS268" i="36" s="1"/>
  <c r="AT268" i="36" s="1"/>
  <c r="AU268" i="36" s="1"/>
  <c r="AV268" i="36" s="1"/>
  <c r="AW268" i="36" s="1"/>
  <c r="AX268" i="36" s="1"/>
  <c r="Z268" i="36" s="1"/>
  <c r="AD203" i="36"/>
  <c r="AE203" i="36" s="1"/>
  <c r="AF203" i="36" s="1"/>
  <c r="AG203" i="36" s="1"/>
  <c r="AH203" i="36" s="1"/>
  <c r="AI203" i="36" s="1"/>
  <c r="AJ203" i="36" s="1"/>
  <c r="AK203" i="36" s="1"/>
  <c r="AL203" i="36" s="1"/>
  <c r="AM203" i="36" s="1"/>
  <c r="AN203" i="36" s="1"/>
  <c r="AO203" i="36" s="1"/>
  <c r="AP203" i="36" s="1"/>
  <c r="AQ203" i="36" s="1"/>
  <c r="AR203" i="36" s="1"/>
  <c r="AS203" i="36" s="1"/>
  <c r="AT203" i="36" s="1"/>
  <c r="AU203" i="36" s="1"/>
  <c r="AV203" i="36" s="1"/>
  <c r="AW203" i="36" s="1"/>
  <c r="AX203" i="36" s="1"/>
  <c r="Z203" i="36" s="1"/>
  <c r="AD39" i="36"/>
  <c r="AE39" i="36" s="1"/>
  <c r="AF39" i="36" s="1"/>
  <c r="AG39" i="36" s="1"/>
  <c r="AH39" i="36" s="1"/>
  <c r="AI39" i="36" s="1"/>
  <c r="AJ39" i="36" s="1"/>
  <c r="AK39" i="36" s="1"/>
  <c r="AL39" i="36" s="1"/>
  <c r="AM39" i="36" s="1"/>
  <c r="AN39" i="36" s="1"/>
  <c r="AO39" i="36" s="1"/>
  <c r="AP39" i="36" s="1"/>
  <c r="AQ39" i="36" s="1"/>
  <c r="AR39" i="36" s="1"/>
  <c r="AS39" i="36" s="1"/>
  <c r="AT39" i="36" s="1"/>
  <c r="AU39" i="36" s="1"/>
  <c r="AV39" i="36" s="1"/>
  <c r="AW39" i="36" s="1"/>
  <c r="AX39" i="36" s="1"/>
  <c r="Z39" i="36" s="1"/>
  <c r="AD88" i="36"/>
  <c r="AE88" i="36" s="1"/>
  <c r="AF88" i="36" s="1"/>
  <c r="AG88" i="36" s="1"/>
  <c r="AH88" i="36" s="1"/>
  <c r="AI88" i="36" s="1"/>
  <c r="AJ88" i="36" s="1"/>
  <c r="AK88" i="36" s="1"/>
  <c r="AL88" i="36" s="1"/>
  <c r="AM88" i="36" s="1"/>
  <c r="AN88" i="36" s="1"/>
  <c r="AO88" i="36" s="1"/>
  <c r="AP88" i="36" s="1"/>
  <c r="AQ88" i="36" s="1"/>
  <c r="AR88" i="36" s="1"/>
  <c r="AS88" i="36" s="1"/>
  <c r="AT88" i="36" s="1"/>
  <c r="AU88" i="36" s="1"/>
  <c r="AV88" i="36" s="1"/>
  <c r="AW88" i="36" s="1"/>
  <c r="AX88" i="36" s="1"/>
  <c r="Z88" i="36" s="1"/>
  <c r="AD15" i="36"/>
  <c r="AE15" i="36" s="1"/>
  <c r="AF15" i="36" s="1"/>
  <c r="AG15" i="36" s="1"/>
  <c r="AH15" i="36" s="1"/>
  <c r="AI15" i="36" s="1"/>
  <c r="AJ15" i="36" s="1"/>
  <c r="AK15" i="36" s="1"/>
  <c r="AL15" i="36" s="1"/>
  <c r="AM15" i="36" s="1"/>
  <c r="AN15" i="36" s="1"/>
  <c r="AO15" i="36" s="1"/>
  <c r="AP15" i="36" s="1"/>
  <c r="AQ15" i="36" s="1"/>
  <c r="AR15" i="36" s="1"/>
  <c r="AS15" i="36" s="1"/>
  <c r="AT15" i="36" s="1"/>
  <c r="AU15" i="36" s="1"/>
  <c r="AV15" i="36" s="1"/>
  <c r="AW15" i="36" s="1"/>
  <c r="AX15" i="36" s="1"/>
  <c r="Z15" i="36" s="1"/>
  <c r="AD34" i="36"/>
  <c r="AE34" i="36" s="1"/>
  <c r="AF34" i="36" s="1"/>
  <c r="AG34" i="36" s="1"/>
  <c r="AH34" i="36" s="1"/>
  <c r="AI34" i="36" s="1"/>
  <c r="AJ34" i="36" s="1"/>
  <c r="AK34" i="36" s="1"/>
  <c r="AL34" i="36" s="1"/>
  <c r="AM34" i="36" s="1"/>
  <c r="AN34" i="36" s="1"/>
  <c r="AO34" i="36" s="1"/>
  <c r="AP34" i="36" s="1"/>
  <c r="AQ34" i="36" s="1"/>
  <c r="AR34" i="36" s="1"/>
  <c r="AS34" i="36" s="1"/>
  <c r="AT34" i="36" s="1"/>
  <c r="AU34" i="36" s="1"/>
  <c r="AV34" i="36" s="1"/>
  <c r="AW34" i="36" s="1"/>
  <c r="AX34" i="36" s="1"/>
  <c r="Z34" i="36" s="1"/>
  <c r="AD102" i="36"/>
  <c r="AE102" i="36" s="1"/>
  <c r="AF102" i="36" s="1"/>
  <c r="AG102" i="36" s="1"/>
  <c r="AH102" i="36" s="1"/>
  <c r="AI102" i="36" s="1"/>
  <c r="AJ102" i="36" s="1"/>
  <c r="AK102" i="36" s="1"/>
  <c r="AL102" i="36" s="1"/>
  <c r="AM102" i="36" s="1"/>
  <c r="AN102" i="36" s="1"/>
  <c r="AO102" i="36" s="1"/>
  <c r="AP102" i="36" s="1"/>
  <c r="AQ102" i="36" s="1"/>
  <c r="AR102" i="36" s="1"/>
  <c r="AS102" i="36" s="1"/>
  <c r="AT102" i="36" s="1"/>
  <c r="AU102" i="36" s="1"/>
  <c r="AV102" i="36" s="1"/>
  <c r="AW102" i="36" s="1"/>
  <c r="AX102" i="36" s="1"/>
  <c r="Z102" i="36" s="1"/>
  <c r="AD54" i="36"/>
  <c r="AE54" i="36" s="1"/>
  <c r="AF54" i="36" s="1"/>
  <c r="AG54" i="36" s="1"/>
  <c r="AH54" i="36" s="1"/>
  <c r="AI54" i="36" s="1"/>
  <c r="AJ54" i="36" s="1"/>
  <c r="AK54" i="36" s="1"/>
  <c r="AL54" i="36" s="1"/>
  <c r="AM54" i="36" s="1"/>
  <c r="AN54" i="36" s="1"/>
  <c r="AO54" i="36" s="1"/>
  <c r="AP54" i="36" s="1"/>
  <c r="AQ54" i="36" s="1"/>
  <c r="AR54" i="36" s="1"/>
  <c r="AS54" i="36" s="1"/>
  <c r="AT54" i="36" s="1"/>
  <c r="AU54" i="36" s="1"/>
  <c r="AV54" i="36" s="1"/>
  <c r="AW54" i="36" s="1"/>
  <c r="AX54" i="36" s="1"/>
  <c r="Z54" i="36" s="1"/>
  <c r="AD154" i="36"/>
  <c r="AE154" i="36" s="1"/>
  <c r="AF154" i="36" s="1"/>
  <c r="AG154" i="36" s="1"/>
  <c r="AH154" i="36" s="1"/>
  <c r="AI154" i="36" s="1"/>
  <c r="AJ154" i="36" s="1"/>
  <c r="AK154" i="36" s="1"/>
  <c r="AL154" i="36" s="1"/>
  <c r="AM154" i="36" s="1"/>
  <c r="AN154" i="36" s="1"/>
  <c r="AO154" i="36" s="1"/>
  <c r="AP154" i="36" s="1"/>
  <c r="AQ154" i="36" s="1"/>
  <c r="AR154" i="36" s="1"/>
  <c r="AS154" i="36" s="1"/>
  <c r="AT154" i="36" s="1"/>
  <c r="AU154" i="36" s="1"/>
  <c r="AV154" i="36" s="1"/>
  <c r="AW154" i="36" s="1"/>
  <c r="AX154" i="36" s="1"/>
  <c r="Z154" i="36" s="1"/>
  <c r="AD42" i="36"/>
  <c r="AE42" i="36" s="1"/>
  <c r="AF42" i="36" s="1"/>
  <c r="AG42" i="36" s="1"/>
  <c r="AH42" i="36" s="1"/>
  <c r="AI42" i="36" s="1"/>
  <c r="AJ42" i="36" s="1"/>
  <c r="AK42" i="36" s="1"/>
  <c r="AL42" i="36" s="1"/>
  <c r="AM42" i="36" s="1"/>
  <c r="AN42" i="36" s="1"/>
  <c r="AO42" i="36" s="1"/>
  <c r="AP42" i="36" s="1"/>
  <c r="AQ42" i="36" s="1"/>
  <c r="AR42" i="36" s="1"/>
  <c r="AS42" i="36" s="1"/>
  <c r="AT42" i="36" s="1"/>
  <c r="AU42" i="36" s="1"/>
  <c r="AV42" i="36" s="1"/>
  <c r="AW42" i="36" s="1"/>
  <c r="AX42" i="36" s="1"/>
  <c r="Z42" i="36" s="1"/>
  <c r="AD175" i="36"/>
  <c r="AE175" i="36" s="1"/>
  <c r="AF175" i="36" s="1"/>
  <c r="AG175" i="36" s="1"/>
  <c r="AH175" i="36" s="1"/>
  <c r="AI175" i="36" s="1"/>
  <c r="AJ175" i="36" s="1"/>
  <c r="AK175" i="36" s="1"/>
  <c r="AL175" i="36" s="1"/>
  <c r="AM175" i="36" s="1"/>
  <c r="AN175" i="36" s="1"/>
  <c r="AO175" i="36" s="1"/>
  <c r="AP175" i="36" s="1"/>
  <c r="AQ175" i="36" s="1"/>
  <c r="AR175" i="36" s="1"/>
  <c r="AS175" i="36" s="1"/>
  <c r="AT175" i="36" s="1"/>
  <c r="AU175" i="36" s="1"/>
  <c r="AV175" i="36" s="1"/>
  <c r="AW175" i="36" s="1"/>
  <c r="AX175" i="36" s="1"/>
  <c r="Z175" i="36" s="1"/>
  <c r="AD255" i="36"/>
  <c r="AE255" i="36" s="1"/>
  <c r="AF255" i="36" s="1"/>
  <c r="AG255" i="36" s="1"/>
  <c r="AH255" i="36" s="1"/>
  <c r="AI255" i="36" s="1"/>
  <c r="AJ255" i="36" s="1"/>
  <c r="AK255" i="36" s="1"/>
  <c r="AL255" i="36" s="1"/>
  <c r="AM255" i="36" s="1"/>
  <c r="AN255" i="36" s="1"/>
  <c r="AO255" i="36" s="1"/>
  <c r="AP255" i="36" s="1"/>
  <c r="AQ255" i="36" s="1"/>
  <c r="AR255" i="36" s="1"/>
  <c r="AS255" i="36" s="1"/>
  <c r="AT255" i="36" s="1"/>
  <c r="AU255" i="36" s="1"/>
  <c r="AV255" i="36" s="1"/>
  <c r="AW255" i="36" s="1"/>
  <c r="AX255" i="36" s="1"/>
  <c r="Z255" i="36" s="1"/>
  <c r="AD49" i="36"/>
  <c r="AE49" i="36" s="1"/>
  <c r="AF49" i="36" s="1"/>
  <c r="AG49" i="36" s="1"/>
  <c r="AH49" i="36" s="1"/>
  <c r="AI49" i="36" s="1"/>
  <c r="AJ49" i="36" s="1"/>
  <c r="AK49" i="36" s="1"/>
  <c r="AL49" i="36" s="1"/>
  <c r="AM49" i="36" s="1"/>
  <c r="AN49" i="36" s="1"/>
  <c r="AO49" i="36" s="1"/>
  <c r="AP49" i="36" s="1"/>
  <c r="AQ49" i="36" s="1"/>
  <c r="AR49" i="36" s="1"/>
  <c r="AS49" i="36" s="1"/>
  <c r="AT49" i="36" s="1"/>
  <c r="AU49" i="36" s="1"/>
  <c r="AV49" i="36" s="1"/>
  <c r="AW49" i="36" s="1"/>
  <c r="AX49" i="36" s="1"/>
  <c r="Z49" i="36" s="1"/>
  <c r="AD165" i="36"/>
  <c r="AE165" i="36" s="1"/>
  <c r="AF165" i="36" s="1"/>
  <c r="AG165" i="36" s="1"/>
  <c r="AH165" i="36" s="1"/>
  <c r="AI165" i="36" s="1"/>
  <c r="AJ165" i="36" s="1"/>
  <c r="AK165" i="36" s="1"/>
  <c r="AL165" i="36" s="1"/>
  <c r="AM165" i="36" s="1"/>
  <c r="AN165" i="36" s="1"/>
  <c r="AO165" i="36" s="1"/>
  <c r="AP165" i="36" s="1"/>
  <c r="AQ165" i="36" s="1"/>
  <c r="AR165" i="36" s="1"/>
  <c r="AS165" i="36" s="1"/>
  <c r="AT165" i="36" s="1"/>
  <c r="AU165" i="36" s="1"/>
  <c r="AV165" i="36" s="1"/>
  <c r="AW165" i="36" s="1"/>
  <c r="AX165" i="36" s="1"/>
  <c r="Z165" i="36" s="1"/>
  <c r="AD90" i="36"/>
  <c r="AE90" i="36" s="1"/>
  <c r="AF90" i="36" s="1"/>
  <c r="AG90" i="36" s="1"/>
  <c r="AH90" i="36" s="1"/>
  <c r="AI90" i="36" s="1"/>
  <c r="AJ90" i="36" s="1"/>
  <c r="AK90" i="36" s="1"/>
  <c r="AL90" i="36" s="1"/>
  <c r="AM90" i="36" s="1"/>
  <c r="AN90" i="36" s="1"/>
  <c r="AO90" i="36" s="1"/>
  <c r="AP90" i="36" s="1"/>
  <c r="AQ90" i="36" s="1"/>
  <c r="AR90" i="36" s="1"/>
  <c r="AS90" i="36" s="1"/>
  <c r="AT90" i="36" s="1"/>
  <c r="AU90" i="36" s="1"/>
  <c r="AV90" i="36" s="1"/>
  <c r="AW90" i="36" s="1"/>
  <c r="AX90" i="36" s="1"/>
  <c r="Z90" i="36" s="1"/>
  <c r="AD168" i="36"/>
  <c r="AE168" i="36" s="1"/>
  <c r="AF168" i="36" s="1"/>
  <c r="AG168" i="36" s="1"/>
  <c r="AH168" i="36" s="1"/>
  <c r="AI168" i="36" s="1"/>
  <c r="AJ168" i="36" s="1"/>
  <c r="AK168" i="36" s="1"/>
  <c r="AL168" i="36" s="1"/>
  <c r="AM168" i="36" s="1"/>
  <c r="AN168" i="36" s="1"/>
  <c r="AO168" i="36" s="1"/>
  <c r="AP168" i="36" s="1"/>
  <c r="AQ168" i="36" s="1"/>
  <c r="AR168" i="36" s="1"/>
  <c r="AS168" i="36" s="1"/>
  <c r="AT168" i="36" s="1"/>
  <c r="AU168" i="36" s="1"/>
  <c r="AV168" i="36" s="1"/>
  <c r="AW168" i="36" s="1"/>
  <c r="AX168" i="36" s="1"/>
  <c r="Z168" i="36" s="1"/>
  <c r="AD56" i="36"/>
  <c r="AE56" i="36" s="1"/>
  <c r="AF56" i="36" s="1"/>
  <c r="AG56" i="36" s="1"/>
  <c r="AH56" i="36" s="1"/>
  <c r="AI56" i="36" s="1"/>
  <c r="AJ56" i="36" s="1"/>
  <c r="AK56" i="36" s="1"/>
  <c r="AL56" i="36" s="1"/>
  <c r="AM56" i="36" s="1"/>
  <c r="AN56" i="36" s="1"/>
  <c r="AO56" i="36" s="1"/>
  <c r="AP56" i="36" s="1"/>
  <c r="AQ56" i="36" s="1"/>
  <c r="AR56" i="36" s="1"/>
  <c r="AS56" i="36" s="1"/>
  <c r="AT56" i="36" s="1"/>
  <c r="AU56" i="36" s="1"/>
  <c r="AV56" i="36" s="1"/>
  <c r="AW56" i="36" s="1"/>
  <c r="AX56" i="36" s="1"/>
  <c r="Z56" i="36" s="1"/>
  <c r="AD12" i="36"/>
  <c r="AE12" i="36" s="1"/>
  <c r="AF12" i="36" s="1"/>
  <c r="AG12" i="36" s="1"/>
  <c r="AH12" i="36" s="1"/>
  <c r="AI12" i="36" s="1"/>
  <c r="AJ12" i="36" s="1"/>
  <c r="AK12" i="36" s="1"/>
  <c r="AL12" i="36" s="1"/>
  <c r="AM12" i="36" s="1"/>
  <c r="AN12" i="36" s="1"/>
  <c r="AO12" i="36" s="1"/>
  <c r="AP12" i="36" s="1"/>
  <c r="AQ12" i="36" s="1"/>
  <c r="AR12" i="36" s="1"/>
  <c r="AS12" i="36" s="1"/>
  <c r="AT12" i="36" s="1"/>
  <c r="AU12" i="36" s="1"/>
  <c r="AV12" i="36" s="1"/>
  <c r="AW12" i="36" s="1"/>
  <c r="AX12" i="36" s="1"/>
  <c r="Z12" i="36" s="1"/>
  <c r="AD28" i="36"/>
  <c r="AE28" i="36" s="1"/>
  <c r="AF28" i="36" s="1"/>
  <c r="AG28" i="36" s="1"/>
  <c r="AH28" i="36" s="1"/>
  <c r="AI28" i="36" s="1"/>
  <c r="AJ28" i="36" s="1"/>
  <c r="AK28" i="36" s="1"/>
  <c r="AL28" i="36" s="1"/>
  <c r="AM28" i="36" s="1"/>
  <c r="AN28" i="36" s="1"/>
  <c r="AO28" i="36" s="1"/>
  <c r="AP28" i="36" s="1"/>
  <c r="AQ28" i="36" s="1"/>
  <c r="AR28" i="36" s="1"/>
  <c r="AS28" i="36" s="1"/>
  <c r="AT28" i="36" s="1"/>
  <c r="AU28" i="36" s="1"/>
  <c r="AV28" i="36" s="1"/>
  <c r="AW28" i="36" s="1"/>
  <c r="AX28" i="36" s="1"/>
  <c r="Z28" i="36" s="1"/>
  <c r="AD44" i="36"/>
  <c r="AE44" i="36" s="1"/>
  <c r="AF44" i="36" s="1"/>
  <c r="AG44" i="36" s="1"/>
  <c r="AH44" i="36" s="1"/>
  <c r="AI44" i="36" s="1"/>
  <c r="AJ44" i="36" s="1"/>
  <c r="AK44" i="36" s="1"/>
  <c r="AL44" i="36" s="1"/>
  <c r="AM44" i="36" s="1"/>
  <c r="AN44" i="36" s="1"/>
  <c r="AO44" i="36" s="1"/>
  <c r="AP44" i="36" s="1"/>
  <c r="AQ44" i="36" s="1"/>
  <c r="AR44" i="36" s="1"/>
  <c r="AS44" i="36" s="1"/>
  <c r="AT44" i="36" s="1"/>
  <c r="AU44" i="36" s="1"/>
  <c r="AV44" i="36" s="1"/>
  <c r="AW44" i="36" s="1"/>
  <c r="AX44" i="36" s="1"/>
  <c r="Z44" i="36" s="1"/>
  <c r="AD177" i="36"/>
  <c r="AE177" i="36" s="1"/>
  <c r="AF177" i="36" s="1"/>
  <c r="AG177" i="36" s="1"/>
  <c r="AH177" i="36" s="1"/>
  <c r="AI177" i="36" s="1"/>
  <c r="AJ177" i="36" s="1"/>
  <c r="AK177" i="36" s="1"/>
  <c r="AL177" i="36" s="1"/>
  <c r="AM177" i="36" s="1"/>
  <c r="AN177" i="36" s="1"/>
  <c r="AO177" i="36" s="1"/>
  <c r="AP177" i="36" s="1"/>
  <c r="AQ177" i="36" s="1"/>
  <c r="AR177" i="36" s="1"/>
  <c r="AS177" i="36" s="1"/>
  <c r="AT177" i="36" s="1"/>
  <c r="AU177" i="36" s="1"/>
  <c r="AV177" i="36" s="1"/>
  <c r="AW177" i="36" s="1"/>
  <c r="AX177" i="36" s="1"/>
  <c r="Z177" i="36" s="1"/>
  <c r="AD241" i="36"/>
  <c r="AE241" i="36" s="1"/>
  <c r="AF241" i="36" s="1"/>
  <c r="AG241" i="36" s="1"/>
  <c r="AH241" i="36" s="1"/>
  <c r="AI241" i="36" s="1"/>
  <c r="AJ241" i="36" s="1"/>
  <c r="AK241" i="36" s="1"/>
  <c r="AL241" i="36" s="1"/>
  <c r="AM241" i="36" s="1"/>
  <c r="AN241" i="36" s="1"/>
  <c r="AO241" i="36" s="1"/>
  <c r="AP241" i="36" s="1"/>
  <c r="AQ241" i="36" s="1"/>
  <c r="AR241" i="36" s="1"/>
  <c r="AS241" i="36" s="1"/>
  <c r="AT241" i="36" s="1"/>
  <c r="AU241" i="36" s="1"/>
  <c r="AV241" i="36" s="1"/>
  <c r="AW241" i="36" s="1"/>
  <c r="AX241" i="36" s="1"/>
  <c r="Z241" i="36" s="1"/>
  <c r="AD117" i="36"/>
  <c r="AE117" i="36" s="1"/>
  <c r="AF117" i="36" s="1"/>
  <c r="AG117" i="36" s="1"/>
  <c r="AH117" i="36" s="1"/>
  <c r="AI117" i="36" s="1"/>
  <c r="AJ117" i="36" s="1"/>
  <c r="AK117" i="36" s="1"/>
  <c r="AL117" i="36" s="1"/>
  <c r="AM117" i="36" s="1"/>
  <c r="AN117" i="36" s="1"/>
  <c r="AO117" i="36" s="1"/>
  <c r="AP117" i="36" s="1"/>
  <c r="AQ117" i="36" s="1"/>
  <c r="AR117" i="36" s="1"/>
  <c r="AS117" i="36" s="1"/>
  <c r="AT117" i="36" s="1"/>
  <c r="AU117" i="36" s="1"/>
  <c r="AV117" i="36" s="1"/>
  <c r="AW117" i="36" s="1"/>
  <c r="AX117" i="36" s="1"/>
  <c r="Z117" i="36" s="1"/>
  <c r="AD99" i="36"/>
  <c r="AE99" i="36" s="1"/>
  <c r="AF99" i="36" s="1"/>
  <c r="AG99" i="36" s="1"/>
  <c r="AH99" i="36" s="1"/>
  <c r="AI99" i="36" s="1"/>
  <c r="AJ99" i="36" s="1"/>
  <c r="AK99" i="36" s="1"/>
  <c r="AL99" i="36" s="1"/>
  <c r="AM99" i="36" s="1"/>
  <c r="AN99" i="36" s="1"/>
  <c r="AO99" i="36" s="1"/>
  <c r="AP99" i="36" s="1"/>
  <c r="AQ99" i="36" s="1"/>
  <c r="AR99" i="36" s="1"/>
  <c r="AS99" i="36" s="1"/>
  <c r="AT99" i="36" s="1"/>
  <c r="AU99" i="36" s="1"/>
  <c r="AV99" i="36" s="1"/>
  <c r="AW99" i="36" s="1"/>
  <c r="AX99" i="36" s="1"/>
  <c r="Z99" i="36" s="1"/>
  <c r="AD246" i="36"/>
  <c r="AE246" i="36" s="1"/>
  <c r="AF246" i="36" s="1"/>
  <c r="AG246" i="36" s="1"/>
  <c r="AH246" i="36" s="1"/>
  <c r="AI246" i="36" s="1"/>
  <c r="AJ246" i="36" s="1"/>
  <c r="AK246" i="36" s="1"/>
  <c r="AL246" i="36" s="1"/>
  <c r="AM246" i="36" s="1"/>
  <c r="AN246" i="36" s="1"/>
  <c r="AO246" i="36" s="1"/>
  <c r="AP246" i="36" s="1"/>
  <c r="AQ246" i="36" s="1"/>
  <c r="AR246" i="36" s="1"/>
  <c r="AS246" i="36" s="1"/>
  <c r="AT246" i="36" s="1"/>
  <c r="AU246" i="36" s="1"/>
  <c r="AV246" i="36" s="1"/>
  <c r="AW246" i="36" s="1"/>
  <c r="AX246" i="36" s="1"/>
  <c r="Z246" i="36" s="1"/>
  <c r="AD231" i="36"/>
  <c r="AE231" i="36" s="1"/>
  <c r="AF231" i="36" s="1"/>
  <c r="AG231" i="36" s="1"/>
  <c r="AH231" i="36" s="1"/>
  <c r="AI231" i="36" s="1"/>
  <c r="AJ231" i="36" s="1"/>
  <c r="AK231" i="36" s="1"/>
  <c r="AL231" i="36" s="1"/>
  <c r="AM231" i="36" s="1"/>
  <c r="AN231" i="36" s="1"/>
  <c r="AO231" i="36" s="1"/>
  <c r="AP231" i="36" s="1"/>
  <c r="AQ231" i="36" s="1"/>
  <c r="AR231" i="36" s="1"/>
  <c r="AS231" i="36" s="1"/>
  <c r="AT231" i="36" s="1"/>
  <c r="AU231" i="36" s="1"/>
  <c r="AV231" i="36" s="1"/>
  <c r="AW231" i="36" s="1"/>
  <c r="AX231" i="36" s="1"/>
  <c r="Z231" i="36" s="1"/>
  <c r="AD136" i="36"/>
  <c r="AE136" i="36" s="1"/>
  <c r="AF136" i="36" s="1"/>
  <c r="AG136" i="36" s="1"/>
  <c r="AH136" i="36" s="1"/>
  <c r="AI136" i="36" s="1"/>
  <c r="AJ136" i="36" s="1"/>
  <c r="AK136" i="36" s="1"/>
  <c r="AL136" i="36" s="1"/>
  <c r="AM136" i="36" s="1"/>
  <c r="AN136" i="36" s="1"/>
  <c r="AO136" i="36" s="1"/>
  <c r="AP136" i="36" s="1"/>
  <c r="AQ136" i="36" s="1"/>
  <c r="AR136" i="36" s="1"/>
  <c r="AS136" i="36" s="1"/>
  <c r="AT136" i="36" s="1"/>
  <c r="AU136" i="36" s="1"/>
  <c r="AV136" i="36" s="1"/>
  <c r="AW136" i="36" s="1"/>
  <c r="AX136" i="36" s="1"/>
  <c r="Z136" i="36" s="1"/>
  <c r="AD27" i="36"/>
  <c r="AE27" i="36" s="1"/>
  <c r="AF27" i="36" s="1"/>
  <c r="AG27" i="36" s="1"/>
  <c r="AH27" i="36" s="1"/>
  <c r="AI27" i="36" s="1"/>
  <c r="AJ27" i="36" s="1"/>
  <c r="AK27" i="36" s="1"/>
  <c r="AL27" i="36" s="1"/>
  <c r="AM27" i="36" s="1"/>
  <c r="AN27" i="36" s="1"/>
  <c r="AO27" i="36" s="1"/>
  <c r="AP27" i="36" s="1"/>
  <c r="AQ27" i="36" s="1"/>
  <c r="AR27" i="36" s="1"/>
  <c r="AS27" i="36" s="1"/>
  <c r="AT27" i="36" s="1"/>
  <c r="AU27" i="36" s="1"/>
  <c r="AV27" i="36" s="1"/>
  <c r="AW27" i="36" s="1"/>
  <c r="AX27" i="36" s="1"/>
  <c r="Z27" i="36" s="1"/>
  <c r="AD93" i="36"/>
  <c r="AE93" i="36" s="1"/>
  <c r="AF93" i="36" s="1"/>
  <c r="AG93" i="36" s="1"/>
  <c r="AH93" i="36" s="1"/>
  <c r="AI93" i="36" s="1"/>
  <c r="AJ93" i="36" s="1"/>
  <c r="AK93" i="36" s="1"/>
  <c r="AL93" i="36" s="1"/>
  <c r="AM93" i="36" s="1"/>
  <c r="AN93" i="36" s="1"/>
  <c r="AO93" i="36" s="1"/>
  <c r="AP93" i="36" s="1"/>
  <c r="AQ93" i="36" s="1"/>
  <c r="AR93" i="36" s="1"/>
  <c r="AS93" i="36" s="1"/>
  <c r="AT93" i="36" s="1"/>
  <c r="AU93" i="36" s="1"/>
  <c r="AV93" i="36" s="1"/>
  <c r="AW93" i="36" s="1"/>
  <c r="AX93" i="36" s="1"/>
  <c r="Z93" i="36" s="1"/>
  <c r="AD274" i="36"/>
  <c r="AE274" i="36" s="1"/>
  <c r="AF274" i="36" s="1"/>
  <c r="AG274" i="36" s="1"/>
  <c r="AH274" i="36" s="1"/>
  <c r="AI274" i="36" s="1"/>
  <c r="AJ274" i="36" s="1"/>
  <c r="AK274" i="36" s="1"/>
  <c r="AL274" i="36" s="1"/>
  <c r="AM274" i="36" s="1"/>
  <c r="AN274" i="36" s="1"/>
  <c r="AO274" i="36" s="1"/>
  <c r="AP274" i="36" s="1"/>
  <c r="AQ274" i="36" s="1"/>
  <c r="AR274" i="36" s="1"/>
  <c r="AS274" i="36" s="1"/>
  <c r="AT274" i="36" s="1"/>
  <c r="AU274" i="36" s="1"/>
  <c r="AV274" i="36" s="1"/>
  <c r="AW274" i="36" s="1"/>
  <c r="AX274" i="36" s="1"/>
  <c r="Z274" i="36" s="1"/>
  <c r="AD196" i="36"/>
  <c r="AE196" i="36" s="1"/>
  <c r="AF196" i="36" s="1"/>
  <c r="AG196" i="36" s="1"/>
  <c r="AH196" i="36" s="1"/>
  <c r="AI196" i="36" s="1"/>
  <c r="AJ196" i="36" s="1"/>
  <c r="AK196" i="36" s="1"/>
  <c r="AL196" i="36" s="1"/>
  <c r="AM196" i="36" s="1"/>
  <c r="AN196" i="36" s="1"/>
  <c r="AO196" i="36" s="1"/>
  <c r="AP196" i="36" s="1"/>
  <c r="AQ196" i="36" s="1"/>
  <c r="AR196" i="36" s="1"/>
  <c r="AS196" i="36" s="1"/>
  <c r="AT196" i="36" s="1"/>
  <c r="AU196" i="36" s="1"/>
  <c r="AV196" i="36" s="1"/>
  <c r="AW196" i="36" s="1"/>
  <c r="AX196" i="36" s="1"/>
  <c r="Z196" i="36" s="1"/>
  <c r="AD67" i="36"/>
  <c r="AE67" i="36" s="1"/>
  <c r="AF67" i="36" s="1"/>
  <c r="AG67" i="36" s="1"/>
  <c r="AH67" i="36" s="1"/>
  <c r="AI67" i="36" s="1"/>
  <c r="AJ67" i="36" s="1"/>
  <c r="AK67" i="36" s="1"/>
  <c r="AL67" i="36" s="1"/>
  <c r="AM67" i="36" s="1"/>
  <c r="AN67" i="36" s="1"/>
  <c r="AO67" i="36" s="1"/>
  <c r="AP67" i="36" s="1"/>
  <c r="AQ67" i="36" s="1"/>
  <c r="AR67" i="36" s="1"/>
  <c r="AS67" i="36" s="1"/>
  <c r="AT67" i="36" s="1"/>
  <c r="AU67" i="36" s="1"/>
  <c r="AV67" i="36" s="1"/>
  <c r="AW67" i="36" s="1"/>
  <c r="AX67" i="36" s="1"/>
  <c r="Z67" i="36" s="1"/>
  <c r="AD261" i="36"/>
  <c r="AE261" i="36" s="1"/>
  <c r="AF261" i="36" s="1"/>
  <c r="AG261" i="36" s="1"/>
  <c r="AH261" i="36" s="1"/>
  <c r="AI261" i="36" s="1"/>
  <c r="AJ261" i="36" s="1"/>
  <c r="AK261" i="36" s="1"/>
  <c r="AL261" i="36" s="1"/>
  <c r="AM261" i="36" s="1"/>
  <c r="AN261" i="36" s="1"/>
  <c r="AO261" i="36" s="1"/>
  <c r="AP261" i="36" s="1"/>
  <c r="AQ261" i="36" s="1"/>
  <c r="AR261" i="36" s="1"/>
  <c r="AS261" i="36" s="1"/>
  <c r="AT261" i="36" s="1"/>
  <c r="AU261" i="36" s="1"/>
  <c r="AV261" i="36" s="1"/>
  <c r="AW261" i="36" s="1"/>
  <c r="AX261" i="36" s="1"/>
  <c r="Z261" i="36" s="1"/>
  <c r="AD84" i="36"/>
  <c r="AE84" i="36" s="1"/>
  <c r="AF84" i="36" s="1"/>
  <c r="AG84" i="36" s="1"/>
  <c r="AH84" i="36" s="1"/>
  <c r="AI84" i="36" s="1"/>
  <c r="AJ84" i="36" s="1"/>
  <c r="AK84" i="36" s="1"/>
  <c r="AL84" i="36" s="1"/>
  <c r="AM84" i="36" s="1"/>
  <c r="AN84" i="36" s="1"/>
  <c r="AO84" i="36" s="1"/>
  <c r="AP84" i="36" s="1"/>
  <c r="AQ84" i="36" s="1"/>
  <c r="AR84" i="36" s="1"/>
  <c r="AS84" i="36" s="1"/>
  <c r="AT84" i="36" s="1"/>
  <c r="AU84" i="36" s="1"/>
  <c r="AV84" i="36" s="1"/>
  <c r="AW84" i="36" s="1"/>
  <c r="AX84" i="36" s="1"/>
  <c r="Z84" i="36" s="1"/>
  <c r="AD51" i="36"/>
  <c r="AE51" i="36" s="1"/>
  <c r="AF51" i="36" s="1"/>
  <c r="AG51" i="36" s="1"/>
  <c r="AH51" i="36" s="1"/>
  <c r="AI51" i="36" s="1"/>
  <c r="AJ51" i="36" s="1"/>
  <c r="AK51" i="36" s="1"/>
  <c r="AL51" i="36" s="1"/>
  <c r="AM51" i="36" s="1"/>
  <c r="AN51" i="36" s="1"/>
  <c r="AO51" i="36" s="1"/>
  <c r="AP51" i="36" s="1"/>
  <c r="AQ51" i="36" s="1"/>
  <c r="AR51" i="36" s="1"/>
  <c r="AS51" i="36" s="1"/>
  <c r="AT51" i="36" s="1"/>
  <c r="AU51" i="36" s="1"/>
  <c r="AV51" i="36" s="1"/>
  <c r="AW51" i="36" s="1"/>
  <c r="AX51" i="36" s="1"/>
  <c r="Z51" i="36" s="1"/>
  <c r="AD266" i="36"/>
  <c r="AE266" i="36" s="1"/>
  <c r="AF266" i="36" s="1"/>
  <c r="AG266" i="36" s="1"/>
  <c r="AH266" i="36" s="1"/>
  <c r="AI266" i="36" s="1"/>
  <c r="AJ266" i="36" s="1"/>
  <c r="AK266" i="36" s="1"/>
  <c r="AL266" i="36" s="1"/>
  <c r="AM266" i="36" s="1"/>
  <c r="AN266" i="36" s="1"/>
  <c r="AO266" i="36" s="1"/>
  <c r="AP266" i="36" s="1"/>
  <c r="AQ266" i="36" s="1"/>
  <c r="AR266" i="36" s="1"/>
  <c r="AS266" i="36" s="1"/>
  <c r="AT266" i="36" s="1"/>
  <c r="AU266" i="36" s="1"/>
  <c r="AV266" i="36" s="1"/>
  <c r="AW266" i="36" s="1"/>
  <c r="AX266" i="36" s="1"/>
  <c r="Z266" i="36" s="1"/>
  <c r="AD66" i="36"/>
  <c r="AE66" i="36" s="1"/>
  <c r="AF66" i="36" s="1"/>
  <c r="AG66" i="36" s="1"/>
  <c r="AH66" i="36" s="1"/>
  <c r="AI66" i="36" s="1"/>
  <c r="AJ66" i="36" s="1"/>
  <c r="AK66" i="36" s="1"/>
  <c r="AL66" i="36" s="1"/>
  <c r="AM66" i="36" s="1"/>
  <c r="AN66" i="36" s="1"/>
  <c r="AO66" i="36" s="1"/>
  <c r="AP66" i="36" s="1"/>
  <c r="AQ66" i="36" s="1"/>
  <c r="AR66" i="36" s="1"/>
  <c r="AS66" i="36" s="1"/>
  <c r="AT66" i="36" s="1"/>
  <c r="AU66" i="36" s="1"/>
  <c r="AV66" i="36" s="1"/>
  <c r="AW66" i="36" s="1"/>
  <c r="AX66" i="36" s="1"/>
  <c r="Z66" i="36" s="1"/>
  <c r="AD164" i="36"/>
  <c r="AE164" i="36" s="1"/>
  <c r="AF164" i="36" s="1"/>
  <c r="AG164" i="36" s="1"/>
  <c r="AH164" i="36" s="1"/>
  <c r="AI164" i="36" s="1"/>
  <c r="AJ164" i="36" s="1"/>
  <c r="AK164" i="36" s="1"/>
  <c r="AL164" i="36" s="1"/>
  <c r="AM164" i="36" s="1"/>
  <c r="AN164" i="36" s="1"/>
  <c r="AO164" i="36" s="1"/>
  <c r="AP164" i="36" s="1"/>
  <c r="AQ164" i="36" s="1"/>
  <c r="AR164" i="36" s="1"/>
  <c r="AS164" i="36" s="1"/>
  <c r="AT164" i="36" s="1"/>
  <c r="AU164" i="36" s="1"/>
  <c r="AV164" i="36" s="1"/>
  <c r="AW164" i="36" s="1"/>
  <c r="AX164" i="36" s="1"/>
  <c r="Z164" i="36" s="1"/>
  <c r="AD119" i="36"/>
  <c r="AE119" i="36" s="1"/>
  <c r="AF119" i="36" s="1"/>
  <c r="AG119" i="36" s="1"/>
  <c r="AH119" i="36" s="1"/>
  <c r="AI119" i="36" s="1"/>
  <c r="AJ119" i="36" s="1"/>
  <c r="AK119" i="36" s="1"/>
  <c r="AL119" i="36" s="1"/>
  <c r="AM119" i="36" s="1"/>
  <c r="AN119" i="36" s="1"/>
  <c r="AO119" i="36" s="1"/>
  <c r="AP119" i="36" s="1"/>
  <c r="AQ119" i="36" s="1"/>
  <c r="AR119" i="36" s="1"/>
  <c r="AS119" i="36" s="1"/>
  <c r="AT119" i="36" s="1"/>
  <c r="AU119" i="36" s="1"/>
  <c r="AV119" i="36" s="1"/>
  <c r="AW119" i="36" s="1"/>
  <c r="AX119" i="36" s="1"/>
  <c r="Z119" i="36" s="1"/>
  <c r="AD167" i="36"/>
  <c r="AE167" i="36" s="1"/>
  <c r="AF167" i="36" s="1"/>
  <c r="AG167" i="36" s="1"/>
  <c r="AH167" i="36" s="1"/>
  <c r="AI167" i="36" s="1"/>
  <c r="AJ167" i="36" s="1"/>
  <c r="AK167" i="36" s="1"/>
  <c r="AL167" i="36" s="1"/>
  <c r="AM167" i="36" s="1"/>
  <c r="AN167" i="36" s="1"/>
  <c r="AO167" i="36" s="1"/>
  <c r="AP167" i="36" s="1"/>
  <c r="AQ167" i="36" s="1"/>
  <c r="AR167" i="36" s="1"/>
  <c r="AS167" i="36" s="1"/>
  <c r="AT167" i="36" s="1"/>
  <c r="AU167" i="36" s="1"/>
  <c r="AV167" i="36" s="1"/>
  <c r="AW167" i="36" s="1"/>
  <c r="AX167" i="36" s="1"/>
  <c r="Z167" i="36" s="1"/>
  <c r="AD113" i="36"/>
  <c r="AE113" i="36" s="1"/>
  <c r="AF113" i="36" s="1"/>
  <c r="AG113" i="36" s="1"/>
  <c r="AH113" i="36" s="1"/>
  <c r="AI113" i="36" s="1"/>
  <c r="AJ113" i="36" s="1"/>
  <c r="AK113" i="36" s="1"/>
  <c r="AL113" i="36" s="1"/>
  <c r="AM113" i="36" s="1"/>
  <c r="AN113" i="36" s="1"/>
  <c r="AO113" i="36" s="1"/>
  <c r="AP113" i="36" s="1"/>
  <c r="AQ113" i="36" s="1"/>
  <c r="AR113" i="36" s="1"/>
  <c r="AS113" i="36" s="1"/>
  <c r="AT113" i="36" s="1"/>
  <c r="AU113" i="36" s="1"/>
  <c r="AV113" i="36" s="1"/>
  <c r="AW113" i="36" s="1"/>
  <c r="AX113" i="36" s="1"/>
  <c r="Z113" i="36" s="1"/>
  <c r="AD74" i="36"/>
  <c r="AE74" i="36" s="1"/>
  <c r="AF74" i="36" s="1"/>
  <c r="AG74" i="36" s="1"/>
  <c r="AH74" i="36" s="1"/>
  <c r="AI74" i="36" s="1"/>
  <c r="AJ74" i="36" s="1"/>
  <c r="AK74" i="36" s="1"/>
  <c r="AL74" i="36" s="1"/>
  <c r="AM74" i="36" s="1"/>
  <c r="AN74" i="36" s="1"/>
  <c r="AO74" i="36" s="1"/>
  <c r="AP74" i="36" s="1"/>
  <c r="AQ74" i="36" s="1"/>
  <c r="AR74" i="36" s="1"/>
  <c r="AS74" i="36" s="1"/>
  <c r="AT74" i="36" s="1"/>
  <c r="AU74" i="36" s="1"/>
  <c r="AV74" i="36" s="1"/>
  <c r="AW74" i="36" s="1"/>
  <c r="AX74" i="36" s="1"/>
  <c r="Z74" i="36" s="1"/>
  <c r="AD143" i="36"/>
  <c r="AE143" i="36" s="1"/>
  <c r="AF143" i="36" s="1"/>
  <c r="AG143" i="36" s="1"/>
  <c r="AH143" i="36" s="1"/>
  <c r="AI143" i="36" s="1"/>
  <c r="AJ143" i="36" s="1"/>
  <c r="AK143" i="36" s="1"/>
  <c r="AL143" i="36" s="1"/>
  <c r="AM143" i="36" s="1"/>
  <c r="AN143" i="36" s="1"/>
  <c r="AO143" i="36" s="1"/>
  <c r="AP143" i="36" s="1"/>
  <c r="AQ143" i="36" s="1"/>
  <c r="AR143" i="36" s="1"/>
  <c r="AS143" i="36" s="1"/>
  <c r="AT143" i="36" s="1"/>
  <c r="AU143" i="36" s="1"/>
  <c r="AV143" i="36" s="1"/>
  <c r="AW143" i="36" s="1"/>
  <c r="AX143" i="36" s="1"/>
  <c r="Z143" i="36" s="1"/>
  <c r="AD124" i="36"/>
  <c r="AE124" i="36" s="1"/>
  <c r="AD153" i="36"/>
  <c r="AE153" i="36" s="1"/>
  <c r="AF153" i="36" s="1"/>
  <c r="AG153" i="36" s="1"/>
  <c r="AH153" i="36" s="1"/>
  <c r="AI153" i="36" s="1"/>
  <c r="AJ153" i="36" s="1"/>
  <c r="AK153" i="36" s="1"/>
  <c r="AL153" i="36" s="1"/>
  <c r="AM153" i="36" s="1"/>
  <c r="AN153" i="36" s="1"/>
  <c r="AO153" i="36" s="1"/>
  <c r="AP153" i="36" s="1"/>
  <c r="AQ153" i="36" s="1"/>
  <c r="AR153" i="36" s="1"/>
  <c r="AS153" i="36" s="1"/>
  <c r="AT153" i="36" s="1"/>
  <c r="AU153" i="36" s="1"/>
  <c r="AV153" i="36" s="1"/>
  <c r="AW153" i="36" s="1"/>
  <c r="AX153" i="36" s="1"/>
  <c r="Z153" i="36" s="1"/>
  <c r="AD122" i="36"/>
  <c r="AE122" i="36" s="1"/>
  <c r="AF122" i="36" s="1"/>
  <c r="AG122" i="36" s="1"/>
  <c r="AH122" i="36" s="1"/>
  <c r="AI122" i="36" s="1"/>
  <c r="AJ122" i="36" s="1"/>
  <c r="AK122" i="36" s="1"/>
  <c r="AL122" i="36" s="1"/>
  <c r="AM122" i="36" s="1"/>
  <c r="AN122" i="36" s="1"/>
  <c r="AO122" i="36" s="1"/>
  <c r="AP122" i="36" s="1"/>
  <c r="AQ122" i="36" s="1"/>
  <c r="AR122" i="36" s="1"/>
  <c r="AS122" i="36" s="1"/>
  <c r="AT122" i="36" s="1"/>
  <c r="AU122" i="36" s="1"/>
  <c r="AV122" i="36" s="1"/>
  <c r="AW122" i="36" s="1"/>
  <c r="AX122" i="36" s="1"/>
  <c r="Z122" i="36" s="1"/>
  <c r="AD35" i="36"/>
  <c r="AE35" i="36" s="1"/>
  <c r="AF35" i="36" s="1"/>
  <c r="AG35" i="36" s="1"/>
  <c r="AH35" i="36" s="1"/>
  <c r="AI35" i="36" s="1"/>
  <c r="AJ35" i="36" s="1"/>
  <c r="AK35" i="36" s="1"/>
  <c r="AL35" i="36" s="1"/>
  <c r="AM35" i="36" s="1"/>
  <c r="AN35" i="36" s="1"/>
  <c r="AO35" i="36" s="1"/>
  <c r="AP35" i="36" s="1"/>
  <c r="AQ35" i="36" s="1"/>
  <c r="AR35" i="36" s="1"/>
  <c r="AS35" i="36" s="1"/>
  <c r="AT35" i="36" s="1"/>
  <c r="AU35" i="36" s="1"/>
  <c r="AV35" i="36" s="1"/>
  <c r="AW35" i="36" s="1"/>
  <c r="AX35" i="36" s="1"/>
  <c r="Z35" i="36" s="1"/>
  <c r="AD48" i="36"/>
  <c r="AE48" i="36" s="1"/>
  <c r="AF48" i="36" s="1"/>
  <c r="AG48" i="36" s="1"/>
  <c r="AH48" i="36" s="1"/>
  <c r="AI48" i="36" s="1"/>
  <c r="AJ48" i="36" s="1"/>
  <c r="AK48" i="36" s="1"/>
  <c r="AL48" i="36" s="1"/>
  <c r="AM48" i="36" s="1"/>
  <c r="AN48" i="36" s="1"/>
  <c r="AO48" i="36" s="1"/>
  <c r="AP48" i="36" s="1"/>
  <c r="AQ48" i="36" s="1"/>
  <c r="AR48" i="36" s="1"/>
  <c r="AS48" i="36" s="1"/>
  <c r="AT48" i="36" s="1"/>
  <c r="AU48" i="36" s="1"/>
  <c r="AV48" i="36" s="1"/>
  <c r="AW48" i="36" s="1"/>
  <c r="AX48" i="36" s="1"/>
  <c r="Z48" i="36" s="1"/>
  <c r="AD195" i="36"/>
  <c r="AE195" i="36" s="1"/>
  <c r="AF195" i="36" s="1"/>
  <c r="AG195" i="36" s="1"/>
  <c r="AH195" i="36" s="1"/>
  <c r="AI195" i="36" s="1"/>
  <c r="AJ195" i="36" s="1"/>
  <c r="AK195" i="36" s="1"/>
  <c r="AL195" i="36" s="1"/>
  <c r="AM195" i="36" s="1"/>
  <c r="AN195" i="36" s="1"/>
  <c r="AO195" i="36" s="1"/>
  <c r="AP195" i="36" s="1"/>
  <c r="AQ195" i="36" s="1"/>
  <c r="AR195" i="36" s="1"/>
  <c r="AS195" i="36" s="1"/>
  <c r="AT195" i="36" s="1"/>
  <c r="AU195" i="36" s="1"/>
  <c r="AV195" i="36" s="1"/>
  <c r="AW195" i="36" s="1"/>
  <c r="AX195" i="36" s="1"/>
  <c r="Z195" i="36" s="1"/>
  <c r="AD209" i="36"/>
  <c r="AE209" i="36" s="1"/>
  <c r="AF209" i="36" s="1"/>
  <c r="AG209" i="36" s="1"/>
  <c r="AH209" i="36" s="1"/>
  <c r="AI209" i="36" s="1"/>
  <c r="AJ209" i="36" s="1"/>
  <c r="AK209" i="36" s="1"/>
  <c r="AL209" i="36" s="1"/>
  <c r="AM209" i="36" s="1"/>
  <c r="AN209" i="36" s="1"/>
  <c r="AO209" i="36" s="1"/>
  <c r="AP209" i="36" s="1"/>
  <c r="AQ209" i="36" s="1"/>
  <c r="AR209" i="36" s="1"/>
  <c r="AS209" i="36" s="1"/>
  <c r="AT209" i="36" s="1"/>
  <c r="AU209" i="36" s="1"/>
  <c r="AV209" i="36" s="1"/>
  <c r="AW209" i="36" s="1"/>
  <c r="AX209" i="36" s="1"/>
  <c r="Z209" i="36" s="1"/>
  <c r="AD267" i="36"/>
  <c r="AE267" i="36" s="1"/>
  <c r="AF267" i="36" s="1"/>
  <c r="AG267" i="36" s="1"/>
  <c r="AH267" i="36" s="1"/>
  <c r="AI267" i="36" s="1"/>
  <c r="AJ267" i="36" s="1"/>
  <c r="AK267" i="36" s="1"/>
  <c r="AL267" i="36" s="1"/>
  <c r="AM267" i="36" s="1"/>
  <c r="AN267" i="36" s="1"/>
  <c r="AO267" i="36" s="1"/>
  <c r="AP267" i="36" s="1"/>
  <c r="AQ267" i="36" s="1"/>
  <c r="AR267" i="36" s="1"/>
  <c r="AS267" i="36" s="1"/>
  <c r="AT267" i="36" s="1"/>
  <c r="AU267" i="36" s="1"/>
  <c r="AV267" i="36" s="1"/>
  <c r="AW267" i="36" s="1"/>
  <c r="AX267" i="36" s="1"/>
  <c r="Z267" i="36" s="1"/>
  <c r="AD115" i="36"/>
  <c r="AE115" i="36" s="1"/>
  <c r="AF115" i="36" s="1"/>
  <c r="AG115" i="36" s="1"/>
  <c r="AH115" i="36" s="1"/>
  <c r="AI115" i="36" s="1"/>
  <c r="AJ115" i="36" s="1"/>
  <c r="AK115" i="36" s="1"/>
  <c r="AL115" i="36" s="1"/>
  <c r="AM115" i="36" s="1"/>
  <c r="AN115" i="36" s="1"/>
  <c r="AO115" i="36" s="1"/>
  <c r="AP115" i="36" s="1"/>
  <c r="AQ115" i="36" s="1"/>
  <c r="AR115" i="36" s="1"/>
  <c r="AS115" i="36" s="1"/>
  <c r="AT115" i="36" s="1"/>
  <c r="AU115" i="36" s="1"/>
  <c r="AV115" i="36" s="1"/>
  <c r="AW115" i="36" s="1"/>
  <c r="AX115" i="36" s="1"/>
  <c r="Z115" i="36" s="1"/>
  <c r="AD78" i="36"/>
  <c r="AE78" i="36" s="1"/>
  <c r="AF78" i="36" s="1"/>
  <c r="AG78" i="36" s="1"/>
  <c r="AH78" i="36" s="1"/>
  <c r="AI78" i="36" s="1"/>
  <c r="AJ78" i="36" s="1"/>
  <c r="AK78" i="36" s="1"/>
  <c r="AL78" i="36" s="1"/>
  <c r="AM78" i="36" s="1"/>
  <c r="AN78" i="36" s="1"/>
  <c r="AO78" i="36" s="1"/>
  <c r="AP78" i="36" s="1"/>
  <c r="AQ78" i="36" s="1"/>
  <c r="AR78" i="36" s="1"/>
  <c r="AS78" i="36" s="1"/>
  <c r="AT78" i="36" s="1"/>
  <c r="AU78" i="36" s="1"/>
  <c r="AV78" i="36" s="1"/>
  <c r="AW78" i="36" s="1"/>
  <c r="AX78" i="36" s="1"/>
  <c r="Z78" i="36" s="1"/>
  <c r="AD14" i="36"/>
  <c r="AE14" i="36" s="1"/>
  <c r="AF14" i="36" s="1"/>
  <c r="AG14" i="36" s="1"/>
  <c r="AH14" i="36" s="1"/>
  <c r="AI14" i="36" s="1"/>
  <c r="AJ14" i="36" s="1"/>
  <c r="AK14" i="36" s="1"/>
  <c r="AL14" i="36" s="1"/>
  <c r="AM14" i="36" s="1"/>
  <c r="AN14" i="36" s="1"/>
  <c r="AO14" i="36" s="1"/>
  <c r="AP14" i="36" s="1"/>
  <c r="AQ14" i="36" s="1"/>
  <c r="AR14" i="36" s="1"/>
  <c r="AS14" i="36" s="1"/>
  <c r="AT14" i="36" s="1"/>
  <c r="AU14" i="36" s="1"/>
  <c r="AV14" i="36" s="1"/>
  <c r="AW14" i="36" s="1"/>
  <c r="AX14" i="36" s="1"/>
  <c r="Z14" i="36" s="1"/>
  <c r="AD133" i="36"/>
  <c r="AE133" i="36" s="1"/>
  <c r="AF133" i="36" s="1"/>
  <c r="AG133" i="36" s="1"/>
  <c r="AH133" i="36" s="1"/>
  <c r="AI133" i="36" s="1"/>
  <c r="AJ133" i="36" s="1"/>
  <c r="AK133" i="36" s="1"/>
  <c r="AL133" i="36" s="1"/>
  <c r="AM133" i="36" s="1"/>
  <c r="AN133" i="36" s="1"/>
  <c r="AO133" i="36" s="1"/>
  <c r="AP133" i="36" s="1"/>
  <c r="AQ133" i="36" s="1"/>
  <c r="AR133" i="36" s="1"/>
  <c r="AS133" i="36" s="1"/>
  <c r="AT133" i="36" s="1"/>
  <c r="AU133" i="36" s="1"/>
  <c r="AV133" i="36" s="1"/>
  <c r="AW133" i="36" s="1"/>
  <c r="AX133" i="36" s="1"/>
  <c r="Z133" i="36" s="1"/>
  <c r="AD148" i="36"/>
  <c r="AE148" i="36" s="1"/>
  <c r="AF148" i="36" s="1"/>
  <c r="AG148" i="36" s="1"/>
  <c r="AH148" i="36" s="1"/>
  <c r="AI148" i="36" s="1"/>
  <c r="AJ148" i="36" s="1"/>
  <c r="AK148" i="36" s="1"/>
  <c r="AL148" i="36" s="1"/>
  <c r="AM148" i="36" s="1"/>
  <c r="AN148" i="36" s="1"/>
  <c r="AO148" i="36" s="1"/>
  <c r="AP148" i="36" s="1"/>
  <c r="AQ148" i="36" s="1"/>
  <c r="AR148" i="36" s="1"/>
  <c r="AS148" i="36" s="1"/>
  <c r="AT148" i="36" s="1"/>
  <c r="AU148" i="36" s="1"/>
  <c r="AV148" i="36" s="1"/>
  <c r="AW148" i="36" s="1"/>
  <c r="AX148" i="36" s="1"/>
  <c r="Z148" i="36" s="1"/>
  <c r="AD161" i="36"/>
  <c r="AE161" i="36" s="1"/>
  <c r="AF161" i="36" s="1"/>
  <c r="AG161" i="36" s="1"/>
  <c r="AH161" i="36" s="1"/>
  <c r="AI161" i="36" s="1"/>
  <c r="AJ161" i="36" s="1"/>
  <c r="AK161" i="36" s="1"/>
  <c r="AL161" i="36" s="1"/>
  <c r="AM161" i="36" s="1"/>
  <c r="AN161" i="36" s="1"/>
  <c r="AO161" i="36" s="1"/>
  <c r="AP161" i="36" s="1"/>
  <c r="AQ161" i="36" s="1"/>
  <c r="AR161" i="36" s="1"/>
  <c r="AS161" i="36" s="1"/>
  <c r="AT161" i="36" s="1"/>
  <c r="AU161" i="36" s="1"/>
  <c r="AV161" i="36" s="1"/>
  <c r="AW161" i="36" s="1"/>
  <c r="AX161" i="36" s="1"/>
  <c r="Z161" i="36" s="1"/>
  <c r="AD182" i="36"/>
  <c r="AE182" i="36" s="1"/>
  <c r="AF182" i="36" s="1"/>
  <c r="AG182" i="36" s="1"/>
  <c r="AH182" i="36" s="1"/>
  <c r="AI182" i="36" s="1"/>
  <c r="AJ182" i="36" s="1"/>
  <c r="AK182" i="36" s="1"/>
  <c r="AL182" i="36" s="1"/>
  <c r="AM182" i="36" s="1"/>
  <c r="AN182" i="36" s="1"/>
  <c r="AO182" i="36" s="1"/>
  <c r="AP182" i="36" s="1"/>
  <c r="AQ182" i="36" s="1"/>
  <c r="AR182" i="36" s="1"/>
  <c r="AS182" i="36" s="1"/>
  <c r="AT182" i="36" s="1"/>
  <c r="AU182" i="36" s="1"/>
  <c r="AV182" i="36" s="1"/>
  <c r="AW182" i="36" s="1"/>
  <c r="AX182" i="36" s="1"/>
  <c r="Z182" i="36" s="1"/>
  <c r="AD91" i="36"/>
  <c r="AE91" i="36" s="1"/>
  <c r="AF91" i="36" s="1"/>
  <c r="AG91" i="36" s="1"/>
  <c r="AH91" i="36" s="1"/>
  <c r="AI91" i="36" s="1"/>
  <c r="AJ91" i="36" s="1"/>
  <c r="AK91" i="36" s="1"/>
  <c r="AL91" i="36" s="1"/>
  <c r="AM91" i="36" s="1"/>
  <c r="AN91" i="36" s="1"/>
  <c r="AO91" i="36" s="1"/>
  <c r="AP91" i="36" s="1"/>
  <c r="AQ91" i="36" s="1"/>
  <c r="AR91" i="36" s="1"/>
  <c r="AS91" i="36" s="1"/>
  <c r="AT91" i="36" s="1"/>
  <c r="AU91" i="36" s="1"/>
  <c r="AV91" i="36" s="1"/>
  <c r="AW91" i="36" s="1"/>
  <c r="AX91" i="36" s="1"/>
  <c r="Z91" i="36" s="1"/>
  <c r="AD132" i="36"/>
  <c r="AE132" i="36" s="1"/>
  <c r="AF132" i="36" s="1"/>
  <c r="AG132" i="36" s="1"/>
  <c r="AH132" i="36" s="1"/>
  <c r="AI132" i="36" s="1"/>
  <c r="AJ132" i="36" s="1"/>
  <c r="AK132" i="36" s="1"/>
  <c r="AL132" i="36" s="1"/>
  <c r="AM132" i="36" s="1"/>
  <c r="AN132" i="36" s="1"/>
  <c r="AO132" i="36" s="1"/>
  <c r="AP132" i="36" s="1"/>
  <c r="AQ132" i="36" s="1"/>
  <c r="AR132" i="36" s="1"/>
  <c r="AS132" i="36" s="1"/>
  <c r="AT132" i="36" s="1"/>
  <c r="AU132" i="36" s="1"/>
  <c r="AV132" i="36" s="1"/>
  <c r="AW132" i="36" s="1"/>
  <c r="AX132" i="36" s="1"/>
  <c r="Z132" i="36" s="1"/>
  <c r="AD62" i="36"/>
  <c r="AE62" i="36" s="1"/>
  <c r="AF62" i="36" s="1"/>
  <c r="AG62" i="36" s="1"/>
  <c r="AH62" i="36" s="1"/>
  <c r="AI62" i="36" s="1"/>
  <c r="AJ62" i="36" s="1"/>
  <c r="AK62" i="36" s="1"/>
  <c r="AL62" i="36" s="1"/>
  <c r="AM62" i="36" s="1"/>
  <c r="AN62" i="36" s="1"/>
  <c r="AO62" i="36" s="1"/>
  <c r="AP62" i="36" s="1"/>
  <c r="AQ62" i="36" s="1"/>
  <c r="AR62" i="36" s="1"/>
  <c r="AS62" i="36" s="1"/>
  <c r="AT62" i="36" s="1"/>
  <c r="AU62" i="36" s="1"/>
  <c r="AV62" i="36" s="1"/>
  <c r="AW62" i="36" s="1"/>
  <c r="AX62" i="36" s="1"/>
  <c r="Z62" i="36" s="1"/>
  <c r="AD79" i="36"/>
  <c r="AE79" i="36" s="1"/>
  <c r="AF79" i="36" s="1"/>
  <c r="AG79" i="36" s="1"/>
  <c r="AH79" i="36" s="1"/>
  <c r="AI79" i="36" s="1"/>
  <c r="AJ79" i="36" s="1"/>
  <c r="AK79" i="36" s="1"/>
  <c r="AL79" i="36" s="1"/>
  <c r="AM79" i="36" s="1"/>
  <c r="AN79" i="36" s="1"/>
  <c r="AO79" i="36" s="1"/>
  <c r="AP79" i="36" s="1"/>
  <c r="AQ79" i="36" s="1"/>
  <c r="AR79" i="36" s="1"/>
  <c r="AS79" i="36" s="1"/>
  <c r="AT79" i="36" s="1"/>
  <c r="AU79" i="36" s="1"/>
  <c r="AV79" i="36" s="1"/>
  <c r="AW79" i="36" s="1"/>
  <c r="AX79" i="36" s="1"/>
  <c r="Z79" i="36" s="1"/>
  <c r="AD134" i="36"/>
  <c r="AE134" i="36" s="1"/>
  <c r="AF134" i="36" s="1"/>
  <c r="AG134" i="36" s="1"/>
  <c r="AH134" i="36" s="1"/>
  <c r="AI134" i="36" s="1"/>
  <c r="AJ134" i="36" s="1"/>
  <c r="AK134" i="36" s="1"/>
  <c r="AL134" i="36" s="1"/>
  <c r="AM134" i="36" s="1"/>
  <c r="AN134" i="36" s="1"/>
  <c r="AO134" i="36" s="1"/>
  <c r="AP134" i="36" s="1"/>
  <c r="AQ134" i="36" s="1"/>
  <c r="AR134" i="36" s="1"/>
  <c r="AS134" i="36" s="1"/>
  <c r="AT134" i="36" s="1"/>
  <c r="AU134" i="36" s="1"/>
  <c r="AV134" i="36" s="1"/>
  <c r="AW134" i="36" s="1"/>
  <c r="AX134" i="36" s="1"/>
  <c r="Z134" i="36" s="1"/>
  <c r="AD147" i="36"/>
  <c r="AE147" i="36" s="1"/>
  <c r="AF147" i="36" s="1"/>
  <c r="AG147" i="36" s="1"/>
  <c r="AH147" i="36" s="1"/>
  <c r="AI147" i="36" s="1"/>
  <c r="AJ147" i="36" s="1"/>
  <c r="AK147" i="36" s="1"/>
  <c r="AL147" i="36" s="1"/>
  <c r="AM147" i="36" s="1"/>
  <c r="AN147" i="36" s="1"/>
  <c r="AO147" i="36" s="1"/>
  <c r="AP147" i="36" s="1"/>
  <c r="AQ147" i="36" s="1"/>
  <c r="AR147" i="36" s="1"/>
  <c r="AS147" i="36" s="1"/>
  <c r="AT147" i="36" s="1"/>
  <c r="AU147" i="36" s="1"/>
  <c r="AV147" i="36" s="1"/>
  <c r="AW147" i="36" s="1"/>
  <c r="AX147" i="36" s="1"/>
  <c r="Z147" i="36" s="1"/>
  <c r="AD108" i="36"/>
  <c r="AE108" i="36" s="1"/>
  <c r="AF108" i="36" s="1"/>
  <c r="AG108" i="36" s="1"/>
  <c r="AH108" i="36" s="1"/>
  <c r="AI108" i="36" s="1"/>
  <c r="AJ108" i="36" s="1"/>
  <c r="AK108" i="36" s="1"/>
  <c r="AL108" i="36" s="1"/>
  <c r="AM108" i="36" s="1"/>
  <c r="AN108" i="36" s="1"/>
  <c r="AO108" i="36" s="1"/>
  <c r="AP108" i="36" s="1"/>
  <c r="AQ108" i="36" s="1"/>
  <c r="AR108" i="36" s="1"/>
  <c r="AS108" i="36" s="1"/>
  <c r="AT108" i="36" s="1"/>
  <c r="AU108" i="36" s="1"/>
  <c r="AV108" i="36" s="1"/>
  <c r="AW108" i="36" s="1"/>
  <c r="AX108" i="36" s="1"/>
  <c r="Z108" i="36" s="1"/>
  <c r="AD55" i="36"/>
  <c r="AE55" i="36" s="1"/>
  <c r="AF55" i="36" s="1"/>
  <c r="AG55" i="36" s="1"/>
  <c r="AH55" i="36" s="1"/>
  <c r="AI55" i="36" s="1"/>
  <c r="AJ55" i="36" s="1"/>
  <c r="AK55" i="36" s="1"/>
  <c r="AL55" i="36" s="1"/>
  <c r="AM55" i="36" s="1"/>
  <c r="AN55" i="36" s="1"/>
  <c r="AO55" i="36" s="1"/>
  <c r="AP55" i="36" s="1"/>
  <c r="AQ55" i="36" s="1"/>
  <c r="AR55" i="36" s="1"/>
  <c r="AS55" i="36" s="1"/>
  <c r="AT55" i="36" s="1"/>
  <c r="AU55" i="36" s="1"/>
  <c r="AV55" i="36" s="1"/>
  <c r="AW55" i="36" s="1"/>
  <c r="AX55" i="36" s="1"/>
  <c r="Z55" i="36" s="1"/>
  <c r="AD64" i="36"/>
  <c r="AE64" i="36" s="1"/>
  <c r="AF64" i="36" s="1"/>
  <c r="AG64" i="36" s="1"/>
  <c r="AH64" i="36" s="1"/>
  <c r="AI64" i="36" s="1"/>
  <c r="AJ64" i="36" s="1"/>
  <c r="AK64" i="36" s="1"/>
  <c r="AL64" i="36" s="1"/>
  <c r="AM64" i="36" s="1"/>
  <c r="AN64" i="36" s="1"/>
  <c r="AO64" i="36" s="1"/>
  <c r="AP64" i="36" s="1"/>
  <c r="AQ64" i="36" s="1"/>
  <c r="AR64" i="36" s="1"/>
  <c r="AS64" i="36" s="1"/>
  <c r="AT64" i="36" s="1"/>
  <c r="AU64" i="36" s="1"/>
  <c r="AV64" i="36" s="1"/>
  <c r="AW64" i="36" s="1"/>
  <c r="AX64" i="36" s="1"/>
  <c r="Z64" i="36" s="1"/>
  <c r="AD100" i="36"/>
  <c r="AE100" i="36" s="1"/>
  <c r="AF100" i="36" s="1"/>
  <c r="AG100" i="36" s="1"/>
  <c r="AH100" i="36" s="1"/>
  <c r="AI100" i="36" s="1"/>
  <c r="AJ100" i="36" s="1"/>
  <c r="AK100" i="36" s="1"/>
  <c r="AL100" i="36" s="1"/>
  <c r="AM100" i="36" s="1"/>
  <c r="AN100" i="36" s="1"/>
  <c r="AO100" i="36" s="1"/>
  <c r="AP100" i="36" s="1"/>
  <c r="AQ100" i="36" s="1"/>
  <c r="AR100" i="36" s="1"/>
  <c r="AS100" i="36" s="1"/>
  <c r="AT100" i="36" s="1"/>
  <c r="AU100" i="36" s="1"/>
  <c r="AV100" i="36" s="1"/>
  <c r="AW100" i="36" s="1"/>
  <c r="AX100" i="36" s="1"/>
  <c r="Z100" i="36" s="1"/>
  <c r="AD43" i="36"/>
  <c r="AE43" i="36" s="1"/>
  <c r="AF43" i="36" s="1"/>
  <c r="AG43" i="36" s="1"/>
  <c r="AH43" i="36" s="1"/>
  <c r="AI43" i="36" s="1"/>
  <c r="AJ43" i="36" s="1"/>
  <c r="AK43" i="36" s="1"/>
  <c r="AL43" i="36" s="1"/>
  <c r="AM43" i="36" s="1"/>
  <c r="AN43" i="36" s="1"/>
  <c r="AO43" i="36" s="1"/>
  <c r="AP43" i="36" s="1"/>
  <c r="AQ43" i="36" s="1"/>
  <c r="AR43" i="36" s="1"/>
  <c r="AS43" i="36" s="1"/>
  <c r="AT43" i="36" s="1"/>
  <c r="AU43" i="36" s="1"/>
  <c r="AV43" i="36" s="1"/>
  <c r="AW43" i="36" s="1"/>
  <c r="AX43" i="36" s="1"/>
  <c r="Z43" i="36" s="1"/>
  <c r="AD211" i="36"/>
  <c r="AE211" i="36" s="1"/>
  <c r="AF211" i="36" s="1"/>
  <c r="AG211" i="36" s="1"/>
  <c r="AH211" i="36" s="1"/>
  <c r="AI211" i="36" s="1"/>
  <c r="AJ211" i="36" s="1"/>
  <c r="AK211" i="36" s="1"/>
  <c r="AL211" i="36" s="1"/>
  <c r="AM211" i="36" s="1"/>
  <c r="AN211" i="36" s="1"/>
  <c r="AO211" i="36" s="1"/>
  <c r="AP211" i="36" s="1"/>
  <c r="AQ211" i="36" s="1"/>
  <c r="AR211" i="36" s="1"/>
  <c r="AS211" i="36" s="1"/>
  <c r="AT211" i="36" s="1"/>
  <c r="AU211" i="36" s="1"/>
  <c r="AV211" i="36" s="1"/>
  <c r="AW211" i="36" s="1"/>
  <c r="AX211" i="36" s="1"/>
  <c r="Z211" i="36" s="1"/>
  <c r="AD232" i="36"/>
  <c r="AE232" i="36" s="1"/>
  <c r="AF232" i="36" s="1"/>
  <c r="AG232" i="36" s="1"/>
  <c r="AH232" i="36" s="1"/>
  <c r="AI232" i="36" s="1"/>
  <c r="AJ232" i="36" s="1"/>
  <c r="AK232" i="36" s="1"/>
  <c r="AL232" i="36" s="1"/>
  <c r="AM232" i="36" s="1"/>
  <c r="AN232" i="36" s="1"/>
  <c r="AO232" i="36" s="1"/>
  <c r="AP232" i="36" s="1"/>
  <c r="AQ232" i="36" s="1"/>
  <c r="AR232" i="36" s="1"/>
  <c r="AS232" i="36" s="1"/>
  <c r="AT232" i="36" s="1"/>
  <c r="AU232" i="36" s="1"/>
  <c r="AV232" i="36" s="1"/>
  <c r="AW232" i="36" s="1"/>
  <c r="AX232" i="36" s="1"/>
  <c r="Z232" i="36" s="1"/>
  <c r="AD239" i="36"/>
  <c r="AE239" i="36" s="1"/>
  <c r="AF239" i="36" s="1"/>
  <c r="AG239" i="36" s="1"/>
  <c r="AH239" i="36" s="1"/>
  <c r="AI239" i="36" s="1"/>
  <c r="AJ239" i="36" s="1"/>
  <c r="AK239" i="36" s="1"/>
  <c r="AL239" i="36" s="1"/>
  <c r="AM239" i="36" s="1"/>
  <c r="AN239" i="36" s="1"/>
  <c r="AO239" i="36" s="1"/>
  <c r="AP239" i="36" s="1"/>
  <c r="AQ239" i="36" s="1"/>
  <c r="AR239" i="36" s="1"/>
  <c r="AS239" i="36" s="1"/>
  <c r="AT239" i="36" s="1"/>
  <c r="AU239" i="36" s="1"/>
  <c r="AV239" i="36" s="1"/>
  <c r="AW239" i="36" s="1"/>
  <c r="AX239" i="36" s="1"/>
  <c r="Z239" i="36" s="1"/>
  <c r="AD254" i="36"/>
  <c r="AE254" i="36" s="1"/>
  <c r="AF254" i="36" s="1"/>
  <c r="AG254" i="36" s="1"/>
  <c r="AH254" i="36" s="1"/>
  <c r="AI254" i="36" s="1"/>
  <c r="AJ254" i="36" s="1"/>
  <c r="AK254" i="36" s="1"/>
  <c r="AL254" i="36" s="1"/>
  <c r="AM254" i="36" s="1"/>
  <c r="AN254" i="36" s="1"/>
  <c r="AO254" i="36" s="1"/>
  <c r="AP254" i="36" s="1"/>
  <c r="AQ254" i="36" s="1"/>
  <c r="AR254" i="36" s="1"/>
  <c r="AS254" i="36" s="1"/>
  <c r="AT254" i="36" s="1"/>
  <c r="AU254" i="36" s="1"/>
  <c r="AV254" i="36" s="1"/>
  <c r="AW254" i="36" s="1"/>
  <c r="AX254" i="36" s="1"/>
  <c r="Z254" i="36" s="1"/>
  <c r="AD109" i="36"/>
  <c r="AE109" i="36" s="1"/>
  <c r="AF109" i="36" s="1"/>
  <c r="AG109" i="36" s="1"/>
  <c r="AH109" i="36" s="1"/>
  <c r="AI109" i="36" s="1"/>
  <c r="AJ109" i="36" s="1"/>
  <c r="AK109" i="36" s="1"/>
  <c r="AL109" i="36" s="1"/>
  <c r="AM109" i="36" s="1"/>
  <c r="AN109" i="36" s="1"/>
  <c r="AO109" i="36" s="1"/>
  <c r="AP109" i="36" s="1"/>
  <c r="AQ109" i="36" s="1"/>
  <c r="AR109" i="36" s="1"/>
  <c r="AS109" i="36" s="1"/>
  <c r="AT109" i="36" s="1"/>
  <c r="AU109" i="36" s="1"/>
  <c r="AV109" i="36" s="1"/>
  <c r="AW109" i="36" s="1"/>
  <c r="AX109" i="36" s="1"/>
  <c r="Z109" i="36" s="1"/>
  <c r="AD57" i="36"/>
  <c r="AE57" i="36" s="1"/>
  <c r="AF57" i="36" s="1"/>
  <c r="AG57" i="36" s="1"/>
  <c r="AH57" i="36" s="1"/>
  <c r="AI57" i="36" s="1"/>
  <c r="AJ57" i="36" s="1"/>
  <c r="AK57" i="36" s="1"/>
  <c r="AL57" i="36" s="1"/>
  <c r="AM57" i="36" s="1"/>
  <c r="AN57" i="36" s="1"/>
  <c r="AO57" i="36" s="1"/>
  <c r="AP57" i="36" s="1"/>
  <c r="AQ57" i="36" s="1"/>
  <c r="AR57" i="36" s="1"/>
  <c r="AS57" i="36" s="1"/>
  <c r="AT57" i="36" s="1"/>
  <c r="AU57" i="36" s="1"/>
  <c r="AV57" i="36" s="1"/>
  <c r="AW57" i="36" s="1"/>
  <c r="AX57" i="36" s="1"/>
  <c r="Z57" i="36" s="1"/>
  <c r="AD72" i="36"/>
  <c r="AE72" i="36" s="1"/>
  <c r="AF72" i="36" s="1"/>
  <c r="AG72" i="36" s="1"/>
  <c r="AH72" i="36" s="1"/>
  <c r="AI72" i="36" s="1"/>
  <c r="AJ72" i="36" s="1"/>
  <c r="AK72" i="36" s="1"/>
  <c r="AL72" i="36" s="1"/>
  <c r="AM72" i="36" s="1"/>
  <c r="AN72" i="36" s="1"/>
  <c r="AO72" i="36" s="1"/>
  <c r="AP72" i="36" s="1"/>
  <c r="AQ72" i="36" s="1"/>
  <c r="AR72" i="36" s="1"/>
  <c r="AS72" i="36" s="1"/>
  <c r="AT72" i="36" s="1"/>
  <c r="AU72" i="36" s="1"/>
  <c r="AV72" i="36" s="1"/>
  <c r="AW72" i="36" s="1"/>
  <c r="AX72" i="36" s="1"/>
  <c r="Z72" i="36" s="1"/>
  <c r="AD37" i="36"/>
  <c r="AE37" i="36" s="1"/>
  <c r="AF37" i="36" s="1"/>
  <c r="AG37" i="36" s="1"/>
  <c r="AH37" i="36" s="1"/>
  <c r="AI37" i="36" s="1"/>
  <c r="AJ37" i="36" s="1"/>
  <c r="AK37" i="36" s="1"/>
  <c r="AL37" i="36" s="1"/>
  <c r="AM37" i="36" s="1"/>
  <c r="AN37" i="36" s="1"/>
  <c r="AO37" i="36" s="1"/>
  <c r="AP37" i="36" s="1"/>
  <c r="AQ37" i="36" s="1"/>
  <c r="AR37" i="36" s="1"/>
  <c r="AS37" i="36" s="1"/>
  <c r="AT37" i="36" s="1"/>
  <c r="AU37" i="36" s="1"/>
  <c r="AV37" i="36" s="1"/>
  <c r="AW37" i="36" s="1"/>
  <c r="AX37" i="36" s="1"/>
  <c r="Z37" i="36" s="1"/>
  <c r="AD135" i="36"/>
  <c r="AE135" i="36" s="1"/>
  <c r="AF135" i="36" s="1"/>
  <c r="AG135" i="36" s="1"/>
  <c r="AH135" i="36" s="1"/>
  <c r="AI135" i="36" s="1"/>
  <c r="AJ135" i="36" s="1"/>
  <c r="AK135" i="36" s="1"/>
  <c r="AL135" i="36" s="1"/>
  <c r="AM135" i="36" s="1"/>
  <c r="AN135" i="36" s="1"/>
  <c r="AO135" i="36" s="1"/>
  <c r="AP135" i="36" s="1"/>
  <c r="AQ135" i="36" s="1"/>
  <c r="AR135" i="36" s="1"/>
  <c r="AS135" i="36" s="1"/>
  <c r="AT135" i="36" s="1"/>
  <c r="AU135" i="36" s="1"/>
  <c r="AV135" i="36" s="1"/>
  <c r="AW135" i="36" s="1"/>
  <c r="AX135" i="36" s="1"/>
  <c r="Z135" i="36" s="1"/>
  <c r="AD156" i="36"/>
  <c r="AE156" i="36" s="1"/>
  <c r="AF156" i="36" s="1"/>
  <c r="AG156" i="36" s="1"/>
  <c r="AH156" i="36" s="1"/>
  <c r="AI156" i="36" s="1"/>
  <c r="AJ156" i="36" s="1"/>
  <c r="AK156" i="36" s="1"/>
  <c r="AL156" i="36" s="1"/>
  <c r="AM156" i="36" s="1"/>
  <c r="AN156" i="36" s="1"/>
  <c r="AO156" i="36" s="1"/>
  <c r="AP156" i="36" s="1"/>
  <c r="AQ156" i="36" s="1"/>
  <c r="AR156" i="36" s="1"/>
  <c r="AS156" i="36" s="1"/>
  <c r="AT156" i="36" s="1"/>
  <c r="AU156" i="36" s="1"/>
  <c r="AV156" i="36" s="1"/>
  <c r="AW156" i="36" s="1"/>
  <c r="AX156" i="36" s="1"/>
  <c r="Z156" i="36" s="1"/>
  <c r="AD269" i="36"/>
  <c r="AE269" i="36" s="1"/>
  <c r="AF269" i="36" s="1"/>
  <c r="AG269" i="36" s="1"/>
  <c r="AH269" i="36" s="1"/>
  <c r="AI269" i="36" s="1"/>
  <c r="AJ269" i="36" s="1"/>
  <c r="AK269" i="36" s="1"/>
  <c r="AL269" i="36" s="1"/>
  <c r="AM269" i="36" s="1"/>
  <c r="AN269" i="36" s="1"/>
  <c r="AO269" i="36" s="1"/>
  <c r="AP269" i="36" s="1"/>
  <c r="AQ269" i="36" s="1"/>
  <c r="AR269" i="36" s="1"/>
  <c r="AS269" i="36" s="1"/>
  <c r="AT269" i="36" s="1"/>
  <c r="AU269" i="36" s="1"/>
  <c r="AV269" i="36" s="1"/>
  <c r="AW269" i="36" s="1"/>
  <c r="AX269" i="36" s="1"/>
  <c r="Z269" i="36" s="1"/>
  <c r="AD58" i="36"/>
  <c r="AE58" i="36" s="1"/>
  <c r="AF58" i="36" s="1"/>
  <c r="AG58" i="36" s="1"/>
  <c r="AH58" i="36" s="1"/>
  <c r="AI58" i="36" s="1"/>
  <c r="AJ58" i="36" s="1"/>
  <c r="AK58" i="36" s="1"/>
  <c r="AL58" i="36" s="1"/>
  <c r="AM58" i="36" s="1"/>
  <c r="AN58" i="36" s="1"/>
  <c r="AO58" i="36" s="1"/>
  <c r="AP58" i="36" s="1"/>
  <c r="AQ58" i="36" s="1"/>
  <c r="AR58" i="36" s="1"/>
  <c r="AS58" i="36" s="1"/>
  <c r="AT58" i="36" s="1"/>
  <c r="AU58" i="36" s="1"/>
  <c r="AV58" i="36" s="1"/>
  <c r="AW58" i="36" s="1"/>
  <c r="AX58" i="36" s="1"/>
  <c r="Z58" i="36" s="1"/>
  <c r="AD94" i="36"/>
  <c r="AE94" i="36" s="1"/>
  <c r="AF94" i="36" s="1"/>
  <c r="AG94" i="36" s="1"/>
  <c r="AH94" i="36" s="1"/>
  <c r="AI94" i="36" s="1"/>
  <c r="AJ94" i="36" s="1"/>
  <c r="AK94" i="36" s="1"/>
  <c r="AL94" i="36" s="1"/>
  <c r="AM94" i="36" s="1"/>
  <c r="AN94" i="36" s="1"/>
  <c r="AO94" i="36" s="1"/>
  <c r="AP94" i="36" s="1"/>
  <c r="AQ94" i="36" s="1"/>
  <c r="AR94" i="36" s="1"/>
  <c r="AS94" i="36" s="1"/>
  <c r="AT94" i="36" s="1"/>
  <c r="AU94" i="36" s="1"/>
  <c r="AV94" i="36" s="1"/>
  <c r="AW94" i="36" s="1"/>
  <c r="AX94" i="36" s="1"/>
  <c r="Z94" i="36" s="1"/>
  <c r="AD24" i="36"/>
  <c r="AE24" i="36" s="1"/>
  <c r="AF24" i="36" s="1"/>
  <c r="AG24" i="36" s="1"/>
  <c r="AH24" i="36" s="1"/>
  <c r="AI24" i="36" s="1"/>
  <c r="AJ24" i="36" s="1"/>
  <c r="AK24" i="36" s="1"/>
  <c r="AL24" i="36" s="1"/>
  <c r="AM24" i="36" s="1"/>
  <c r="AN24" i="36" s="1"/>
  <c r="AO24" i="36" s="1"/>
  <c r="AP24" i="36" s="1"/>
  <c r="AQ24" i="36" s="1"/>
  <c r="AR24" i="36" s="1"/>
  <c r="AS24" i="36" s="1"/>
  <c r="AT24" i="36" s="1"/>
  <c r="AU24" i="36" s="1"/>
  <c r="AV24" i="36" s="1"/>
  <c r="AW24" i="36" s="1"/>
  <c r="AX24" i="36" s="1"/>
  <c r="Z24" i="36" s="1"/>
  <c r="AD128" i="36"/>
  <c r="AE128" i="36" s="1"/>
  <c r="AF128" i="36" s="1"/>
  <c r="AG128" i="36" s="1"/>
  <c r="AH128" i="36" s="1"/>
  <c r="AI128" i="36" s="1"/>
  <c r="AJ128" i="36" s="1"/>
  <c r="AK128" i="36" s="1"/>
  <c r="AL128" i="36" s="1"/>
  <c r="AM128" i="36" s="1"/>
  <c r="AN128" i="36" s="1"/>
  <c r="AO128" i="36" s="1"/>
  <c r="AP128" i="36" s="1"/>
  <c r="AQ128" i="36" s="1"/>
  <c r="AR128" i="36" s="1"/>
  <c r="AS128" i="36" s="1"/>
  <c r="AT128" i="36" s="1"/>
  <c r="AU128" i="36" s="1"/>
  <c r="AV128" i="36" s="1"/>
  <c r="AW128" i="36" s="1"/>
  <c r="AX128" i="36" s="1"/>
  <c r="Z128" i="36" s="1"/>
  <c r="AD151" i="36"/>
  <c r="AE151" i="36" s="1"/>
  <c r="AF151" i="36" s="1"/>
  <c r="AG151" i="36" s="1"/>
  <c r="AH151" i="36" s="1"/>
  <c r="AI151" i="36" s="1"/>
  <c r="AJ151" i="36" s="1"/>
  <c r="AK151" i="36" s="1"/>
  <c r="AL151" i="36" s="1"/>
  <c r="AM151" i="36" s="1"/>
  <c r="AN151" i="36" s="1"/>
  <c r="AO151" i="36" s="1"/>
  <c r="AP151" i="36" s="1"/>
  <c r="AQ151" i="36" s="1"/>
  <c r="AR151" i="36" s="1"/>
  <c r="AS151" i="36" s="1"/>
  <c r="AT151" i="36" s="1"/>
  <c r="AU151" i="36" s="1"/>
  <c r="AV151" i="36" s="1"/>
  <c r="AW151" i="36" s="1"/>
  <c r="AX151" i="36" s="1"/>
  <c r="Z151" i="36" s="1"/>
  <c r="AD157" i="36"/>
  <c r="AE157" i="36" s="1"/>
  <c r="AF157" i="36" s="1"/>
  <c r="AG157" i="36" s="1"/>
  <c r="AH157" i="36" s="1"/>
  <c r="AI157" i="36" s="1"/>
  <c r="AJ157" i="36" s="1"/>
  <c r="AK157" i="36" s="1"/>
  <c r="AL157" i="36" s="1"/>
  <c r="AM157" i="36" s="1"/>
  <c r="AN157" i="36" s="1"/>
  <c r="AO157" i="36" s="1"/>
  <c r="AP157" i="36" s="1"/>
  <c r="AQ157" i="36" s="1"/>
  <c r="AR157" i="36" s="1"/>
  <c r="AS157" i="36" s="1"/>
  <c r="AT157" i="36" s="1"/>
  <c r="AU157" i="36" s="1"/>
  <c r="AV157" i="36" s="1"/>
  <c r="AW157" i="36" s="1"/>
  <c r="AX157" i="36" s="1"/>
  <c r="Z157" i="36" s="1"/>
  <c r="AD198" i="36"/>
  <c r="AE198" i="36" s="1"/>
  <c r="AF198" i="36" s="1"/>
  <c r="AG198" i="36" s="1"/>
  <c r="AH198" i="36" s="1"/>
  <c r="AI198" i="36" s="1"/>
  <c r="AJ198" i="36" s="1"/>
  <c r="AK198" i="36" s="1"/>
  <c r="AL198" i="36" s="1"/>
  <c r="AM198" i="36" s="1"/>
  <c r="AN198" i="36" s="1"/>
  <c r="AO198" i="36" s="1"/>
  <c r="AP198" i="36" s="1"/>
  <c r="AQ198" i="36" s="1"/>
  <c r="AR198" i="36" s="1"/>
  <c r="AS198" i="36" s="1"/>
  <c r="AT198" i="36" s="1"/>
  <c r="AU198" i="36" s="1"/>
  <c r="AV198" i="36" s="1"/>
  <c r="AW198" i="36" s="1"/>
  <c r="AX198" i="36" s="1"/>
  <c r="Z198" i="36" s="1"/>
  <c r="AD248" i="36"/>
  <c r="AE248" i="36" s="1"/>
  <c r="AF248" i="36" s="1"/>
  <c r="AG248" i="36" s="1"/>
  <c r="AH248" i="36" s="1"/>
  <c r="AI248" i="36" s="1"/>
  <c r="AJ248" i="36" s="1"/>
  <c r="AK248" i="36" s="1"/>
  <c r="AL248" i="36" s="1"/>
  <c r="AM248" i="36" s="1"/>
  <c r="AN248" i="36" s="1"/>
  <c r="AO248" i="36" s="1"/>
  <c r="AP248" i="36" s="1"/>
  <c r="AQ248" i="36" s="1"/>
  <c r="AR248" i="36" s="1"/>
  <c r="AS248" i="36" s="1"/>
  <c r="AT248" i="36" s="1"/>
  <c r="AU248" i="36" s="1"/>
  <c r="AV248" i="36" s="1"/>
  <c r="AW248" i="36" s="1"/>
  <c r="AX248" i="36" s="1"/>
  <c r="Z248" i="36" s="1"/>
  <c r="AD263" i="36"/>
  <c r="AE263" i="36" s="1"/>
  <c r="AF263" i="36" s="1"/>
  <c r="AG263" i="36" s="1"/>
  <c r="AH263" i="36" s="1"/>
  <c r="AI263" i="36" s="1"/>
  <c r="AJ263" i="36" s="1"/>
  <c r="AK263" i="36" s="1"/>
  <c r="AL263" i="36" s="1"/>
  <c r="AM263" i="36" s="1"/>
  <c r="AN263" i="36" s="1"/>
  <c r="AO263" i="36" s="1"/>
  <c r="AP263" i="36" s="1"/>
  <c r="AQ263" i="36" s="1"/>
  <c r="AR263" i="36" s="1"/>
  <c r="AS263" i="36" s="1"/>
  <c r="AT263" i="36" s="1"/>
  <c r="AU263" i="36" s="1"/>
  <c r="AV263" i="36" s="1"/>
  <c r="AW263" i="36" s="1"/>
  <c r="AX263" i="36" s="1"/>
  <c r="Z263" i="36" s="1"/>
  <c r="AD270" i="36"/>
  <c r="AE270" i="36" s="1"/>
  <c r="AF270" i="36" s="1"/>
  <c r="AG270" i="36" s="1"/>
  <c r="AH270" i="36" s="1"/>
  <c r="AI270" i="36" s="1"/>
  <c r="AJ270" i="36" s="1"/>
  <c r="AK270" i="36" s="1"/>
  <c r="AL270" i="36" s="1"/>
  <c r="AM270" i="36" s="1"/>
  <c r="AN270" i="36" s="1"/>
  <c r="AO270" i="36" s="1"/>
  <c r="AP270" i="36" s="1"/>
  <c r="AQ270" i="36" s="1"/>
  <c r="AR270" i="36" s="1"/>
  <c r="AS270" i="36" s="1"/>
  <c r="AT270" i="36" s="1"/>
  <c r="AU270" i="36" s="1"/>
  <c r="AV270" i="36" s="1"/>
  <c r="AW270" i="36" s="1"/>
  <c r="AX270" i="36" s="1"/>
  <c r="Z270" i="36" s="1"/>
  <c r="AD59" i="36"/>
  <c r="AE59" i="36" s="1"/>
  <c r="AF59" i="36" s="1"/>
  <c r="AG59" i="36" s="1"/>
  <c r="AH59" i="36" s="1"/>
  <c r="AI59" i="36" s="1"/>
  <c r="AJ59" i="36" s="1"/>
  <c r="AK59" i="36" s="1"/>
  <c r="AL59" i="36" s="1"/>
  <c r="AM59" i="36" s="1"/>
  <c r="AN59" i="36" s="1"/>
  <c r="AO59" i="36" s="1"/>
  <c r="AP59" i="36" s="1"/>
  <c r="AQ59" i="36" s="1"/>
  <c r="AR59" i="36" s="1"/>
  <c r="AS59" i="36" s="1"/>
  <c r="AT59" i="36" s="1"/>
  <c r="AU59" i="36" s="1"/>
  <c r="AV59" i="36" s="1"/>
  <c r="AW59" i="36" s="1"/>
  <c r="AX59" i="36" s="1"/>
  <c r="Z59" i="36" s="1"/>
  <c r="AD25" i="36"/>
  <c r="AE25" i="36" s="1"/>
  <c r="AF25" i="36" s="1"/>
  <c r="AG25" i="36" s="1"/>
  <c r="AH25" i="36" s="1"/>
  <c r="AI25" i="36" s="1"/>
  <c r="AJ25" i="36" s="1"/>
  <c r="AK25" i="36" s="1"/>
  <c r="AL25" i="36" s="1"/>
  <c r="AM25" i="36" s="1"/>
  <c r="AN25" i="36" s="1"/>
  <c r="AO25" i="36" s="1"/>
  <c r="AP25" i="36" s="1"/>
  <c r="AQ25" i="36" s="1"/>
  <c r="AR25" i="36" s="1"/>
  <c r="AS25" i="36" s="1"/>
  <c r="AT25" i="36" s="1"/>
  <c r="AU25" i="36" s="1"/>
  <c r="AV25" i="36" s="1"/>
  <c r="AW25" i="36" s="1"/>
  <c r="AX25" i="36" s="1"/>
  <c r="Z25" i="36" s="1"/>
  <c r="AD32" i="36"/>
  <c r="AE32" i="36" s="1"/>
  <c r="AF32" i="36" s="1"/>
  <c r="AG32" i="36" s="1"/>
  <c r="AH32" i="36" s="1"/>
  <c r="AI32" i="36" s="1"/>
  <c r="AJ32" i="36" s="1"/>
  <c r="AK32" i="36" s="1"/>
  <c r="AL32" i="36" s="1"/>
  <c r="AM32" i="36" s="1"/>
  <c r="AN32" i="36" s="1"/>
  <c r="AO32" i="36" s="1"/>
  <c r="AP32" i="36" s="1"/>
  <c r="AQ32" i="36" s="1"/>
  <c r="AR32" i="36" s="1"/>
  <c r="AS32" i="36" s="1"/>
  <c r="AT32" i="36" s="1"/>
  <c r="AU32" i="36" s="1"/>
  <c r="AV32" i="36" s="1"/>
  <c r="AW32" i="36" s="1"/>
  <c r="AX32" i="36" s="1"/>
  <c r="Z32" i="36" s="1"/>
  <c r="AD45" i="36"/>
  <c r="AE45" i="36" s="1"/>
  <c r="AF45" i="36" s="1"/>
  <c r="AG45" i="36" s="1"/>
  <c r="AH45" i="36" s="1"/>
  <c r="AI45" i="36" s="1"/>
  <c r="AJ45" i="36" s="1"/>
  <c r="AK45" i="36" s="1"/>
  <c r="AL45" i="36" s="1"/>
  <c r="AM45" i="36" s="1"/>
  <c r="AN45" i="36" s="1"/>
  <c r="AO45" i="36" s="1"/>
  <c r="AP45" i="36" s="1"/>
  <c r="AQ45" i="36" s="1"/>
  <c r="AR45" i="36" s="1"/>
  <c r="AS45" i="36" s="1"/>
  <c r="AT45" i="36" s="1"/>
  <c r="AU45" i="36" s="1"/>
  <c r="AV45" i="36" s="1"/>
  <c r="AW45" i="36" s="1"/>
  <c r="AX45" i="36" s="1"/>
  <c r="Z45" i="36" s="1"/>
  <c r="AD129" i="36"/>
  <c r="AE129" i="36" s="1"/>
  <c r="AF129" i="36" s="1"/>
  <c r="AG129" i="36" s="1"/>
  <c r="AH129" i="36" s="1"/>
  <c r="AI129" i="36" s="1"/>
  <c r="AJ129" i="36" s="1"/>
  <c r="AK129" i="36" s="1"/>
  <c r="AL129" i="36" s="1"/>
  <c r="AM129" i="36" s="1"/>
  <c r="AN129" i="36" s="1"/>
  <c r="AO129" i="36" s="1"/>
  <c r="AP129" i="36" s="1"/>
  <c r="AQ129" i="36" s="1"/>
  <c r="AR129" i="36" s="1"/>
  <c r="AS129" i="36" s="1"/>
  <c r="AT129" i="36" s="1"/>
  <c r="AU129" i="36" s="1"/>
  <c r="AV129" i="36" s="1"/>
  <c r="AW129" i="36" s="1"/>
  <c r="AX129" i="36" s="1"/>
  <c r="Z129" i="36" s="1"/>
  <c r="AD192" i="36"/>
  <c r="AE192" i="36" s="1"/>
  <c r="AF192" i="36" s="1"/>
  <c r="AG192" i="36" s="1"/>
  <c r="AH192" i="36" s="1"/>
  <c r="AI192" i="36" s="1"/>
  <c r="AJ192" i="36" s="1"/>
  <c r="AK192" i="36" s="1"/>
  <c r="AL192" i="36" s="1"/>
  <c r="AM192" i="36" s="1"/>
  <c r="AN192" i="36" s="1"/>
  <c r="AO192" i="36" s="1"/>
  <c r="AP192" i="36" s="1"/>
  <c r="AQ192" i="36" s="1"/>
  <c r="AR192" i="36" s="1"/>
  <c r="AS192" i="36" s="1"/>
  <c r="AT192" i="36" s="1"/>
  <c r="AU192" i="36" s="1"/>
  <c r="AV192" i="36" s="1"/>
  <c r="AW192" i="36" s="1"/>
  <c r="AX192" i="36" s="1"/>
  <c r="Z192" i="36" s="1"/>
  <c r="AD199" i="36"/>
  <c r="AE199" i="36" s="1"/>
  <c r="AF199" i="36" s="1"/>
  <c r="AG199" i="36" s="1"/>
  <c r="AH199" i="36" s="1"/>
  <c r="AI199" i="36" s="1"/>
  <c r="AJ199" i="36" s="1"/>
  <c r="AK199" i="36" s="1"/>
  <c r="AL199" i="36" s="1"/>
  <c r="AM199" i="36" s="1"/>
  <c r="AN199" i="36" s="1"/>
  <c r="AO199" i="36" s="1"/>
  <c r="AP199" i="36" s="1"/>
  <c r="AQ199" i="36" s="1"/>
  <c r="AR199" i="36" s="1"/>
  <c r="AS199" i="36" s="1"/>
  <c r="AT199" i="36" s="1"/>
  <c r="AU199" i="36" s="1"/>
  <c r="AV199" i="36" s="1"/>
  <c r="AW199" i="36" s="1"/>
  <c r="AX199" i="36" s="1"/>
  <c r="Z199" i="36" s="1"/>
  <c r="AD206" i="36"/>
  <c r="AE206" i="36" s="1"/>
  <c r="AF206" i="36" s="1"/>
  <c r="AG206" i="36" s="1"/>
  <c r="AH206" i="36" s="1"/>
  <c r="AI206" i="36" s="1"/>
  <c r="AJ206" i="36" s="1"/>
  <c r="AK206" i="36" s="1"/>
  <c r="AL206" i="36" s="1"/>
  <c r="AM206" i="36" s="1"/>
  <c r="AN206" i="36" s="1"/>
  <c r="AO206" i="36" s="1"/>
  <c r="AP206" i="36" s="1"/>
  <c r="AQ206" i="36" s="1"/>
  <c r="AR206" i="36" s="1"/>
  <c r="AS206" i="36" s="1"/>
  <c r="AT206" i="36" s="1"/>
  <c r="AU206" i="36" s="1"/>
  <c r="AV206" i="36" s="1"/>
  <c r="AW206" i="36" s="1"/>
  <c r="AX206" i="36" s="1"/>
  <c r="Z206" i="36" s="1"/>
  <c r="AD271" i="36"/>
  <c r="AE271" i="36" s="1"/>
  <c r="AF271" i="36" s="1"/>
  <c r="AG271" i="36" s="1"/>
  <c r="AH271" i="36" s="1"/>
  <c r="AI271" i="36" s="1"/>
  <c r="AJ271" i="36" s="1"/>
  <c r="AK271" i="36" s="1"/>
  <c r="AL271" i="36" s="1"/>
  <c r="AM271" i="36" s="1"/>
  <c r="AN271" i="36" s="1"/>
  <c r="AO271" i="36" s="1"/>
  <c r="AP271" i="36" s="1"/>
  <c r="AQ271" i="36" s="1"/>
  <c r="AR271" i="36" s="1"/>
  <c r="AS271" i="36" s="1"/>
  <c r="AT271" i="36" s="1"/>
  <c r="AU271" i="36" s="1"/>
  <c r="AV271" i="36" s="1"/>
  <c r="AW271" i="36" s="1"/>
  <c r="AX271" i="36" s="1"/>
  <c r="Z271" i="36" s="1"/>
  <c r="AD104" i="36"/>
  <c r="AE104" i="36" s="1"/>
  <c r="AF104" i="36" s="1"/>
  <c r="AG104" i="36" s="1"/>
  <c r="AH104" i="36" s="1"/>
  <c r="AI104" i="36" s="1"/>
  <c r="AJ104" i="36" s="1"/>
  <c r="AK104" i="36" s="1"/>
  <c r="AL104" i="36" s="1"/>
  <c r="AM104" i="36" s="1"/>
  <c r="AN104" i="36" s="1"/>
  <c r="AO104" i="36" s="1"/>
  <c r="AP104" i="36" s="1"/>
  <c r="AQ104" i="36" s="1"/>
  <c r="AR104" i="36" s="1"/>
  <c r="AS104" i="36" s="1"/>
  <c r="AT104" i="36" s="1"/>
  <c r="AU104" i="36" s="1"/>
  <c r="AV104" i="36" s="1"/>
  <c r="AW104" i="36" s="1"/>
  <c r="AX104" i="36" s="1"/>
  <c r="Z104" i="36" s="1"/>
  <c r="AD158" i="36"/>
  <c r="AE158" i="36" s="1"/>
  <c r="AF158" i="36" s="1"/>
  <c r="AG158" i="36" s="1"/>
  <c r="AH158" i="36" s="1"/>
  <c r="AI158" i="36" s="1"/>
  <c r="AJ158" i="36" s="1"/>
  <c r="AK158" i="36" s="1"/>
  <c r="AL158" i="36" s="1"/>
  <c r="AM158" i="36" s="1"/>
  <c r="AN158" i="36" s="1"/>
  <c r="AO158" i="36" s="1"/>
  <c r="AP158" i="36" s="1"/>
  <c r="AQ158" i="36" s="1"/>
  <c r="AR158" i="36" s="1"/>
  <c r="AS158" i="36" s="1"/>
  <c r="AT158" i="36" s="1"/>
  <c r="AU158" i="36" s="1"/>
  <c r="AV158" i="36" s="1"/>
  <c r="AW158" i="36" s="1"/>
  <c r="AX158" i="36" s="1"/>
  <c r="Z158" i="36" s="1"/>
  <c r="AD60" i="36"/>
  <c r="AE60" i="36" s="1"/>
  <c r="AF60" i="36" s="1"/>
  <c r="AG60" i="36" s="1"/>
  <c r="AH60" i="36" s="1"/>
  <c r="AI60" i="36" s="1"/>
  <c r="AJ60" i="36" s="1"/>
  <c r="AK60" i="36" s="1"/>
  <c r="AL60" i="36" s="1"/>
  <c r="AM60" i="36" s="1"/>
  <c r="AN60" i="36" s="1"/>
  <c r="AO60" i="36" s="1"/>
  <c r="AP60" i="36" s="1"/>
  <c r="AQ60" i="36" s="1"/>
  <c r="AR60" i="36" s="1"/>
  <c r="AS60" i="36" s="1"/>
  <c r="AT60" i="36" s="1"/>
  <c r="AU60" i="36" s="1"/>
  <c r="AV60" i="36" s="1"/>
  <c r="AW60" i="36" s="1"/>
  <c r="AX60" i="36" s="1"/>
  <c r="Z60" i="36" s="1"/>
  <c r="AD193" i="36"/>
  <c r="AE193" i="36" s="1"/>
  <c r="AF193" i="36" s="1"/>
  <c r="AG193" i="36" s="1"/>
  <c r="AH193" i="36" s="1"/>
  <c r="AI193" i="36" s="1"/>
  <c r="AJ193" i="36" s="1"/>
  <c r="AK193" i="36" s="1"/>
  <c r="AL193" i="36" s="1"/>
  <c r="AM193" i="36" s="1"/>
  <c r="AN193" i="36" s="1"/>
  <c r="AO193" i="36" s="1"/>
  <c r="AP193" i="36" s="1"/>
  <c r="AQ193" i="36" s="1"/>
  <c r="AR193" i="36" s="1"/>
  <c r="AS193" i="36" s="1"/>
  <c r="AT193" i="36" s="1"/>
  <c r="AU193" i="36" s="1"/>
  <c r="AV193" i="36" s="1"/>
  <c r="AW193" i="36" s="1"/>
  <c r="AX193" i="36" s="1"/>
  <c r="Z193" i="36" s="1"/>
  <c r="AD207" i="36"/>
  <c r="AE207" i="36" s="1"/>
  <c r="AF207" i="36" s="1"/>
  <c r="AG207" i="36" s="1"/>
  <c r="AH207" i="36" s="1"/>
  <c r="AI207" i="36" s="1"/>
  <c r="AJ207" i="36" s="1"/>
  <c r="AK207" i="36" s="1"/>
  <c r="AL207" i="36" s="1"/>
  <c r="AM207" i="36" s="1"/>
  <c r="AN207" i="36" s="1"/>
  <c r="AO207" i="36" s="1"/>
  <c r="AP207" i="36" s="1"/>
  <c r="AQ207" i="36" s="1"/>
  <c r="AR207" i="36" s="1"/>
  <c r="AS207" i="36" s="1"/>
  <c r="AT207" i="36" s="1"/>
  <c r="AU207" i="36" s="1"/>
  <c r="AV207" i="36" s="1"/>
  <c r="AW207" i="36" s="1"/>
  <c r="AX207" i="36" s="1"/>
  <c r="Z207" i="36" s="1"/>
  <c r="AD214" i="36"/>
  <c r="AE214" i="36" s="1"/>
  <c r="AF214" i="36" s="1"/>
  <c r="AG214" i="36" s="1"/>
  <c r="AH214" i="36" s="1"/>
  <c r="AI214" i="36" s="1"/>
  <c r="AJ214" i="36" s="1"/>
  <c r="AK214" i="36" s="1"/>
  <c r="AL214" i="36" s="1"/>
  <c r="AM214" i="36" s="1"/>
  <c r="AN214" i="36" s="1"/>
  <c r="AO214" i="36" s="1"/>
  <c r="AP214" i="36" s="1"/>
  <c r="AQ214" i="36" s="1"/>
  <c r="AR214" i="36" s="1"/>
  <c r="AS214" i="36" s="1"/>
  <c r="AT214" i="36" s="1"/>
  <c r="AU214" i="36" s="1"/>
  <c r="AV214" i="36" s="1"/>
  <c r="AW214" i="36" s="1"/>
  <c r="AX214" i="36" s="1"/>
  <c r="Z214" i="36" s="1"/>
  <c r="AD272" i="36"/>
  <c r="AE272" i="36" s="1"/>
  <c r="AF272" i="36" s="1"/>
  <c r="AG272" i="36" s="1"/>
  <c r="AH272" i="36" s="1"/>
  <c r="AI272" i="36" s="1"/>
  <c r="AJ272" i="36" s="1"/>
  <c r="AK272" i="36" s="1"/>
  <c r="AL272" i="36" s="1"/>
  <c r="AM272" i="36" s="1"/>
  <c r="AN272" i="36" s="1"/>
  <c r="AO272" i="36" s="1"/>
  <c r="AP272" i="36" s="1"/>
  <c r="AQ272" i="36" s="1"/>
  <c r="AR272" i="36" s="1"/>
  <c r="AS272" i="36" s="1"/>
  <c r="AT272" i="36" s="1"/>
  <c r="AU272" i="36" s="1"/>
  <c r="AV272" i="36" s="1"/>
  <c r="AW272" i="36" s="1"/>
  <c r="AX272" i="36" s="1"/>
  <c r="Z272" i="36" s="1"/>
  <c r="AD152" i="36"/>
  <c r="AE152" i="36" s="1"/>
  <c r="AF152" i="36" s="1"/>
  <c r="AG152" i="36" s="1"/>
  <c r="AH152" i="36" s="1"/>
  <c r="AI152" i="36" s="1"/>
  <c r="AJ152" i="36" s="1"/>
  <c r="AK152" i="36" s="1"/>
  <c r="AL152" i="36" s="1"/>
  <c r="AM152" i="36" s="1"/>
  <c r="AN152" i="36" s="1"/>
  <c r="AO152" i="36" s="1"/>
  <c r="AP152" i="36" s="1"/>
  <c r="AQ152" i="36" s="1"/>
  <c r="AR152" i="36" s="1"/>
  <c r="AS152" i="36" s="1"/>
  <c r="AT152" i="36" s="1"/>
  <c r="AU152" i="36" s="1"/>
  <c r="AV152" i="36" s="1"/>
  <c r="AW152" i="36" s="1"/>
  <c r="AX152" i="36" s="1"/>
  <c r="Z152" i="36" s="1"/>
  <c r="AD75" i="36"/>
  <c r="AE75" i="36" s="1"/>
  <c r="AF75" i="36" s="1"/>
  <c r="AG75" i="36" s="1"/>
  <c r="AH75" i="36" s="1"/>
  <c r="AI75" i="36" s="1"/>
  <c r="AJ75" i="36" s="1"/>
  <c r="AK75" i="36" s="1"/>
  <c r="AL75" i="36" s="1"/>
  <c r="AM75" i="36" s="1"/>
  <c r="AN75" i="36" s="1"/>
  <c r="AO75" i="36" s="1"/>
  <c r="AP75" i="36" s="1"/>
  <c r="AQ75" i="36" s="1"/>
  <c r="AR75" i="36" s="1"/>
  <c r="AS75" i="36" s="1"/>
  <c r="AT75" i="36" s="1"/>
  <c r="AU75" i="36" s="1"/>
  <c r="AV75" i="36" s="1"/>
  <c r="AW75" i="36" s="1"/>
  <c r="AX75" i="36" s="1"/>
  <c r="Z75" i="36" s="1"/>
  <c r="AD96" i="36"/>
  <c r="AE96" i="36" s="1"/>
  <c r="AF96" i="36" s="1"/>
  <c r="AG96" i="36" s="1"/>
  <c r="AH96" i="36" s="1"/>
  <c r="AI96" i="36" s="1"/>
  <c r="AJ96" i="36" s="1"/>
  <c r="AK96" i="36" s="1"/>
  <c r="AL96" i="36" s="1"/>
  <c r="AM96" i="36" s="1"/>
  <c r="AN96" i="36" s="1"/>
  <c r="AO96" i="36" s="1"/>
  <c r="AP96" i="36" s="1"/>
  <c r="AQ96" i="36" s="1"/>
  <c r="AR96" i="36" s="1"/>
  <c r="AS96" i="36" s="1"/>
  <c r="AT96" i="36" s="1"/>
  <c r="AU96" i="36" s="1"/>
  <c r="AV96" i="36" s="1"/>
  <c r="AW96" i="36" s="1"/>
  <c r="AX96" i="36" s="1"/>
  <c r="Z96" i="36" s="1"/>
  <c r="AD130" i="36"/>
  <c r="AE130" i="36" s="1"/>
  <c r="AF130" i="36" s="1"/>
  <c r="AG130" i="36" s="1"/>
  <c r="AH130" i="36" s="1"/>
  <c r="AI130" i="36" s="1"/>
  <c r="AJ130" i="36" s="1"/>
  <c r="AK130" i="36" s="1"/>
  <c r="AL130" i="36" s="1"/>
  <c r="AM130" i="36" s="1"/>
  <c r="AN130" i="36" s="1"/>
  <c r="AO130" i="36" s="1"/>
  <c r="AP130" i="36" s="1"/>
  <c r="AQ130" i="36" s="1"/>
  <c r="AR130" i="36" s="1"/>
  <c r="AS130" i="36" s="1"/>
  <c r="AT130" i="36" s="1"/>
  <c r="AU130" i="36" s="1"/>
  <c r="AV130" i="36" s="1"/>
  <c r="AW130" i="36" s="1"/>
  <c r="AX130" i="36" s="1"/>
  <c r="Z130" i="36" s="1"/>
  <c r="AD200" i="36"/>
  <c r="AE200" i="36" s="1"/>
  <c r="AF200" i="36" s="1"/>
  <c r="AG200" i="36" s="1"/>
  <c r="AH200" i="36" s="1"/>
  <c r="AI200" i="36" s="1"/>
  <c r="AJ200" i="36" s="1"/>
  <c r="AK200" i="36" s="1"/>
  <c r="AL200" i="36" s="1"/>
  <c r="AM200" i="36" s="1"/>
  <c r="AN200" i="36" s="1"/>
  <c r="AO200" i="36" s="1"/>
  <c r="AP200" i="36" s="1"/>
  <c r="AQ200" i="36" s="1"/>
  <c r="AR200" i="36" s="1"/>
  <c r="AS200" i="36" s="1"/>
  <c r="AT200" i="36" s="1"/>
  <c r="AU200" i="36" s="1"/>
  <c r="AV200" i="36" s="1"/>
  <c r="AW200" i="36" s="1"/>
  <c r="AX200" i="36" s="1"/>
  <c r="Z200" i="36" s="1"/>
  <c r="AD120" i="36"/>
  <c r="AE120" i="36" s="1"/>
  <c r="AF120" i="36" s="1"/>
  <c r="AG120" i="36" s="1"/>
  <c r="AH120" i="36" s="1"/>
  <c r="AI120" i="36" s="1"/>
  <c r="AJ120" i="36" s="1"/>
  <c r="AK120" i="36" s="1"/>
  <c r="AL120" i="36" s="1"/>
  <c r="AM120" i="36" s="1"/>
  <c r="AN120" i="36" s="1"/>
  <c r="AO120" i="36" s="1"/>
  <c r="AP120" i="36" s="1"/>
  <c r="AQ120" i="36" s="1"/>
  <c r="AR120" i="36" s="1"/>
  <c r="AS120" i="36" s="1"/>
  <c r="AT120" i="36" s="1"/>
  <c r="AU120" i="36" s="1"/>
  <c r="AV120" i="36" s="1"/>
  <c r="AW120" i="36" s="1"/>
  <c r="AX120" i="36" s="1"/>
  <c r="Z120" i="36" s="1"/>
  <c r="AD68" i="36"/>
  <c r="AE68" i="36" s="1"/>
  <c r="AF68" i="36" s="1"/>
  <c r="AG68" i="36" s="1"/>
  <c r="AH68" i="36" s="1"/>
  <c r="AI68" i="36" s="1"/>
  <c r="AJ68" i="36" s="1"/>
  <c r="AK68" i="36" s="1"/>
  <c r="AL68" i="36" s="1"/>
  <c r="AM68" i="36" s="1"/>
  <c r="AN68" i="36" s="1"/>
  <c r="AO68" i="36" s="1"/>
  <c r="AP68" i="36" s="1"/>
  <c r="AQ68" i="36" s="1"/>
  <c r="AR68" i="36" s="1"/>
  <c r="AS68" i="36" s="1"/>
  <c r="AT68" i="36" s="1"/>
  <c r="AU68" i="36" s="1"/>
  <c r="AV68" i="36" s="1"/>
  <c r="AW68" i="36" s="1"/>
  <c r="AX68" i="36" s="1"/>
  <c r="Z68" i="36" s="1"/>
  <c r="AD83" i="36"/>
  <c r="AE83" i="36" s="1"/>
  <c r="AF83" i="36" s="1"/>
  <c r="AG83" i="36" s="1"/>
  <c r="AH83" i="36" s="1"/>
  <c r="AI83" i="36" s="1"/>
  <c r="AJ83" i="36" s="1"/>
  <c r="AK83" i="36" s="1"/>
  <c r="AL83" i="36" s="1"/>
  <c r="AM83" i="36" s="1"/>
  <c r="AN83" i="36" s="1"/>
  <c r="AO83" i="36" s="1"/>
  <c r="AP83" i="36" s="1"/>
  <c r="AQ83" i="36" s="1"/>
  <c r="AR83" i="36" s="1"/>
  <c r="AS83" i="36" s="1"/>
  <c r="AT83" i="36" s="1"/>
  <c r="AU83" i="36" s="1"/>
  <c r="AV83" i="36" s="1"/>
  <c r="AW83" i="36" s="1"/>
  <c r="AX83" i="36" s="1"/>
  <c r="Z83" i="36" s="1"/>
  <c r="AD19" i="36"/>
  <c r="AE19" i="36" s="1"/>
  <c r="AF19" i="36" s="1"/>
  <c r="AG19" i="36" s="1"/>
  <c r="AH19" i="36" s="1"/>
  <c r="AI19" i="36" s="1"/>
  <c r="AJ19" i="36" s="1"/>
  <c r="AK19" i="36" s="1"/>
  <c r="AL19" i="36" s="1"/>
  <c r="AM19" i="36" s="1"/>
  <c r="AN19" i="36" s="1"/>
  <c r="AO19" i="36" s="1"/>
  <c r="AP19" i="36" s="1"/>
  <c r="AQ19" i="36" s="1"/>
  <c r="AR19" i="36" s="1"/>
  <c r="AS19" i="36" s="1"/>
  <c r="AT19" i="36" s="1"/>
  <c r="AU19" i="36" s="1"/>
  <c r="AV19" i="36" s="1"/>
  <c r="AW19" i="36" s="1"/>
  <c r="AX19" i="36" s="1"/>
  <c r="Z19" i="36" s="1"/>
  <c r="AD159" i="36"/>
  <c r="AE159" i="36" s="1"/>
  <c r="AF159" i="36" s="1"/>
  <c r="AG159" i="36" s="1"/>
  <c r="AH159" i="36" s="1"/>
  <c r="AI159" i="36" s="1"/>
  <c r="AJ159" i="36" s="1"/>
  <c r="AK159" i="36" s="1"/>
  <c r="AL159" i="36" s="1"/>
  <c r="AM159" i="36" s="1"/>
  <c r="AN159" i="36" s="1"/>
  <c r="AO159" i="36" s="1"/>
  <c r="AP159" i="36" s="1"/>
  <c r="AQ159" i="36" s="1"/>
  <c r="AR159" i="36" s="1"/>
  <c r="AS159" i="36" s="1"/>
  <c r="AT159" i="36" s="1"/>
  <c r="AU159" i="36" s="1"/>
  <c r="AV159" i="36" s="1"/>
  <c r="AW159" i="36" s="1"/>
  <c r="AX159" i="36" s="1"/>
  <c r="Z159" i="36" s="1"/>
  <c r="AD187" i="36"/>
  <c r="AE187" i="36" s="1"/>
  <c r="AF187" i="36" s="1"/>
  <c r="AG187" i="36" s="1"/>
  <c r="AH187" i="36" s="1"/>
  <c r="AI187" i="36" s="1"/>
  <c r="AJ187" i="36" s="1"/>
  <c r="AK187" i="36" s="1"/>
  <c r="AL187" i="36" s="1"/>
  <c r="AM187" i="36" s="1"/>
  <c r="AN187" i="36" s="1"/>
  <c r="AO187" i="36" s="1"/>
  <c r="AP187" i="36" s="1"/>
  <c r="AQ187" i="36" s="1"/>
  <c r="AR187" i="36" s="1"/>
  <c r="AS187" i="36" s="1"/>
  <c r="AT187" i="36" s="1"/>
  <c r="AU187" i="36" s="1"/>
  <c r="AV187" i="36" s="1"/>
  <c r="AW187" i="36" s="1"/>
  <c r="AX187" i="36" s="1"/>
  <c r="Z187" i="36" s="1"/>
  <c r="AD228" i="36"/>
  <c r="AE228" i="36" s="1"/>
  <c r="AF228" i="36" s="1"/>
  <c r="AG228" i="36" s="1"/>
  <c r="AH228" i="36" s="1"/>
  <c r="AI228" i="36" s="1"/>
  <c r="AJ228" i="36" s="1"/>
  <c r="AK228" i="36" s="1"/>
  <c r="AL228" i="36" s="1"/>
  <c r="AM228" i="36" s="1"/>
  <c r="AN228" i="36" s="1"/>
  <c r="AO228" i="36" s="1"/>
  <c r="AP228" i="36" s="1"/>
  <c r="AQ228" i="36" s="1"/>
  <c r="AR228" i="36" s="1"/>
  <c r="AS228" i="36" s="1"/>
  <c r="AT228" i="36" s="1"/>
  <c r="AU228" i="36" s="1"/>
  <c r="AV228" i="36" s="1"/>
  <c r="AW228" i="36" s="1"/>
  <c r="AX228" i="36" s="1"/>
  <c r="Z228" i="36" s="1"/>
  <c r="AD265" i="36"/>
  <c r="AE265" i="36" s="1"/>
  <c r="AF265" i="36" s="1"/>
  <c r="AG265" i="36" s="1"/>
  <c r="AH265" i="36" s="1"/>
  <c r="AI265" i="36" s="1"/>
  <c r="AJ265" i="36" s="1"/>
  <c r="AK265" i="36" s="1"/>
  <c r="AL265" i="36" s="1"/>
  <c r="AM265" i="36" s="1"/>
  <c r="AN265" i="36" s="1"/>
  <c r="AO265" i="36" s="1"/>
  <c r="AP265" i="36" s="1"/>
  <c r="AQ265" i="36" s="1"/>
  <c r="AR265" i="36" s="1"/>
  <c r="AS265" i="36" s="1"/>
  <c r="AT265" i="36" s="1"/>
  <c r="AU265" i="36" s="1"/>
  <c r="AV265" i="36" s="1"/>
  <c r="AW265" i="36" s="1"/>
  <c r="AX265" i="36" s="1"/>
  <c r="Z265" i="36" s="1"/>
  <c r="AD139" i="36"/>
  <c r="AE139" i="36" s="1"/>
  <c r="AF139" i="36" s="1"/>
  <c r="AG139" i="36" s="1"/>
  <c r="AH139" i="36" s="1"/>
  <c r="AI139" i="36" s="1"/>
  <c r="AJ139" i="36" s="1"/>
  <c r="AK139" i="36" s="1"/>
  <c r="AL139" i="36" s="1"/>
  <c r="AM139" i="36" s="1"/>
  <c r="AN139" i="36" s="1"/>
  <c r="AO139" i="36" s="1"/>
  <c r="AP139" i="36" s="1"/>
  <c r="AQ139" i="36" s="1"/>
  <c r="AR139" i="36" s="1"/>
  <c r="AS139" i="36" s="1"/>
  <c r="AT139" i="36" s="1"/>
  <c r="AU139" i="36" s="1"/>
  <c r="AV139" i="36" s="1"/>
  <c r="AW139" i="36" s="1"/>
  <c r="AX139" i="36" s="1"/>
  <c r="Z139" i="36" s="1"/>
  <c r="AD222" i="36"/>
  <c r="AE222" i="36" s="1"/>
  <c r="AF222" i="36" s="1"/>
  <c r="AG222" i="36" s="1"/>
  <c r="AH222" i="36" s="1"/>
  <c r="AI222" i="36" s="1"/>
  <c r="AJ222" i="36" s="1"/>
  <c r="AK222" i="36" s="1"/>
  <c r="AL222" i="36" s="1"/>
  <c r="AM222" i="36" s="1"/>
  <c r="AN222" i="36" s="1"/>
  <c r="AO222" i="36" s="1"/>
  <c r="AP222" i="36" s="1"/>
  <c r="AQ222" i="36" s="1"/>
  <c r="AR222" i="36" s="1"/>
  <c r="AS222" i="36" s="1"/>
  <c r="AT222" i="36" s="1"/>
  <c r="AU222" i="36" s="1"/>
  <c r="AV222" i="36" s="1"/>
  <c r="AW222" i="36" s="1"/>
  <c r="AX222" i="36" s="1"/>
  <c r="Z222" i="36" s="1"/>
  <c r="AD229" i="36"/>
  <c r="AE229" i="36" s="1"/>
  <c r="AF229" i="36" s="1"/>
  <c r="AG229" i="36" s="1"/>
  <c r="AH229" i="36" s="1"/>
  <c r="AI229" i="36" s="1"/>
  <c r="AJ229" i="36" s="1"/>
  <c r="AK229" i="36" s="1"/>
  <c r="AL229" i="36" s="1"/>
  <c r="AM229" i="36" s="1"/>
  <c r="AN229" i="36" s="1"/>
  <c r="AO229" i="36" s="1"/>
  <c r="AP229" i="36" s="1"/>
  <c r="AQ229" i="36" s="1"/>
  <c r="AR229" i="36" s="1"/>
  <c r="AS229" i="36" s="1"/>
  <c r="AT229" i="36" s="1"/>
  <c r="AU229" i="36" s="1"/>
  <c r="AV229" i="36" s="1"/>
  <c r="AW229" i="36" s="1"/>
  <c r="AX229" i="36" s="1"/>
  <c r="Z229" i="36" s="1"/>
  <c r="AD258" i="36"/>
  <c r="AE258" i="36" s="1"/>
  <c r="AF258" i="36" s="1"/>
  <c r="AG258" i="36" s="1"/>
  <c r="AH258" i="36" s="1"/>
  <c r="AI258" i="36" s="1"/>
  <c r="AJ258" i="36" s="1"/>
  <c r="AK258" i="36" s="1"/>
  <c r="AL258" i="36" s="1"/>
  <c r="AM258" i="36" s="1"/>
  <c r="AN258" i="36" s="1"/>
  <c r="AO258" i="36" s="1"/>
  <c r="AP258" i="36" s="1"/>
  <c r="AQ258" i="36" s="1"/>
  <c r="AR258" i="36" s="1"/>
  <c r="AS258" i="36" s="1"/>
  <c r="AT258" i="36" s="1"/>
  <c r="AU258" i="36" s="1"/>
  <c r="AV258" i="36" s="1"/>
  <c r="AW258" i="36" s="1"/>
  <c r="AX258" i="36" s="1"/>
  <c r="Z258" i="36" s="1"/>
  <c r="AD98" i="36"/>
  <c r="AE98" i="36" s="1"/>
  <c r="AF98" i="36" s="1"/>
  <c r="AG98" i="36" s="1"/>
  <c r="AH98" i="36" s="1"/>
  <c r="AI98" i="36" s="1"/>
  <c r="AJ98" i="36" s="1"/>
  <c r="AK98" i="36" s="1"/>
  <c r="AL98" i="36" s="1"/>
  <c r="AM98" i="36" s="1"/>
  <c r="AN98" i="36" s="1"/>
  <c r="AO98" i="36" s="1"/>
  <c r="AP98" i="36" s="1"/>
  <c r="AQ98" i="36" s="1"/>
  <c r="AR98" i="36" s="1"/>
  <c r="AS98" i="36" s="1"/>
  <c r="AT98" i="36" s="1"/>
  <c r="AU98" i="36" s="1"/>
  <c r="AV98" i="36" s="1"/>
  <c r="AW98" i="36" s="1"/>
  <c r="AX98" i="36" s="1"/>
  <c r="Z98" i="36" s="1"/>
  <c r="AD87" i="36"/>
  <c r="AE87" i="36" s="1"/>
  <c r="AF87" i="36" s="1"/>
  <c r="AG87" i="36" s="1"/>
  <c r="AH87" i="36" s="1"/>
  <c r="AI87" i="36" s="1"/>
  <c r="AJ87" i="36" s="1"/>
  <c r="AK87" i="36" s="1"/>
  <c r="AL87" i="36" s="1"/>
  <c r="AM87" i="36" s="1"/>
  <c r="AN87" i="36" s="1"/>
  <c r="AO87" i="36" s="1"/>
  <c r="AP87" i="36" s="1"/>
  <c r="AQ87" i="36" s="1"/>
  <c r="AR87" i="36" s="1"/>
  <c r="AS87" i="36" s="1"/>
  <c r="AT87" i="36" s="1"/>
  <c r="AU87" i="36" s="1"/>
  <c r="AV87" i="36" s="1"/>
  <c r="AW87" i="36" s="1"/>
  <c r="AX87" i="36" s="1"/>
  <c r="Z87" i="36" s="1"/>
  <c r="AD4" i="36"/>
  <c r="AE4" i="36" s="1"/>
  <c r="AF4" i="36" s="1"/>
  <c r="AG4" i="36" s="1"/>
  <c r="AH4" i="36" s="1"/>
  <c r="AI4" i="36" s="1"/>
  <c r="AJ4" i="36" s="1"/>
  <c r="AK4" i="36" s="1"/>
  <c r="AL4" i="36" s="1"/>
  <c r="AM4" i="36" s="1"/>
  <c r="AN4" i="36" s="1"/>
  <c r="AO4" i="36" s="1"/>
  <c r="AP4" i="36" s="1"/>
  <c r="AQ4" i="36" s="1"/>
  <c r="AR4" i="36" s="1"/>
  <c r="AS4" i="36" s="1"/>
  <c r="AT4" i="36" s="1"/>
  <c r="AU4" i="36" s="1"/>
  <c r="AV4" i="36" s="1"/>
  <c r="AW4" i="36" s="1"/>
  <c r="AX4" i="36" s="1"/>
  <c r="Z4" i="36" s="1"/>
  <c r="AD16" i="36"/>
  <c r="AE16" i="36" s="1"/>
  <c r="AF16" i="36" s="1"/>
  <c r="AG16" i="36" s="1"/>
  <c r="AH16" i="36" s="1"/>
  <c r="AI16" i="36" s="1"/>
  <c r="AJ16" i="36" s="1"/>
  <c r="AK16" i="36" s="1"/>
  <c r="AL16" i="36" s="1"/>
  <c r="AM16" i="36" s="1"/>
  <c r="AN16" i="36" s="1"/>
  <c r="AO16" i="36" s="1"/>
  <c r="AP16" i="36" s="1"/>
  <c r="AQ16" i="36" s="1"/>
  <c r="AR16" i="36" s="1"/>
  <c r="AS16" i="36" s="1"/>
  <c r="AT16" i="36" s="1"/>
  <c r="AU16" i="36" s="1"/>
  <c r="AV16" i="36" s="1"/>
  <c r="AW16" i="36" s="1"/>
  <c r="AX16" i="36" s="1"/>
  <c r="Z16" i="36" s="1"/>
  <c r="AD22" i="36"/>
  <c r="AE22" i="36" s="1"/>
  <c r="AF22" i="36" s="1"/>
  <c r="AG22" i="36" s="1"/>
  <c r="AH22" i="36" s="1"/>
  <c r="AI22" i="36" s="1"/>
  <c r="AJ22" i="36" s="1"/>
  <c r="AK22" i="36" s="1"/>
  <c r="AL22" i="36" s="1"/>
  <c r="AM22" i="36" s="1"/>
  <c r="AN22" i="36" s="1"/>
  <c r="AO22" i="36" s="1"/>
  <c r="AP22" i="36" s="1"/>
  <c r="AQ22" i="36" s="1"/>
  <c r="AR22" i="36" s="1"/>
  <c r="AS22" i="36" s="1"/>
  <c r="AT22" i="36" s="1"/>
  <c r="AU22" i="36" s="1"/>
  <c r="AV22" i="36" s="1"/>
  <c r="AW22" i="36" s="1"/>
  <c r="AX22" i="36" s="1"/>
  <c r="Z22" i="36" s="1"/>
  <c r="AD63" i="36"/>
  <c r="AE63" i="36" s="1"/>
  <c r="AF63" i="36" s="1"/>
  <c r="AG63" i="36" s="1"/>
  <c r="AH63" i="36" s="1"/>
  <c r="AI63" i="36" s="1"/>
  <c r="AJ63" i="36" s="1"/>
  <c r="AK63" i="36" s="1"/>
  <c r="AL63" i="36" s="1"/>
  <c r="AM63" i="36" s="1"/>
  <c r="AN63" i="36" s="1"/>
  <c r="AO63" i="36" s="1"/>
  <c r="AP63" i="36" s="1"/>
  <c r="AQ63" i="36" s="1"/>
  <c r="AR63" i="36" s="1"/>
  <c r="AS63" i="36" s="1"/>
  <c r="AT63" i="36" s="1"/>
  <c r="AU63" i="36" s="1"/>
  <c r="AV63" i="36" s="1"/>
  <c r="AW63" i="36" s="1"/>
  <c r="AX63" i="36" s="1"/>
  <c r="Z63" i="36" s="1"/>
  <c r="AD17" i="36"/>
  <c r="AE17" i="36" s="1"/>
  <c r="AF17" i="36" s="1"/>
  <c r="AG17" i="36" s="1"/>
  <c r="AH17" i="36" s="1"/>
  <c r="AI17" i="36" s="1"/>
  <c r="AJ17" i="36" s="1"/>
  <c r="AK17" i="36" s="1"/>
  <c r="AL17" i="36" s="1"/>
  <c r="AM17" i="36" s="1"/>
  <c r="AN17" i="36" s="1"/>
  <c r="AO17" i="36" s="1"/>
  <c r="AP17" i="36" s="1"/>
  <c r="AQ17" i="36" s="1"/>
  <c r="AR17" i="36" s="1"/>
  <c r="AS17" i="36" s="1"/>
  <c r="AT17" i="36" s="1"/>
  <c r="AU17" i="36" s="1"/>
  <c r="AV17" i="36" s="1"/>
  <c r="AW17" i="36" s="1"/>
  <c r="AX17" i="36" s="1"/>
  <c r="Z17" i="36" s="1"/>
  <c r="AD50" i="36"/>
  <c r="AE50" i="36" s="1"/>
  <c r="AF50" i="36" s="1"/>
  <c r="AG50" i="36" s="1"/>
  <c r="AH50" i="36" s="1"/>
  <c r="AI50" i="36" s="1"/>
  <c r="AJ50" i="36" s="1"/>
  <c r="AK50" i="36" s="1"/>
  <c r="AL50" i="36" s="1"/>
  <c r="AM50" i="36" s="1"/>
  <c r="AN50" i="36" s="1"/>
  <c r="AO50" i="36" s="1"/>
  <c r="AP50" i="36" s="1"/>
  <c r="AQ50" i="36" s="1"/>
  <c r="AR50" i="36" s="1"/>
  <c r="AS50" i="36" s="1"/>
  <c r="AT50" i="36" s="1"/>
  <c r="AU50" i="36" s="1"/>
  <c r="AV50" i="36" s="1"/>
  <c r="AW50" i="36" s="1"/>
  <c r="AX50" i="36" s="1"/>
  <c r="Z50" i="36" s="1"/>
  <c r="AD137" i="36"/>
  <c r="AE137" i="36" s="1"/>
  <c r="AF137" i="36" s="1"/>
  <c r="AG137" i="36" s="1"/>
  <c r="AH137" i="36" s="1"/>
  <c r="AI137" i="36" s="1"/>
  <c r="AJ137" i="36" s="1"/>
  <c r="AK137" i="36" s="1"/>
  <c r="AL137" i="36" s="1"/>
  <c r="AM137" i="36" s="1"/>
  <c r="AN137" i="36" s="1"/>
  <c r="AO137" i="36" s="1"/>
  <c r="AP137" i="36" s="1"/>
  <c r="AQ137" i="36" s="1"/>
  <c r="AR137" i="36" s="1"/>
  <c r="AS137" i="36" s="1"/>
  <c r="AT137" i="36" s="1"/>
  <c r="AU137" i="36" s="1"/>
  <c r="AV137" i="36" s="1"/>
  <c r="AW137" i="36" s="1"/>
  <c r="AX137" i="36" s="1"/>
  <c r="Z137" i="36" s="1"/>
  <c r="AD189" i="36"/>
  <c r="AE189" i="36" s="1"/>
  <c r="AF189" i="36" s="1"/>
  <c r="AG189" i="36" s="1"/>
  <c r="AH189" i="36" s="1"/>
  <c r="AI189" i="36" s="1"/>
  <c r="AJ189" i="36" s="1"/>
  <c r="AK189" i="36" s="1"/>
  <c r="AL189" i="36" s="1"/>
  <c r="AM189" i="36" s="1"/>
  <c r="AN189" i="36" s="1"/>
  <c r="AO189" i="36" s="1"/>
  <c r="AP189" i="36" s="1"/>
  <c r="AQ189" i="36" s="1"/>
  <c r="AR189" i="36" s="1"/>
  <c r="AS189" i="36" s="1"/>
  <c r="AT189" i="36" s="1"/>
  <c r="AU189" i="36" s="1"/>
  <c r="AV189" i="36" s="1"/>
  <c r="AW189" i="36" s="1"/>
  <c r="AX189" i="36" s="1"/>
  <c r="Z189" i="36" s="1"/>
  <c r="AD224" i="36"/>
  <c r="AE224" i="36" s="1"/>
  <c r="AF224" i="36" s="1"/>
  <c r="AG224" i="36" s="1"/>
  <c r="AH224" i="36" s="1"/>
  <c r="AI224" i="36" s="1"/>
  <c r="AJ224" i="36" s="1"/>
  <c r="AK224" i="36" s="1"/>
  <c r="AL224" i="36" s="1"/>
  <c r="AM224" i="36" s="1"/>
  <c r="AN224" i="36" s="1"/>
  <c r="AO224" i="36" s="1"/>
  <c r="AP224" i="36" s="1"/>
  <c r="AQ224" i="36" s="1"/>
  <c r="AR224" i="36" s="1"/>
  <c r="AS224" i="36" s="1"/>
  <c r="AT224" i="36" s="1"/>
  <c r="AU224" i="36" s="1"/>
  <c r="AV224" i="36" s="1"/>
  <c r="AW224" i="36" s="1"/>
  <c r="AX224" i="36" s="1"/>
  <c r="Z224" i="36" s="1"/>
  <c r="AD233" i="36"/>
  <c r="AE233" i="36" s="1"/>
  <c r="AF233" i="36" s="1"/>
  <c r="AG233" i="36" s="1"/>
  <c r="AH233" i="36" s="1"/>
  <c r="AI233" i="36" s="1"/>
  <c r="AJ233" i="36" s="1"/>
  <c r="AK233" i="36" s="1"/>
  <c r="AL233" i="36" s="1"/>
  <c r="AM233" i="36" s="1"/>
  <c r="AN233" i="36" s="1"/>
  <c r="AO233" i="36" s="1"/>
  <c r="AP233" i="36" s="1"/>
  <c r="AQ233" i="36" s="1"/>
  <c r="AR233" i="36" s="1"/>
  <c r="AS233" i="36" s="1"/>
  <c r="AT233" i="36" s="1"/>
  <c r="AU233" i="36" s="1"/>
  <c r="AV233" i="36" s="1"/>
  <c r="AW233" i="36" s="1"/>
  <c r="AX233" i="36" s="1"/>
  <c r="Z233" i="36" s="1"/>
  <c r="AD243" i="36"/>
  <c r="AE243" i="36" s="1"/>
  <c r="AF243" i="36" s="1"/>
  <c r="AG243" i="36" s="1"/>
  <c r="AH243" i="36" s="1"/>
  <c r="AI243" i="36" s="1"/>
  <c r="AJ243" i="36" s="1"/>
  <c r="AK243" i="36" s="1"/>
  <c r="AL243" i="36" s="1"/>
  <c r="AM243" i="36" s="1"/>
  <c r="AN243" i="36" s="1"/>
  <c r="AO243" i="36" s="1"/>
  <c r="AP243" i="36" s="1"/>
  <c r="AQ243" i="36" s="1"/>
  <c r="AR243" i="36" s="1"/>
  <c r="AS243" i="36" s="1"/>
  <c r="AT243" i="36" s="1"/>
  <c r="AU243" i="36" s="1"/>
  <c r="AV243" i="36" s="1"/>
  <c r="AW243" i="36" s="1"/>
  <c r="AX243" i="36" s="1"/>
  <c r="Z243" i="36" s="1"/>
  <c r="AD249" i="36"/>
  <c r="AE249" i="36" s="1"/>
  <c r="AF249" i="36" s="1"/>
  <c r="AG249" i="36" s="1"/>
  <c r="AH249" i="36" s="1"/>
  <c r="AI249" i="36" s="1"/>
  <c r="AJ249" i="36" s="1"/>
  <c r="AK249" i="36" s="1"/>
  <c r="AL249" i="36" s="1"/>
  <c r="AM249" i="36" s="1"/>
  <c r="AN249" i="36" s="1"/>
  <c r="AO249" i="36" s="1"/>
  <c r="AP249" i="36" s="1"/>
  <c r="AQ249" i="36" s="1"/>
  <c r="AR249" i="36" s="1"/>
  <c r="AS249" i="36" s="1"/>
  <c r="AT249" i="36" s="1"/>
  <c r="AU249" i="36" s="1"/>
  <c r="AV249" i="36" s="1"/>
  <c r="AW249" i="36" s="1"/>
  <c r="AX249" i="36" s="1"/>
  <c r="Z249" i="36" s="1"/>
  <c r="AD73" i="36"/>
  <c r="AE73" i="36" s="1"/>
  <c r="AF73" i="36" s="1"/>
  <c r="AG73" i="36" s="1"/>
  <c r="AH73" i="36" s="1"/>
  <c r="AI73" i="36" s="1"/>
  <c r="AJ73" i="36" s="1"/>
  <c r="AK73" i="36" s="1"/>
  <c r="AL73" i="36" s="1"/>
  <c r="AM73" i="36" s="1"/>
  <c r="AN73" i="36" s="1"/>
  <c r="AO73" i="36" s="1"/>
  <c r="AP73" i="36" s="1"/>
  <c r="AQ73" i="36" s="1"/>
  <c r="AR73" i="36" s="1"/>
  <c r="AS73" i="36" s="1"/>
  <c r="AT73" i="36" s="1"/>
  <c r="AU73" i="36" s="1"/>
  <c r="AV73" i="36" s="1"/>
  <c r="AW73" i="36" s="1"/>
  <c r="AX73" i="36" s="1"/>
  <c r="Z73" i="36" s="1"/>
  <c r="AD169" i="36"/>
  <c r="AE169" i="36" s="1"/>
  <c r="AF169" i="36" s="1"/>
  <c r="AG169" i="36" s="1"/>
  <c r="AH169" i="36" s="1"/>
  <c r="AI169" i="36" s="1"/>
  <c r="AJ169" i="36" s="1"/>
  <c r="AK169" i="36" s="1"/>
  <c r="AL169" i="36" s="1"/>
  <c r="AM169" i="36" s="1"/>
  <c r="AN169" i="36" s="1"/>
  <c r="AO169" i="36" s="1"/>
  <c r="AP169" i="36" s="1"/>
  <c r="AQ169" i="36" s="1"/>
  <c r="AR169" i="36" s="1"/>
  <c r="AS169" i="36" s="1"/>
  <c r="AT169" i="36" s="1"/>
  <c r="AU169" i="36" s="1"/>
  <c r="AV169" i="36" s="1"/>
  <c r="AW169" i="36" s="1"/>
  <c r="AX169" i="36" s="1"/>
  <c r="Z169" i="36" s="1"/>
  <c r="AD225" i="36"/>
  <c r="AE225" i="36" s="1"/>
  <c r="AF225" i="36" s="1"/>
  <c r="AG225" i="36" s="1"/>
  <c r="AH225" i="36" s="1"/>
  <c r="AI225" i="36" s="1"/>
  <c r="AJ225" i="36" s="1"/>
  <c r="AK225" i="36" s="1"/>
  <c r="AL225" i="36" s="1"/>
  <c r="AM225" i="36" s="1"/>
  <c r="AN225" i="36" s="1"/>
  <c r="AO225" i="36" s="1"/>
  <c r="AP225" i="36" s="1"/>
  <c r="AQ225" i="36" s="1"/>
  <c r="AR225" i="36" s="1"/>
  <c r="AS225" i="36" s="1"/>
  <c r="AT225" i="36" s="1"/>
  <c r="AU225" i="36" s="1"/>
  <c r="AV225" i="36" s="1"/>
  <c r="AW225" i="36" s="1"/>
  <c r="AX225" i="36" s="1"/>
  <c r="Z225" i="36" s="1"/>
  <c r="AD250" i="36"/>
  <c r="AE250" i="36" s="1"/>
  <c r="AF250" i="36" s="1"/>
  <c r="AG250" i="36" s="1"/>
  <c r="AH250" i="36" s="1"/>
  <c r="AI250" i="36" s="1"/>
  <c r="AJ250" i="36" s="1"/>
  <c r="AK250" i="36" s="1"/>
  <c r="AL250" i="36" s="1"/>
  <c r="AM250" i="36" s="1"/>
  <c r="AN250" i="36" s="1"/>
  <c r="AO250" i="36" s="1"/>
  <c r="AP250" i="36" s="1"/>
  <c r="AQ250" i="36" s="1"/>
  <c r="AR250" i="36" s="1"/>
  <c r="AS250" i="36" s="1"/>
  <c r="AT250" i="36" s="1"/>
  <c r="AU250" i="36" s="1"/>
  <c r="AV250" i="36" s="1"/>
  <c r="AW250" i="36" s="1"/>
  <c r="AX250" i="36" s="1"/>
  <c r="Z250" i="36" s="1"/>
  <c r="AD260" i="36"/>
  <c r="AE260" i="36" s="1"/>
  <c r="AF260" i="36" s="1"/>
  <c r="AG260" i="36" s="1"/>
  <c r="AH260" i="36" s="1"/>
  <c r="AI260" i="36" s="1"/>
  <c r="AJ260" i="36" s="1"/>
  <c r="AK260" i="36" s="1"/>
  <c r="AL260" i="36" s="1"/>
  <c r="AM260" i="36" s="1"/>
  <c r="AN260" i="36" s="1"/>
  <c r="AO260" i="36" s="1"/>
  <c r="AP260" i="36" s="1"/>
  <c r="AQ260" i="36" s="1"/>
  <c r="AR260" i="36" s="1"/>
  <c r="AS260" i="36" s="1"/>
  <c r="AT260" i="36" s="1"/>
  <c r="AU260" i="36" s="1"/>
  <c r="AV260" i="36" s="1"/>
  <c r="AW260" i="36" s="1"/>
  <c r="AX260" i="36" s="1"/>
  <c r="Z260" i="36" s="1"/>
  <c r="AD13" i="36"/>
  <c r="AE13" i="36" s="1"/>
  <c r="AF13" i="36" s="1"/>
  <c r="AG13" i="36" s="1"/>
  <c r="AH13" i="36" s="1"/>
  <c r="AI13" i="36" s="1"/>
  <c r="AJ13" i="36" s="1"/>
  <c r="AK13" i="36" s="1"/>
  <c r="AL13" i="36" s="1"/>
  <c r="AM13" i="36" s="1"/>
  <c r="AN13" i="36" s="1"/>
  <c r="AO13" i="36" s="1"/>
  <c r="AP13" i="36" s="1"/>
  <c r="AQ13" i="36" s="1"/>
  <c r="AR13" i="36" s="1"/>
  <c r="AS13" i="36" s="1"/>
  <c r="AT13" i="36" s="1"/>
  <c r="AU13" i="36" s="1"/>
  <c r="AV13" i="36" s="1"/>
  <c r="AW13" i="36" s="1"/>
  <c r="AX13" i="36" s="1"/>
  <c r="Z13" i="36" s="1"/>
  <c r="AD126" i="36"/>
  <c r="AE126" i="36" s="1"/>
  <c r="AF126" i="36" s="1"/>
  <c r="AG126" i="36" s="1"/>
  <c r="AH126" i="36" s="1"/>
  <c r="AI126" i="36" s="1"/>
  <c r="AJ126" i="36" s="1"/>
  <c r="AK126" i="36" s="1"/>
  <c r="AL126" i="36" s="1"/>
  <c r="AM126" i="36" s="1"/>
  <c r="AN126" i="36" s="1"/>
  <c r="AO126" i="36" s="1"/>
  <c r="AP126" i="36" s="1"/>
  <c r="AQ126" i="36" s="1"/>
  <c r="AR126" i="36" s="1"/>
  <c r="AS126" i="36" s="1"/>
  <c r="AT126" i="36" s="1"/>
  <c r="AU126" i="36" s="1"/>
  <c r="AV126" i="36" s="1"/>
  <c r="AW126" i="36" s="1"/>
  <c r="AX126" i="36" s="1"/>
  <c r="Z126" i="36" s="1"/>
  <c r="AD144" i="36"/>
  <c r="AE144" i="36" s="1"/>
  <c r="AF144" i="36" s="1"/>
  <c r="AG144" i="36" s="1"/>
  <c r="AH144" i="36" s="1"/>
  <c r="AI144" i="36" s="1"/>
  <c r="AJ144" i="36" s="1"/>
  <c r="AK144" i="36" s="1"/>
  <c r="AL144" i="36" s="1"/>
  <c r="AM144" i="36" s="1"/>
  <c r="AN144" i="36" s="1"/>
  <c r="AO144" i="36" s="1"/>
  <c r="AP144" i="36" s="1"/>
  <c r="AQ144" i="36" s="1"/>
  <c r="AR144" i="36" s="1"/>
  <c r="AS144" i="36" s="1"/>
  <c r="AT144" i="36" s="1"/>
  <c r="AU144" i="36" s="1"/>
  <c r="AV144" i="36" s="1"/>
  <c r="AW144" i="36" s="1"/>
  <c r="AX144" i="36" s="1"/>
  <c r="Z144" i="36" s="1"/>
  <c r="AD155" i="36"/>
  <c r="AE155" i="36" s="1"/>
  <c r="AF155" i="36" s="1"/>
  <c r="AG155" i="36" s="1"/>
  <c r="AH155" i="36" s="1"/>
  <c r="AI155" i="36" s="1"/>
  <c r="AJ155" i="36" s="1"/>
  <c r="AK155" i="36" s="1"/>
  <c r="AL155" i="36" s="1"/>
  <c r="AM155" i="36" s="1"/>
  <c r="AN155" i="36" s="1"/>
  <c r="AO155" i="36" s="1"/>
  <c r="AP155" i="36" s="1"/>
  <c r="AQ155" i="36" s="1"/>
  <c r="AR155" i="36" s="1"/>
  <c r="AS155" i="36" s="1"/>
  <c r="AT155" i="36" s="1"/>
  <c r="AU155" i="36" s="1"/>
  <c r="AV155" i="36" s="1"/>
  <c r="AW155" i="36" s="1"/>
  <c r="AX155" i="36" s="1"/>
  <c r="Z155" i="36" s="1"/>
  <c r="AD190" i="36"/>
  <c r="AE190" i="36" s="1"/>
  <c r="AF190" i="36" s="1"/>
  <c r="AG190" i="36" s="1"/>
  <c r="AH190" i="36" s="1"/>
  <c r="AI190" i="36" s="1"/>
  <c r="AJ190" i="36" s="1"/>
  <c r="AK190" i="36" s="1"/>
  <c r="AL190" i="36" s="1"/>
  <c r="AM190" i="36" s="1"/>
  <c r="AN190" i="36" s="1"/>
  <c r="AO190" i="36" s="1"/>
  <c r="AP190" i="36" s="1"/>
  <c r="AQ190" i="36" s="1"/>
  <c r="AR190" i="36" s="1"/>
  <c r="AS190" i="36" s="1"/>
  <c r="AT190" i="36" s="1"/>
  <c r="AU190" i="36" s="1"/>
  <c r="AV190" i="36" s="1"/>
  <c r="AW190" i="36" s="1"/>
  <c r="AX190" i="36" s="1"/>
  <c r="Z190" i="36" s="1"/>
  <c r="AD7" i="36"/>
  <c r="AE7" i="36" s="1"/>
  <c r="AF7" i="36" s="1"/>
  <c r="AG7" i="36" s="1"/>
  <c r="AH7" i="36" s="1"/>
  <c r="AI7" i="36" s="1"/>
  <c r="AJ7" i="36" s="1"/>
  <c r="AK7" i="36" s="1"/>
  <c r="AL7" i="36" s="1"/>
  <c r="AM7" i="36" s="1"/>
  <c r="AN7" i="36" s="1"/>
  <c r="AO7" i="36" s="1"/>
  <c r="AP7" i="36" s="1"/>
  <c r="AQ7" i="36" s="1"/>
  <c r="AR7" i="36" s="1"/>
  <c r="AS7" i="36" s="1"/>
  <c r="AT7" i="36" s="1"/>
  <c r="AU7" i="36" s="1"/>
  <c r="AV7" i="36" s="1"/>
  <c r="AW7" i="36" s="1"/>
  <c r="AX7" i="36" s="1"/>
  <c r="Z7" i="36" s="1"/>
  <c r="AD40" i="36"/>
  <c r="AE40" i="36" s="1"/>
  <c r="AF40" i="36" s="1"/>
  <c r="AG40" i="36" s="1"/>
  <c r="AH40" i="36" s="1"/>
  <c r="AI40" i="36" s="1"/>
  <c r="AJ40" i="36" s="1"/>
  <c r="AK40" i="36" s="1"/>
  <c r="AL40" i="36" s="1"/>
  <c r="AM40" i="36" s="1"/>
  <c r="AN40" i="36" s="1"/>
  <c r="AO40" i="36" s="1"/>
  <c r="AP40" i="36" s="1"/>
  <c r="AQ40" i="36" s="1"/>
  <c r="AR40" i="36" s="1"/>
  <c r="AS40" i="36" s="1"/>
  <c r="AT40" i="36" s="1"/>
  <c r="AU40" i="36" s="1"/>
  <c r="AV40" i="36" s="1"/>
  <c r="AW40" i="36" s="1"/>
  <c r="AX40" i="36" s="1"/>
  <c r="Z40" i="36" s="1"/>
  <c r="AD160" i="36"/>
  <c r="AE160" i="36" s="1"/>
  <c r="AF160" i="36" s="1"/>
  <c r="AG160" i="36" s="1"/>
  <c r="AH160" i="36" s="1"/>
  <c r="AI160" i="36" s="1"/>
  <c r="AJ160" i="36" s="1"/>
  <c r="AK160" i="36" s="1"/>
  <c r="AL160" i="36" s="1"/>
  <c r="AM160" i="36" s="1"/>
  <c r="AN160" i="36" s="1"/>
  <c r="AO160" i="36" s="1"/>
  <c r="AP160" i="36" s="1"/>
  <c r="AQ160" i="36" s="1"/>
  <c r="AR160" i="36" s="1"/>
  <c r="AS160" i="36" s="1"/>
  <c r="AT160" i="36" s="1"/>
  <c r="AU160" i="36" s="1"/>
  <c r="AV160" i="36" s="1"/>
  <c r="AW160" i="36" s="1"/>
  <c r="AX160" i="36" s="1"/>
  <c r="Z160" i="36" s="1"/>
  <c r="AD180" i="36"/>
  <c r="AE180" i="36" s="1"/>
  <c r="AF180" i="36" s="1"/>
  <c r="AG180" i="36" s="1"/>
  <c r="AH180" i="36" s="1"/>
  <c r="AI180" i="36" s="1"/>
  <c r="AJ180" i="36" s="1"/>
  <c r="AK180" i="36" s="1"/>
  <c r="AL180" i="36" s="1"/>
  <c r="AM180" i="36" s="1"/>
  <c r="AN180" i="36" s="1"/>
  <c r="AO180" i="36" s="1"/>
  <c r="AP180" i="36" s="1"/>
  <c r="AQ180" i="36" s="1"/>
  <c r="AR180" i="36" s="1"/>
  <c r="AS180" i="36" s="1"/>
  <c r="AT180" i="36" s="1"/>
  <c r="AU180" i="36" s="1"/>
  <c r="AV180" i="36" s="1"/>
  <c r="AW180" i="36" s="1"/>
  <c r="AX180" i="36" s="1"/>
  <c r="Z180" i="36" s="1"/>
  <c r="AD18" i="36"/>
  <c r="AE18" i="36" s="1"/>
  <c r="AF18" i="36" s="1"/>
  <c r="AG18" i="36" s="1"/>
  <c r="AH18" i="36" s="1"/>
  <c r="AI18" i="36" s="1"/>
  <c r="AJ18" i="36" s="1"/>
  <c r="AK18" i="36" s="1"/>
  <c r="AL18" i="36" s="1"/>
  <c r="AM18" i="36" s="1"/>
  <c r="AN18" i="36" s="1"/>
  <c r="AO18" i="36" s="1"/>
  <c r="AP18" i="36" s="1"/>
  <c r="AQ18" i="36" s="1"/>
  <c r="AR18" i="36" s="1"/>
  <c r="AS18" i="36" s="1"/>
  <c r="AT18" i="36" s="1"/>
  <c r="AU18" i="36" s="1"/>
  <c r="AV18" i="36" s="1"/>
  <c r="AW18" i="36" s="1"/>
  <c r="AX18" i="36" s="1"/>
  <c r="Z18" i="36" s="1"/>
  <c r="AD121" i="36"/>
  <c r="AE121" i="36" s="1"/>
  <c r="AF121" i="36" s="1"/>
  <c r="AG121" i="36" s="1"/>
  <c r="AH121" i="36" s="1"/>
  <c r="AI121" i="36" s="1"/>
  <c r="AJ121" i="36" s="1"/>
  <c r="AK121" i="36" s="1"/>
  <c r="AL121" i="36" s="1"/>
  <c r="AM121" i="36" s="1"/>
  <c r="AN121" i="36" s="1"/>
  <c r="AO121" i="36" s="1"/>
  <c r="AP121" i="36" s="1"/>
  <c r="AQ121" i="36" s="1"/>
  <c r="AR121" i="36" s="1"/>
  <c r="AS121" i="36" s="1"/>
  <c r="AT121" i="36" s="1"/>
  <c r="AU121" i="36" s="1"/>
  <c r="AV121" i="36" s="1"/>
  <c r="AW121" i="36" s="1"/>
  <c r="AX121" i="36" s="1"/>
  <c r="Z121" i="36" s="1"/>
  <c r="AD65" i="36"/>
  <c r="AE65" i="36" s="1"/>
  <c r="AF65" i="36" s="1"/>
  <c r="AG65" i="36" s="1"/>
  <c r="AH65" i="36" s="1"/>
  <c r="AI65" i="36" s="1"/>
  <c r="AJ65" i="36" s="1"/>
  <c r="AK65" i="36" s="1"/>
  <c r="AL65" i="36" s="1"/>
  <c r="AM65" i="36" s="1"/>
  <c r="AN65" i="36" s="1"/>
  <c r="AO65" i="36" s="1"/>
  <c r="AP65" i="36" s="1"/>
  <c r="AQ65" i="36" s="1"/>
  <c r="AR65" i="36" s="1"/>
  <c r="AS65" i="36" s="1"/>
  <c r="AT65" i="36" s="1"/>
  <c r="AU65" i="36" s="1"/>
  <c r="AV65" i="36" s="1"/>
  <c r="AW65" i="36" s="1"/>
  <c r="AX65" i="36" s="1"/>
  <c r="Z65" i="36" s="1"/>
  <c r="AD30" i="36"/>
  <c r="AE30" i="36" s="1"/>
  <c r="AF30" i="36" s="1"/>
  <c r="AG30" i="36" s="1"/>
  <c r="AH30" i="36" s="1"/>
  <c r="AI30" i="36" s="1"/>
  <c r="AJ30" i="36" s="1"/>
  <c r="AK30" i="36" s="1"/>
  <c r="AL30" i="36" s="1"/>
  <c r="AM30" i="36" s="1"/>
  <c r="AN30" i="36" s="1"/>
  <c r="AO30" i="36" s="1"/>
  <c r="AP30" i="36" s="1"/>
  <c r="AQ30" i="36" s="1"/>
  <c r="AR30" i="36" s="1"/>
  <c r="AS30" i="36" s="1"/>
  <c r="AT30" i="36" s="1"/>
  <c r="AU30" i="36" s="1"/>
  <c r="AV30" i="36" s="1"/>
  <c r="AW30" i="36" s="1"/>
  <c r="AX30" i="36" s="1"/>
  <c r="Z30" i="36" s="1"/>
  <c r="AD46" i="36"/>
  <c r="AE46" i="36" s="1"/>
  <c r="AF46" i="36" s="1"/>
  <c r="AG46" i="36" s="1"/>
  <c r="AH46" i="36" s="1"/>
  <c r="AI46" i="36" s="1"/>
  <c r="AJ46" i="36" s="1"/>
  <c r="AK46" i="36" s="1"/>
  <c r="AL46" i="36" s="1"/>
  <c r="AM46" i="36" s="1"/>
  <c r="AN46" i="36" s="1"/>
  <c r="AO46" i="36" s="1"/>
  <c r="AP46" i="36" s="1"/>
  <c r="AQ46" i="36" s="1"/>
  <c r="AR46" i="36" s="1"/>
  <c r="AS46" i="36" s="1"/>
  <c r="AT46" i="36" s="1"/>
  <c r="AU46" i="36" s="1"/>
  <c r="AV46" i="36" s="1"/>
  <c r="AW46" i="36" s="1"/>
  <c r="AX46" i="36" s="1"/>
  <c r="Z46" i="36" s="1"/>
  <c r="AD127" i="36"/>
  <c r="AE127" i="36" s="1"/>
  <c r="AF127" i="36" s="1"/>
  <c r="AG127" i="36" s="1"/>
  <c r="AH127" i="36" s="1"/>
  <c r="AI127" i="36" s="1"/>
  <c r="AJ127" i="36" s="1"/>
  <c r="AK127" i="36" s="1"/>
  <c r="AL127" i="36" s="1"/>
  <c r="AM127" i="36" s="1"/>
  <c r="AN127" i="36" s="1"/>
  <c r="AO127" i="36" s="1"/>
  <c r="AP127" i="36" s="1"/>
  <c r="AQ127" i="36" s="1"/>
  <c r="AR127" i="36" s="1"/>
  <c r="AS127" i="36" s="1"/>
  <c r="AT127" i="36" s="1"/>
  <c r="AU127" i="36" s="1"/>
  <c r="AV127" i="36" s="1"/>
  <c r="AW127" i="36" s="1"/>
  <c r="AX127" i="36" s="1"/>
  <c r="Z127" i="36" s="1"/>
  <c r="AD145" i="36"/>
  <c r="AE145" i="36" s="1"/>
  <c r="AF145" i="36" s="1"/>
  <c r="AG145" i="36" s="1"/>
  <c r="AH145" i="36" s="1"/>
  <c r="AI145" i="36" s="1"/>
  <c r="AJ145" i="36" s="1"/>
  <c r="AK145" i="36" s="1"/>
  <c r="AL145" i="36" s="1"/>
  <c r="AM145" i="36" s="1"/>
  <c r="AN145" i="36" s="1"/>
  <c r="AO145" i="36" s="1"/>
  <c r="AP145" i="36" s="1"/>
  <c r="AQ145" i="36" s="1"/>
  <c r="AR145" i="36" s="1"/>
  <c r="AS145" i="36" s="1"/>
  <c r="AT145" i="36" s="1"/>
  <c r="AU145" i="36" s="1"/>
  <c r="AV145" i="36" s="1"/>
  <c r="AW145" i="36" s="1"/>
  <c r="AX145" i="36" s="1"/>
  <c r="Z145" i="36" s="1"/>
  <c r="AD212" i="36"/>
  <c r="AE212" i="36" s="1"/>
  <c r="AF212" i="36" s="1"/>
  <c r="AG212" i="36" s="1"/>
  <c r="AH212" i="36" s="1"/>
  <c r="AI212" i="36" s="1"/>
  <c r="AJ212" i="36" s="1"/>
  <c r="AK212" i="36" s="1"/>
  <c r="AL212" i="36" s="1"/>
  <c r="AM212" i="36" s="1"/>
  <c r="AN212" i="36" s="1"/>
  <c r="AO212" i="36" s="1"/>
  <c r="AP212" i="36" s="1"/>
  <c r="AQ212" i="36" s="1"/>
  <c r="AR212" i="36" s="1"/>
  <c r="AS212" i="36" s="1"/>
  <c r="AT212" i="36" s="1"/>
  <c r="AU212" i="36" s="1"/>
  <c r="AV212" i="36" s="1"/>
  <c r="AW212" i="36" s="1"/>
  <c r="AX212" i="36" s="1"/>
  <c r="Z212" i="36" s="1"/>
  <c r="AD221" i="36"/>
  <c r="AE221" i="36" s="1"/>
  <c r="AF221" i="36" s="1"/>
  <c r="AG221" i="36" s="1"/>
  <c r="AH221" i="36" s="1"/>
  <c r="AI221" i="36" s="1"/>
  <c r="AJ221" i="36" s="1"/>
  <c r="AK221" i="36" s="1"/>
  <c r="AL221" i="36" s="1"/>
  <c r="AM221" i="36" s="1"/>
  <c r="AN221" i="36" s="1"/>
  <c r="AO221" i="36" s="1"/>
  <c r="AP221" i="36" s="1"/>
  <c r="AQ221" i="36" s="1"/>
  <c r="AR221" i="36" s="1"/>
  <c r="AS221" i="36" s="1"/>
  <c r="AT221" i="36" s="1"/>
  <c r="AU221" i="36" s="1"/>
  <c r="AV221" i="36" s="1"/>
  <c r="AW221" i="36" s="1"/>
  <c r="AX221" i="36" s="1"/>
  <c r="Z221" i="36" s="1"/>
  <c r="AD235" i="36"/>
  <c r="AE235" i="36" s="1"/>
  <c r="AF235" i="36" s="1"/>
  <c r="AG235" i="36" s="1"/>
  <c r="AH235" i="36" s="1"/>
  <c r="AI235" i="36" s="1"/>
  <c r="AJ235" i="36" s="1"/>
  <c r="AK235" i="36" s="1"/>
  <c r="AL235" i="36" s="1"/>
  <c r="AM235" i="36" s="1"/>
  <c r="AN235" i="36" s="1"/>
  <c r="AO235" i="36" s="1"/>
  <c r="AP235" i="36" s="1"/>
  <c r="AQ235" i="36" s="1"/>
  <c r="AR235" i="36" s="1"/>
  <c r="AS235" i="36" s="1"/>
  <c r="AT235" i="36" s="1"/>
  <c r="AU235" i="36" s="1"/>
  <c r="AV235" i="36" s="1"/>
  <c r="AW235" i="36" s="1"/>
  <c r="AX235" i="36" s="1"/>
  <c r="Z235" i="36" s="1"/>
  <c r="AD245" i="36"/>
  <c r="AE245" i="36" s="1"/>
  <c r="AF245" i="36" s="1"/>
  <c r="AG245" i="36" s="1"/>
  <c r="AH245" i="36" s="1"/>
  <c r="AI245" i="36" s="1"/>
  <c r="AJ245" i="36" s="1"/>
  <c r="AK245" i="36" s="1"/>
  <c r="AL245" i="36" s="1"/>
  <c r="AM245" i="36" s="1"/>
  <c r="AN245" i="36" s="1"/>
  <c r="AO245" i="36" s="1"/>
  <c r="AP245" i="36" s="1"/>
  <c r="AQ245" i="36" s="1"/>
  <c r="AR245" i="36" s="1"/>
  <c r="AS245" i="36" s="1"/>
  <c r="AT245" i="36" s="1"/>
  <c r="AU245" i="36" s="1"/>
  <c r="AV245" i="36" s="1"/>
  <c r="AW245" i="36" s="1"/>
  <c r="AX245" i="36" s="1"/>
  <c r="Z245" i="36" s="1"/>
  <c r="AD140" i="36"/>
  <c r="AE140" i="36" s="1"/>
  <c r="AF140" i="36" s="1"/>
  <c r="AG140" i="36" s="1"/>
  <c r="AH140" i="36" s="1"/>
  <c r="AI140" i="36" s="1"/>
  <c r="AJ140" i="36" s="1"/>
  <c r="AK140" i="36" s="1"/>
  <c r="AL140" i="36" s="1"/>
  <c r="AM140" i="36" s="1"/>
  <c r="AN140" i="36" s="1"/>
  <c r="AO140" i="36" s="1"/>
  <c r="AP140" i="36" s="1"/>
  <c r="AQ140" i="36" s="1"/>
  <c r="AR140" i="36" s="1"/>
  <c r="AS140" i="36" s="1"/>
  <c r="AT140" i="36" s="1"/>
  <c r="AU140" i="36" s="1"/>
  <c r="AV140" i="36" s="1"/>
  <c r="AW140" i="36" s="1"/>
  <c r="AX140" i="36" s="1"/>
  <c r="Z140" i="36" s="1"/>
  <c r="AD181" i="36"/>
  <c r="AE181" i="36" s="1"/>
  <c r="AF181" i="36" s="1"/>
  <c r="AG181" i="36" s="1"/>
  <c r="AH181" i="36" s="1"/>
  <c r="AI181" i="36" s="1"/>
  <c r="AJ181" i="36" s="1"/>
  <c r="AK181" i="36" s="1"/>
  <c r="AL181" i="36" s="1"/>
  <c r="AM181" i="36" s="1"/>
  <c r="AN181" i="36" s="1"/>
  <c r="AO181" i="36" s="1"/>
  <c r="AP181" i="36" s="1"/>
  <c r="AQ181" i="36" s="1"/>
  <c r="AR181" i="36" s="1"/>
  <c r="AS181" i="36" s="1"/>
  <c r="AT181" i="36" s="1"/>
  <c r="AU181" i="36" s="1"/>
  <c r="AV181" i="36" s="1"/>
  <c r="AW181" i="36" s="1"/>
  <c r="AX181" i="36" s="1"/>
  <c r="Z181" i="36" s="1"/>
  <c r="AD204" i="36"/>
  <c r="AE204" i="36" s="1"/>
  <c r="AF204" i="36" s="1"/>
  <c r="AG204" i="36" s="1"/>
  <c r="AH204" i="36" s="1"/>
  <c r="AI204" i="36" s="1"/>
  <c r="AJ204" i="36" s="1"/>
  <c r="AK204" i="36" s="1"/>
  <c r="AL204" i="36" s="1"/>
  <c r="AM204" i="36" s="1"/>
  <c r="AN204" i="36" s="1"/>
  <c r="AO204" i="36" s="1"/>
  <c r="AP204" i="36" s="1"/>
  <c r="AQ204" i="36" s="1"/>
  <c r="AR204" i="36" s="1"/>
  <c r="AS204" i="36" s="1"/>
  <c r="AT204" i="36" s="1"/>
  <c r="AU204" i="36" s="1"/>
  <c r="AV204" i="36" s="1"/>
  <c r="AW204" i="36" s="1"/>
  <c r="AX204" i="36" s="1"/>
  <c r="Z204" i="36" s="1"/>
  <c r="AD262" i="36"/>
  <c r="AE262" i="36" s="1"/>
  <c r="AF262" i="36" s="1"/>
  <c r="AG262" i="36" s="1"/>
  <c r="AH262" i="36" s="1"/>
  <c r="AI262" i="36" s="1"/>
  <c r="AJ262" i="36" s="1"/>
  <c r="AK262" i="36" s="1"/>
  <c r="AL262" i="36" s="1"/>
  <c r="AM262" i="36" s="1"/>
  <c r="AN262" i="36" s="1"/>
  <c r="AO262" i="36" s="1"/>
  <c r="AP262" i="36" s="1"/>
  <c r="AQ262" i="36" s="1"/>
  <c r="AR262" i="36" s="1"/>
  <c r="AS262" i="36" s="1"/>
  <c r="AT262" i="36" s="1"/>
  <c r="AU262" i="36" s="1"/>
  <c r="AV262" i="36" s="1"/>
  <c r="AW262" i="36" s="1"/>
  <c r="AX262" i="36" s="1"/>
  <c r="Z262" i="36" s="1"/>
  <c r="AD125" i="36"/>
  <c r="AE125" i="36" s="1"/>
  <c r="AF125" i="36" s="1"/>
  <c r="AG125" i="36" s="1"/>
  <c r="AH125" i="36" s="1"/>
  <c r="AI125" i="36" s="1"/>
  <c r="AJ125" i="36" s="1"/>
  <c r="AK125" i="36" s="1"/>
  <c r="AL125" i="36" s="1"/>
  <c r="AM125" i="36" s="1"/>
  <c r="AN125" i="36" s="1"/>
  <c r="AO125" i="36" s="1"/>
  <c r="AP125" i="36" s="1"/>
  <c r="AQ125" i="36" s="1"/>
  <c r="AR125" i="36" s="1"/>
  <c r="AS125" i="36" s="1"/>
  <c r="AT125" i="36" s="1"/>
  <c r="AU125" i="36" s="1"/>
  <c r="AV125" i="36" s="1"/>
  <c r="AW125" i="36" s="1"/>
  <c r="AX125" i="36" s="1"/>
  <c r="Z125" i="36" s="1"/>
  <c r="AD107" i="36"/>
  <c r="AE107" i="36" s="1"/>
  <c r="AF107" i="36" s="1"/>
  <c r="AG107" i="36" s="1"/>
  <c r="AH107" i="36" s="1"/>
  <c r="AI107" i="36" s="1"/>
  <c r="AJ107" i="36" s="1"/>
  <c r="AK107" i="36" s="1"/>
  <c r="AL107" i="36" s="1"/>
  <c r="AM107" i="36" s="1"/>
  <c r="AN107" i="36" s="1"/>
  <c r="AO107" i="36" s="1"/>
  <c r="AP107" i="36" s="1"/>
  <c r="AQ107" i="36" s="1"/>
  <c r="AR107" i="36" s="1"/>
  <c r="AS107" i="36" s="1"/>
  <c r="AT107" i="36" s="1"/>
  <c r="AU107" i="36" s="1"/>
  <c r="AV107" i="36" s="1"/>
  <c r="AW107" i="36" s="1"/>
  <c r="AX107" i="36" s="1"/>
  <c r="Z107" i="36" s="1"/>
  <c r="AD89" i="36"/>
  <c r="AE89" i="36" s="1"/>
  <c r="AF89" i="36" s="1"/>
  <c r="AG89" i="36" s="1"/>
  <c r="AH89" i="36" s="1"/>
  <c r="AI89" i="36" s="1"/>
  <c r="AJ89" i="36" s="1"/>
  <c r="AK89" i="36" s="1"/>
  <c r="AL89" i="36" s="1"/>
  <c r="AM89" i="36" s="1"/>
  <c r="AN89" i="36" s="1"/>
  <c r="AO89" i="36" s="1"/>
  <c r="AP89" i="36" s="1"/>
  <c r="AQ89" i="36" s="1"/>
  <c r="AR89" i="36" s="1"/>
  <c r="AS89" i="36" s="1"/>
  <c r="AT89" i="36" s="1"/>
  <c r="AU89" i="36" s="1"/>
  <c r="AV89" i="36" s="1"/>
  <c r="AW89" i="36" s="1"/>
  <c r="AX89" i="36" s="1"/>
  <c r="Z89" i="36" s="1"/>
  <c r="AD138" i="36"/>
  <c r="AE138" i="36" s="1"/>
  <c r="AF138" i="36" s="1"/>
  <c r="AG138" i="36" s="1"/>
  <c r="AH138" i="36" s="1"/>
  <c r="AI138" i="36" s="1"/>
  <c r="AJ138" i="36" s="1"/>
  <c r="AK138" i="36" s="1"/>
  <c r="AL138" i="36" s="1"/>
  <c r="AM138" i="36" s="1"/>
  <c r="AN138" i="36" s="1"/>
  <c r="AO138" i="36" s="1"/>
  <c r="AP138" i="36" s="1"/>
  <c r="AQ138" i="36" s="1"/>
  <c r="AR138" i="36" s="1"/>
  <c r="AS138" i="36" s="1"/>
  <c r="AT138" i="36" s="1"/>
  <c r="AU138" i="36" s="1"/>
  <c r="AV138" i="36" s="1"/>
  <c r="AW138" i="36" s="1"/>
  <c r="AX138" i="36" s="1"/>
  <c r="Z138" i="36" s="1"/>
  <c r="AD234" i="36"/>
  <c r="AE234" i="36" s="1"/>
  <c r="AF234" i="36" s="1"/>
  <c r="AG234" i="36" s="1"/>
  <c r="AH234" i="36" s="1"/>
  <c r="AI234" i="36" s="1"/>
  <c r="AJ234" i="36" s="1"/>
  <c r="AK234" i="36" s="1"/>
  <c r="AL234" i="36" s="1"/>
  <c r="AM234" i="36" s="1"/>
  <c r="AN234" i="36" s="1"/>
  <c r="AO234" i="36" s="1"/>
  <c r="AP234" i="36" s="1"/>
  <c r="AQ234" i="36" s="1"/>
  <c r="AR234" i="36" s="1"/>
  <c r="AS234" i="36" s="1"/>
  <c r="AT234" i="36" s="1"/>
  <c r="AU234" i="36" s="1"/>
  <c r="AV234" i="36" s="1"/>
  <c r="AW234" i="36" s="1"/>
  <c r="AX234" i="36" s="1"/>
  <c r="Z234" i="36" s="1"/>
  <c r="AD114" i="36"/>
  <c r="AE114" i="36" s="1"/>
  <c r="AF114" i="36" s="1"/>
  <c r="AG114" i="36" s="1"/>
  <c r="AH114" i="36" s="1"/>
  <c r="AI114" i="36" s="1"/>
  <c r="AJ114" i="36" s="1"/>
  <c r="AK114" i="36" s="1"/>
  <c r="AL114" i="36" s="1"/>
  <c r="AM114" i="36" s="1"/>
  <c r="AN114" i="36" s="1"/>
  <c r="AO114" i="36" s="1"/>
  <c r="AP114" i="36" s="1"/>
  <c r="AQ114" i="36" s="1"/>
  <c r="AR114" i="36" s="1"/>
  <c r="AS114" i="36" s="1"/>
  <c r="AT114" i="36" s="1"/>
  <c r="AU114" i="36" s="1"/>
  <c r="AV114" i="36" s="1"/>
  <c r="AW114" i="36" s="1"/>
  <c r="AX114" i="36" s="1"/>
  <c r="Z114" i="36" s="1"/>
  <c r="AD123" i="36"/>
  <c r="AE123" i="36" s="1"/>
  <c r="AF123" i="36" s="1"/>
  <c r="AG123" i="36" s="1"/>
  <c r="AH123" i="36" s="1"/>
  <c r="AI123" i="36" s="1"/>
  <c r="AJ123" i="36" s="1"/>
  <c r="AK123" i="36" s="1"/>
  <c r="AL123" i="36" s="1"/>
  <c r="AM123" i="36" s="1"/>
  <c r="AN123" i="36" s="1"/>
  <c r="AO123" i="36" s="1"/>
  <c r="AP123" i="36" s="1"/>
  <c r="AQ123" i="36" s="1"/>
  <c r="AR123" i="36" s="1"/>
  <c r="AS123" i="36" s="1"/>
  <c r="AT123" i="36" s="1"/>
  <c r="AU123" i="36" s="1"/>
  <c r="AV123" i="36" s="1"/>
  <c r="AW123" i="36" s="1"/>
  <c r="AX123" i="36" s="1"/>
  <c r="Z123" i="36" s="1"/>
  <c r="AD110" i="36"/>
  <c r="AE110" i="36" s="1"/>
  <c r="AF110" i="36" s="1"/>
  <c r="AG110" i="36" s="1"/>
  <c r="AH110" i="36" s="1"/>
  <c r="AI110" i="36" s="1"/>
  <c r="AJ110" i="36" s="1"/>
  <c r="AK110" i="36" s="1"/>
  <c r="AL110" i="36" s="1"/>
  <c r="AM110" i="36" s="1"/>
  <c r="AN110" i="36" s="1"/>
  <c r="AO110" i="36" s="1"/>
  <c r="AP110" i="36" s="1"/>
  <c r="AQ110" i="36" s="1"/>
  <c r="AR110" i="36" s="1"/>
  <c r="AS110" i="36" s="1"/>
  <c r="AT110" i="36" s="1"/>
  <c r="AU110" i="36" s="1"/>
  <c r="AV110" i="36" s="1"/>
  <c r="AW110" i="36" s="1"/>
  <c r="AX110" i="36" s="1"/>
  <c r="Z110" i="36" s="1"/>
  <c r="AD70" i="36"/>
  <c r="AE70" i="36" s="1"/>
  <c r="AF70" i="36" s="1"/>
  <c r="AG70" i="36" s="1"/>
  <c r="AH70" i="36" s="1"/>
  <c r="AI70" i="36" s="1"/>
  <c r="AJ70" i="36" s="1"/>
  <c r="AK70" i="36" s="1"/>
  <c r="AL70" i="36" s="1"/>
  <c r="AM70" i="36" s="1"/>
  <c r="AN70" i="36" s="1"/>
  <c r="AO70" i="36" s="1"/>
  <c r="AP70" i="36" s="1"/>
  <c r="AQ70" i="36" s="1"/>
  <c r="AR70" i="36" s="1"/>
  <c r="AS70" i="36" s="1"/>
  <c r="AT70" i="36" s="1"/>
  <c r="AU70" i="36" s="1"/>
  <c r="AV70" i="36" s="1"/>
  <c r="AW70" i="36" s="1"/>
  <c r="AX70" i="36" s="1"/>
  <c r="Z70" i="36" s="1"/>
  <c r="AD80" i="36"/>
  <c r="AE80" i="36" s="1"/>
  <c r="AF80" i="36" s="1"/>
  <c r="AG80" i="36" s="1"/>
  <c r="AH80" i="36" s="1"/>
  <c r="AI80" i="36" s="1"/>
  <c r="AJ80" i="36" s="1"/>
  <c r="AK80" i="36" s="1"/>
  <c r="AL80" i="36" s="1"/>
  <c r="AM80" i="36" s="1"/>
  <c r="AN80" i="36" s="1"/>
  <c r="AO80" i="36" s="1"/>
  <c r="AP80" i="36" s="1"/>
  <c r="AQ80" i="36" s="1"/>
  <c r="AR80" i="36" s="1"/>
  <c r="AS80" i="36" s="1"/>
  <c r="AT80" i="36" s="1"/>
  <c r="AU80" i="36" s="1"/>
  <c r="AV80" i="36" s="1"/>
  <c r="AW80" i="36" s="1"/>
  <c r="AX80" i="36" s="1"/>
  <c r="Z80" i="36" s="1"/>
  <c r="AD85" i="36"/>
  <c r="AE85" i="36" s="1"/>
  <c r="AF85" i="36" s="1"/>
  <c r="AG85" i="36" s="1"/>
  <c r="AH85" i="36" s="1"/>
  <c r="AI85" i="36" s="1"/>
  <c r="AJ85" i="36" s="1"/>
  <c r="AK85" i="36" s="1"/>
  <c r="AL85" i="36" s="1"/>
  <c r="AM85" i="36" s="1"/>
  <c r="AN85" i="36" s="1"/>
  <c r="AO85" i="36" s="1"/>
  <c r="AP85" i="36" s="1"/>
  <c r="AQ85" i="36" s="1"/>
  <c r="AR85" i="36" s="1"/>
  <c r="AS85" i="36" s="1"/>
  <c r="AT85" i="36" s="1"/>
  <c r="AU85" i="36" s="1"/>
  <c r="AV85" i="36" s="1"/>
  <c r="AW85" i="36" s="1"/>
  <c r="AX85" i="36" s="1"/>
  <c r="Z85" i="36" s="1"/>
  <c r="AD20" i="36"/>
  <c r="AE20" i="36" s="1"/>
  <c r="AF20" i="36" s="1"/>
  <c r="AG20" i="36" s="1"/>
  <c r="AH20" i="36" s="1"/>
  <c r="AI20" i="36" s="1"/>
  <c r="AJ20" i="36" s="1"/>
  <c r="AK20" i="36" s="1"/>
  <c r="AL20" i="36" s="1"/>
  <c r="AM20" i="36" s="1"/>
  <c r="AN20" i="36" s="1"/>
  <c r="AO20" i="36" s="1"/>
  <c r="AP20" i="36" s="1"/>
  <c r="AQ20" i="36" s="1"/>
  <c r="AR20" i="36" s="1"/>
  <c r="AS20" i="36" s="1"/>
  <c r="AT20" i="36" s="1"/>
  <c r="AU20" i="36" s="1"/>
  <c r="AV20" i="36" s="1"/>
  <c r="AW20" i="36" s="1"/>
  <c r="AX20" i="36" s="1"/>
  <c r="Z20" i="36" s="1"/>
  <c r="AD146" i="36"/>
  <c r="AE146" i="36" s="1"/>
  <c r="AF146" i="36" s="1"/>
  <c r="AG146" i="36" s="1"/>
  <c r="AH146" i="36" s="1"/>
  <c r="AI146" i="36" s="1"/>
  <c r="AJ146" i="36" s="1"/>
  <c r="AK146" i="36" s="1"/>
  <c r="AL146" i="36" s="1"/>
  <c r="AM146" i="36" s="1"/>
  <c r="AN146" i="36" s="1"/>
  <c r="AO146" i="36" s="1"/>
  <c r="AP146" i="36" s="1"/>
  <c r="AQ146" i="36" s="1"/>
  <c r="AR146" i="36" s="1"/>
  <c r="AS146" i="36" s="1"/>
  <c r="AT146" i="36" s="1"/>
  <c r="AU146" i="36" s="1"/>
  <c r="AV146" i="36" s="1"/>
  <c r="AW146" i="36" s="1"/>
  <c r="AX146" i="36" s="1"/>
  <c r="Z146" i="36" s="1"/>
  <c r="AD213" i="36"/>
  <c r="AE213" i="36" s="1"/>
  <c r="AF213" i="36" s="1"/>
  <c r="AG213" i="36" s="1"/>
  <c r="AH213" i="36" s="1"/>
  <c r="AI213" i="36" s="1"/>
  <c r="AJ213" i="36" s="1"/>
  <c r="AK213" i="36" s="1"/>
  <c r="AL213" i="36" s="1"/>
  <c r="AM213" i="36" s="1"/>
  <c r="AN213" i="36" s="1"/>
  <c r="AO213" i="36" s="1"/>
  <c r="AP213" i="36" s="1"/>
  <c r="AQ213" i="36" s="1"/>
  <c r="AR213" i="36" s="1"/>
  <c r="AS213" i="36" s="1"/>
  <c r="AT213" i="36" s="1"/>
  <c r="AU213" i="36" s="1"/>
  <c r="AV213" i="36" s="1"/>
  <c r="AW213" i="36" s="1"/>
  <c r="AX213" i="36" s="1"/>
  <c r="Z213" i="36" s="1"/>
  <c r="AD111" i="36"/>
  <c r="AE111" i="36" s="1"/>
  <c r="AF111" i="36" s="1"/>
  <c r="AG111" i="36" s="1"/>
  <c r="AH111" i="36" s="1"/>
  <c r="AI111" i="36" s="1"/>
  <c r="AJ111" i="36" s="1"/>
  <c r="AK111" i="36" s="1"/>
  <c r="AL111" i="36" s="1"/>
  <c r="AM111" i="36" s="1"/>
  <c r="AN111" i="36" s="1"/>
  <c r="AO111" i="36" s="1"/>
  <c r="AP111" i="36" s="1"/>
  <c r="AQ111" i="36" s="1"/>
  <c r="AR111" i="36" s="1"/>
  <c r="AS111" i="36" s="1"/>
  <c r="AT111" i="36" s="1"/>
  <c r="AU111" i="36" s="1"/>
  <c r="AV111" i="36" s="1"/>
  <c r="AW111" i="36" s="1"/>
  <c r="AX111" i="36" s="1"/>
  <c r="Z111" i="36" s="1"/>
  <c r="AD103" i="36"/>
  <c r="AE103" i="36" s="1"/>
  <c r="AF103" i="36" s="1"/>
  <c r="AG103" i="36" s="1"/>
  <c r="AH103" i="36" s="1"/>
  <c r="AI103" i="36" s="1"/>
  <c r="AJ103" i="36" s="1"/>
  <c r="AK103" i="36" s="1"/>
  <c r="AL103" i="36" s="1"/>
  <c r="AM103" i="36" s="1"/>
  <c r="AN103" i="36" s="1"/>
  <c r="AO103" i="36" s="1"/>
  <c r="AP103" i="36" s="1"/>
  <c r="AQ103" i="36" s="1"/>
  <c r="AR103" i="36" s="1"/>
  <c r="AS103" i="36" s="1"/>
  <c r="AT103" i="36" s="1"/>
  <c r="AU103" i="36" s="1"/>
  <c r="AV103" i="36" s="1"/>
  <c r="AW103" i="36" s="1"/>
  <c r="AX103" i="36" s="1"/>
  <c r="Z103" i="36" s="1"/>
  <c r="AD21" i="36"/>
  <c r="AE21" i="36" s="1"/>
  <c r="AF21" i="36" s="1"/>
  <c r="AG21" i="36" s="1"/>
  <c r="AH21" i="36" s="1"/>
  <c r="AI21" i="36" s="1"/>
  <c r="AJ21" i="36" s="1"/>
  <c r="AK21" i="36" s="1"/>
  <c r="AL21" i="36" s="1"/>
  <c r="AM21" i="36" s="1"/>
  <c r="AN21" i="36" s="1"/>
  <c r="AO21" i="36" s="1"/>
  <c r="AP21" i="36" s="1"/>
  <c r="AQ21" i="36" s="1"/>
  <c r="AR21" i="36" s="1"/>
  <c r="AS21" i="36" s="1"/>
  <c r="AT21" i="36" s="1"/>
  <c r="AU21" i="36" s="1"/>
  <c r="AV21" i="36" s="1"/>
  <c r="AW21" i="36" s="1"/>
  <c r="AX21" i="36" s="1"/>
  <c r="Z21" i="36" s="1"/>
  <c r="AD26" i="36"/>
  <c r="AE26" i="36" s="1"/>
  <c r="AF26" i="36" s="1"/>
  <c r="AG26" i="36" s="1"/>
  <c r="AH26" i="36" s="1"/>
  <c r="AI26" i="36" s="1"/>
  <c r="AJ26" i="36" s="1"/>
  <c r="AK26" i="36" s="1"/>
  <c r="AL26" i="36" s="1"/>
  <c r="AM26" i="36" s="1"/>
  <c r="AN26" i="36" s="1"/>
  <c r="AO26" i="36" s="1"/>
  <c r="AP26" i="36" s="1"/>
  <c r="AQ26" i="36" s="1"/>
  <c r="AR26" i="36" s="1"/>
  <c r="AS26" i="36" s="1"/>
  <c r="AT26" i="36" s="1"/>
  <c r="AU26" i="36" s="1"/>
  <c r="AV26" i="36" s="1"/>
  <c r="AW26" i="36" s="1"/>
  <c r="AX26" i="36" s="1"/>
  <c r="Z26" i="36" s="1"/>
  <c r="AD53" i="36"/>
  <c r="AE53" i="36" s="1"/>
  <c r="AF53" i="36" s="1"/>
  <c r="AG53" i="36" s="1"/>
  <c r="AH53" i="36" s="1"/>
  <c r="AI53" i="36" s="1"/>
  <c r="AJ53" i="36" s="1"/>
  <c r="AK53" i="36" s="1"/>
  <c r="AL53" i="36" s="1"/>
  <c r="AM53" i="36" s="1"/>
  <c r="AN53" i="36" s="1"/>
  <c r="AO53" i="36" s="1"/>
  <c r="AP53" i="36" s="1"/>
  <c r="AQ53" i="36" s="1"/>
  <c r="AR53" i="36" s="1"/>
  <c r="AS53" i="36" s="1"/>
  <c r="AT53" i="36" s="1"/>
  <c r="AU53" i="36" s="1"/>
  <c r="AV53" i="36" s="1"/>
  <c r="AW53" i="36" s="1"/>
  <c r="AX53" i="36" s="1"/>
  <c r="Z53" i="36" s="1"/>
  <c r="AD162" i="36"/>
  <c r="AE162" i="36" s="1"/>
  <c r="AF162" i="36" s="1"/>
  <c r="AG162" i="36" s="1"/>
  <c r="AH162" i="36" s="1"/>
  <c r="AI162" i="36" s="1"/>
  <c r="AJ162" i="36" s="1"/>
  <c r="AK162" i="36" s="1"/>
  <c r="AL162" i="36" s="1"/>
  <c r="AM162" i="36" s="1"/>
  <c r="AN162" i="36" s="1"/>
  <c r="AO162" i="36" s="1"/>
  <c r="AP162" i="36" s="1"/>
  <c r="AQ162" i="36" s="1"/>
  <c r="AR162" i="36" s="1"/>
  <c r="AS162" i="36" s="1"/>
  <c r="AT162" i="36" s="1"/>
  <c r="AU162" i="36" s="1"/>
  <c r="AV162" i="36" s="1"/>
  <c r="AW162" i="36" s="1"/>
  <c r="AX162" i="36" s="1"/>
  <c r="Z162" i="36" s="1"/>
  <c r="AD176" i="36"/>
  <c r="AE176" i="36" s="1"/>
  <c r="AF176" i="36" s="1"/>
  <c r="AG176" i="36" s="1"/>
  <c r="AH176" i="36" s="1"/>
  <c r="AI176" i="36" s="1"/>
  <c r="AJ176" i="36" s="1"/>
  <c r="AK176" i="36" s="1"/>
  <c r="AL176" i="36" s="1"/>
  <c r="AM176" i="36" s="1"/>
  <c r="AN176" i="36" s="1"/>
  <c r="AO176" i="36" s="1"/>
  <c r="AP176" i="36" s="1"/>
  <c r="AQ176" i="36" s="1"/>
  <c r="AR176" i="36" s="1"/>
  <c r="AS176" i="36" s="1"/>
  <c r="AT176" i="36" s="1"/>
  <c r="AU176" i="36" s="1"/>
  <c r="AV176" i="36" s="1"/>
  <c r="AW176" i="36" s="1"/>
  <c r="AX176" i="36" s="1"/>
  <c r="Z176" i="36" s="1"/>
  <c r="AD197" i="36"/>
  <c r="AE197" i="36" s="1"/>
  <c r="AF197" i="36" s="1"/>
  <c r="AG197" i="36" s="1"/>
  <c r="AH197" i="36" s="1"/>
  <c r="AI197" i="36" s="1"/>
  <c r="AJ197" i="36" s="1"/>
  <c r="AK197" i="36" s="1"/>
  <c r="AL197" i="36" s="1"/>
  <c r="AM197" i="36" s="1"/>
  <c r="AN197" i="36" s="1"/>
  <c r="AO197" i="36" s="1"/>
  <c r="AP197" i="36" s="1"/>
  <c r="AQ197" i="36" s="1"/>
  <c r="AR197" i="36" s="1"/>
  <c r="AS197" i="36" s="1"/>
  <c r="AT197" i="36" s="1"/>
  <c r="AU197" i="36" s="1"/>
  <c r="AV197" i="36" s="1"/>
  <c r="AW197" i="36" s="1"/>
  <c r="AX197" i="36" s="1"/>
  <c r="Z197" i="36" s="1"/>
  <c r="AD247" i="36"/>
  <c r="AE247" i="36" s="1"/>
  <c r="AF247" i="36" s="1"/>
  <c r="AG247" i="36" s="1"/>
  <c r="AH247" i="36" s="1"/>
  <c r="AI247" i="36" s="1"/>
  <c r="AJ247" i="36" s="1"/>
  <c r="AK247" i="36" s="1"/>
  <c r="AL247" i="36" s="1"/>
  <c r="AM247" i="36" s="1"/>
  <c r="AN247" i="36" s="1"/>
  <c r="AO247" i="36" s="1"/>
  <c r="AP247" i="36" s="1"/>
  <c r="AQ247" i="36" s="1"/>
  <c r="AR247" i="36" s="1"/>
  <c r="AS247" i="36" s="1"/>
  <c r="AT247" i="36" s="1"/>
  <c r="AU247" i="36" s="1"/>
  <c r="AV247" i="36" s="1"/>
  <c r="AW247" i="36" s="1"/>
  <c r="AX247" i="36" s="1"/>
  <c r="Z247" i="36" s="1"/>
  <c r="AD273" i="36"/>
  <c r="AE273" i="36" s="1"/>
  <c r="AF273" i="36" s="1"/>
  <c r="AG273" i="36" s="1"/>
  <c r="AH273" i="36" s="1"/>
  <c r="AI273" i="36" s="1"/>
  <c r="AJ273" i="36" s="1"/>
  <c r="AK273" i="36" s="1"/>
  <c r="AL273" i="36" s="1"/>
  <c r="AM273" i="36" s="1"/>
  <c r="AN273" i="36" s="1"/>
  <c r="AO273" i="36" s="1"/>
  <c r="AP273" i="36" s="1"/>
  <c r="AQ273" i="36" s="1"/>
  <c r="AR273" i="36" s="1"/>
  <c r="AS273" i="36" s="1"/>
  <c r="AT273" i="36" s="1"/>
  <c r="AU273" i="36" s="1"/>
  <c r="AV273" i="36" s="1"/>
  <c r="AW273" i="36" s="1"/>
  <c r="AX273" i="36" s="1"/>
  <c r="Z273" i="36" s="1"/>
  <c r="AD242" i="36"/>
  <c r="AE242" i="36" s="1"/>
  <c r="AF242" i="36" s="1"/>
  <c r="AG242" i="36" s="1"/>
  <c r="AH242" i="36" s="1"/>
  <c r="AI242" i="36" s="1"/>
  <c r="AJ242" i="36" s="1"/>
  <c r="AK242" i="36" s="1"/>
  <c r="AL242" i="36" s="1"/>
  <c r="AM242" i="36" s="1"/>
  <c r="AN242" i="36" s="1"/>
  <c r="AO242" i="36" s="1"/>
  <c r="AP242" i="36" s="1"/>
  <c r="AQ242" i="36" s="1"/>
  <c r="AR242" i="36" s="1"/>
  <c r="AS242" i="36" s="1"/>
  <c r="AT242" i="36" s="1"/>
  <c r="AU242" i="36" s="1"/>
  <c r="AV242" i="36" s="1"/>
  <c r="AW242" i="36" s="1"/>
  <c r="AX242" i="36" s="1"/>
  <c r="Z242" i="36" s="1"/>
  <c r="AD264" i="36"/>
  <c r="AE264" i="36" s="1"/>
  <c r="AF264" i="36" s="1"/>
  <c r="AG264" i="36" s="1"/>
  <c r="AH264" i="36" s="1"/>
  <c r="AI264" i="36" s="1"/>
  <c r="AJ264" i="36" s="1"/>
  <c r="AK264" i="36" s="1"/>
  <c r="AL264" i="36" s="1"/>
  <c r="AM264" i="36" s="1"/>
  <c r="AN264" i="36" s="1"/>
  <c r="AO264" i="36" s="1"/>
  <c r="AP264" i="36" s="1"/>
  <c r="AQ264" i="36" s="1"/>
  <c r="AR264" i="36" s="1"/>
  <c r="AS264" i="36" s="1"/>
  <c r="AT264" i="36" s="1"/>
  <c r="AU264" i="36" s="1"/>
  <c r="AV264" i="36" s="1"/>
  <c r="AW264" i="36" s="1"/>
  <c r="AX264" i="36" s="1"/>
  <c r="Z264" i="36" s="1"/>
  <c r="AD105" i="36"/>
  <c r="AE105" i="36" s="1"/>
  <c r="AF105" i="36" s="1"/>
  <c r="AG105" i="36" s="1"/>
  <c r="AH105" i="36" s="1"/>
  <c r="AI105" i="36" s="1"/>
  <c r="AJ105" i="36" s="1"/>
  <c r="AK105" i="36" s="1"/>
  <c r="AL105" i="36" s="1"/>
  <c r="AM105" i="36" s="1"/>
  <c r="AN105" i="36" s="1"/>
  <c r="AO105" i="36" s="1"/>
  <c r="AP105" i="36" s="1"/>
  <c r="AQ105" i="36" s="1"/>
  <c r="AR105" i="36" s="1"/>
  <c r="AS105" i="36" s="1"/>
  <c r="AT105" i="36" s="1"/>
  <c r="AU105" i="36" s="1"/>
  <c r="AV105" i="36" s="1"/>
  <c r="AW105" i="36" s="1"/>
  <c r="AX105" i="36" s="1"/>
  <c r="Z105" i="36" s="1"/>
  <c r="AD112" i="36"/>
  <c r="AE112" i="36" s="1"/>
  <c r="AF112" i="36" s="1"/>
  <c r="AG112" i="36" s="1"/>
  <c r="AH112" i="36" s="1"/>
  <c r="AI112" i="36" s="1"/>
  <c r="AJ112" i="36" s="1"/>
  <c r="AK112" i="36" s="1"/>
  <c r="AL112" i="36" s="1"/>
  <c r="AM112" i="36" s="1"/>
  <c r="AN112" i="36" s="1"/>
  <c r="AO112" i="36" s="1"/>
  <c r="AP112" i="36" s="1"/>
  <c r="AQ112" i="36" s="1"/>
  <c r="AR112" i="36" s="1"/>
  <c r="AS112" i="36" s="1"/>
  <c r="AT112" i="36" s="1"/>
  <c r="AU112" i="36" s="1"/>
  <c r="AV112" i="36" s="1"/>
  <c r="AW112" i="36" s="1"/>
  <c r="AX112" i="36" s="1"/>
  <c r="Z112" i="36" s="1"/>
  <c r="AD76" i="36"/>
  <c r="AE76" i="36" s="1"/>
  <c r="AF76" i="36" s="1"/>
  <c r="AG76" i="36" s="1"/>
  <c r="AH76" i="36" s="1"/>
  <c r="AI76" i="36" s="1"/>
  <c r="AJ76" i="36" s="1"/>
  <c r="AK76" i="36" s="1"/>
  <c r="AL76" i="36" s="1"/>
  <c r="AM76" i="36" s="1"/>
  <c r="AN76" i="36" s="1"/>
  <c r="AO76" i="36" s="1"/>
  <c r="AP76" i="36" s="1"/>
  <c r="AQ76" i="36" s="1"/>
  <c r="AR76" i="36" s="1"/>
  <c r="AS76" i="36" s="1"/>
  <c r="AT76" i="36" s="1"/>
  <c r="AU76" i="36" s="1"/>
  <c r="AV76" i="36" s="1"/>
  <c r="AW76" i="36" s="1"/>
  <c r="AX76" i="36" s="1"/>
  <c r="Z76" i="36" s="1"/>
  <c r="AD77" i="36"/>
  <c r="AE77" i="36" s="1"/>
  <c r="AF77" i="36" s="1"/>
  <c r="AG77" i="36" s="1"/>
  <c r="AH77" i="36" s="1"/>
  <c r="AI77" i="36" s="1"/>
  <c r="AJ77" i="36" s="1"/>
  <c r="AK77" i="36" s="1"/>
  <c r="AL77" i="36" s="1"/>
  <c r="AM77" i="36" s="1"/>
  <c r="AN77" i="36" s="1"/>
  <c r="AO77" i="36" s="1"/>
  <c r="AP77" i="36" s="1"/>
  <c r="AQ77" i="36" s="1"/>
  <c r="AR77" i="36" s="1"/>
  <c r="AS77" i="36" s="1"/>
  <c r="AT77" i="36" s="1"/>
  <c r="AU77" i="36" s="1"/>
  <c r="AV77" i="36" s="1"/>
  <c r="AW77" i="36" s="1"/>
  <c r="AX77" i="36" s="1"/>
  <c r="Z77" i="36" s="1"/>
  <c r="AD11" i="36"/>
  <c r="AE11" i="36" s="1"/>
  <c r="AF11" i="36" s="1"/>
  <c r="AG11" i="36" s="1"/>
  <c r="AH11" i="36" s="1"/>
  <c r="AI11" i="36" s="1"/>
  <c r="AJ11" i="36" s="1"/>
  <c r="AK11" i="36" s="1"/>
  <c r="AL11" i="36" s="1"/>
  <c r="AM11" i="36" s="1"/>
  <c r="AN11" i="36" s="1"/>
  <c r="AO11" i="36" s="1"/>
  <c r="AP11" i="36" s="1"/>
  <c r="AQ11" i="36" s="1"/>
  <c r="AR11" i="36" s="1"/>
  <c r="AS11" i="36" s="1"/>
  <c r="AT11" i="36" s="1"/>
  <c r="AU11" i="36" s="1"/>
  <c r="AV11" i="36" s="1"/>
  <c r="AW11" i="36" s="1"/>
  <c r="AX11" i="36" s="1"/>
  <c r="Z11" i="36" s="1"/>
  <c r="AD33" i="36"/>
  <c r="AE33" i="36" s="1"/>
  <c r="AF33" i="36" s="1"/>
  <c r="AG33" i="36" s="1"/>
  <c r="AH33" i="36" s="1"/>
  <c r="AI33" i="36" s="1"/>
  <c r="AJ33" i="36" s="1"/>
  <c r="AK33" i="36" s="1"/>
  <c r="AL33" i="36" s="1"/>
  <c r="AM33" i="36" s="1"/>
  <c r="AN33" i="36" s="1"/>
  <c r="AO33" i="36" s="1"/>
  <c r="AP33" i="36" s="1"/>
  <c r="AQ33" i="36" s="1"/>
  <c r="AR33" i="36" s="1"/>
  <c r="AS33" i="36" s="1"/>
  <c r="AT33" i="36" s="1"/>
  <c r="AU33" i="36" s="1"/>
  <c r="AV33" i="36" s="1"/>
  <c r="AW33" i="36" s="1"/>
  <c r="AX33" i="36" s="1"/>
  <c r="Z33" i="36" s="1"/>
  <c r="AD38" i="36"/>
  <c r="AE38" i="36" s="1"/>
  <c r="AF38" i="36" s="1"/>
  <c r="AG38" i="36" s="1"/>
  <c r="AH38" i="36" s="1"/>
  <c r="AI38" i="36" s="1"/>
  <c r="AJ38" i="36" s="1"/>
  <c r="AK38" i="36" s="1"/>
  <c r="AL38" i="36" s="1"/>
  <c r="AM38" i="36" s="1"/>
  <c r="AN38" i="36" s="1"/>
  <c r="AO38" i="36" s="1"/>
  <c r="AP38" i="36" s="1"/>
  <c r="AQ38" i="36" s="1"/>
  <c r="AR38" i="36" s="1"/>
  <c r="AS38" i="36" s="1"/>
  <c r="AT38" i="36" s="1"/>
  <c r="AU38" i="36" s="1"/>
  <c r="AV38" i="36" s="1"/>
  <c r="AW38" i="36" s="1"/>
  <c r="AX38" i="36" s="1"/>
  <c r="Z38" i="36" s="1"/>
  <c r="AD178" i="36"/>
  <c r="AE178" i="36" s="1"/>
  <c r="AF178" i="36" s="1"/>
  <c r="AG178" i="36" s="1"/>
  <c r="AH178" i="36" s="1"/>
  <c r="AI178" i="36" s="1"/>
  <c r="AJ178" i="36" s="1"/>
  <c r="AK178" i="36" s="1"/>
  <c r="AL178" i="36" s="1"/>
  <c r="AM178" i="36" s="1"/>
  <c r="AN178" i="36" s="1"/>
  <c r="AO178" i="36" s="1"/>
  <c r="AP178" i="36" s="1"/>
  <c r="AQ178" i="36" s="1"/>
  <c r="AR178" i="36" s="1"/>
  <c r="AS178" i="36" s="1"/>
  <c r="AT178" i="36" s="1"/>
  <c r="AU178" i="36" s="1"/>
  <c r="AV178" i="36" s="1"/>
  <c r="AW178" i="36" s="1"/>
  <c r="AX178" i="36" s="1"/>
  <c r="Z178" i="36" s="1"/>
  <c r="AD174" i="36"/>
  <c r="AE174" i="36" s="1"/>
  <c r="AF174" i="36" s="1"/>
  <c r="AG174" i="36" s="1"/>
  <c r="AH174" i="36" s="1"/>
  <c r="AI174" i="36" s="1"/>
  <c r="AJ174" i="36" s="1"/>
  <c r="AK174" i="36" s="1"/>
  <c r="AL174" i="36" s="1"/>
  <c r="AM174" i="36" s="1"/>
  <c r="AN174" i="36" s="1"/>
  <c r="AO174" i="36" s="1"/>
  <c r="AP174" i="36" s="1"/>
  <c r="AQ174" i="36" s="1"/>
  <c r="AR174" i="36" s="1"/>
  <c r="AS174" i="36" s="1"/>
  <c r="AT174" i="36" s="1"/>
  <c r="AU174" i="36" s="1"/>
  <c r="AV174" i="36" s="1"/>
  <c r="AW174" i="36" s="1"/>
  <c r="AX174" i="36" s="1"/>
  <c r="Z174" i="36" s="1"/>
  <c r="AD183" i="36"/>
  <c r="AE183" i="36" s="1"/>
  <c r="AF183" i="36" s="1"/>
  <c r="AG183" i="36" s="1"/>
  <c r="AH183" i="36" s="1"/>
  <c r="AI183" i="36" s="1"/>
  <c r="AJ183" i="36" s="1"/>
  <c r="AK183" i="36" s="1"/>
  <c r="AL183" i="36" s="1"/>
  <c r="AM183" i="36" s="1"/>
  <c r="AN183" i="36" s="1"/>
  <c r="AO183" i="36" s="1"/>
  <c r="AP183" i="36" s="1"/>
  <c r="AQ183" i="36" s="1"/>
  <c r="AR183" i="36" s="1"/>
  <c r="AS183" i="36" s="1"/>
  <c r="AT183" i="36" s="1"/>
  <c r="AU183" i="36" s="1"/>
  <c r="AV183" i="36" s="1"/>
  <c r="AW183" i="36" s="1"/>
  <c r="AX183" i="36" s="1"/>
  <c r="Z183" i="36" s="1"/>
  <c r="AD150" i="36"/>
  <c r="AE150" i="36" s="1"/>
  <c r="AF150" i="36" s="1"/>
  <c r="AG150" i="36" s="1"/>
  <c r="AH150" i="36" s="1"/>
  <c r="AI150" i="36" s="1"/>
  <c r="AJ150" i="36" s="1"/>
  <c r="AK150" i="36" s="1"/>
  <c r="AL150" i="36" s="1"/>
  <c r="AM150" i="36" s="1"/>
  <c r="AN150" i="36" s="1"/>
  <c r="AO150" i="36" s="1"/>
  <c r="AP150" i="36" s="1"/>
  <c r="AQ150" i="36" s="1"/>
  <c r="AR150" i="36" s="1"/>
  <c r="AS150" i="36" s="1"/>
  <c r="AT150" i="36" s="1"/>
  <c r="AU150" i="36" s="1"/>
  <c r="AV150" i="36" s="1"/>
  <c r="AW150" i="36" s="1"/>
  <c r="AX150" i="36" s="1"/>
  <c r="Z150" i="36" s="1"/>
  <c r="AD171" i="36"/>
  <c r="AE171" i="36" s="1"/>
  <c r="AF171" i="36" s="1"/>
  <c r="AG171" i="36" s="1"/>
  <c r="AH171" i="36" s="1"/>
  <c r="AI171" i="36" s="1"/>
  <c r="AJ171" i="36" s="1"/>
  <c r="AK171" i="36" s="1"/>
  <c r="AL171" i="36" s="1"/>
  <c r="AM171" i="36" s="1"/>
  <c r="AN171" i="36" s="1"/>
  <c r="AO171" i="36" s="1"/>
  <c r="AP171" i="36" s="1"/>
  <c r="AQ171" i="36" s="1"/>
  <c r="AR171" i="36" s="1"/>
  <c r="AS171" i="36" s="1"/>
  <c r="AT171" i="36" s="1"/>
  <c r="AU171" i="36" s="1"/>
  <c r="AV171" i="36" s="1"/>
  <c r="AW171" i="36" s="1"/>
  <c r="AX171" i="36" s="1"/>
  <c r="Z171" i="36" s="1"/>
  <c r="AD149" i="36"/>
  <c r="AE149" i="36" s="1"/>
  <c r="AF149" i="36" s="1"/>
  <c r="AG149" i="36" s="1"/>
  <c r="AH149" i="36" s="1"/>
  <c r="AI149" i="36" s="1"/>
  <c r="AJ149" i="36" s="1"/>
  <c r="AK149" i="36" s="1"/>
  <c r="AL149" i="36" s="1"/>
  <c r="AM149" i="36" s="1"/>
  <c r="AN149" i="36" s="1"/>
  <c r="AO149" i="36" s="1"/>
  <c r="AP149" i="36" s="1"/>
  <c r="AQ149" i="36" s="1"/>
  <c r="AR149" i="36" s="1"/>
  <c r="AS149" i="36" s="1"/>
  <c r="AT149" i="36" s="1"/>
  <c r="AU149" i="36" s="1"/>
  <c r="AV149" i="36" s="1"/>
  <c r="AW149" i="36" s="1"/>
  <c r="AX149" i="36" s="1"/>
  <c r="Z149" i="36" s="1"/>
  <c r="AD166" i="36"/>
  <c r="AE166" i="36" s="1"/>
  <c r="AF166" i="36" s="1"/>
  <c r="AG166" i="36" s="1"/>
  <c r="AH166" i="36" s="1"/>
  <c r="AI166" i="36" s="1"/>
  <c r="AJ166" i="36" s="1"/>
  <c r="AK166" i="36" s="1"/>
  <c r="AL166" i="36" s="1"/>
  <c r="AM166" i="36" s="1"/>
  <c r="AN166" i="36" s="1"/>
  <c r="AO166" i="36" s="1"/>
  <c r="AP166" i="36" s="1"/>
  <c r="AQ166" i="36" s="1"/>
  <c r="AR166" i="36" s="1"/>
  <c r="AS166" i="36" s="1"/>
  <c r="AT166" i="36" s="1"/>
  <c r="AU166" i="36" s="1"/>
  <c r="AV166" i="36" s="1"/>
  <c r="AW166" i="36" s="1"/>
  <c r="AX166" i="36" s="1"/>
  <c r="Z166" i="36" s="1"/>
  <c r="AD131" i="36"/>
  <c r="AE131" i="36" s="1"/>
  <c r="AF131" i="36" s="1"/>
  <c r="AG131" i="36" s="1"/>
  <c r="AH131" i="36" s="1"/>
  <c r="AI131" i="36" s="1"/>
  <c r="AJ131" i="36" s="1"/>
  <c r="AK131" i="36" s="1"/>
  <c r="AL131" i="36" s="1"/>
  <c r="AM131" i="36" s="1"/>
  <c r="AN131" i="36" s="1"/>
  <c r="AO131" i="36" s="1"/>
  <c r="AP131" i="36" s="1"/>
  <c r="AQ131" i="36" s="1"/>
  <c r="AR131" i="36" s="1"/>
  <c r="AS131" i="36" s="1"/>
  <c r="AT131" i="36" s="1"/>
  <c r="AU131" i="36" s="1"/>
  <c r="AV131" i="36" s="1"/>
  <c r="AW131" i="36" s="1"/>
  <c r="AX131" i="36" s="1"/>
  <c r="Z131" i="36" s="1"/>
  <c r="AD163" i="36"/>
  <c r="AE163" i="36" s="1"/>
  <c r="AF163" i="36" s="1"/>
  <c r="AG163" i="36" s="1"/>
  <c r="AH163" i="36" s="1"/>
  <c r="AI163" i="36" s="1"/>
  <c r="AJ163" i="36" s="1"/>
  <c r="AK163" i="36" s="1"/>
  <c r="AL163" i="36" s="1"/>
  <c r="AM163" i="36" s="1"/>
  <c r="AN163" i="36" s="1"/>
  <c r="AO163" i="36" s="1"/>
  <c r="AP163" i="36" s="1"/>
  <c r="AQ163" i="36" s="1"/>
  <c r="AR163" i="36" s="1"/>
  <c r="AS163" i="36" s="1"/>
  <c r="AT163" i="36" s="1"/>
  <c r="AU163" i="36" s="1"/>
  <c r="AV163" i="36" s="1"/>
  <c r="AW163" i="36" s="1"/>
  <c r="AX163" i="36" s="1"/>
  <c r="Z163" i="36" s="1"/>
  <c r="AD172" i="36"/>
  <c r="AE172" i="36" s="1"/>
  <c r="AF172" i="36" s="1"/>
  <c r="AG172" i="36" s="1"/>
  <c r="AH172" i="36" s="1"/>
  <c r="AI172" i="36" s="1"/>
  <c r="AJ172" i="36" s="1"/>
  <c r="AK172" i="36" s="1"/>
  <c r="AL172" i="36" s="1"/>
  <c r="AM172" i="36" s="1"/>
  <c r="AN172" i="36" s="1"/>
  <c r="AO172" i="36" s="1"/>
  <c r="AP172" i="36" s="1"/>
  <c r="AQ172" i="36" s="1"/>
  <c r="AR172" i="36" s="1"/>
  <c r="AS172" i="36" s="1"/>
  <c r="AT172" i="36" s="1"/>
  <c r="AU172" i="36" s="1"/>
  <c r="AV172" i="36" s="1"/>
  <c r="AW172" i="36" s="1"/>
  <c r="AX172" i="36" s="1"/>
  <c r="Z172" i="36" s="1"/>
  <c r="AD186" i="36"/>
  <c r="AE186" i="36" s="1"/>
  <c r="AF186" i="36" s="1"/>
  <c r="AG186" i="36" s="1"/>
  <c r="AH186" i="36" s="1"/>
  <c r="AI186" i="36" s="1"/>
  <c r="AJ186" i="36" s="1"/>
  <c r="AK186" i="36" s="1"/>
  <c r="AL186" i="36" s="1"/>
  <c r="AM186" i="36" s="1"/>
  <c r="AN186" i="36" s="1"/>
  <c r="AO186" i="36" s="1"/>
  <c r="AP186" i="36" s="1"/>
  <c r="AQ186" i="36" s="1"/>
  <c r="AR186" i="36" s="1"/>
  <c r="AS186" i="36" s="1"/>
  <c r="AT186" i="36" s="1"/>
  <c r="AU186" i="36" s="1"/>
  <c r="AV186" i="36" s="1"/>
  <c r="AW186" i="36" s="1"/>
  <c r="AX186" i="36" s="1"/>
  <c r="Z186" i="36" s="1"/>
  <c r="AD215" i="36"/>
  <c r="AE215" i="36" s="1"/>
  <c r="AF215" i="36" s="1"/>
  <c r="AG215" i="36" s="1"/>
  <c r="AH215" i="36" s="1"/>
  <c r="AI215" i="36" s="1"/>
  <c r="AJ215" i="36" s="1"/>
  <c r="AK215" i="36" s="1"/>
  <c r="AL215" i="36" s="1"/>
  <c r="AM215" i="36" s="1"/>
  <c r="AN215" i="36" s="1"/>
  <c r="AO215" i="36" s="1"/>
  <c r="AP215" i="36" s="1"/>
  <c r="AQ215" i="36" s="1"/>
  <c r="AR215" i="36" s="1"/>
  <c r="AS215" i="36" s="1"/>
  <c r="AT215" i="36" s="1"/>
  <c r="AU215" i="36" s="1"/>
  <c r="AV215" i="36" s="1"/>
  <c r="AW215" i="36" s="1"/>
  <c r="AX215" i="36" s="1"/>
  <c r="Z215" i="36" s="1"/>
  <c r="AD191" i="36"/>
  <c r="AE191" i="36" s="1"/>
  <c r="AF191" i="36" s="1"/>
  <c r="AG191" i="36" s="1"/>
  <c r="AH191" i="36" s="1"/>
  <c r="AI191" i="36" s="1"/>
  <c r="AJ191" i="36" s="1"/>
  <c r="AK191" i="36" s="1"/>
  <c r="AL191" i="36" s="1"/>
  <c r="AM191" i="36" s="1"/>
  <c r="AN191" i="36" s="1"/>
  <c r="AO191" i="36" s="1"/>
  <c r="AP191" i="36" s="1"/>
  <c r="AQ191" i="36" s="1"/>
  <c r="AR191" i="36" s="1"/>
  <c r="AS191" i="36" s="1"/>
  <c r="AT191" i="36" s="1"/>
  <c r="AU191" i="36" s="1"/>
  <c r="AV191" i="36" s="1"/>
  <c r="AW191" i="36" s="1"/>
  <c r="AX191" i="36" s="1"/>
  <c r="Z191" i="36" s="1"/>
  <c r="AD202" i="36"/>
  <c r="AE202" i="36" s="1"/>
  <c r="AF202" i="36" s="1"/>
  <c r="AG202" i="36" s="1"/>
  <c r="AH202" i="36" s="1"/>
  <c r="AI202" i="36" s="1"/>
  <c r="AJ202" i="36" s="1"/>
  <c r="AK202" i="36" s="1"/>
  <c r="AL202" i="36" s="1"/>
  <c r="AM202" i="36" s="1"/>
  <c r="AN202" i="36" s="1"/>
  <c r="AO202" i="36" s="1"/>
  <c r="AP202" i="36" s="1"/>
  <c r="AQ202" i="36" s="1"/>
  <c r="AR202" i="36" s="1"/>
  <c r="AS202" i="36" s="1"/>
  <c r="AT202" i="36" s="1"/>
  <c r="AU202" i="36" s="1"/>
  <c r="AV202" i="36" s="1"/>
  <c r="AW202" i="36" s="1"/>
  <c r="AX202" i="36" s="1"/>
  <c r="Z202" i="36" s="1"/>
  <c r="AD230" i="36"/>
  <c r="AE230" i="36" s="1"/>
  <c r="AF230" i="36" s="1"/>
  <c r="AG230" i="36" s="1"/>
  <c r="AH230" i="36" s="1"/>
  <c r="AI230" i="36" s="1"/>
  <c r="AJ230" i="36" s="1"/>
  <c r="AK230" i="36" s="1"/>
  <c r="AL230" i="36" s="1"/>
  <c r="AM230" i="36" s="1"/>
  <c r="AN230" i="36" s="1"/>
  <c r="AO230" i="36" s="1"/>
  <c r="AP230" i="36" s="1"/>
  <c r="AQ230" i="36" s="1"/>
  <c r="AR230" i="36" s="1"/>
  <c r="AS230" i="36" s="1"/>
  <c r="AT230" i="36" s="1"/>
  <c r="AU230" i="36" s="1"/>
  <c r="AV230" i="36" s="1"/>
  <c r="AW230" i="36" s="1"/>
  <c r="AX230" i="36" s="1"/>
  <c r="Z230" i="36" s="1"/>
  <c r="AD223" i="36"/>
  <c r="AE223" i="36" s="1"/>
  <c r="AF223" i="36" s="1"/>
  <c r="AG223" i="36" s="1"/>
  <c r="AH223" i="36" s="1"/>
  <c r="AI223" i="36" s="1"/>
  <c r="AJ223" i="36" s="1"/>
  <c r="AK223" i="36" s="1"/>
  <c r="AL223" i="36" s="1"/>
  <c r="AM223" i="36" s="1"/>
  <c r="AN223" i="36" s="1"/>
  <c r="AO223" i="36" s="1"/>
  <c r="AP223" i="36" s="1"/>
  <c r="AQ223" i="36" s="1"/>
  <c r="AR223" i="36" s="1"/>
  <c r="AS223" i="36" s="1"/>
  <c r="AT223" i="36" s="1"/>
  <c r="AU223" i="36" s="1"/>
  <c r="AV223" i="36" s="1"/>
  <c r="AW223" i="36" s="1"/>
  <c r="AX223" i="36" s="1"/>
  <c r="Z223" i="36" s="1"/>
  <c r="AD217" i="36"/>
  <c r="AE217" i="36" s="1"/>
  <c r="AF217" i="36" s="1"/>
  <c r="AG217" i="36" s="1"/>
  <c r="AH217" i="36" s="1"/>
  <c r="AI217" i="36" s="1"/>
  <c r="AJ217" i="36" s="1"/>
  <c r="AK217" i="36" s="1"/>
  <c r="AL217" i="36" s="1"/>
  <c r="AM217" i="36" s="1"/>
  <c r="AN217" i="36" s="1"/>
  <c r="AO217" i="36" s="1"/>
  <c r="AP217" i="36" s="1"/>
  <c r="AQ217" i="36" s="1"/>
  <c r="AR217" i="36" s="1"/>
  <c r="AS217" i="36" s="1"/>
  <c r="AT217" i="36" s="1"/>
  <c r="AU217" i="36" s="1"/>
  <c r="AV217" i="36" s="1"/>
  <c r="AW217" i="36" s="1"/>
  <c r="AX217" i="36" s="1"/>
  <c r="Z217" i="36" s="1"/>
  <c r="AD257" i="36"/>
  <c r="AE257" i="36" s="1"/>
  <c r="AF257" i="36" s="1"/>
  <c r="AG257" i="36" s="1"/>
  <c r="AH257" i="36" s="1"/>
  <c r="AI257" i="36" s="1"/>
  <c r="AJ257" i="36" s="1"/>
  <c r="AK257" i="36" s="1"/>
  <c r="AL257" i="36" s="1"/>
  <c r="AM257" i="36" s="1"/>
  <c r="AN257" i="36" s="1"/>
  <c r="AO257" i="36" s="1"/>
  <c r="AP257" i="36" s="1"/>
  <c r="AQ257" i="36" s="1"/>
  <c r="AR257" i="36" s="1"/>
  <c r="AS257" i="36" s="1"/>
  <c r="AT257" i="36" s="1"/>
  <c r="AU257" i="36" s="1"/>
  <c r="AV257" i="36" s="1"/>
  <c r="AW257" i="36" s="1"/>
  <c r="AX257" i="36" s="1"/>
  <c r="Z257" i="36" s="1"/>
  <c r="AD218" i="36"/>
  <c r="AE218" i="36" s="1"/>
  <c r="AF218" i="36" s="1"/>
  <c r="AG218" i="36" s="1"/>
  <c r="AH218" i="36" s="1"/>
  <c r="AI218" i="36" s="1"/>
  <c r="AJ218" i="36" s="1"/>
  <c r="AK218" i="36" s="1"/>
  <c r="AL218" i="36" s="1"/>
  <c r="AM218" i="36" s="1"/>
  <c r="AN218" i="36" s="1"/>
  <c r="AO218" i="36" s="1"/>
  <c r="AP218" i="36" s="1"/>
  <c r="AQ218" i="36" s="1"/>
  <c r="AR218" i="36" s="1"/>
  <c r="AS218" i="36" s="1"/>
  <c r="AT218" i="36" s="1"/>
  <c r="AU218" i="36" s="1"/>
  <c r="AV218" i="36" s="1"/>
  <c r="AW218" i="36" s="1"/>
  <c r="AX218" i="36" s="1"/>
  <c r="Z218" i="36" s="1"/>
  <c r="AD256" i="36"/>
  <c r="AE256" i="36" s="1"/>
  <c r="AF256" i="36" s="1"/>
  <c r="AG256" i="36" s="1"/>
  <c r="AH256" i="36" s="1"/>
  <c r="AI256" i="36" s="1"/>
  <c r="AJ256" i="36" s="1"/>
  <c r="AK256" i="36" s="1"/>
  <c r="AL256" i="36" s="1"/>
  <c r="AM256" i="36" s="1"/>
  <c r="AN256" i="36" s="1"/>
  <c r="AO256" i="36" s="1"/>
  <c r="AP256" i="36" s="1"/>
  <c r="AQ256" i="36" s="1"/>
  <c r="AR256" i="36" s="1"/>
  <c r="AS256" i="36" s="1"/>
  <c r="AT256" i="36" s="1"/>
  <c r="AU256" i="36" s="1"/>
  <c r="AV256" i="36" s="1"/>
  <c r="AW256" i="36" s="1"/>
  <c r="AX256" i="36" s="1"/>
  <c r="Z256" i="36" s="1"/>
  <c r="AD238" i="36"/>
  <c r="AE238" i="36" s="1"/>
  <c r="AF238" i="36" s="1"/>
  <c r="AG238" i="36" s="1"/>
  <c r="AH238" i="36" s="1"/>
  <c r="AI238" i="36" s="1"/>
  <c r="AJ238" i="36" s="1"/>
  <c r="AK238" i="36" s="1"/>
  <c r="AL238" i="36" s="1"/>
  <c r="AM238" i="36" s="1"/>
  <c r="AN238" i="36" s="1"/>
  <c r="AO238" i="36" s="1"/>
  <c r="AP238" i="36" s="1"/>
  <c r="AQ238" i="36" s="1"/>
  <c r="AR238" i="36" s="1"/>
  <c r="AS238" i="36" s="1"/>
  <c r="AT238" i="36" s="1"/>
  <c r="AU238" i="36" s="1"/>
  <c r="AV238" i="36" s="1"/>
  <c r="AW238" i="36" s="1"/>
  <c r="AX238" i="36" s="1"/>
  <c r="Z238" i="36" s="1"/>
  <c r="AD240" i="36"/>
  <c r="AE240" i="36" s="1"/>
  <c r="AF240" i="36" s="1"/>
  <c r="AG240" i="36" s="1"/>
  <c r="AH240" i="36" s="1"/>
  <c r="AI240" i="36" s="1"/>
  <c r="AJ240" i="36" s="1"/>
  <c r="AK240" i="36" s="1"/>
  <c r="AL240" i="36" s="1"/>
  <c r="AM240" i="36" s="1"/>
  <c r="AN240" i="36" s="1"/>
  <c r="AO240" i="36" s="1"/>
  <c r="AP240" i="36" s="1"/>
  <c r="AQ240" i="36" s="1"/>
  <c r="AR240" i="36" s="1"/>
  <c r="AS240" i="36" s="1"/>
  <c r="AT240" i="36" s="1"/>
  <c r="AU240" i="36" s="1"/>
  <c r="AV240" i="36" s="1"/>
  <c r="AW240" i="36" s="1"/>
  <c r="AX240" i="36" s="1"/>
  <c r="Z240" i="36" s="1"/>
  <c r="AD259" i="36"/>
  <c r="AE259" i="36" s="1"/>
  <c r="AF259" i="36" s="1"/>
  <c r="AG259" i="36" s="1"/>
  <c r="AH259" i="36" s="1"/>
  <c r="AI259" i="36" s="1"/>
  <c r="AJ259" i="36" s="1"/>
  <c r="AK259" i="36" s="1"/>
  <c r="AL259" i="36" s="1"/>
  <c r="AM259" i="36" s="1"/>
  <c r="AN259" i="36" s="1"/>
  <c r="AO259" i="36" s="1"/>
  <c r="AP259" i="36" s="1"/>
  <c r="AQ259" i="36" s="1"/>
  <c r="AR259" i="36" s="1"/>
  <c r="AS259" i="36" s="1"/>
  <c r="AT259" i="36" s="1"/>
  <c r="AU259" i="36" s="1"/>
  <c r="AV259" i="36" s="1"/>
  <c r="AW259" i="36" s="1"/>
  <c r="AX259" i="36" s="1"/>
  <c r="Z259" i="36" s="1"/>
  <c r="AD9" i="36"/>
  <c r="AE9" i="36" s="1"/>
  <c r="AF9" i="36" s="1"/>
  <c r="AG9" i="36" s="1"/>
  <c r="AH9" i="36" s="1"/>
  <c r="AI9" i="36" s="1"/>
  <c r="AJ9" i="36" s="1"/>
  <c r="AK9" i="36" s="1"/>
  <c r="AL9" i="36" s="1"/>
  <c r="AM9" i="36" s="1"/>
  <c r="AN9" i="36" s="1"/>
  <c r="AO9" i="36" s="1"/>
  <c r="AP9" i="36" s="1"/>
  <c r="AQ9" i="36" s="1"/>
  <c r="AR9" i="36" s="1"/>
  <c r="AS9" i="36" s="1"/>
  <c r="AT9" i="36" s="1"/>
  <c r="AU9" i="36" s="1"/>
  <c r="AV9" i="36" s="1"/>
  <c r="AW9" i="36" s="1"/>
  <c r="AX9" i="36" s="1"/>
  <c r="Z9" i="36" s="1"/>
  <c r="AD8" i="36"/>
  <c r="AE8" i="36" s="1"/>
  <c r="AF8" i="36" s="1"/>
  <c r="AG8" i="36" s="1"/>
  <c r="AH8" i="36" s="1"/>
  <c r="AI8" i="36" s="1"/>
  <c r="AJ8" i="36" s="1"/>
  <c r="AK8" i="36" s="1"/>
  <c r="AL8" i="36" s="1"/>
  <c r="AM8" i="36" s="1"/>
  <c r="AN8" i="36" s="1"/>
  <c r="AO8" i="36" s="1"/>
  <c r="AP8" i="36" s="1"/>
  <c r="AQ8" i="36" s="1"/>
  <c r="AR8" i="36" s="1"/>
  <c r="AS8" i="36" s="1"/>
  <c r="AT8" i="36" s="1"/>
  <c r="AU8" i="36" s="1"/>
  <c r="AV8" i="36" s="1"/>
  <c r="AW8" i="36" s="1"/>
  <c r="AX8" i="36" s="1"/>
  <c r="Z8" i="36" s="1"/>
  <c r="AD6" i="36"/>
  <c r="AE6" i="36" s="1"/>
  <c r="AF6" i="36" s="1"/>
  <c r="AG6" i="36" s="1"/>
  <c r="AH6" i="36" s="1"/>
  <c r="AI6" i="36" s="1"/>
  <c r="AJ6" i="36" s="1"/>
  <c r="AK6" i="36" s="1"/>
  <c r="AL6" i="36" s="1"/>
  <c r="AM6" i="36" s="1"/>
  <c r="AN6" i="36" s="1"/>
  <c r="AO6" i="36" s="1"/>
  <c r="AP6" i="36" s="1"/>
  <c r="AQ6" i="36" s="1"/>
  <c r="AR6" i="36" s="1"/>
  <c r="AS6" i="36" s="1"/>
  <c r="AT6" i="36" s="1"/>
  <c r="AU6" i="36" s="1"/>
  <c r="AV6" i="36" s="1"/>
  <c r="AW6" i="36" s="1"/>
  <c r="AX6" i="36" s="1"/>
  <c r="Z6" i="36" s="1"/>
  <c r="AD10" i="36"/>
  <c r="AE10" i="36" s="1"/>
  <c r="AF10" i="36" s="1"/>
  <c r="AG10" i="36" s="1"/>
  <c r="AH10" i="36" s="1"/>
  <c r="AI10" i="36" s="1"/>
  <c r="AJ10" i="36" s="1"/>
  <c r="AK10" i="36" s="1"/>
  <c r="AL10" i="36" s="1"/>
  <c r="AM10" i="36" s="1"/>
  <c r="AN10" i="36" s="1"/>
  <c r="AO10" i="36" s="1"/>
  <c r="AP10" i="36" s="1"/>
  <c r="AQ10" i="36" s="1"/>
  <c r="AR10" i="36" s="1"/>
  <c r="AS10" i="36" s="1"/>
  <c r="AT10" i="36" s="1"/>
  <c r="AU10" i="36" s="1"/>
  <c r="AV10" i="36" s="1"/>
  <c r="AW10" i="36" s="1"/>
  <c r="AX10" i="36" s="1"/>
  <c r="Z10" i="36" s="1"/>
  <c r="AD47" i="36"/>
  <c r="AE47" i="36" s="1"/>
  <c r="AF47" i="36" s="1"/>
  <c r="AG47" i="36" s="1"/>
  <c r="AH47" i="36" s="1"/>
  <c r="AI47" i="36" s="1"/>
  <c r="AJ47" i="36" s="1"/>
  <c r="AK47" i="36" s="1"/>
  <c r="AL47" i="36" s="1"/>
  <c r="AM47" i="36" s="1"/>
  <c r="AN47" i="36" s="1"/>
  <c r="AO47" i="36" s="1"/>
  <c r="AP47" i="36" s="1"/>
  <c r="AQ47" i="36" s="1"/>
  <c r="AR47" i="36" s="1"/>
  <c r="AS47" i="36" s="1"/>
  <c r="AT47" i="36" s="1"/>
  <c r="AU47" i="36" s="1"/>
  <c r="AV47" i="36" s="1"/>
  <c r="AW47" i="36" s="1"/>
  <c r="AX47" i="36" s="1"/>
  <c r="Z47" i="36" s="1"/>
  <c r="AD5" i="36"/>
  <c r="AE5" i="36" s="1"/>
  <c r="AF5" i="36" s="1"/>
  <c r="AG5" i="36" s="1"/>
  <c r="AH5" i="36" s="1"/>
  <c r="AI5" i="36" s="1"/>
  <c r="AJ5" i="36" s="1"/>
  <c r="AK5" i="36" s="1"/>
  <c r="AL5" i="36" s="1"/>
  <c r="AM5" i="36" s="1"/>
  <c r="AN5" i="36" s="1"/>
  <c r="AO5" i="36" s="1"/>
  <c r="AP5" i="36" s="1"/>
  <c r="AQ5" i="36" s="1"/>
  <c r="AR5" i="36" s="1"/>
  <c r="AS5" i="36" s="1"/>
  <c r="AT5" i="36" s="1"/>
  <c r="AU5" i="36" s="1"/>
  <c r="AV5" i="36" s="1"/>
  <c r="AW5" i="36" s="1"/>
  <c r="AX5" i="36" s="1"/>
  <c r="Z5" i="36" s="1"/>
  <c r="AD31" i="36"/>
  <c r="AE31" i="36" s="1"/>
  <c r="AF31" i="36" s="1"/>
  <c r="AG31" i="36" s="1"/>
  <c r="AH31" i="36" s="1"/>
  <c r="AI31" i="36" s="1"/>
  <c r="AJ31" i="36" s="1"/>
  <c r="AK31" i="36" s="1"/>
  <c r="AL31" i="36" s="1"/>
  <c r="AM31" i="36" s="1"/>
  <c r="AN31" i="36" s="1"/>
  <c r="AO31" i="36" s="1"/>
  <c r="AP31" i="36" s="1"/>
  <c r="AQ31" i="36" s="1"/>
  <c r="AR31" i="36" s="1"/>
  <c r="AS31" i="36" s="1"/>
  <c r="AT31" i="36" s="1"/>
  <c r="AU31" i="36" s="1"/>
  <c r="AV31" i="36" s="1"/>
  <c r="AW31" i="36" s="1"/>
  <c r="AX31" i="36" s="1"/>
  <c r="Z31" i="36" s="1"/>
  <c r="AD61" i="36"/>
  <c r="AE61" i="36" s="1"/>
  <c r="AF61" i="36" s="1"/>
  <c r="AG61" i="36" s="1"/>
  <c r="AH61" i="36" s="1"/>
  <c r="AI61" i="36" s="1"/>
  <c r="AJ61" i="36" s="1"/>
  <c r="AK61" i="36" s="1"/>
  <c r="AL61" i="36" s="1"/>
  <c r="AM61" i="36" s="1"/>
  <c r="AN61" i="36" s="1"/>
  <c r="AO61" i="36" s="1"/>
  <c r="AP61" i="36" s="1"/>
  <c r="AQ61" i="36" s="1"/>
  <c r="AR61" i="36" s="1"/>
  <c r="AS61" i="36" s="1"/>
  <c r="AT61" i="36" s="1"/>
  <c r="AU61" i="36" s="1"/>
  <c r="AV61" i="36" s="1"/>
  <c r="AW61" i="36" s="1"/>
  <c r="AX61" i="36" s="1"/>
  <c r="Z61" i="36" s="1"/>
  <c r="AD101" i="36"/>
  <c r="AE101" i="36" s="1"/>
  <c r="AF101" i="36" s="1"/>
  <c r="AG101" i="36" s="1"/>
  <c r="AH101" i="36" s="1"/>
  <c r="AI101" i="36" s="1"/>
  <c r="AJ101" i="36" s="1"/>
  <c r="AK101" i="36" s="1"/>
  <c r="AL101" i="36" s="1"/>
  <c r="AM101" i="36" s="1"/>
  <c r="AN101" i="36" s="1"/>
  <c r="AO101" i="36" s="1"/>
  <c r="AP101" i="36" s="1"/>
  <c r="AQ101" i="36" s="1"/>
  <c r="AR101" i="36" s="1"/>
  <c r="AS101" i="36" s="1"/>
  <c r="AT101" i="36" s="1"/>
  <c r="AU101" i="36" s="1"/>
  <c r="AV101" i="36" s="1"/>
  <c r="AW101" i="36" s="1"/>
  <c r="AX101" i="36" s="1"/>
  <c r="Z101" i="36" s="1"/>
  <c r="AD95" i="36"/>
  <c r="AE95" i="36" s="1"/>
  <c r="AF95" i="36" s="1"/>
  <c r="AG95" i="36" s="1"/>
  <c r="AH95" i="36" s="1"/>
  <c r="AI95" i="36" s="1"/>
  <c r="AJ95" i="36" s="1"/>
  <c r="AK95" i="36" s="1"/>
  <c r="AL95" i="36" s="1"/>
  <c r="AM95" i="36" s="1"/>
  <c r="AN95" i="36" s="1"/>
  <c r="AO95" i="36" s="1"/>
  <c r="AP95" i="36" s="1"/>
  <c r="AQ95" i="36" s="1"/>
  <c r="AR95" i="36" s="1"/>
  <c r="AS95" i="36" s="1"/>
  <c r="AT95" i="36" s="1"/>
  <c r="AU95" i="36" s="1"/>
  <c r="AV95" i="36" s="1"/>
  <c r="AW95" i="36" s="1"/>
  <c r="AX95" i="36" s="1"/>
  <c r="Z95" i="36" s="1"/>
  <c r="AF124" i="36" l="1"/>
  <c r="AG124" i="36" s="1"/>
  <c r="AH124" i="36" s="1"/>
  <c r="AI124" i="36" s="1"/>
  <c r="AJ124" i="36" s="1"/>
  <c r="AK124" i="36" s="1"/>
  <c r="AL124" i="36" s="1"/>
  <c r="AM124" i="36" s="1"/>
  <c r="AN124" i="36" s="1"/>
  <c r="AO124" i="36" s="1"/>
  <c r="AP124" i="36" s="1"/>
  <c r="AQ124" i="36" s="1"/>
  <c r="AR124" i="36" s="1"/>
  <c r="AS124" i="36" s="1"/>
  <c r="AT124" i="36" s="1"/>
  <c r="AU124" i="36" s="1"/>
  <c r="AV124" i="36" s="1"/>
  <c r="AW124" i="36" s="1"/>
  <c r="AX124" i="36" s="1"/>
  <c r="Z124" i="36" s="1"/>
  <c r="I24" i="36"/>
  <c r="L24" i="36" s="1"/>
  <c r="I23" i="36"/>
  <c r="L23" i="36" s="1"/>
  <c r="I22" i="36"/>
  <c r="I21" i="36"/>
  <c r="E20" i="36"/>
  <c r="D21" i="36" s="1"/>
  <c r="D19" i="36"/>
  <c r="E21" i="36" l="1"/>
  <c r="D22" i="36" l="1"/>
  <c r="E22" i="36" s="1"/>
  <c r="D23" i="36" s="1"/>
  <c r="E23" i="36" s="1"/>
  <c r="D24" i="36" s="1"/>
  <c r="E24" i="36" s="1"/>
  <c r="D25" i="36" s="1"/>
  <c r="E25" i="36" s="1"/>
  <c r="D26" i="36" s="1"/>
  <c r="E26" i="36" s="1"/>
  <c r="D27" i="36" s="1"/>
  <c r="E27" i="36" s="1"/>
  <c r="D28" i="36" s="1"/>
  <c r="E28" i="36" s="1"/>
  <c r="D29" i="36" s="1"/>
  <c r="E29" i="36" s="1"/>
  <c r="D30" i="36" s="1"/>
  <c r="I8" i="36" s="1"/>
  <c r="F19" i="36"/>
  <c r="E27" i="12"/>
  <c r="E18" i="12"/>
  <c r="P19" i="36" l="1"/>
  <c r="P21" i="36" s="1"/>
  <c r="P23" i="36" s="1"/>
  <c r="P25" i="36" s="1"/>
  <c r="E30" i="36"/>
  <c r="G21" i="36"/>
  <c r="L17" i="13"/>
  <c r="L16" i="13"/>
  <c r="L15" i="13"/>
  <c r="L14" i="13"/>
  <c r="L13" i="13"/>
  <c r="L12" i="13"/>
  <c r="I17" i="13"/>
  <c r="I16" i="13"/>
  <c r="I15" i="13"/>
  <c r="I14" i="13"/>
  <c r="I13" i="13"/>
  <c r="I12" i="13"/>
  <c r="F17" i="13"/>
  <c r="F16" i="13"/>
  <c r="F15" i="13"/>
  <c r="F14" i="13"/>
  <c r="F13" i="13"/>
  <c r="F12" i="13"/>
  <c r="G7" i="20"/>
  <c r="G6" i="20"/>
  <c r="G5" i="20"/>
  <c r="C7" i="20"/>
  <c r="C6" i="20"/>
  <c r="C5" i="20"/>
  <c r="C3" i="20"/>
  <c r="C2" i="20"/>
  <c r="K13" i="12" l="1" a="1"/>
  <c r="K13" i="12" s="1"/>
  <c r="K14" i="12" a="1"/>
  <c r="K14" i="12" s="1"/>
  <c r="K15" i="12" a="1"/>
  <c r="K15" i="12" s="1"/>
  <c r="N14" i="12" s="1"/>
  <c r="F22" i="36"/>
  <c r="G22" i="36" s="1"/>
  <c r="F23" i="36" s="1"/>
  <c r="G23" i="36" s="1"/>
  <c r="F24" i="36" s="1"/>
  <c r="C9" i="37"/>
  <c r="L9" i="37" s="1"/>
  <c r="D6" i="20"/>
  <c r="E6" i="20"/>
  <c r="E7" i="20"/>
  <c r="D7" i="20"/>
  <c r="D5" i="20"/>
  <c r="E5" i="20"/>
  <c r="D6" i="8"/>
  <c r="D5" i="8"/>
  <c r="D4" i="8"/>
  <c r="C6" i="8"/>
  <c r="C4" i="8"/>
  <c r="D6" i="15"/>
  <c r="D5" i="15"/>
  <c r="D4" i="15"/>
  <c r="C6" i="15"/>
  <c r="C4" i="15"/>
  <c r="D6" i="14"/>
  <c r="D5" i="14"/>
  <c r="C6" i="14"/>
  <c r="C5" i="14"/>
  <c r="E5" i="12"/>
  <c r="C3" i="12" s="1"/>
  <c r="L14" i="12" l="1"/>
  <c r="N13" i="12"/>
  <c r="F5" i="20"/>
  <c r="E318" i="20" s="1"/>
  <c r="K315" i="38" s="1"/>
  <c r="F6" i="20"/>
  <c r="F318" i="20" s="1"/>
  <c r="L315" i="38" s="1"/>
  <c r="P315" i="38" s="1"/>
  <c r="L13" i="12"/>
  <c r="G24" i="36"/>
  <c r="L15" i="12"/>
  <c r="F7" i="20"/>
  <c r="G318" i="20" s="1"/>
  <c r="M315" i="38" s="1"/>
  <c r="D23" i="12"/>
  <c r="C17" i="37"/>
  <c r="L17" i="37" s="1"/>
  <c r="C5" i="15"/>
  <c r="F5" i="12"/>
  <c r="F7" i="12"/>
  <c r="F25" i="12"/>
  <c r="F16" i="12"/>
  <c r="E4" i="15"/>
  <c r="E4" i="14"/>
  <c r="E9" i="12"/>
  <c r="N12" i="12" s="1"/>
  <c r="Q315" i="38" l="1"/>
  <c r="O315" i="38"/>
  <c r="F25" i="36"/>
  <c r="G25" i="36" s="1"/>
  <c r="D32" i="12"/>
  <c r="D35" i="12" s="1"/>
  <c r="A318" i="15" s="1"/>
  <c r="C318" i="15" s="1"/>
  <c r="C32" i="12"/>
  <c r="C25" i="37"/>
  <c r="L25" i="37" s="1"/>
  <c r="L1" i="37" s="1"/>
  <c r="H8" i="12" s="1"/>
  <c r="C5" i="8"/>
  <c r="N15" i="12"/>
  <c r="C35" i="12" l="1"/>
  <c r="A17" i="15" s="1"/>
  <c r="N17" i="15" s="1"/>
  <c r="F26" i="36"/>
  <c r="G26" i="36" s="1"/>
  <c r="A318" i="8"/>
  <c r="C318" i="8" s="1"/>
  <c r="B318" i="15"/>
  <c r="D318" i="15" s="1"/>
  <c r="A318" i="14"/>
  <c r="B333" i="37" s="1"/>
  <c r="A333" i="37" s="1"/>
  <c r="E4" i="8"/>
  <c r="A17" i="14" l="1"/>
  <c r="O17" i="14" s="1"/>
  <c r="B17" i="15"/>
  <c r="A18" i="15"/>
  <c r="A19" i="15" s="1"/>
  <c r="B19" i="15" s="1"/>
  <c r="A17" i="8"/>
  <c r="B17" i="8" s="1"/>
  <c r="O17" i="15"/>
  <c r="P17" i="15" s="1"/>
  <c r="F13" i="20" s="1"/>
  <c r="C17" i="15"/>
  <c r="F27" i="36"/>
  <c r="G27" i="36" s="1"/>
  <c r="B318" i="8"/>
  <c r="D318" i="8" s="1"/>
  <c r="B314" i="20"/>
  <c r="B318" i="14"/>
  <c r="C318" i="14"/>
  <c r="A18" i="8"/>
  <c r="C18" i="15" l="1"/>
  <c r="G18" i="15" s="1"/>
  <c r="O17" i="8"/>
  <c r="N17" i="8"/>
  <c r="B18" i="15"/>
  <c r="N18" i="15"/>
  <c r="C314" i="20"/>
  <c r="A312" i="38"/>
  <c r="B312" i="38" s="1"/>
  <c r="D17" i="15"/>
  <c r="H17" i="15" s="1"/>
  <c r="O18" i="15"/>
  <c r="C17" i="8"/>
  <c r="D17" i="8" s="1"/>
  <c r="H17" i="8" s="1"/>
  <c r="F17" i="15"/>
  <c r="G17" i="15"/>
  <c r="K13" i="20"/>
  <c r="A18" i="14"/>
  <c r="B33" i="37" s="1"/>
  <c r="A33" i="37" s="1"/>
  <c r="B13" i="20"/>
  <c r="A11" i="38" s="1"/>
  <c r="N17" i="14"/>
  <c r="P17" i="14" s="1"/>
  <c r="E13" i="20" s="1"/>
  <c r="C17" i="14"/>
  <c r="B17" i="14"/>
  <c r="B32" i="37"/>
  <c r="A32" i="37" s="1"/>
  <c r="F28" i="36"/>
  <c r="G28" i="36" s="1"/>
  <c r="A20" i="15"/>
  <c r="O20" i="15" s="1"/>
  <c r="O19" i="15"/>
  <c r="A314" i="20"/>
  <c r="N19" i="15"/>
  <c r="C19" i="15"/>
  <c r="D19" i="15" s="1"/>
  <c r="D318" i="14"/>
  <c r="N18" i="8"/>
  <c r="C18" i="8"/>
  <c r="B18" i="8"/>
  <c r="F17" i="8"/>
  <c r="A19" i="8"/>
  <c r="O18" i="8"/>
  <c r="P17" i="8" l="1"/>
  <c r="G13" i="20" s="1"/>
  <c r="G17" i="8"/>
  <c r="J13" i="20"/>
  <c r="P18" i="15"/>
  <c r="F14" i="20" s="1"/>
  <c r="D18" i="15"/>
  <c r="H18" i="15" s="1"/>
  <c r="F18" i="15"/>
  <c r="C312" i="38"/>
  <c r="E312" i="38"/>
  <c r="I312" i="38" s="1"/>
  <c r="D312" i="38"/>
  <c r="C13" i="20"/>
  <c r="U13" i="20" s="1"/>
  <c r="B11" i="38"/>
  <c r="K11" i="38" s="1"/>
  <c r="H13" i="20"/>
  <c r="A13" i="20"/>
  <c r="D17" i="14"/>
  <c r="H17" i="14" s="1"/>
  <c r="B14" i="20"/>
  <c r="F17" i="14"/>
  <c r="G17" i="14"/>
  <c r="C18" i="14"/>
  <c r="A19" i="14"/>
  <c r="B34" i="37" s="1"/>
  <c r="A34" i="37" s="1"/>
  <c r="B18" i="14"/>
  <c r="N18" i="14"/>
  <c r="O18" i="14"/>
  <c r="F29" i="36"/>
  <c r="G29" i="36" s="1"/>
  <c r="F30" i="36" s="1"/>
  <c r="B20" i="15"/>
  <c r="C20" i="15"/>
  <c r="N20" i="15"/>
  <c r="P20" i="15" s="1"/>
  <c r="F16" i="20" s="1"/>
  <c r="F19" i="15"/>
  <c r="A21" i="15"/>
  <c r="P19" i="15"/>
  <c r="F15" i="20" s="1"/>
  <c r="G19" i="15"/>
  <c r="P18" i="8"/>
  <c r="G14" i="20" s="1"/>
  <c r="H19" i="15"/>
  <c r="F18" i="8"/>
  <c r="C19" i="8"/>
  <c r="B19" i="8"/>
  <c r="G18" i="8"/>
  <c r="N19" i="8"/>
  <c r="A20" i="8"/>
  <c r="O19" i="8"/>
  <c r="D18" i="8"/>
  <c r="H18" i="8" s="1"/>
  <c r="G312" i="38" l="1"/>
  <c r="H312" i="38"/>
  <c r="AC13" i="20"/>
  <c r="AA13" i="20"/>
  <c r="AE13" i="20"/>
  <c r="W13" i="20"/>
  <c r="K14" i="20"/>
  <c r="K16" i="20"/>
  <c r="Y13" i="20"/>
  <c r="D18" i="14"/>
  <c r="H18" i="14" s="1"/>
  <c r="A20" i="14"/>
  <c r="B35" i="37" s="1"/>
  <c r="A35" i="37" s="1"/>
  <c r="E11" i="38"/>
  <c r="I11" i="38" s="1"/>
  <c r="D11" i="38"/>
  <c r="C11" i="38"/>
  <c r="C14" i="20"/>
  <c r="AE14" i="20" s="1"/>
  <c r="A12" i="38"/>
  <c r="B12" i="38" s="1"/>
  <c r="K12" i="38" s="1"/>
  <c r="A14" i="20"/>
  <c r="P18" i="14"/>
  <c r="E14" i="20" s="1"/>
  <c r="C19" i="14"/>
  <c r="O19" i="14"/>
  <c r="F18" i="14"/>
  <c r="B19" i="14"/>
  <c r="G18" i="14"/>
  <c r="B15" i="20"/>
  <c r="N19" i="14"/>
  <c r="I15" i="36"/>
  <c r="G30" i="36"/>
  <c r="G20" i="15"/>
  <c r="D20" i="15"/>
  <c r="H20" i="15" s="1"/>
  <c r="B21" i="15"/>
  <c r="N21" i="15"/>
  <c r="A22" i="15"/>
  <c r="A23" i="15" s="1"/>
  <c r="C21" i="15"/>
  <c r="O21" i="15"/>
  <c r="F20" i="15"/>
  <c r="K15" i="20"/>
  <c r="C20" i="8"/>
  <c r="B20" i="8"/>
  <c r="G19" i="8"/>
  <c r="F19" i="8"/>
  <c r="P19" i="8"/>
  <c r="G15" i="20" s="1"/>
  <c r="L13" i="20"/>
  <c r="A21" i="8"/>
  <c r="N20" i="8"/>
  <c r="O20" i="8"/>
  <c r="L14" i="20"/>
  <c r="D19" i="8"/>
  <c r="H19" i="8" s="1"/>
  <c r="G11" i="38" l="1"/>
  <c r="O11" i="38" s="1"/>
  <c r="L11" i="38"/>
  <c r="H11" i="38"/>
  <c r="M11" i="38"/>
  <c r="Q11" i="38"/>
  <c r="J14" i="20"/>
  <c r="W14" i="20" s="1"/>
  <c r="C20" i="14"/>
  <c r="O20" i="14"/>
  <c r="AA14" i="20"/>
  <c r="AC14" i="20"/>
  <c r="P19" i="14"/>
  <c r="E15" i="20" s="1"/>
  <c r="F19" i="14"/>
  <c r="G19" i="14"/>
  <c r="H14" i="20"/>
  <c r="B20" i="14"/>
  <c r="N20" i="14"/>
  <c r="P20" i="14" s="1"/>
  <c r="E16" i="20" s="1"/>
  <c r="B16" i="20"/>
  <c r="A16" i="20" s="1"/>
  <c r="A21" i="14"/>
  <c r="B36" i="37" s="1"/>
  <c r="A36" i="37" s="1"/>
  <c r="E12" i="38"/>
  <c r="I12" i="38" s="1"/>
  <c r="D12" i="38"/>
  <c r="C12" i="38"/>
  <c r="C15" i="20"/>
  <c r="AC15" i="20" s="1"/>
  <c r="A13" i="38"/>
  <c r="B13" i="38" s="1"/>
  <c r="K13" i="38" s="1"/>
  <c r="A15" i="20"/>
  <c r="D19" i="14"/>
  <c r="H19" i="14" s="1"/>
  <c r="P21" i="15"/>
  <c r="F17" i="20" s="1"/>
  <c r="D21" i="15"/>
  <c r="H21" i="15" s="1"/>
  <c r="N22" i="15"/>
  <c r="B22" i="15"/>
  <c r="F22" i="15" s="1"/>
  <c r="C22" i="15"/>
  <c r="G22" i="15" s="1"/>
  <c r="O22" i="15"/>
  <c r="F21" i="15"/>
  <c r="G21" i="15"/>
  <c r="AI14" i="20"/>
  <c r="AK14" i="20"/>
  <c r="AG14" i="20"/>
  <c r="AG13" i="20"/>
  <c r="AK13" i="20"/>
  <c r="AI13" i="20"/>
  <c r="M13" i="20"/>
  <c r="B23" i="15"/>
  <c r="C23" i="15"/>
  <c r="B21" i="8"/>
  <c r="C21" i="8"/>
  <c r="F20" i="8"/>
  <c r="G20" i="8"/>
  <c r="N23" i="15"/>
  <c r="O23" i="15"/>
  <c r="A24" i="15"/>
  <c r="A22" i="8"/>
  <c r="O21" i="8"/>
  <c r="N21" i="8"/>
  <c r="P20" i="8"/>
  <c r="G16" i="20" s="1"/>
  <c r="L15" i="20"/>
  <c r="D20" i="8"/>
  <c r="H20" i="8" s="1"/>
  <c r="P11" i="38" l="1"/>
  <c r="H12" i="38"/>
  <c r="M12" i="38"/>
  <c r="Q12" i="38"/>
  <c r="G12" i="38"/>
  <c r="L12" i="38"/>
  <c r="F20" i="14"/>
  <c r="D20" i="14"/>
  <c r="G20" i="14"/>
  <c r="A14" i="38"/>
  <c r="B14" i="38" s="1"/>
  <c r="B17" i="20"/>
  <c r="A15" i="38" s="1"/>
  <c r="B15" i="38" s="1"/>
  <c r="K15" i="38" s="1"/>
  <c r="M14" i="20"/>
  <c r="O21" i="14"/>
  <c r="C16" i="20"/>
  <c r="AA16" i="20" s="1"/>
  <c r="C21" i="14"/>
  <c r="O12" i="38"/>
  <c r="B21" i="14"/>
  <c r="J15" i="20"/>
  <c r="Y15" i="20" s="1"/>
  <c r="Y14" i="20"/>
  <c r="S14" i="20" s="1"/>
  <c r="U14" i="20"/>
  <c r="H20" i="14"/>
  <c r="A22" i="14"/>
  <c r="B37" i="37" s="1"/>
  <c r="A37" i="37" s="1"/>
  <c r="N21" i="14"/>
  <c r="AA15" i="20"/>
  <c r="AE15" i="20"/>
  <c r="H15" i="20"/>
  <c r="E13" i="38"/>
  <c r="I13" i="38" s="1"/>
  <c r="D13" i="38"/>
  <c r="C13" i="38"/>
  <c r="K17" i="20"/>
  <c r="H16" i="20"/>
  <c r="P22" i="15"/>
  <c r="F18" i="20" s="1"/>
  <c r="D22" i="15"/>
  <c r="H22" i="15" s="1"/>
  <c r="AG15" i="20"/>
  <c r="AI15" i="20"/>
  <c r="AK15" i="20"/>
  <c r="S13" i="20"/>
  <c r="Q13" i="20"/>
  <c r="O13" i="20"/>
  <c r="Q14" i="20"/>
  <c r="C24" i="15"/>
  <c r="B24" i="15"/>
  <c r="G21" i="8"/>
  <c r="C22" i="8"/>
  <c r="B22" i="8"/>
  <c r="F21" i="8"/>
  <c r="G23" i="15"/>
  <c r="F23" i="15"/>
  <c r="J16" i="20"/>
  <c r="D21" i="8"/>
  <c r="P21" i="8"/>
  <c r="G17" i="20" s="1"/>
  <c r="D23" i="15"/>
  <c r="N24" i="15"/>
  <c r="O24" i="15"/>
  <c r="A25" i="15"/>
  <c r="P23" i="15"/>
  <c r="F19" i="20" s="1"/>
  <c r="O22" i="8"/>
  <c r="N22" i="8"/>
  <c r="A23" i="8"/>
  <c r="L16" i="20"/>
  <c r="H13" i="38" l="1"/>
  <c r="M13" i="38"/>
  <c r="C14" i="38"/>
  <c r="K14" i="38"/>
  <c r="P12" i="38"/>
  <c r="Q13" i="38"/>
  <c r="G13" i="38"/>
  <c r="L13" i="38"/>
  <c r="O14" i="20"/>
  <c r="P21" i="14"/>
  <c r="E17" i="20" s="1"/>
  <c r="W15" i="20"/>
  <c r="Q15" i="20" s="1"/>
  <c r="F21" i="14"/>
  <c r="G21" i="14"/>
  <c r="A17" i="20"/>
  <c r="B22" i="14"/>
  <c r="O22" i="14"/>
  <c r="D21" i="14"/>
  <c r="H21" i="14" s="1"/>
  <c r="C17" i="20"/>
  <c r="AE17" i="20" s="1"/>
  <c r="AC16" i="20"/>
  <c r="O13" i="38"/>
  <c r="E14" i="38"/>
  <c r="I14" i="38" s="1"/>
  <c r="D14" i="38"/>
  <c r="U15" i="20"/>
  <c r="O15" i="20" s="1"/>
  <c r="AE16" i="20"/>
  <c r="B18" i="20"/>
  <c r="C18" i="20" s="1"/>
  <c r="A23" i="14"/>
  <c r="B38" i="37" s="1"/>
  <c r="A38" i="37" s="1"/>
  <c r="C22" i="14"/>
  <c r="N22" i="14"/>
  <c r="S15" i="20"/>
  <c r="M15" i="20"/>
  <c r="D15" i="38"/>
  <c r="C15" i="38"/>
  <c r="E15" i="38"/>
  <c r="I15" i="38" s="1"/>
  <c r="K18" i="20"/>
  <c r="W16" i="20"/>
  <c r="Y16" i="20"/>
  <c r="U16" i="20"/>
  <c r="AI16" i="20"/>
  <c r="AK16" i="20"/>
  <c r="AG16" i="20"/>
  <c r="F22" i="8"/>
  <c r="G22" i="8"/>
  <c r="M16" i="20"/>
  <c r="C25" i="15"/>
  <c r="B25" i="15"/>
  <c r="H23" i="15"/>
  <c r="K19" i="20" s="1"/>
  <c r="H21" i="8"/>
  <c r="L17" i="20" s="1"/>
  <c r="B23" i="8"/>
  <c r="C23" i="8"/>
  <c r="D22" i="8"/>
  <c r="H22" i="8" s="1"/>
  <c r="F24" i="15"/>
  <c r="G24" i="15"/>
  <c r="P22" i="8"/>
  <c r="G18" i="20" s="1"/>
  <c r="D24" i="15"/>
  <c r="O25" i="15"/>
  <c r="A26" i="15"/>
  <c r="N25" i="15"/>
  <c r="P24" i="15"/>
  <c r="F20" i="20" s="1"/>
  <c r="N23" i="8"/>
  <c r="O23" i="8"/>
  <c r="A24" i="8"/>
  <c r="G15" i="38" l="1"/>
  <c r="L15" i="38"/>
  <c r="H15" i="38"/>
  <c r="P15" i="38" s="1"/>
  <c r="M15" i="38"/>
  <c r="Q15" i="38" s="1"/>
  <c r="H14" i="38"/>
  <c r="M14" i="38"/>
  <c r="Q14" i="38" s="1"/>
  <c r="G14" i="38"/>
  <c r="O14" i="38" s="1"/>
  <c r="L14" i="38"/>
  <c r="P13" i="38"/>
  <c r="H17" i="20"/>
  <c r="O15" i="38"/>
  <c r="J17" i="20"/>
  <c r="U17" i="20" s="1"/>
  <c r="AC17" i="20"/>
  <c r="P22" i="14"/>
  <c r="E18" i="20" s="1"/>
  <c r="D22" i="14"/>
  <c r="H22" i="14" s="1"/>
  <c r="F22" i="14"/>
  <c r="A18" i="20"/>
  <c r="AA17" i="20"/>
  <c r="G22" i="14"/>
  <c r="A24" i="14"/>
  <c r="B39" i="37" s="1"/>
  <c r="A39" i="37" s="1"/>
  <c r="AC18" i="20"/>
  <c r="A16" i="38"/>
  <c r="B16" i="38" s="1"/>
  <c r="N23" i="14"/>
  <c r="B23" i="14"/>
  <c r="F23" i="14" s="1"/>
  <c r="B19" i="20"/>
  <c r="A19" i="20" s="1"/>
  <c r="C23" i="14"/>
  <c r="O23" i="14"/>
  <c r="AE18" i="20"/>
  <c r="AA18" i="20"/>
  <c r="AI17" i="20"/>
  <c r="AK17" i="20"/>
  <c r="AG17" i="20"/>
  <c r="Q16" i="20"/>
  <c r="O16" i="20"/>
  <c r="S16" i="20"/>
  <c r="L18" i="20"/>
  <c r="G23" i="8"/>
  <c r="N24" i="8"/>
  <c r="B24" i="8"/>
  <c r="C24" i="8"/>
  <c r="F23" i="8"/>
  <c r="C26" i="15"/>
  <c r="B26" i="15"/>
  <c r="F25" i="15"/>
  <c r="H24" i="15"/>
  <c r="K20" i="20" s="1"/>
  <c r="G25" i="15"/>
  <c r="P25" i="15"/>
  <c r="F21" i="20" s="1"/>
  <c r="P23" i="8"/>
  <c r="G19" i="20" s="1"/>
  <c r="O26" i="15"/>
  <c r="N26" i="15"/>
  <c r="A27" i="15"/>
  <c r="D25" i="15"/>
  <c r="D23" i="8"/>
  <c r="A25" i="8"/>
  <c r="O24" i="8"/>
  <c r="P14" i="38" l="1"/>
  <c r="M17" i="20"/>
  <c r="Y17" i="20"/>
  <c r="S17" i="20" s="1"/>
  <c r="C16" i="38"/>
  <c r="K16" i="38"/>
  <c r="W17" i="20"/>
  <c r="A17" i="38"/>
  <c r="B17" i="38" s="1"/>
  <c r="K17" i="38" s="1"/>
  <c r="C19" i="20"/>
  <c r="AE19" i="20" s="1"/>
  <c r="J18" i="20"/>
  <c r="W18" i="20" s="1"/>
  <c r="D16" i="38"/>
  <c r="E16" i="38"/>
  <c r="I16" i="38" s="1"/>
  <c r="H18" i="20"/>
  <c r="P23" i="14"/>
  <c r="E19" i="20" s="1"/>
  <c r="H19" i="20" s="1"/>
  <c r="G23" i="14"/>
  <c r="A25" i="14"/>
  <c r="B40" i="37" s="1"/>
  <c r="A40" i="37" s="1"/>
  <c r="C24" i="14"/>
  <c r="G24" i="14" s="1"/>
  <c r="D23" i="14"/>
  <c r="H23" i="14" s="1"/>
  <c r="B24" i="14"/>
  <c r="F24" i="14" s="1"/>
  <c r="N24" i="14"/>
  <c r="O24" i="14"/>
  <c r="B20" i="20"/>
  <c r="A20" i="20" s="1"/>
  <c r="C17" i="38"/>
  <c r="E17" i="38"/>
  <c r="I17" i="38" s="1"/>
  <c r="D17" i="38"/>
  <c r="A18" i="38"/>
  <c r="B18" i="38" s="1"/>
  <c r="K18" i="38" s="1"/>
  <c r="AC19" i="20"/>
  <c r="AA19" i="20"/>
  <c r="Q17" i="20"/>
  <c r="J19" i="20"/>
  <c r="U19" i="20" s="1"/>
  <c r="AI18" i="20"/>
  <c r="AK18" i="20"/>
  <c r="AG18" i="20"/>
  <c r="O17" i="20"/>
  <c r="G24" i="8"/>
  <c r="F24" i="8"/>
  <c r="G26" i="15"/>
  <c r="F26" i="15"/>
  <c r="O25" i="8"/>
  <c r="C25" i="8"/>
  <c r="B25" i="8"/>
  <c r="H23" i="8"/>
  <c r="L19" i="20" s="1"/>
  <c r="P24" i="8"/>
  <c r="G20" i="20" s="1"/>
  <c r="H25" i="15"/>
  <c r="K21" i="20" s="1"/>
  <c r="B27" i="15"/>
  <c r="C27" i="15"/>
  <c r="P26" i="15"/>
  <c r="F22" i="20" s="1"/>
  <c r="D24" i="8"/>
  <c r="O27" i="15"/>
  <c r="N27" i="15"/>
  <c r="A28" i="15"/>
  <c r="A26" i="8"/>
  <c r="N25" i="8"/>
  <c r="D26" i="15"/>
  <c r="P24" i="14" l="1"/>
  <c r="E20" i="20" s="1"/>
  <c r="C20" i="20"/>
  <c r="AC20" i="20" s="1"/>
  <c r="G17" i="38"/>
  <c r="L17" i="38"/>
  <c r="H17" i="38"/>
  <c r="P17" i="38" s="1"/>
  <c r="M17" i="38"/>
  <c r="H16" i="38"/>
  <c r="M16" i="38"/>
  <c r="G16" i="38"/>
  <c r="O16" i="38" s="1"/>
  <c r="L16" i="38"/>
  <c r="Q18" i="20"/>
  <c r="Q17" i="38"/>
  <c r="Q16" i="38"/>
  <c r="B21" i="20"/>
  <c r="A21" i="20" s="1"/>
  <c r="D24" i="14"/>
  <c r="H24" i="14" s="1"/>
  <c r="B25" i="14"/>
  <c r="O17" i="38"/>
  <c r="U18" i="20"/>
  <c r="O18" i="20" s="1"/>
  <c r="Y18" i="20"/>
  <c r="S18" i="20" s="1"/>
  <c r="M18" i="20"/>
  <c r="N25" i="14"/>
  <c r="C25" i="14"/>
  <c r="O25" i="14"/>
  <c r="A26" i="14"/>
  <c r="A27" i="14" s="1"/>
  <c r="A28" i="14" s="1"/>
  <c r="B43" i="37" s="1"/>
  <c r="A43" i="37" s="1"/>
  <c r="AA20" i="20"/>
  <c r="AE20" i="20"/>
  <c r="E18" i="38"/>
  <c r="I18" i="38" s="1"/>
  <c r="C18" i="38"/>
  <c r="D18" i="38"/>
  <c r="C21" i="20"/>
  <c r="AC21" i="20" s="1"/>
  <c r="A19" i="38"/>
  <c r="B19" i="38" s="1"/>
  <c r="K19" i="38" s="1"/>
  <c r="J20" i="20"/>
  <c r="U20" i="20" s="1"/>
  <c r="H20" i="20"/>
  <c r="Y19" i="20"/>
  <c r="W19" i="20"/>
  <c r="M19" i="20"/>
  <c r="AI19" i="20"/>
  <c r="AG19" i="20"/>
  <c r="AK19" i="20"/>
  <c r="P25" i="8"/>
  <c r="G21" i="20" s="1"/>
  <c r="G27" i="15"/>
  <c r="F27" i="15"/>
  <c r="O26" i="8"/>
  <c r="B26" i="8"/>
  <c r="C26" i="8"/>
  <c r="F25" i="8"/>
  <c r="G25" i="8"/>
  <c r="H24" i="8"/>
  <c r="L20" i="20" s="1"/>
  <c r="C28" i="15"/>
  <c r="B28" i="15"/>
  <c r="H26" i="15"/>
  <c r="K22" i="20" s="1"/>
  <c r="A27" i="8"/>
  <c r="N26" i="8"/>
  <c r="D27" i="15"/>
  <c r="D25" i="8"/>
  <c r="P27" i="15"/>
  <c r="F23" i="20" s="1"/>
  <c r="N28" i="15"/>
  <c r="A29" i="15"/>
  <c r="O28" i="15"/>
  <c r="D25" i="14" l="1"/>
  <c r="H25" i="14" s="1"/>
  <c r="P25" i="14"/>
  <c r="E21" i="20" s="1"/>
  <c r="H21" i="20" s="1"/>
  <c r="B23" i="20"/>
  <c r="G18" i="38"/>
  <c r="O18" i="38" s="1"/>
  <c r="L18" i="38"/>
  <c r="C27" i="14"/>
  <c r="H18" i="38"/>
  <c r="M18" i="38"/>
  <c r="Q18" i="38" s="1"/>
  <c r="P16" i="38"/>
  <c r="B27" i="14"/>
  <c r="D27" i="14" s="1"/>
  <c r="H27" i="14" s="1"/>
  <c r="O27" i="14"/>
  <c r="G25" i="14"/>
  <c r="B26" i="14"/>
  <c r="F26" i="14" s="1"/>
  <c r="N26" i="14"/>
  <c r="B41" i="37"/>
  <c r="A41" i="37" s="1"/>
  <c r="O26" i="14"/>
  <c r="N27" i="14"/>
  <c r="P27" i="14" s="1"/>
  <c r="E23" i="20" s="1"/>
  <c r="B42" i="37"/>
  <c r="A42" i="37" s="1"/>
  <c r="F25" i="14"/>
  <c r="B22" i="20"/>
  <c r="A22" i="20" s="1"/>
  <c r="C26" i="14"/>
  <c r="G26" i="14" s="1"/>
  <c r="J21" i="20"/>
  <c r="Y21" i="20" s="1"/>
  <c r="E19" i="38"/>
  <c r="I19" i="38" s="1"/>
  <c r="C19" i="38"/>
  <c r="D19" i="38"/>
  <c r="AA21" i="20"/>
  <c r="AE21" i="20"/>
  <c r="C22" i="20"/>
  <c r="AE22" i="20" s="1"/>
  <c r="A20" i="38"/>
  <c r="B20" i="38" s="1"/>
  <c r="K20" i="38" s="1"/>
  <c r="C23" i="20"/>
  <c r="A21" i="38"/>
  <c r="B21" i="38" s="1"/>
  <c r="K21" i="38" s="1"/>
  <c r="W20" i="20"/>
  <c r="Y20" i="20"/>
  <c r="Q19" i="20"/>
  <c r="S19" i="20"/>
  <c r="M20" i="20"/>
  <c r="AG20" i="20"/>
  <c r="O20" i="20" s="1"/>
  <c r="AK20" i="20"/>
  <c r="AI20" i="20"/>
  <c r="O19" i="20"/>
  <c r="N28" i="14"/>
  <c r="B24" i="20"/>
  <c r="A22" i="38" s="1"/>
  <c r="B22" i="38" s="1"/>
  <c r="K22" i="38" s="1"/>
  <c r="B28" i="14"/>
  <c r="C28" i="14"/>
  <c r="A29" i="14"/>
  <c r="B44" i="37" s="1"/>
  <c r="A44" i="37" s="1"/>
  <c r="O28" i="14"/>
  <c r="G27" i="14"/>
  <c r="A23" i="20"/>
  <c r="P26" i="8"/>
  <c r="G22" i="20" s="1"/>
  <c r="H25" i="8"/>
  <c r="L21" i="20" s="1"/>
  <c r="G26" i="8"/>
  <c r="G28" i="15"/>
  <c r="F26" i="8"/>
  <c r="F28" i="15"/>
  <c r="H27" i="15"/>
  <c r="K23" i="20" s="1"/>
  <c r="C27" i="8"/>
  <c r="B27" i="8"/>
  <c r="B29" i="15"/>
  <c r="C29" i="15"/>
  <c r="N27" i="8"/>
  <c r="D26" i="8"/>
  <c r="A28" i="8"/>
  <c r="O27" i="8"/>
  <c r="A30" i="15"/>
  <c r="N29" i="15"/>
  <c r="O29" i="15"/>
  <c r="P28" i="15"/>
  <c r="F24" i="20" s="1"/>
  <c r="D28" i="15"/>
  <c r="P18" i="38" l="1"/>
  <c r="H19" i="38"/>
  <c r="M19" i="38"/>
  <c r="Q19" i="38" s="1"/>
  <c r="G19" i="38"/>
  <c r="O19" i="38" s="1"/>
  <c r="L19" i="38"/>
  <c r="F27" i="14"/>
  <c r="AE23" i="20"/>
  <c r="P26" i="14"/>
  <c r="E22" i="20" s="1"/>
  <c r="AC22" i="20"/>
  <c r="AA22" i="20"/>
  <c r="D26" i="14"/>
  <c r="H26" i="14" s="1"/>
  <c r="U21" i="20"/>
  <c r="W21" i="20"/>
  <c r="Q20" i="20"/>
  <c r="S20" i="20"/>
  <c r="J23" i="20"/>
  <c r="U23" i="20" s="1"/>
  <c r="D21" i="38"/>
  <c r="C21" i="38"/>
  <c r="E21" i="38"/>
  <c r="I21" i="38" s="1"/>
  <c r="C20" i="38"/>
  <c r="E20" i="38"/>
  <c r="I20" i="38" s="1"/>
  <c r="D20" i="38"/>
  <c r="E22" i="38"/>
  <c r="I22" i="38" s="1"/>
  <c r="D22" i="38"/>
  <c r="C22" i="38"/>
  <c r="H22" i="20"/>
  <c r="J22" i="20"/>
  <c r="W22" i="20" s="1"/>
  <c r="M21" i="20"/>
  <c r="AK21" i="20"/>
  <c r="S21" i="20" s="1"/>
  <c r="AI21" i="20"/>
  <c r="Q21" i="20" s="1"/>
  <c r="AG21" i="20"/>
  <c r="AC23" i="20"/>
  <c r="AA23" i="20"/>
  <c r="A24" i="20"/>
  <c r="C24" i="20"/>
  <c r="B29" i="14"/>
  <c r="P28" i="14"/>
  <c r="E24" i="20" s="1"/>
  <c r="N29" i="14"/>
  <c r="B25" i="20"/>
  <c r="A23" i="38" s="1"/>
  <c r="B23" i="38" s="1"/>
  <c r="K23" i="38" s="1"/>
  <c r="G28" i="14"/>
  <c r="C29" i="14"/>
  <c r="F28" i="14"/>
  <c r="O29" i="14"/>
  <c r="A30" i="14"/>
  <c r="B45" i="37" s="1"/>
  <c r="A45" i="37" s="1"/>
  <c r="D28" i="14"/>
  <c r="H28" i="14" s="1"/>
  <c r="F27" i="8"/>
  <c r="F29" i="15"/>
  <c r="G27" i="8"/>
  <c r="D27" i="8"/>
  <c r="H27" i="8" s="1"/>
  <c r="C28" i="8"/>
  <c r="B28" i="8"/>
  <c r="H26" i="8"/>
  <c r="L22" i="20" s="1"/>
  <c r="B30" i="15"/>
  <c r="C30" i="15"/>
  <c r="H28" i="15"/>
  <c r="K24" i="20" s="1"/>
  <c r="G29" i="15"/>
  <c r="P27" i="8"/>
  <c r="G23" i="20" s="1"/>
  <c r="O28" i="8"/>
  <c r="A29" i="8"/>
  <c r="N28" i="8"/>
  <c r="P29" i="15"/>
  <c r="F25" i="20" s="1"/>
  <c r="D29" i="15"/>
  <c r="N30" i="15"/>
  <c r="A31" i="15"/>
  <c r="O30" i="15"/>
  <c r="H21" i="38" l="1"/>
  <c r="M21" i="38"/>
  <c r="H22" i="38"/>
  <c r="M22" i="38"/>
  <c r="G21" i="38"/>
  <c r="L21" i="38"/>
  <c r="H20" i="38"/>
  <c r="M20" i="38"/>
  <c r="Q20" i="38" s="1"/>
  <c r="G20" i="38"/>
  <c r="O20" i="38" s="1"/>
  <c r="L20" i="38"/>
  <c r="P19" i="38"/>
  <c r="G22" i="38"/>
  <c r="L22" i="38"/>
  <c r="J24" i="20"/>
  <c r="Y24" i="20" s="1"/>
  <c r="O22" i="38"/>
  <c r="Y23" i="20"/>
  <c r="W23" i="20"/>
  <c r="O21" i="38"/>
  <c r="Q21" i="38"/>
  <c r="E23" i="38"/>
  <c r="I23" i="38" s="1"/>
  <c r="D23" i="38"/>
  <c r="C23" i="38"/>
  <c r="Y22" i="20"/>
  <c r="U22" i="20"/>
  <c r="M22" i="20"/>
  <c r="AI22" i="20"/>
  <c r="Q22" i="20" s="1"/>
  <c r="AK22" i="20"/>
  <c r="AG22" i="20"/>
  <c r="AE24" i="20"/>
  <c r="AC24" i="20"/>
  <c r="AA24" i="20"/>
  <c r="A25" i="20"/>
  <c r="C25" i="20"/>
  <c r="P29" i="14"/>
  <c r="E25" i="20" s="1"/>
  <c r="O21" i="20"/>
  <c r="D29" i="14"/>
  <c r="H29" i="14" s="1"/>
  <c r="C30" i="14"/>
  <c r="G29" i="14"/>
  <c r="F29" i="14"/>
  <c r="A31" i="14"/>
  <c r="B46" i="37" s="1"/>
  <c r="A46" i="37" s="1"/>
  <c r="N30" i="14"/>
  <c r="O30" i="14"/>
  <c r="B30" i="14"/>
  <c r="B26" i="20"/>
  <c r="A24" i="38" s="1"/>
  <c r="B24" i="38" s="1"/>
  <c r="K24" i="38" s="1"/>
  <c r="L23" i="20"/>
  <c r="H23" i="20"/>
  <c r="G30" i="15"/>
  <c r="H29" i="15"/>
  <c r="K25" i="20" s="1"/>
  <c r="N29" i="8"/>
  <c r="B29" i="8"/>
  <c r="C29" i="8"/>
  <c r="C31" i="15"/>
  <c r="B31" i="15"/>
  <c r="F28" i="8"/>
  <c r="G28" i="8"/>
  <c r="F30" i="15"/>
  <c r="P28" i="8"/>
  <c r="G24" i="20" s="1"/>
  <c r="O29" i="8"/>
  <c r="A30" i="8"/>
  <c r="D28" i="8"/>
  <c r="A32" i="15"/>
  <c r="N31" i="15"/>
  <c r="O31" i="15"/>
  <c r="P30" i="15"/>
  <c r="F26" i="20" s="1"/>
  <c r="D30" i="15"/>
  <c r="G23" i="38" l="1"/>
  <c r="L23" i="38"/>
  <c r="P20" i="38"/>
  <c r="P22" i="38"/>
  <c r="H23" i="38"/>
  <c r="P23" i="38" s="1"/>
  <c r="M23" i="38"/>
  <c r="P21" i="38"/>
  <c r="J25" i="20"/>
  <c r="Y25" i="20" s="1"/>
  <c r="O23" i="38"/>
  <c r="U24" i="20"/>
  <c r="W24" i="20"/>
  <c r="H24" i="20"/>
  <c r="Q22" i="38"/>
  <c r="C24" i="38"/>
  <c r="E24" i="38"/>
  <c r="I24" i="38" s="1"/>
  <c r="D24" i="38"/>
  <c r="O22" i="20"/>
  <c r="S22" i="20"/>
  <c r="M23" i="20"/>
  <c r="AI23" i="20"/>
  <c r="Q23" i="20" s="1"/>
  <c r="AG23" i="20"/>
  <c r="O23" i="20" s="1"/>
  <c r="AK23" i="20"/>
  <c r="S23" i="20" s="1"/>
  <c r="AE25" i="20"/>
  <c r="AA25" i="20"/>
  <c r="AC25" i="20"/>
  <c r="A26" i="20"/>
  <c r="C26" i="20"/>
  <c r="F30" i="14"/>
  <c r="B27" i="20"/>
  <c r="A25" i="38" s="1"/>
  <c r="B25" i="38" s="1"/>
  <c r="K25" i="38" s="1"/>
  <c r="O31" i="14"/>
  <c r="A32" i="14"/>
  <c r="B47" i="37" s="1"/>
  <c r="A47" i="37" s="1"/>
  <c r="N31" i="14"/>
  <c r="C31" i="14"/>
  <c r="B31" i="14"/>
  <c r="P30" i="14"/>
  <c r="E26" i="20" s="1"/>
  <c r="D30" i="14"/>
  <c r="H30" i="14" s="1"/>
  <c r="G30" i="14"/>
  <c r="G31" i="15"/>
  <c r="F31" i="15"/>
  <c r="G29" i="8"/>
  <c r="F29" i="8"/>
  <c r="B32" i="15"/>
  <c r="C32" i="15"/>
  <c r="H30" i="15"/>
  <c r="K26" i="20" s="1"/>
  <c r="H28" i="8"/>
  <c r="L24" i="20" s="1"/>
  <c r="N30" i="8"/>
  <c r="C30" i="8"/>
  <c r="B30" i="8"/>
  <c r="P29" i="8"/>
  <c r="G25" i="20" s="1"/>
  <c r="A31" i="8"/>
  <c r="D29" i="8"/>
  <c r="O30" i="8"/>
  <c r="P31" i="15"/>
  <c r="F27" i="20" s="1"/>
  <c r="D31" i="15"/>
  <c r="N32" i="15"/>
  <c r="A33" i="15"/>
  <c r="O32" i="15"/>
  <c r="H24" i="38" l="1"/>
  <c r="M24" i="38"/>
  <c r="G24" i="38"/>
  <c r="L24" i="38"/>
  <c r="J26" i="20"/>
  <c r="W26" i="20" s="1"/>
  <c r="O24" i="38"/>
  <c r="U25" i="20"/>
  <c r="W25" i="20"/>
  <c r="H25" i="20"/>
  <c r="Q23" i="38"/>
  <c r="D25" i="38"/>
  <c r="C25" i="38"/>
  <c r="E25" i="38"/>
  <c r="I25" i="38" s="1"/>
  <c r="M24" i="20"/>
  <c r="AG24" i="20"/>
  <c r="O24" i="20" s="1"/>
  <c r="AI24" i="20"/>
  <c r="Q24" i="20" s="1"/>
  <c r="AK24" i="20"/>
  <c r="S24" i="20" s="1"/>
  <c r="A27" i="20"/>
  <c r="C27" i="20"/>
  <c r="AE26" i="20"/>
  <c r="AC26" i="20"/>
  <c r="AA26" i="20"/>
  <c r="B32" i="14"/>
  <c r="C32" i="14"/>
  <c r="O32" i="14"/>
  <c r="N32" i="14"/>
  <c r="A33" i="14"/>
  <c r="B48" i="37" s="1"/>
  <c r="A48" i="37" s="1"/>
  <c r="D31" i="14"/>
  <c r="H31" i="14" s="1"/>
  <c r="G31" i="14"/>
  <c r="B28" i="20"/>
  <c r="A26" i="38" s="1"/>
  <c r="B26" i="38" s="1"/>
  <c r="K26" i="38" s="1"/>
  <c r="P31" i="14"/>
  <c r="E27" i="20" s="1"/>
  <c r="F31" i="14"/>
  <c r="F30" i="8"/>
  <c r="G30" i="8"/>
  <c r="C33" i="15"/>
  <c r="B33" i="15"/>
  <c r="H31" i="15"/>
  <c r="K27" i="20" s="1"/>
  <c r="P30" i="8"/>
  <c r="G26" i="20" s="1"/>
  <c r="H29" i="8"/>
  <c r="L25" i="20" s="1"/>
  <c r="O31" i="8"/>
  <c r="B31" i="8"/>
  <c r="C31" i="8"/>
  <c r="G32" i="15"/>
  <c r="F32" i="15"/>
  <c r="A32" i="8"/>
  <c r="N31" i="8"/>
  <c r="D30" i="8"/>
  <c r="O33" i="15"/>
  <c r="N33" i="15"/>
  <c r="A34" i="15"/>
  <c r="P32" i="15"/>
  <c r="F28" i="20" s="1"/>
  <c r="D32" i="15"/>
  <c r="H25" i="38" l="1"/>
  <c r="M25" i="38"/>
  <c r="G25" i="38"/>
  <c r="L25" i="38"/>
  <c r="P24" i="38"/>
  <c r="Y26" i="20"/>
  <c r="U26" i="20"/>
  <c r="J27" i="20"/>
  <c r="W27" i="20" s="1"/>
  <c r="O25" i="38"/>
  <c r="H26" i="20"/>
  <c r="Q24" i="38"/>
  <c r="E26" i="38"/>
  <c r="I26" i="38" s="1"/>
  <c r="D26" i="38"/>
  <c r="C26" i="38"/>
  <c r="M25" i="20"/>
  <c r="AI25" i="20"/>
  <c r="Q25" i="20" s="1"/>
  <c r="AK25" i="20"/>
  <c r="S25" i="20" s="1"/>
  <c r="AG25" i="20"/>
  <c r="O25" i="20" s="1"/>
  <c r="A28" i="20"/>
  <c r="C28" i="20"/>
  <c r="AA27" i="20"/>
  <c r="AC27" i="20"/>
  <c r="Y27" i="20"/>
  <c r="AE27" i="20"/>
  <c r="B29" i="20"/>
  <c r="A27" i="38" s="1"/>
  <c r="B27" i="38" s="1"/>
  <c r="K27" i="38" s="1"/>
  <c r="D32" i="14"/>
  <c r="H32" i="14" s="1"/>
  <c r="G32" i="14"/>
  <c r="N33" i="14"/>
  <c r="P32" i="14"/>
  <c r="E28" i="20" s="1"/>
  <c r="B33" i="14"/>
  <c r="A34" i="14"/>
  <c r="B49" i="37" s="1"/>
  <c r="A49" i="37" s="1"/>
  <c r="O33" i="14"/>
  <c r="F32" i="14"/>
  <c r="C33" i="14"/>
  <c r="F31" i="8"/>
  <c r="G31" i="8"/>
  <c r="H32" i="15"/>
  <c r="K28" i="20" s="1"/>
  <c r="N32" i="8"/>
  <c r="B32" i="8"/>
  <c r="C32" i="8"/>
  <c r="F33" i="15"/>
  <c r="H30" i="8"/>
  <c r="L26" i="20" s="1"/>
  <c r="G33" i="15"/>
  <c r="P31" i="8"/>
  <c r="G27" i="20" s="1"/>
  <c r="C34" i="15"/>
  <c r="B34" i="15"/>
  <c r="A33" i="8"/>
  <c r="O32" i="8"/>
  <c r="D31" i="8"/>
  <c r="P33" i="15"/>
  <c r="F29" i="20" s="1"/>
  <c r="N34" i="15"/>
  <c r="A35" i="15"/>
  <c r="O34" i="15"/>
  <c r="D33" i="15"/>
  <c r="H26" i="38" l="1"/>
  <c r="M26" i="38"/>
  <c r="G26" i="38"/>
  <c r="L26" i="38"/>
  <c r="P25" i="38"/>
  <c r="U27" i="20"/>
  <c r="J28" i="20"/>
  <c r="U28" i="20" s="1"/>
  <c r="O26" i="38"/>
  <c r="H27" i="20"/>
  <c r="Q25" i="38"/>
  <c r="C27" i="38"/>
  <c r="D27" i="38"/>
  <c r="E27" i="38"/>
  <c r="I27" i="38" s="1"/>
  <c r="M26" i="20"/>
  <c r="AK26" i="20"/>
  <c r="S26" i="20" s="1"/>
  <c r="AG26" i="20"/>
  <c r="O26" i="20" s="1"/>
  <c r="AI26" i="20"/>
  <c r="Q26" i="20" s="1"/>
  <c r="A29" i="20"/>
  <c r="C29" i="20"/>
  <c r="AC28" i="20"/>
  <c r="Y28" i="20"/>
  <c r="W28" i="20"/>
  <c r="AA28" i="20"/>
  <c r="AE28" i="20"/>
  <c r="D33" i="14"/>
  <c r="H33" i="14" s="1"/>
  <c r="O34" i="14"/>
  <c r="B30" i="20"/>
  <c r="A28" i="38" s="1"/>
  <c r="B28" i="38" s="1"/>
  <c r="K28" i="38" s="1"/>
  <c r="A35" i="14"/>
  <c r="B50" i="37" s="1"/>
  <c r="A50" i="37" s="1"/>
  <c r="P33" i="14"/>
  <c r="E29" i="20" s="1"/>
  <c r="B34" i="14"/>
  <c r="C34" i="14"/>
  <c r="N34" i="14"/>
  <c r="F33" i="14"/>
  <c r="G33" i="14"/>
  <c r="G32" i="8"/>
  <c r="G34" i="15"/>
  <c r="P32" i="8"/>
  <c r="G28" i="20" s="1"/>
  <c r="B35" i="15"/>
  <c r="C35" i="15"/>
  <c r="H33" i="15"/>
  <c r="K29" i="20" s="1"/>
  <c r="F32" i="8"/>
  <c r="H31" i="8"/>
  <c r="L27" i="20" s="1"/>
  <c r="A34" i="8"/>
  <c r="O34" i="8" s="1"/>
  <c r="C33" i="8"/>
  <c r="B33" i="8"/>
  <c r="F34" i="15"/>
  <c r="N33" i="8"/>
  <c r="O33" i="8"/>
  <c r="D32" i="8"/>
  <c r="N35" i="15"/>
  <c r="A36" i="15"/>
  <c r="O35" i="15"/>
  <c r="D34" i="15"/>
  <c r="P34" i="15"/>
  <c r="F30" i="20" s="1"/>
  <c r="H27" i="38" l="1"/>
  <c r="M27" i="38"/>
  <c r="G27" i="38"/>
  <c r="L27" i="38"/>
  <c r="P26" i="38"/>
  <c r="J29" i="20"/>
  <c r="Y29" i="20" s="1"/>
  <c r="H28" i="20"/>
  <c r="Q26" i="38"/>
  <c r="O27" i="38"/>
  <c r="D28" i="38"/>
  <c r="C28" i="38"/>
  <c r="E28" i="38"/>
  <c r="I28" i="38" s="1"/>
  <c r="AK27" i="20"/>
  <c r="S27" i="20" s="1"/>
  <c r="AG27" i="20"/>
  <c r="O27" i="20" s="1"/>
  <c r="AI27" i="20"/>
  <c r="Q27" i="20" s="1"/>
  <c r="A30" i="20"/>
  <c r="C30" i="20"/>
  <c r="AE29" i="20"/>
  <c r="AC29" i="20"/>
  <c r="AA29" i="20"/>
  <c r="B35" i="14"/>
  <c r="O35" i="14"/>
  <c r="A36" i="14"/>
  <c r="B51" i="37" s="1"/>
  <c r="A51" i="37" s="1"/>
  <c r="C35" i="14"/>
  <c r="G34" i="14"/>
  <c r="F34" i="14"/>
  <c r="N35" i="14"/>
  <c r="B31" i="20"/>
  <c r="A29" i="38" s="1"/>
  <c r="B29" i="38" s="1"/>
  <c r="K29" i="38" s="1"/>
  <c r="P34" i="14"/>
  <c r="E30" i="20" s="1"/>
  <c r="D34" i="14"/>
  <c r="H34" i="14" s="1"/>
  <c r="M27" i="20"/>
  <c r="G33" i="8"/>
  <c r="F33" i="8"/>
  <c r="H34" i="15"/>
  <c r="K30" i="20" s="1"/>
  <c r="H32" i="8"/>
  <c r="L28" i="20" s="1"/>
  <c r="C34" i="8"/>
  <c r="B34" i="8"/>
  <c r="G35" i="15"/>
  <c r="F35" i="15"/>
  <c r="N34" i="8"/>
  <c r="P34" i="8" s="1"/>
  <c r="G30" i="20" s="1"/>
  <c r="C36" i="15"/>
  <c r="B36" i="15"/>
  <c r="A35" i="8"/>
  <c r="A36" i="8" s="1"/>
  <c r="D33" i="8"/>
  <c r="P33" i="8"/>
  <c r="G29" i="20" s="1"/>
  <c r="D35" i="15"/>
  <c r="A37" i="15"/>
  <c r="O36" i="15"/>
  <c r="N36" i="15"/>
  <c r="P35" i="15"/>
  <c r="F31" i="20" s="1"/>
  <c r="G28" i="38" l="1"/>
  <c r="L28" i="38"/>
  <c r="H28" i="38"/>
  <c r="M28" i="38"/>
  <c r="P27" i="38"/>
  <c r="W29" i="20"/>
  <c r="U29" i="20"/>
  <c r="H29" i="20"/>
  <c r="Q27" i="38"/>
  <c r="Q28" i="38"/>
  <c r="J30" i="20"/>
  <c r="Y30" i="20" s="1"/>
  <c r="O28" i="38"/>
  <c r="E29" i="38"/>
  <c r="I29" i="38" s="1"/>
  <c r="D29" i="38"/>
  <c r="C29" i="38"/>
  <c r="M28" i="20"/>
  <c r="AG28" i="20"/>
  <c r="O28" i="20" s="1"/>
  <c r="AI28" i="20"/>
  <c r="Q28" i="20" s="1"/>
  <c r="AK28" i="20"/>
  <c r="S28" i="20" s="1"/>
  <c r="A37" i="14"/>
  <c r="B52" i="37" s="1"/>
  <c r="A52" i="37" s="1"/>
  <c r="O36" i="14"/>
  <c r="B36" i="14"/>
  <c r="A31" i="20"/>
  <c r="C31" i="20"/>
  <c r="C36" i="14"/>
  <c r="H30" i="20"/>
  <c r="AE30" i="20"/>
  <c r="AA30" i="20"/>
  <c r="AC30" i="20"/>
  <c r="N36" i="14"/>
  <c r="B32" i="20"/>
  <c r="D35" i="14"/>
  <c r="H35" i="14" s="1"/>
  <c r="F35" i="14"/>
  <c r="G35" i="14"/>
  <c r="P35" i="14"/>
  <c r="E31" i="20" s="1"/>
  <c r="D34" i="8"/>
  <c r="H34" i="8" s="1"/>
  <c r="F36" i="15"/>
  <c r="G36" i="15"/>
  <c r="O35" i="8"/>
  <c r="N35" i="8"/>
  <c r="F34" i="8"/>
  <c r="G34" i="8"/>
  <c r="C36" i="8"/>
  <c r="B36" i="8"/>
  <c r="B37" i="15"/>
  <c r="C37" i="15"/>
  <c r="H35" i="15"/>
  <c r="K31" i="20" s="1"/>
  <c r="H33" i="8"/>
  <c r="L29" i="20" s="1"/>
  <c r="B35" i="8"/>
  <c r="F35" i="8" s="1"/>
  <c r="C35" i="8"/>
  <c r="G35" i="8" s="1"/>
  <c r="P36" i="15"/>
  <c r="F32" i="20" s="1"/>
  <c r="A38" i="15"/>
  <c r="O37" i="15"/>
  <c r="N37" i="15"/>
  <c r="D36" i="15"/>
  <c r="L30" i="20"/>
  <c r="A37" i="8"/>
  <c r="N36" i="8"/>
  <c r="O36" i="8"/>
  <c r="P28" i="38" l="1"/>
  <c r="G29" i="38"/>
  <c r="L29" i="38"/>
  <c r="H29" i="38"/>
  <c r="P29" i="38" s="1"/>
  <c r="M29" i="38"/>
  <c r="J31" i="20"/>
  <c r="U31" i="20" s="1"/>
  <c r="O29" i="38"/>
  <c r="W30" i="20"/>
  <c r="M30" i="20"/>
  <c r="U30" i="20"/>
  <c r="C32" i="20"/>
  <c r="A30" i="38"/>
  <c r="B30" i="38" s="1"/>
  <c r="K30" i="38" s="1"/>
  <c r="A38" i="14"/>
  <c r="B53" i="37" s="1"/>
  <c r="A53" i="37" s="1"/>
  <c r="O37" i="14"/>
  <c r="G36" i="14"/>
  <c r="B37" i="14"/>
  <c r="C37" i="14"/>
  <c r="F36" i="14"/>
  <c r="N37" i="14"/>
  <c r="AI30" i="20"/>
  <c r="Q30" i="20" s="1"/>
  <c r="AG30" i="20"/>
  <c r="AK30" i="20"/>
  <c r="S30" i="20" s="1"/>
  <c r="D36" i="14"/>
  <c r="H36" i="14" s="1"/>
  <c r="B33" i="20"/>
  <c r="P36" i="14"/>
  <c r="E32" i="20" s="1"/>
  <c r="M29" i="20"/>
  <c r="AG29" i="20"/>
  <c r="O29" i="20" s="1"/>
  <c r="AI29" i="20"/>
  <c r="Q29" i="20" s="1"/>
  <c r="AK29" i="20"/>
  <c r="S29" i="20" s="1"/>
  <c r="A32" i="20"/>
  <c r="AA31" i="20"/>
  <c r="AE31" i="20"/>
  <c r="AC31" i="20"/>
  <c r="G37" i="15"/>
  <c r="P35" i="8"/>
  <c r="G31" i="20" s="1"/>
  <c r="D35" i="8"/>
  <c r="H35" i="8" s="1"/>
  <c r="F37" i="15"/>
  <c r="F36" i="8"/>
  <c r="G36" i="8"/>
  <c r="H36" i="15"/>
  <c r="K32" i="20" s="1"/>
  <c r="B38" i="15"/>
  <c r="C38" i="15"/>
  <c r="B37" i="8"/>
  <c r="C37" i="8"/>
  <c r="P37" i="15"/>
  <c r="F33" i="20" s="1"/>
  <c r="D37" i="15"/>
  <c r="O38" i="15"/>
  <c r="A39" i="15"/>
  <c r="N38" i="15"/>
  <c r="O37" i="8"/>
  <c r="N37" i="8"/>
  <c r="A38" i="8"/>
  <c r="P36" i="8"/>
  <c r="G32" i="20" s="1"/>
  <c r="D36" i="8"/>
  <c r="H36" i="8" s="1"/>
  <c r="Q29" i="38" l="1"/>
  <c r="W31" i="20"/>
  <c r="Y31" i="20"/>
  <c r="O30" i="20"/>
  <c r="J32" i="20"/>
  <c r="U32" i="20" s="1"/>
  <c r="E30" i="38"/>
  <c r="I30" i="38" s="1"/>
  <c r="C30" i="38"/>
  <c r="D30" i="38"/>
  <c r="AA32" i="20"/>
  <c r="C33" i="20"/>
  <c r="A31" i="38"/>
  <c r="B31" i="38" s="1"/>
  <c r="K31" i="38" s="1"/>
  <c r="P37" i="14"/>
  <c r="E33" i="20" s="1"/>
  <c r="O38" i="14"/>
  <c r="N38" i="14"/>
  <c r="B34" i="20"/>
  <c r="A34" i="20" s="1"/>
  <c r="B38" i="14"/>
  <c r="G37" i="14"/>
  <c r="C38" i="14"/>
  <c r="A39" i="14"/>
  <c r="B54" i="37" s="1"/>
  <c r="A54" i="37" s="1"/>
  <c r="H32" i="20"/>
  <c r="D37" i="14"/>
  <c r="H37" i="14" s="1"/>
  <c r="F37" i="14"/>
  <c r="A33" i="20"/>
  <c r="AE32" i="20"/>
  <c r="AC32" i="20"/>
  <c r="F38" i="15"/>
  <c r="G38" i="15"/>
  <c r="L31" i="20"/>
  <c r="H31" i="20"/>
  <c r="G37" i="8"/>
  <c r="C38" i="8"/>
  <c r="B38" i="8"/>
  <c r="C39" i="15"/>
  <c r="B39" i="15"/>
  <c r="H37" i="15"/>
  <c r="K33" i="20" s="1"/>
  <c r="F37" i="8"/>
  <c r="P38" i="15"/>
  <c r="F34" i="20" s="1"/>
  <c r="D38" i="15"/>
  <c r="N39" i="15"/>
  <c r="O39" i="15"/>
  <c r="A40" i="15"/>
  <c r="L32" i="20"/>
  <c r="P37" i="8"/>
  <c r="G33" i="20" s="1"/>
  <c r="D37" i="8"/>
  <c r="H37" i="8" s="1"/>
  <c r="A39" i="8"/>
  <c r="N38" i="8"/>
  <c r="O38" i="8"/>
  <c r="H30" i="38" l="1"/>
  <c r="M30" i="38"/>
  <c r="G30" i="38"/>
  <c r="L30" i="38"/>
  <c r="Q30" i="38"/>
  <c r="P38" i="14"/>
  <c r="E34" i="20" s="1"/>
  <c r="W32" i="20"/>
  <c r="Y32" i="20"/>
  <c r="J33" i="20"/>
  <c r="W33" i="20" s="1"/>
  <c r="O30" i="38"/>
  <c r="H33" i="20"/>
  <c r="E31" i="38"/>
  <c r="I31" i="38" s="1"/>
  <c r="C31" i="38"/>
  <c r="D31" i="38"/>
  <c r="C34" i="20"/>
  <c r="A32" i="38"/>
  <c r="B32" i="38" s="1"/>
  <c r="K32" i="38" s="1"/>
  <c r="D38" i="14"/>
  <c r="H38" i="14" s="1"/>
  <c r="O39" i="14"/>
  <c r="A40" i="14"/>
  <c r="B55" i="37" s="1"/>
  <c r="A55" i="37" s="1"/>
  <c r="N39" i="14"/>
  <c r="B35" i="20"/>
  <c r="A35" i="20" s="1"/>
  <c r="C39" i="14"/>
  <c r="B39" i="14"/>
  <c r="F38" i="14"/>
  <c r="G38" i="14"/>
  <c r="AA33" i="20"/>
  <c r="AE33" i="20"/>
  <c r="AC33" i="20"/>
  <c r="U33" i="20"/>
  <c r="Y33" i="20"/>
  <c r="M32" i="20"/>
  <c r="AG32" i="20"/>
  <c r="O32" i="20" s="1"/>
  <c r="AI32" i="20"/>
  <c r="AK32" i="20"/>
  <c r="M31" i="20"/>
  <c r="AK31" i="20"/>
  <c r="S31" i="20" s="1"/>
  <c r="AG31" i="20"/>
  <c r="O31" i="20" s="1"/>
  <c r="AI31" i="20"/>
  <c r="Q31" i="20" s="1"/>
  <c r="F39" i="15"/>
  <c r="G39" i="15"/>
  <c r="B39" i="8"/>
  <c r="C39" i="8"/>
  <c r="H38" i="15"/>
  <c r="K34" i="20" s="1"/>
  <c r="C40" i="15"/>
  <c r="B40" i="15"/>
  <c r="F38" i="8"/>
  <c r="G38" i="8"/>
  <c r="D39" i="15"/>
  <c r="A41" i="15"/>
  <c r="O40" i="15"/>
  <c r="N40" i="15"/>
  <c r="P39" i="15"/>
  <c r="F35" i="20" s="1"/>
  <c r="L33" i="20"/>
  <c r="J34" i="20"/>
  <c r="D38" i="8"/>
  <c r="H38" i="8" s="1"/>
  <c r="P38" i="8"/>
  <c r="G34" i="20" s="1"/>
  <c r="A40" i="8"/>
  <c r="O39" i="8"/>
  <c r="N39" i="8"/>
  <c r="G31" i="38" l="1"/>
  <c r="O31" i="38" s="1"/>
  <c r="L31" i="38"/>
  <c r="H31" i="38"/>
  <c r="M31" i="38"/>
  <c r="Q31" i="38"/>
  <c r="P30" i="38"/>
  <c r="H34" i="20"/>
  <c r="S32" i="20"/>
  <c r="Q32" i="20"/>
  <c r="D39" i="14"/>
  <c r="H39" i="14" s="1"/>
  <c r="E32" i="38"/>
  <c r="I32" i="38" s="1"/>
  <c r="D32" i="38"/>
  <c r="C32" i="38"/>
  <c r="C35" i="20"/>
  <c r="A33" i="38"/>
  <c r="B33" i="38" s="1"/>
  <c r="K33" i="38" s="1"/>
  <c r="N40" i="14"/>
  <c r="O40" i="14"/>
  <c r="A41" i="14"/>
  <c r="B56" i="37" s="1"/>
  <c r="A56" i="37" s="1"/>
  <c r="B36" i="20"/>
  <c r="A36" i="20" s="1"/>
  <c r="F39" i="14"/>
  <c r="G39" i="14"/>
  <c r="B40" i="14"/>
  <c r="C40" i="14"/>
  <c r="P39" i="14"/>
  <c r="E35" i="20" s="1"/>
  <c r="AA34" i="20"/>
  <c r="AC34" i="20"/>
  <c r="AE34" i="20"/>
  <c r="U34" i="20"/>
  <c r="Y34" i="20"/>
  <c r="W34" i="20"/>
  <c r="M33" i="20"/>
  <c r="AG33" i="20"/>
  <c r="O33" i="20" s="1"/>
  <c r="AI33" i="20"/>
  <c r="Q33" i="20" s="1"/>
  <c r="AK33" i="20"/>
  <c r="S33" i="20" s="1"/>
  <c r="F40" i="15"/>
  <c r="G40" i="15"/>
  <c r="B40" i="8"/>
  <c r="C40" i="8"/>
  <c r="H39" i="15"/>
  <c r="K35" i="20" s="1"/>
  <c r="G39" i="8"/>
  <c r="C41" i="15"/>
  <c r="B41" i="15"/>
  <c r="F39" i="8"/>
  <c r="P40" i="15"/>
  <c r="F36" i="20" s="1"/>
  <c r="N41" i="15"/>
  <c r="A42" i="15"/>
  <c r="O41" i="15"/>
  <c r="D40" i="15"/>
  <c r="L34" i="20"/>
  <c r="P39" i="8"/>
  <c r="G35" i="20" s="1"/>
  <c r="A41" i="8"/>
  <c r="O40" i="8"/>
  <c r="N40" i="8"/>
  <c r="D39" i="8"/>
  <c r="H39" i="8" s="1"/>
  <c r="P31" i="38" l="1"/>
  <c r="G32" i="38"/>
  <c r="O32" i="38" s="1"/>
  <c r="L32" i="38"/>
  <c r="H32" i="38"/>
  <c r="M32" i="38"/>
  <c r="Q32" i="38" s="1"/>
  <c r="A42" i="14"/>
  <c r="B57" i="37" s="1"/>
  <c r="A57" i="37" s="1"/>
  <c r="O41" i="14"/>
  <c r="J35" i="20"/>
  <c r="Y35" i="20" s="1"/>
  <c r="G40" i="14"/>
  <c r="N41" i="14"/>
  <c r="P41" i="14" s="1"/>
  <c r="E37" i="20" s="1"/>
  <c r="F40" i="14"/>
  <c r="P40" i="14"/>
  <c r="E36" i="20" s="1"/>
  <c r="D40" i="14"/>
  <c r="H40" i="14" s="1"/>
  <c r="B37" i="20"/>
  <c r="C37" i="20" s="1"/>
  <c r="C33" i="38"/>
  <c r="E33" i="38"/>
  <c r="I33" i="38" s="1"/>
  <c r="D33" i="38"/>
  <c r="C36" i="20"/>
  <c r="A34" i="38"/>
  <c r="B34" i="38" s="1"/>
  <c r="K34" i="38" s="1"/>
  <c r="H35" i="20"/>
  <c r="B41" i="14"/>
  <c r="F41" i="14" s="1"/>
  <c r="C41" i="14"/>
  <c r="AE35" i="20"/>
  <c r="AC35" i="20"/>
  <c r="AA35" i="20"/>
  <c r="M34" i="20"/>
  <c r="AI34" i="20"/>
  <c r="Q34" i="20" s="1"/>
  <c r="AG34" i="20"/>
  <c r="O34" i="20" s="1"/>
  <c r="AK34" i="20"/>
  <c r="S34" i="20" s="1"/>
  <c r="F41" i="15"/>
  <c r="G41" i="15"/>
  <c r="C41" i="8"/>
  <c r="B41" i="8"/>
  <c r="H40" i="15"/>
  <c r="K36" i="20" s="1"/>
  <c r="B42" i="15"/>
  <c r="C42" i="15"/>
  <c r="G40" i="8"/>
  <c r="F40" i="8"/>
  <c r="B42" i="14"/>
  <c r="D41" i="15"/>
  <c r="O42" i="15"/>
  <c r="A43" i="15"/>
  <c r="N42" i="15"/>
  <c r="P41" i="15"/>
  <c r="F37" i="20" s="1"/>
  <c r="L35" i="20"/>
  <c r="B38" i="20"/>
  <c r="P40" i="8"/>
  <c r="G36" i="20" s="1"/>
  <c r="D40" i="8"/>
  <c r="H40" i="8" s="1"/>
  <c r="N41" i="8"/>
  <c r="A42" i="8"/>
  <c r="O41" i="8"/>
  <c r="P32" i="38" l="1"/>
  <c r="C42" i="14"/>
  <c r="G33" i="38"/>
  <c r="O33" i="38" s="1"/>
  <c r="L33" i="38"/>
  <c r="H33" i="38"/>
  <c r="M33" i="38"/>
  <c r="Q33" i="38" s="1"/>
  <c r="J36" i="20"/>
  <c r="U35" i="20"/>
  <c r="N42" i="14"/>
  <c r="A43" i="14"/>
  <c r="B58" i="37" s="1"/>
  <c r="A58" i="37" s="1"/>
  <c r="W35" i="20"/>
  <c r="O42" i="14"/>
  <c r="G41" i="14"/>
  <c r="H36" i="20"/>
  <c r="D41" i="14"/>
  <c r="H41" i="14" s="1"/>
  <c r="A37" i="20"/>
  <c r="A35" i="38"/>
  <c r="B35" i="38" s="1"/>
  <c r="D34" i="38"/>
  <c r="C34" i="38"/>
  <c r="E34" i="38"/>
  <c r="I34" i="38" s="1"/>
  <c r="C35" i="38"/>
  <c r="C38" i="20"/>
  <c r="A36" i="38"/>
  <c r="B36" i="38" s="1"/>
  <c r="K36" i="38" s="1"/>
  <c r="Y36" i="20"/>
  <c r="W36" i="20"/>
  <c r="U36" i="20"/>
  <c r="AE36" i="20"/>
  <c r="AC36" i="20"/>
  <c r="AA36" i="20"/>
  <c r="M35" i="20"/>
  <c r="AK35" i="20"/>
  <c r="S35" i="20" s="1"/>
  <c r="AI35" i="20"/>
  <c r="AG35" i="20"/>
  <c r="A38" i="20"/>
  <c r="G42" i="15"/>
  <c r="F42" i="15"/>
  <c r="C42" i="8"/>
  <c r="B42" i="8"/>
  <c r="F41" i="8"/>
  <c r="G41" i="8"/>
  <c r="H41" i="15"/>
  <c r="K37" i="20" s="1"/>
  <c r="B43" i="15"/>
  <c r="C43" i="15"/>
  <c r="G42" i="14"/>
  <c r="F42" i="14"/>
  <c r="C43" i="14"/>
  <c r="B43" i="14"/>
  <c r="P42" i="15"/>
  <c r="F38" i="20" s="1"/>
  <c r="A44" i="15"/>
  <c r="O43" i="15"/>
  <c r="N43" i="15"/>
  <c r="D42" i="15"/>
  <c r="B39" i="20"/>
  <c r="L36" i="20"/>
  <c r="J37" i="20"/>
  <c r="P41" i="8"/>
  <c r="G37" i="20" s="1"/>
  <c r="N42" i="8"/>
  <c r="O42" i="8"/>
  <c r="A43" i="8"/>
  <c r="D41" i="8"/>
  <c r="H41" i="8" s="1"/>
  <c r="D42" i="14"/>
  <c r="P33" i="38" l="1"/>
  <c r="G35" i="38"/>
  <c r="L35" i="38"/>
  <c r="G34" i="38"/>
  <c r="O34" i="38" s="1"/>
  <c r="L34" i="38"/>
  <c r="H34" i="38"/>
  <c r="P34" i="38" s="1"/>
  <c r="M34" i="38"/>
  <c r="D35" i="38"/>
  <c r="K35" i="38"/>
  <c r="Q34" i="38"/>
  <c r="E35" i="38"/>
  <c r="I35" i="38" s="1"/>
  <c r="P42" i="14"/>
  <c r="E38" i="20" s="1"/>
  <c r="H42" i="14"/>
  <c r="O35" i="20"/>
  <c r="A44" i="14"/>
  <c r="B59" i="37" s="1"/>
  <c r="A59" i="37" s="1"/>
  <c r="Q35" i="20"/>
  <c r="O43" i="14"/>
  <c r="N43" i="14"/>
  <c r="H37" i="20"/>
  <c r="E36" i="38"/>
  <c r="I36" i="38" s="1"/>
  <c r="D36" i="38"/>
  <c r="C36" i="38"/>
  <c r="C39" i="20"/>
  <c r="A37" i="38"/>
  <c r="B37" i="38" s="1"/>
  <c r="K37" i="38" s="1"/>
  <c r="W37" i="20"/>
  <c r="Y37" i="20"/>
  <c r="U37" i="20"/>
  <c r="M36" i="20"/>
  <c r="AI36" i="20"/>
  <c r="Q36" i="20" s="1"/>
  <c r="AG36" i="20"/>
  <c r="O36" i="20" s="1"/>
  <c r="AK36" i="20"/>
  <c r="S36" i="20" s="1"/>
  <c r="AE37" i="20"/>
  <c r="AC37" i="20"/>
  <c r="AA37" i="20"/>
  <c r="A39" i="20"/>
  <c r="G43" i="15"/>
  <c r="F43" i="15"/>
  <c r="C43" i="8"/>
  <c r="B43" i="8"/>
  <c r="H42" i="15"/>
  <c r="K38" i="20" s="1"/>
  <c r="F42" i="8"/>
  <c r="C44" i="15"/>
  <c r="B44" i="15"/>
  <c r="G42" i="8"/>
  <c r="P43" i="15"/>
  <c r="F39" i="20" s="1"/>
  <c r="D43" i="15"/>
  <c r="N44" i="15"/>
  <c r="O44" i="15"/>
  <c r="A45" i="15"/>
  <c r="L37" i="20"/>
  <c r="B40" i="20"/>
  <c r="P42" i="8"/>
  <c r="G38" i="20" s="1"/>
  <c r="D42" i="8"/>
  <c r="H42" i="8" s="1"/>
  <c r="N43" i="8"/>
  <c r="A44" i="8"/>
  <c r="O43" i="8"/>
  <c r="O44" i="14"/>
  <c r="N44" i="14"/>
  <c r="A45" i="14"/>
  <c r="B60" i="37" s="1"/>
  <c r="A60" i="37" s="1"/>
  <c r="P43" i="14"/>
  <c r="E39" i="20" s="1"/>
  <c r="D43" i="14"/>
  <c r="H43" i="14" s="1"/>
  <c r="H35" i="38" l="1"/>
  <c r="P35" i="38" s="1"/>
  <c r="M35" i="38"/>
  <c r="Q35" i="38" s="1"/>
  <c r="G36" i="38"/>
  <c r="L36" i="38"/>
  <c r="H36" i="38"/>
  <c r="P36" i="38" s="1"/>
  <c r="M36" i="38"/>
  <c r="O35" i="38"/>
  <c r="C44" i="14"/>
  <c r="G44" i="14" s="1"/>
  <c r="O36" i="38"/>
  <c r="J38" i="20"/>
  <c r="F43" i="14"/>
  <c r="G43" i="14"/>
  <c r="B44" i="14"/>
  <c r="F44" i="14" s="1"/>
  <c r="H38" i="20"/>
  <c r="Q36" i="38"/>
  <c r="E37" i="38"/>
  <c r="I37" i="38" s="1"/>
  <c r="D37" i="38"/>
  <c r="C37" i="38"/>
  <c r="C40" i="20"/>
  <c r="A38" i="38"/>
  <c r="B38" i="38" s="1"/>
  <c r="K38" i="38" s="1"/>
  <c r="M37" i="20"/>
  <c r="AK37" i="20"/>
  <c r="S37" i="20" s="1"/>
  <c r="AG37" i="20"/>
  <c r="O37" i="20" s="1"/>
  <c r="AI37" i="20"/>
  <c r="Q37" i="20" s="1"/>
  <c r="AC38" i="20"/>
  <c r="AA38" i="20"/>
  <c r="AE38" i="20"/>
  <c r="U38" i="20"/>
  <c r="W38" i="20"/>
  <c r="Y38" i="20"/>
  <c r="F44" i="15"/>
  <c r="G44" i="15"/>
  <c r="A40" i="20"/>
  <c r="C44" i="8"/>
  <c r="B44" i="8"/>
  <c r="B45" i="15"/>
  <c r="C45" i="15"/>
  <c r="F43" i="8"/>
  <c r="G43" i="8"/>
  <c r="H43" i="15"/>
  <c r="K39" i="20" s="1"/>
  <c r="C45" i="14"/>
  <c r="B45" i="14"/>
  <c r="P44" i="15"/>
  <c r="F40" i="20" s="1"/>
  <c r="O45" i="15"/>
  <c r="N45" i="15"/>
  <c r="A46" i="15"/>
  <c r="D44" i="15"/>
  <c r="J39" i="20"/>
  <c r="L38" i="20"/>
  <c r="B41" i="20"/>
  <c r="P44" i="14"/>
  <c r="E40" i="20" s="1"/>
  <c r="D43" i="8"/>
  <c r="H43" i="8" s="1"/>
  <c r="O44" i="8"/>
  <c r="N44" i="8"/>
  <c r="A45" i="8"/>
  <c r="P43" i="8"/>
  <c r="G39" i="20" s="1"/>
  <c r="N45" i="14"/>
  <c r="A46" i="14"/>
  <c r="B61" i="37" s="1"/>
  <c r="A61" i="37" s="1"/>
  <c r="O45" i="14"/>
  <c r="D44" i="14"/>
  <c r="H44" i="14" s="1"/>
  <c r="G37" i="38" l="1"/>
  <c r="O37" i="38" s="1"/>
  <c r="L37" i="38"/>
  <c r="H37" i="38"/>
  <c r="P37" i="38" s="1"/>
  <c r="M37" i="38"/>
  <c r="H39" i="20"/>
  <c r="Q37" i="38"/>
  <c r="E38" i="38"/>
  <c r="I38" i="38" s="1"/>
  <c r="D38" i="38"/>
  <c r="C38" i="38"/>
  <c r="C41" i="20"/>
  <c r="A39" i="38"/>
  <c r="B39" i="38" s="1"/>
  <c r="K39" i="38" s="1"/>
  <c r="M38" i="20"/>
  <c r="AI38" i="20"/>
  <c r="Q38" i="20" s="1"/>
  <c r="AG38" i="20"/>
  <c r="O38" i="20" s="1"/>
  <c r="AK38" i="20"/>
  <c r="S38" i="20" s="1"/>
  <c r="AC39" i="20"/>
  <c r="AE39" i="20"/>
  <c r="AA39" i="20"/>
  <c r="Y39" i="20"/>
  <c r="U39" i="20"/>
  <c r="W39" i="20"/>
  <c r="A41" i="20"/>
  <c r="F45" i="15"/>
  <c r="G45" i="15"/>
  <c r="B45" i="8"/>
  <c r="C45" i="8"/>
  <c r="F44" i="8"/>
  <c r="G44" i="8"/>
  <c r="H44" i="15"/>
  <c r="K40" i="20" s="1"/>
  <c r="B46" i="15"/>
  <c r="C46" i="15"/>
  <c r="G45" i="14"/>
  <c r="F45" i="14"/>
  <c r="B46" i="14"/>
  <c r="C46" i="14"/>
  <c r="P45" i="15"/>
  <c r="F41" i="20" s="1"/>
  <c r="N46" i="15"/>
  <c r="A47" i="15"/>
  <c r="O46" i="15"/>
  <c r="D45" i="15"/>
  <c r="B42" i="20"/>
  <c r="J40" i="20"/>
  <c r="L39" i="20"/>
  <c r="P44" i="8"/>
  <c r="G40" i="20" s="1"/>
  <c r="O45" i="8"/>
  <c r="N45" i="8"/>
  <c r="A46" i="8"/>
  <c r="D44" i="8"/>
  <c r="H44" i="8" s="1"/>
  <c r="D45" i="14"/>
  <c r="H45" i="14" s="1"/>
  <c r="N46" i="14"/>
  <c r="O46" i="14"/>
  <c r="A47" i="14"/>
  <c r="B62" i="37" s="1"/>
  <c r="A62" i="37" s="1"/>
  <c r="P45" i="14"/>
  <c r="E41" i="20" s="1"/>
  <c r="H38" i="38" l="1"/>
  <c r="M38" i="38"/>
  <c r="G38" i="38"/>
  <c r="O38" i="38" s="1"/>
  <c r="L38" i="38"/>
  <c r="H40" i="20"/>
  <c r="Q38" i="38"/>
  <c r="E39" i="38"/>
  <c r="I39" i="38" s="1"/>
  <c r="D39" i="38"/>
  <c r="C39" i="38"/>
  <c r="C42" i="20"/>
  <c r="A40" i="38"/>
  <c r="B40" i="38" s="1"/>
  <c r="K40" i="38" s="1"/>
  <c r="Y40" i="20"/>
  <c r="U40" i="20"/>
  <c r="W40" i="20"/>
  <c r="M39" i="20"/>
  <c r="AK39" i="20"/>
  <c r="S39" i="20" s="1"/>
  <c r="AI39" i="20"/>
  <c r="Q39" i="20" s="1"/>
  <c r="AG39" i="20"/>
  <c r="O39" i="20" s="1"/>
  <c r="AE40" i="20"/>
  <c r="AC40" i="20"/>
  <c r="AA40" i="20"/>
  <c r="A42" i="20"/>
  <c r="G46" i="15"/>
  <c r="F46" i="15"/>
  <c r="C46" i="8"/>
  <c r="B46" i="8"/>
  <c r="H45" i="15"/>
  <c r="K41" i="20" s="1"/>
  <c r="C47" i="15"/>
  <c r="B47" i="15"/>
  <c r="G45" i="8"/>
  <c r="F45" i="8"/>
  <c r="G46" i="14"/>
  <c r="F46" i="14"/>
  <c r="B47" i="14"/>
  <c r="C47" i="14"/>
  <c r="A48" i="15"/>
  <c r="N47" i="15"/>
  <c r="O47" i="15"/>
  <c r="D46" i="15"/>
  <c r="P46" i="15"/>
  <c r="F42" i="20" s="1"/>
  <c r="J41" i="20"/>
  <c r="B43" i="20"/>
  <c r="L40" i="20"/>
  <c r="P45" i="8"/>
  <c r="G41" i="20" s="1"/>
  <c r="D45" i="8"/>
  <c r="H45" i="8" s="1"/>
  <c r="N46" i="8"/>
  <c r="O46" i="8"/>
  <c r="A47" i="8"/>
  <c r="P46" i="14"/>
  <c r="E42" i="20" s="1"/>
  <c r="D46" i="14"/>
  <c r="H46" i="14" s="1"/>
  <c r="N47" i="14"/>
  <c r="A48" i="14"/>
  <c r="B63" i="37" s="1"/>
  <c r="A63" i="37" s="1"/>
  <c r="O47" i="14"/>
  <c r="G39" i="38" l="1"/>
  <c r="O39" i="38" s="1"/>
  <c r="L39" i="38"/>
  <c r="H39" i="38"/>
  <c r="M39" i="38"/>
  <c r="Q39" i="38" s="1"/>
  <c r="P38" i="38"/>
  <c r="H41" i="20"/>
  <c r="E40" i="38"/>
  <c r="I40" i="38" s="1"/>
  <c r="C40" i="38"/>
  <c r="D40" i="38"/>
  <c r="C43" i="20"/>
  <c r="A41" i="38"/>
  <c r="B41" i="38" s="1"/>
  <c r="K41" i="38" s="1"/>
  <c r="M40" i="20"/>
  <c r="AI40" i="20"/>
  <c r="Q40" i="20" s="1"/>
  <c r="AK40" i="20"/>
  <c r="S40" i="20" s="1"/>
  <c r="AG40" i="20"/>
  <c r="O40" i="20" s="1"/>
  <c r="U41" i="20"/>
  <c r="W41" i="20"/>
  <c r="Y41" i="20"/>
  <c r="AA41" i="20"/>
  <c r="AC41" i="20"/>
  <c r="AE41" i="20"/>
  <c r="A43" i="20"/>
  <c r="B47" i="8"/>
  <c r="C47" i="8"/>
  <c r="F47" i="15"/>
  <c r="G47" i="15"/>
  <c r="H46" i="15"/>
  <c r="K42" i="20" s="1"/>
  <c r="F46" i="8"/>
  <c r="C48" i="15"/>
  <c r="B48" i="15"/>
  <c r="G46" i="8"/>
  <c r="G47" i="14"/>
  <c r="F47" i="14"/>
  <c r="C48" i="14"/>
  <c r="B48" i="14"/>
  <c r="D47" i="15"/>
  <c r="P47" i="15"/>
  <c r="F43" i="20" s="1"/>
  <c r="N48" i="15"/>
  <c r="O48" i="15"/>
  <c r="A49" i="15"/>
  <c r="J42" i="20"/>
  <c r="L41" i="20"/>
  <c r="B44" i="20"/>
  <c r="P46" i="8"/>
  <c r="G42" i="20" s="1"/>
  <c r="D46" i="8"/>
  <c r="H46" i="8" s="1"/>
  <c r="N47" i="8"/>
  <c r="O47" i="8"/>
  <c r="A48" i="8"/>
  <c r="D47" i="14"/>
  <c r="H47" i="14" s="1"/>
  <c r="P47" i="14"/>
  <c r="E43" i="20" s="1"/>
  <c r="N48" i="14"/>
  <c r="A49" i="14"/>
  <c r="B64" i="37" s="1"/>
  <c r="A64" i="37" s="1"/>
  <c r="O48" i="14"/>
  <c r="P39" i="38" l="1"/>
  <c r="H40" i="38"/>
  <c r="M40" i="38"/>
  <c r="G40" i="38"/>
  <c r="O40" i="38" s="1"/>
  <c r="L40" i="38"/>
  <c r="H42" i="20"/>
  <c r="Q40" i="38"/>
  <c r="E41" i="38"/>
  <c r="I41" i="38" s="1"/>
  <c r="C41" i="38"/>
  <c r="D41" i="38"/>
  <c r="C44" i="20"/>
  <c r="A42" i="38"/>
  <c r="B42" i="38" s="1"/>
  <c r="K42" i="38" s="1"/>
  <c r="Y42" i="20"/>
  <c r="W42" i="20"/>
  <c r="U42" i="20"/>
  <c r="AA42" i="20"/>
  <c r="AE42" i="20"/>
  <c r="AC42" i="20"/>
  <c r="M41" i="20"/>
  <c r="AK41" i="20"/>
  <c r="S41" i="20" s="1"/>
  <c r="AI41" i="20"/>
  <c r="Q41" i="20" s="1"/>
  <c r="AG41" i="20"/>
  <c r="O41" i="20" s="1"/>
  <c r="F48" i="15"/>
  <c r="A44" i="20"/>
  <c r="G48" i="15"/>
  <c r="B48" i="8"/>
  <c r="C48" i="8"/>
  <c r="H47" i="15"/>
  <c r="K43" i="20" s="1"/>
  <c r="G47" i="8"/>
  <c r="C49" i="15"/>
  <c r="B49" i="15"/>
  <c r="F47" i="8"/>
  <c r="G48" i="14"/>
  <c r="F48" i="14"/>
  <c r="C49" i="14"/>
  <c r="B49" i="14"/>
  <c r="P48" i="15"/>
  <c r="F44" i="20" s="1"/>
  <c r="D48" i="15"/>
  <c r="O49" i="15"/>
  <c r="A50" i="15"/>
  <c r="N49" i="15"/>
  <c r="L42" i="20"/>
  <c r="J43" i="20"/>
  <c r="B45" i="20"/>
  <c r="P47" i="8"/>
  <c r="G43" i="20" s="1"/>
  <c r="D47" i="8"/>
  <c r="H47" i="8" s="1"/>
  <c r="O48" i="8"/>
  <c r="N48" i="8"/>
  <c r="A49" i="8"/>
  <c r="D48" i="14"/>
  <c r="H48" i="14" s="1"/>
  <c r="P48" i="14"/>
  <c r="E44" i="20" s="1"/>
  <c r="N49" i="14"/>
  <c r="O49" i="14"/>
  <c r="A50" i="14"/>
  <c r="B65" i="37" s="1"/>
  <c r="A65" i="37" s="1"/>
  <c r="H41" i="38" l="1"/>
  <c r="M41" i="38"/>
  <c r="G41" i="38"/>
  <c r="O41" i="38" s="1"/>
  <c r="L41" i="38"/>
  <c r="P40" i="38"/>
  <c r="H43" i="20"/>
  <c r="Q41" i="38"/>
  <c r="D42" i="38"/>
  <c r="C42" i="38"/>
  <c r="E42" i="38"/>
  <c r="I42" i="38" s="1"/>
  <c r="C45" i="20"/>
  <c r="A43" i="38"/>
  <c r="B43" i="38" s="1"/>
  <c r="K43" i="38" s="1"/>
  <c r="AA43" i="20"/>
  <c r="AC43" i="20"/>
  <c r="AE43" i="20"/>
  <c r="M42" i="20"/>
  <c r="AI42" i="20"/>
  <c r="Q42" i="20" s="1"/>
  <c r="AK42" i="20"/>
  <c r="S42" i="20" s="1"/>
  <c r="AG42" i="20"/>
  <c r="O42" i="20" s="1"/>
  <c r="U43" i="20"/>
  <c r="W43" i="20"/>
  <c r="Y43" i="20"/>
  <c r="A45" i="20"/>
  <c r="F49" i="15"/>
  <c r="G49" i="15"/>
  <c r="C49" i="8"/>
  <c r="B49" i="8"/>
  <c r="G48" i="8"/>
  <c r="F48" i="8"/>
  <c r="C50" i="15"/>
  <c r="B50" i="15"/>
  <c r="H48" i="15"/>
  <c r="K44" i="20" s="1"/>
  <c r="G49" i="14"/>
  <c r="F49" i="14"/>
  <c r="C50" i="14"/>
  <c r="B50" i="14"/>
  <c r="P49" i="15"/>
  <c r="F45" i="20" s="1"/>
  <c r="O50" i="15"/>
  <c r="A51" i="15"/>
  <c r="N50" i="15"/>
  <c r="D49" i="15"/>
  <c r="B46" i="20"/>
  <c r="L43" i="20"/>
  <c r="J44" i="20"/>
  <c r="P48" i="8"/>
  <c r="G44" i="20" s="1"/>
  <c r="D48" i="8"/>
  <c r="H48" i="8" s="1"/>
  <c r="O49" i="8"/>
  <c r="A50" i="8"/>
  <c r="N49" i="8"/>
  <c r="N50" i="14"/>
  <c r="O50" i="14"/>
  <c r="A51" i="14"/>
  <c r="B66" i="37" s="1"/>
  <c r="A66" i="37" s="1"/>
  <c r="D49" i="14"/>
  <c r="H49" i="14" s="1"/>
  <c r="P49" i="14"/>
  <c r="E45" i="20" s="1"/>
  <c r="H42" i="38" l="1"/>
  <c r="M42" i="38"/>
  <c r="G42" i="38"/>
  <c r="O42" i="38" s="1"/>
  <c r="L42" i="38"/>
  <c r="P41" i="38"/>
  <c r="H44" i="20"/>
  <c r="Q42" i="38"/>
  <c r="D43" i="38"/>
  <c r="C43" i="38"/>
  <c r="E43" i="38"/>
  <c r="I43" i="38" s="1"/>
  <c r="C46" i="20"/>
  <c r="A44" i="38"/>
  <c r="B44" i="38" s="1"/>
  <c r="K44" i="38" s="1"/>
  <c r="AA44" i="20"/>
  <c r="AC44" i="20"/>
  <c r="AE44" i="20"/>
  <c r="W44" i="20"/>
  <c r="Y44" i="20"/>
  <c r="U44" i="20"/>
  <c r="M43" i="20"/>
  <c r="AG43" i="20"/>
  <c r="O43" i="20" s="1"/>
  <c r="AK43" i="20"/>
  <c r="S43" i="20" s="1"/>
  <c r="AI43" i="20"/>
  <c r="Q43" i="20" s="1"/>
  <c r="A46" i="20"/>
  <c r="F50" i="15"/>
  <c r="G50" i="15"/>
  <c r="H49" i="15"/>
  <c r="K45" i="20" s="1"/>
  <c r="F49" i="8"/>
  <c r="C50" i="8"/>
  <c r="B50" i="8"/>
  <c r="G49" i="8"/>
  <c r="B51" i="15"/>
  <c r="C51" i="15"/>
  <c r="G50" i="14"/>
  <c r="F50" i="14"/>
  <c r="C51" i="14"/>
  <c r="B51" i="14"/>
  <c r="P50" i="15"/>
  <c r="F46" i="20" s="1"/>
  <c r="D50" i="15"/>
  <c r="A52" i="15"/>
  <c r="N51" i="15"/>
  <c r="O51" i="15"/>
  <c r="L44" i="20"/>
  <c r="J45" i="20"/>
  <c r="B47" i="20"/>
  <c r="D49" i="8"/>
  <c r="H49" i="8" s="1"/>
  <c r="P49" i="8"/>
  <c r="G45" i="20" s="1"/>
  <c r="A51" i="8"/>
  <c r="N50" i="8"/>
  <c r="O50" i="8"/>
  <c r="D50" i="14"/>
  <c r="H50" i="14" s="1"/>
  <c r="N51" i="14"/>
  <c r="A52" i="14"/>
  <c r="B67" i="37" s="1"/>
  <c r="A67" i="37" s="1"/>
  <c r="O51" i="14"/>
  <c r="P50" i="14"/>
  <c r="E46" i="20" s="1"/>
  <c r="H43" i="38" l="1"/>
  <c r="M43" i="38"/>
  <c r="G43" i="38"/>
  <c r="O43" i="38" s="1"/>
  <c r="L43" i="38"/>
  <c r="P42" i="38"/>
  <c r="H45" i="20"/>
  <c r="Q43" i="38"/>
  <c r="E44" i="38"/>
  <c r="I44" i="38" s="1"/>
  <c r="D44" i="38"/>
  <c r="C44" i="38"/>
  <c r="C47" i="20"/>
  <c r="A45" i="38"/>
  <c r="B45" i="38" s="1"/>
  <c r="K45" i="38" s="1"/>
  <c r="U45" i="20"/>
  <c r="Y45" i="20"/>
  <c r="W45" i="20"/>
  <c r="M44" i="20"/>
  <c r="AI44" i="20"/>
  <c r="Q44" i="20" s="1"/>
  <c r="AG44" i="20"/>
  <c r="O44" i="20" s="1"/>
  <c r="AK44" i="20"/>
  <c r="S44" i="20" s="1"/>
  <c r="AE45" i="20"/>
  <c r="AA45" i="20"/>
  <c r="AC45" i="20"/>
  <c r="A47" i="20"/>
  <c r="G51" i="15"/>
  <c r="F51" i="15"/>
  <c r="C51" i="8"/>
  <c r="B51" i="8"/>
  <c r="F50" i="8"/>
  <c r="G50" i="8"/>
  <c r="B52" i="15"/>
  <c r="C52" i="15"/>
  <c r="H50" i="15"/>
  <c r="K46" i="20" s="1"/>
  <c r="G51" i="14"/>
  <c r="F51" i="14"/>
  <c r="C52" i="14"/>
  <c r="B52" i="14"/>
  <c r="P51" i="15"/>
  <c r="F47" i="20" s="1"/>
  <c r="O52" i="15"/>
  <c r="A53" i="15"/>
  <c r="N52" i="15"/>
  <c r="D51" i="15"/>
  <c r="J46" i="20"/>
  <c r="B48" i="20"/>
  <c r="L45" i="20"/>
  <c r="D50" i="8"/>
  <c r="H50" i="8" s="1"/>
  <c r="P50" i="8"/>
  <c r="G46" i="20" s="1"/>
  <c r="A52" i="8"/>
  <c r="N51" i="8"/>
  <c r="O51" i="8"/>
  <c r="N52" i="14"/>
  <c r="O52" i="14"/>
  <c r="A53" i="14"/>
  <c r="B68" i="37" s="1"/>
  <c r="A68" i="37" s="1"/>
  <c r="D51" i="14"/>
  <c r="H51" i="14" s="1"/>
  <c r="P51" i="14"/>
  <c r="E47" i="20" s="1"/>
  <c r="G44" i="38" l="1"/>
  <c r="O44" i="38" s="1"/>
  <c r="L44" i="38"/>
  <c r="H44" i="38"/>
  <c r="M44" i="38"/>
  <c r="P43" i="38"/>
  <c r="H46" i="20"/>
  <c r="Q44" i="38"/>
  <c r="C45" i="38"/>
  <c r="E45" i="38"/>
  <c r="I45" i="38" s="1"/>
  <c r="D45" i="38"/>
  <c r="C48" i="20"/>
  <c r="A46" i="38"/>
  <c r="B46" i="38" s="1"/>
  <c r="K46" i="38" s="1"/>
  <c r="M45" i="20"/>
  <c r="AI45" i="20"/>
  <c r="Q45" i="20" s="1"/>
  <c r="AK45" i="20"/>
  <c r="S45" i="20" s="1"/>
  <c r="AG45" i="20"/>
  <c r="O45" i="20" s="1"/>
  <c r="W46" i="20"/>
  <c r="U46" i="20"/>
  <c r="Y46" i="20"/>
  <c r="AA46" i="20"/>
  <c r="AC46" i="20"/>
  <c r="AE46" i="20"/>
  <c r="A48" i="20"/>
  <c r="F52" i="15"/>
  <c r="G52" i="15"/>
  <c r="C52" i="8"/>
  <c r="B52" i="8"/>
  <c r="H51" i="15"/>
  <c r="K47" i="20" s="1"/>
  <c r="B53" i="15"/>
  <c r="C53" i="15"/>
  <c r="F51" i="8"/>
  <c r="G51" i="8"/>
  <c r="G52" i="14"/>
  <c r="F52" i="14"/>
  <c r="C53" i="14"/>
  <c r="B53" i="14"/>
  <c r="P52" i="15"/>
  <c r="F48" i="20" s="1"/>
  <c r="O53" i="15"/>
  <c r="A54" i="15"/>
  <c r="N53" i="15"/>
  <c r="D52" i="15"/>
  <c r="J47" i="20"/>
  <c r="B49" i="20"/>
  <c r="L46" i="20"/>
  <c r="O52" i="8"/>
  <c r="N52" i="8"/>
  <c r="A53" i="8"/>
  <c r="P51" i="8"/>
  <c r="G47" i="20" s="1"/>
  <c r="D51" i="8"/>
  <c r="H51" i="8" s="1"/>
  <c r="P52" i="14"/>
  <c r="E48" i="20" s="1"/>
  <c r="N53" i="14"/>
  <c r="O53" i="14"/>
  <c r="A54" i="14"/>
  <c r="B69" i="37" s="1"/>
  <c r="A69" i="37" s="1"/>
  <c r="D52" i="14"/>
  <c r="H52" i="14" s="1"/>
  <c r="P44" i="38" l="1"/>
  <c r="H45" i="38"/>
  <c r="M45" i="38"/>
  <c r="G45" i="38"/>
  <c r="O45" i="38" s="1"/>
  <c r="L45" i="38"/>
  <c r="H47" i="20"/>
  <c r="Q45" i="38"/>
  <c r="D46" i="38"/>
  <c r="C46" i="38"/>
  <c r="E46" i="38"/>
  <c r="I46" i="38" s="1"/>
  <c r="C49" i="20"/>
  <c r="A47" i="38"/>
  <c r="B47" i="38" s="1"/>
  <c r="K47" i="38" s="1"/>
  <c r="M46" i="20"/>
  <c r="AG46" i="20"/>
  <c r="O46" i="20" s="1"/>
  <c r="AK46" i="20"/>
  <c r="S46" i="20" s="1"/>
  <c r="AI46" i="20"/>
  <c r="Q46" i="20" s="1"/>
  <c r="AA47" i="20"/>
  <c r="AC47" i="20"/>
  <c r="AE47" i="20"/>
  <c r="U47" i="20"/>
  <c r="W47" i="20"/>
  <c r="Y47" i="20"/>
  <c r="A49" i="20"/>
  <c r="G53" i="15"/>
  <c r="F53" i="15"/>
  <c r="B53" i="8"/>
  <c r="C53" i="8"/>
  <c r="F52" i="8"/>
  <c r="G52" i="8"/>
  <c r="H52" i="15"/>
  <c r="K48" i="20" s="1"/>
  <c r="B54" i="15"/>
  <c r="C54" i="15"/>
  <c r="G53" i="14"/>
  <c r="F53" i="14"/>
  <c r="C54" i="14"/>
  <c r="B54" i="14"/>
  <c r="P53" i="15"/>
  <c r="F49" i="20" s="1"/>
  <c r="A55" i="15"/>
  <c r="N54" i="15"/>
  <c r="O54" i="15"/>
  <c r="D53" i="15"/>
  <c r="B50" i="20"/>
  <c r="L47" i="20"/>
  <c r="J48" i="20"/>
  <c r="P52" i="8"/>
  <c r="G48" i="20" s="1"/>
  <c r="N53" i="8"/>
  <c r="O53" i="8"/>
  <c r="A54" i="8"/>
  <c r="D52" i="8"/>
  <c r="H52" i="8" s="1"/>
  <c r="P53" i="14"/>
  <c r="E49" i="20" s="1"/>
  <c r="N54" i="14"/>
  <c r="A55" i="14"/>
  <c r="B70" i="37" s="1"/>
  <c r="A70" i="37" s="1"/>
  <c r="O54" i="14"/>
  <c r="D53" i="14"/>
  <c r="H53" i="14" s="1"/>
  <c r="G46" i="38" l="1"/>
  <c r="O46" i="38" s="1"/>
  <c r="L46" i="38"/>
  <c r="H46" i="38"/>
  <c r="M46" i="38"/>
  <c r="P45" i="38"/>
  <c r="H48" i="20"/>
  <c r="Q46" i="38"/>
  <c r="E47" i="38"/>
  <c r="I47" i="38" s="1"/>
  <c r="D47" i="38"/>
  <c r="C47" i="38"/>
  <c r="C50" i="20"/>
  <c r="A48" i="38"/>
  <c r="B48" i="38" s="1"/>
  <c r="K48" i="38" s="1"/>
  <c r="M47" i="20"/>
  <c r="AI47" i="20"/>
  <c r="Q47" i="20" s="1"/>
  <c r="AG47" i="20"/>
  <c r="O47" i="20" s="1"/>
  <c r="AK47" i="20"/>
  <c r="S47" i="20" s="1"/>
  <c r="W48" i="20"/>
  <c r="Y48" i="20"/>
  <c r="U48" i="20"/>
  <c r="AE48" i="20"/>
  <c r="AC48" i="20"/>
  <c r="AA48" i="20"/>
  <c r="A50" i="20"/>
  <c r="G54" i="15"/>
  <c r="F54" i="15"/>
  <c r="C54" i="8"/>
  <c r="B54" i="8"/>
  <c r="H53" i="15"/>
  <c r="K49" i="20" s="1"/>
  <c r="G53" i="8"/>
  <c r="C55" i="15"/>
  <c r="B55" i="15"/>
  <c r="F53" i="8"/>
  <c r="G54" i="14"/>
  <c r="F54" i="14"/>
  <c r="B55" i="14"/>
  <c r="C55" i="14"/>
  <c r="P54" i="15"/>
  <c r="F50" i="20" s="1"/>
  <c r="D54" i="15"/>
  <c r="A56" i="15"/>
  <c r="N55" i="15"/>
  <c r="O55" i="15"/>
  <c r="J49" i="20"/>
  <c r="L48" i="20"/>
  <c r="B51" i="20"/>
  <c r="P53" i="8"/>
  <c r="G49" i="20" s="1"/>
  <c r="O54" i="8"/>
  <c r="A55" i="8"/>
  <c r="N54" i="8"/>
  <c r="D53" i="8"/>
  <c r="H53" i="8" s="1"/>
  <c r="N55" i="14"/>
  <c r="O55" i="14"/>
  <c r="A56" i="14"/>
  <c r="B71" i="37" s="1"/>
  <c r="A71" i="37" s="1"/>
  <c r="D54" i="14"/>
  <c r="H54" i="14" s="1"/>
  <c r="P54" i="14"/>
  <c r="E50" i="20" s="1"/>
  <c r="P46" i="38" l="1"/>
  <c r="G47" i="38"/>
  <c r="O47" i="38" s="1"/>
  <c r="L47" i="38"/>
  <c r="H47" i="38"/>
  <c r="P47" i="38" s="1"/>
  <c r="M47" i="38"/>
  <c r="H49" i="20"/>
  <c r="Q47" i="38"/>
  <c r="C48" i="38"/>
  <c r="D48" i="38"/>
  <c r="E48" i="38"/>
  <c r="I48" i="38" s="1"/>
  <c r="C51" i="20"/>
  <c r="A49" i="38"/>
  <c r="B49" i="38" s="1"/>
  <c r="K49" i="38" s="1"/>
  <c r="W49" i="20"/>
  <c r="Y49" i="20"/>
  <c r="U49" i="20"/>
  <c r="M48" i="20"/>
  <c r="AG48" i="20"/>
  <c r="O48" i="20" s="1"/>
  <c r="AK48" i="20"/>
  <c r="S48" i="20" s="1"/>
  <c r="AI48" i="20"/>
  <c r="Q48" i="20" s="1"/>
  <c r="AC49" i="20"/>
  <c r="AE49" i="20"/>
  <c r="AA49" i="20"/>
  <c r="A51" i="20"/>
  <c r="F55" i="15"/>
  <c r="G55" i="15"/>
  <c r="B55" i="8"/>
  <c r="C55" i="8"/>
  <c r="C56" i="15"/>
  <c r="B56" i="15"/>
  <c r="F54" i="8"/>
  <c r="H54" i="15"/>
  <c r="K50" i="20" s="1"/>
  <c r="G54" i="8"/>
  <c r="G55" i="14"/>
  <c r="F55" i="14"/>
  <c r="C56" i="14"/>
  <c r="B56" i="14"/>
  <c r="P55" i="15"/>
  <c r="F51" i="20" s="1"/>
  <c r="N56" i="15"/>
  <c r="O56" i="15"/>
  <c r="A57" i="15"/>
  <c r="D55" i="15"/>
  <c r="B52" i="20"/>
  <c r="L49" i="20"/>
  <c r="J50" i="20"/>
  <c r="D54" i="8"/>
  <c r="H54" i="8" s="1"/>
  <c r="P54" i="8"/>
  <c r="G50" i="20" s="1"/>
  <c r="N55" i="8"/>
  <c r="A56" i="8"/>
  <c r="O55" i="8"/>
  <c r="N56" i="14"/>
  <c r="O56" i="14"/>
  <c r="A57" i="14"/>
  <c r="B72" i="37" s="1"/>
  <c r="A72" i="37" s="1"/>
  <c r="P55" i="14"/>
  <c r="E51" i="20" s="1"/>
  <c r="D55" i="14"/>
  <c r="H55" i="14" s="1"/>
  <c r="G48" i="38" l="1"/>
  <c r="O48" i="38" s="1"/>
  <c r="L48" i="38"/>
  <c r="H48" i="38"/>
  <c r="P48" i="38" s="1"/>
  <c r="M48" i="38"/>
  <c r="H50" i="20"/>
  <c r="Q48" i="38"/>
  <c r="E49" i="38"/>
  <c r="I49" i="38" s="1"/>
  <c r="D49" i="38"/>
  <c r="C49" i="38"/>
  <c r="C52" i="20"/>
  <c r="A50" i="38"/>
  <c r="B50" i="38" s="1"/>
  <c r="K50" i="38" s="1"/>
  <c r="U50" i="20"/>
  <c r="W50" i="20"/>
  <c r="Y50" i="20"/>
  <c r="M49" i="20"/>
  <c r="AG49" i="20"/>
  <c r="O49" i="20" s="1"/>
  <c r="AK49" i="20"/>
  <c r="S49" i="20" s="1"/>
  <c r="AI49" i="20"/>
  <c r="Q49" i="20" s="1"/>
  <c r="AE50" i="20"/>
  <c r="AC50" i="20"/>
  <c r="AA50" i="20"/>
  <c r="A52" i="20"/>
  <c r="F56" i="15"/>
  <c r="G56" i="15"/>
  <c r="B56" i="8"/>
  <c r="C56" i="8"/>
  <c r="H55" i="15"/>
  <c r="K51" i="20" s="1"/>
  <c r="C57" i="15"/>
  <c r="B57" i="15"/>
  <c r="G55" i="8"/>
  <c r="F55" i="8"/>
  <c r="G56" i="14"/>
  <c r="F56" i="14"/>
  <c r="C57" i="14"/>
  <c r="B57" i="14"/>
  <c r="N57" i="15"/>
  <c r="O57" i="15"/>
  <c r="A58" i="15"/>
  <c r="D56" i="15"/>
  <c r="P56" i="15"/>
  <c r="F52" i="20" s="1"/>
  <c r="J51" i="20"/>
  <c r="L50" i="20"/>
  <c r="B53" i="20"/>
  <c r="P55" i="8"/>
  <c r="G51" i="20" s="1"/>
  <c r="D55" i="8"/>
  <c r="H55" i="8" s="1"/>
  <c r="O56" i="8"/>
  <c r="A57" i="8"/>
  <c r="N56" i="8"/>
  <c r="P56" i="14"/>
  <c r="E52" i="20" s="1"/>
  <c r="O57" i="14"/>
  <c r="A58" i="14"/>
  <c r="B73" i="37" s="1"/>
  <c r="A73" i="37" s="1"/>
  <c r="N57" i="14"/>
  <c r="D56" i="14"/>
  <c r="H56" i="14" s="1"/>
  <c r="H49" i="38" l="1"/>
  <c r="M49" i="38"/>
  <c r="G49" i="38"/>
  <c r="O49" i="38" s="1"/>
  <c r="L49" i="38"/>
  <c r="H51" i="20"/>
  <c r="Q49" i="38"/>
  <c r="D50" i="38"/>
  <c r="C50" i="38"/>
  <c r="E50" i="38"/>
  <c r="I50" i="38" s="1"/>
  <c r="C53" i="20"/>
  <c r="A51" i="38"/>
  <c r="B51" i="38" s="1"/>
  <c r="K51" i="38" s="1"/>
  <c r="AC51" i="20"/>
  <c r="AA51" i="20"/>
  <c r="AE51" i="20"/>
  <c r="M50" i="20"/>
  <c r="AI50" i="20"/>
  <c r="Q50" i="20" s="1"/>
  <c r="AG50" i="20"/>
  <c r="O50" i="20" s="1"/>
  <c r="AK50" i="20"/>
  <c r="S50" i="20" s="1"/>
  <c r="U51" i="20"/>
  <c r="Y51" i="20"/>
  <c r="W51" i="20"/>
  <c r="A53" i="20"/>
  <c r="G57" i="15"/>
  <c r="F57" i="15"/>
  <c r="C57" i="8"/>
  <c r="B57" i="8"/>
  <c r="G56" i="8"/>
  <c r="C58" i="15"/>
  <c r="B58" i="15"/>
  <c r="F56" i="8"/>
  <c r="H56" i="15"/>
  <c r="K52" i="20" s="1"/>
  <c r="G57" i="14"/>
  <c r="F57" i="14"/>
  <c r="C58" i="14"/>
  <c r="B58" i="14"/>
  <c r="N58" i="15"/>
  <c r="O58" i="15"/>
  <c r="A59" i="15"/>
  <c r="P57" i="15"/>
  <c r="F53" i="20" s="1"/>
  <c r="D57" i="15"/>
  <c r="J52" i="20"/>
  <c r="L51" i="20"/>
  <c r="B54" i="20"/>
  <c r="P57" i="14"/>
  <c r="E53" i="20" s="1"/>
  <c r="A58" i="8"/>
  <c r="N57" i="8"/>
  <c r="O57" i="8"/>
  <c r="D56" i="8"/>
  <c r="H56" i="8" s="1"/>
  <c r="P56" i="8"/>
  <c r="G52" i="20" s="1"/>
  <c r="N58" i="14"/>
  <c r="A59" i="14"/>
  <c r="B74" i="37" s="1"/>
  <c r="A74" i="37" s="1"/>
  <c r="O58" i="14"/>
  <c r="D57" i="14"/>
  <c r="H57" i="14" s="1"/>
  <c r="H50" i="38" l="1"/>
  <c r="M50" i="38"/>
  <c r="G50" i="38"/>
  <c r="O50" i="38" s="1"/>
  <c r="L50" i="38"/>
  <c r="P49" i="38"/>
  <c r="H52" i="20"/>
  <c r="Q50" i="38"/>
  <c r="E51" i="38"/>
  <c r="I51" i="38" s="1"/>
  <c r="C51" i="38"/>
  <c r="D51" i="38"/>
  <c r="C54" i="20"/>
  <c r="A52" i="38"/>
  <c r="B52" i="38" s="1"/>
  <c r="K52" i="38" s="1"/>
  <c r="M51" i="20"/>
  <c r="AK51" i="20"/>
  <c r="S51" i="20" s="1"/>
  <c r="AI51" i="20"/>
  <c r="Q51" i="20" s="1"/>
  <c r="AG51" i="20"/>
  <c r="O51" i="20" s="1"/>
  <c r="Y52" i="20"/>
  <c r="U52" i="20"/>
  <c r="W52" i="20"/>
  <c r="AC52" i="20"/>
  <c r="AA52" i="20"/>
  <c r="AE52" i="20"/>
  <c r="A54" i="20"/>
  <c r="F58" i="15"/>
  <c r="G58" i="15"/>
  <c r="C58" i="8"/>
  <c r="B58" i="8"/>
  <c r="H57" i="15"/>
  <c r="K53" i="20" s="1"/>
  <c r="F57" i="8"/>
  <c r="B59" i="15"/>
  <c r="C59" i="15"/>
  <c r="G57" i="8"/>
  <c r="G58" i="14"/>
  <c r="F58" i="14"/>
  <c r="C59" i="14"/>
  <c r="B59" i="14"/>
  <c r="N59" i="15"/>
  <c r="O59" i="15"/>
  <c r="A60" i="15"/>
  <c r="D58" i="15"/>
  <c r="P58" i="15"/>
  <c r="F54" i="20" s="1"/>
  <c r="L52" i="20"/>
  <c r="J53" i="20"/>
  <c r="B55" i="20"/>
  <c r="A59" i="8"/>
  <c r="O58" i="8"/>
  <c r="N58" i="8"/>
  <c r="D57" i="8"/>
  <c r="H57" i="8" s="1"/>
  <c r="P57" i="8"/>
  <c r="G53" i="20" s="1"/>
  <c r="N59" i="14"/>
  <c r="A60" i="14"/>
  <c r="B75" i="37" s="1"/>
  <c r="A75" i="37" s="1"/>
  <c r="O59" i="14"/>
  <c r="P58" i="14"/>
  <c r="E54" i="20" s="1"/>
  <c r="D58" i="14"/>
  <c r="H58" i="14" s="1"/>
  <c r="H51" i="38" l="1"/>
  <c r="M51" i="38"/>
  <c r="G51" i="38"/>
  <c r="O51" i="38" s="1"/>
  <c r="L51" i="38"/>
  <c r="P50" i="38"/>
  <c r="H53" i="20"/>
  <c r="Q51" i="38"/>
  <c r="E52" i="38"/>
  <c r="I52" i="38" s="1"/>
  <c r="D52" i="38"/>
  <c r="C52" i="38"/>
  <c r="C55" i="20"/>
  <c r="A53" i="38"/>
  <c r="B53" i="38" s="1"/>
  <c r="K53" i="38" s="1"/>
  <c r="M52" i="20"/>
  <c r="AG52" i="20"/>
  <c r="O52" i="20" s="1"/>
  <c r="AI52" i="20"/>
  <c r="Q52" i="20" s="1"/>
  <c r="AK52" i="20"/>
  <c r="S52" i="20" s="1"/>
  <c r="Y53" i="20"/>
  <c r="U53" i="20"/>
  <c r="W53" i="20"/>
  <c r="AC53" i="20"/>
  <c r="AE53" i="20"/>
  <c r="AA53" i="20"/>
  <c r="A55" i="20"/>
  <c r="F59" i="15"/>
  <c r="G59" i="15"/>
  <c r="F58" i="8"/>
  <c r="H58" i="15"/>
  <c r="K54" i="20" s="1"/>
  <c r="G58" i="8"/>
  <c r="C59" i="8"/>
  <c r="B59" i="8"/>
  <c r="C60" i="15"/>
  <c r="B60" i="15"/>
  <c r="G59" i="14"/>
  <c r="F59" i="14"/>
  <c r="C60" i="14"/>
  <c r="B60" i="14"/>
  <c r="N60" i="15"/>
  <c r="O60" i="15"/>
  <c r="A61" i="15"/>
  <c r="P59" i="15"/>
  <c r="F55" i="20" s="1"/>
  <c r="D59" i="15"/>
  <c r="L53" i="20"/>
  <c r="B56" i="20"/>
  <c r="J54" i="20"/>
  <c r="A60" i="8"/>
  <c r="O59" i="8"/>
  <c r="N59" i="8"/>
  <c r="P58" i="8"/>
  <c r="G54" i="20" s="1"/>
  <c r="D58" i="8"/>
  <c r="H58" i="8" s="1"/>
  <c r="N60" i="14"/>
  <c r="O60" i="14"/>
  <c r="A61" i="14"/>
  <c r="B76" i="37" s="1"/>
  <c r="A76" i="37" s="1"/>
  <c r="P59" i="14"/>
  <c r="E55" i="20" s="1"/>
  <c r="D59" i="14"/>
  <c r="H59" i="14" s="1"/>
  <c r="G52" i="38" l="1"/>
  <c r="O52" i="38" s="1"/>
  <c r="L52" i="38"/>
  <c r="H52" i="38"/>
  <c r="M52" i="38"/>
  <c r="P51" i="38"/>
  <c r="H54" i="20"/>
  <c r="Q52" i="38"/>
  <c r="D53" i="38"/>
  <c r="C53" i="38"/>
  <c r="E53" i="38"/>
  <c r="I53" i="38" s="1"/>
  <c r="C56" i="20"/>
  <c r="A54" i="38"/>
  <c r="B54" i="38" s="1"/>
  <c r="K54" i="38" s="1"/>
  <c r="M53" i="20"/>
  <c r="AI53" i="20"/>
  <c r="Q53" i="20" s="1"/>
  <c r="AK53" i="20"/>
  <c r="S53" i="20" s="1"/>
  <c r="AG53" i="20"/>
  <c r="O53" i="20" s="1"/>
  <c r="AE54" i="20"/>
  <c r="AA54" i="20"/>
  <c r="AC54" i="20"/>
  <c r="W54" i="20"/>
  <c r="Y54" i="20"/>
  <c r="U54" i="20"/>
  <c r="A56" i="20"/>
  <c r="G60" i="15"/>
  <c r="F60" i="15"/>
  <c r="F59" i="8"/>
  <c r="G59" i="8"/>
  <c r="C60" i="8"/>
  <c r="B60" i="8"/>
  <c r="B61" i="15"/>
  <c r="C61" i="15"/>
  <c r="H59" i="15"/>
  <c r="K55" i="20" s="1"/>
  <c r="G60" i="14"/>
  <c r="F60" i="14"/>
  <c r="C61" i="14"/>
  <c r="B61" i="14"/>
  <c r="O61" i="15"/>
  <c r="A62" i="15"/>
  <c r="N61" i="15"/>
  <c r="D60" i="15"/>
  <c r="P60" i="15"/>
  <c r="F56" i="20" s="1"/>
  <c r="J55" i="20"/>
  <c r="L54" i="20"/>
  <c r="B57" i="20"/>
  <c r="P59" i="8"/>
  <c r="G55" i="20" s="1"/>
  <c r="D59" i="8"/>
  <c r="H59" i="8" s="1"/>
  <c r="N60" i="8"/>
  <c r="A61" i="8"/>
  <c r="O60" i="8"/>
  <c r="O61" i="14"/>
  <c r="A62" i="14"/>
  <c r="B77" i="37" s="1"/>
  <c r="A77" i="37" s="1"/>
  <c r="N61" i="14"/>
  <c r="P60" i="14"/>
  <c r="E56" i="20" s="1"/>
  <c r="D60" i="14"/>
  <c r="H60" i="14" s="1"/>
  <c r="P52" i="38" l="1"/>
  <c r="G53" i="38"/>
  <c r="O53" i="38" s="1"/>
  <c r="L53" i="38"/>
  <c r="H53" i="38"/>
  <c r="P53" i="38" s="1"/>
  <c r="M53" i="38"/>
  <c r="H55" i="20"/>
  <c r="Q53" i="38"/>
  <c r="E54" i="38"/>
  <c r="I54" i="38" s="1"/>
  <c r="C54" i="38"/>
  <c r="D54" i="38"/>
  <c r="C57" i="20"/>
  <c r="A55" i="38"/>
  <c r="B55" i="38" s="1"/>
  <c r="K55" i="38" s="1"/>
  <c r="M54" i="20"/>
  <c r="AI54" i="20"/>
  <c r="Q54" i="20" s="1"/>
  <c r="AK54" i="20"/>
  <c r="S54" i="20" s="1"/>
  <c r="AG54" i="20"/>
  <c r="O54" i="20" s="1"/>
  <c r="Y55" i="20"/>
  <c r="W55" i="20"/>
  <c r="U55" i="20"/>
  <c r="AE55" i="20"/>
  <c r="AA55" i="20"/>
  <c r="AC55" i="20"/>
  <c r="A57" i="20"/>
  <c r="B62" i="15"/>
  <c r="C62" i="15"/>
  <c r="G61" i="15"/>
  <c r="F61" i="15"/>
  <c r="B61" i="8"/>
  <c r="C61" i="8"/>
  <c r="F60" i="8"/>
  <c r="G60" i="8"/>
  <c r="H60" i="15"/>
  <c r="K56" i="20" s="1"/>
  <c r="G61" i="14"/>
  <c r="F61" i="14"/>
  <c r="B62" i="14"/>
  <c r="C62" i="14"/>
  <c r="P61" i="15"/>
  <c r="F57" i="20" s="1"/>
  <c r="D61" i="15"/>
  <c r="N62" i="15"/>
  <c r="A63" i="15"/>
  <c r="O62" i="15"/>
  <c r="L55" i="20"/>
  <c r="J56" i="20"/>
  <c r="B58" i="20"/>
  <c r="P60" i="8"/>
  <c r="G56" i="20" s="1"/>
  <c r="D60" i="8"/>
  <c r="H60" i="8" s="1"/>
  <c r="O61" i="8"/>
  <c r="N61" i="8"/>
  <c r="A62" i="8"/>
  <c r="N62" i="14"/>
  <c r="O62" i="14"/>
  <c r="A63" i="14"/>
  <c r="B78" i="37" s="1"/>
  <c r="A78" i="37" s="1"/>
  <c r="P61" i="14"/>
  <c r="E57" i="20" s="1"/>
  <c r="D61" i="14"/>
  <c r="H61" i="14" s="1"/>
  <c r="H54" i="38" l="1"/>
  <c r="M54" i="38"/>
  <c r="G54" i="38"/>
  <c r="O54" i="38" s="1"/>
  <c r="L54" i="38"/>
  <c r="H56" i="20"/>
  <c r="Q54" i="38"/>
  <c r="E55" i="38"/>
  <c r="I55" i="38" s="1"/>
  <c r="D55" i="38"/>
  <c r="C55" i="38"/>
  <c r="C58" i="20"/>
  <c r="A56" i="38"/>
  <c r="B56" i="38" s="1"/>
  <c r="K56" i="38" s="1"/>
  <c r="M55" i="20"/>
  <c r="AG55" i="20"/>
  <c r="O55" i="20" s="1"/>
  <c r="AK55" i="20"/>
  <c r="S55" i="20" s="1"/>
  <c r="AI55" i="20"/>
  <c r="Q55" i="20" s="1"/>
  <c r="W56" i="20"/>
  <c r="Y56" i="20"/>
  <c r="U56" i="20"/>
  <c r="AE56" i="20"/>
  <c r="AA56" i="20"/>
  <c r="AC56" i="20"/>
  <c r="A58" i="20"/>
  <c r="F61" i="8"/>
  <c r="C62" i="8"/>
  <c r="B62" i="8"/>
  <c r="G61" i="8"/>
  <c r="C63" i="15"/>
  <c r="B63" i="15"/>
  <c r="H61" i="15"/>
  <c r="K57" i="20" s="1"/>
  <c r="G62" i="15"/>
  <c r="F62" i="15"/>
  <c r="G62" i="14"/>
  <c r="F62" i="14"/>
  <c r="B63" i="14"/>
  <c r="C63" i="14"/>
  <c r="D62" i="15"/>
  <c r="O63" i="15"/>
  <c r="N63" i="15"/>
  <c r="A64" i="15"/>
  <c r="P62" i="15"/>
  <c r="F58" i="20" s="1"/>
  <c r="L56" i="20"/>
  <c r="J57" i="20"/>
  <c r="B59" i="20"/>
  <c r="N62" i="8"/>
  <c r="A63" i="8"/>
  <c r="O62" i="8"/>
  <c r="P61" i="8"/>
  <c r="G57" i="20" s="1"/>
  <c r="D61" i="8"/>
  <c r="H61" i="8" s="1"/>
  <c r="N63" i="14"/>
  <c r="O63" i="14"/>
  <c r="A64" i="14"/>
  <c r="B79" i="37" s="1"/>
  <c r="A79" i="37" s="1"/>
  <c r="D62" i="14"/>
  <c r="H62" i="14" s="1"/>
  <c r="P62" i="14"/>
  <c r="E58" i="20" s="1"/>
  <c r="G55" i="38" l="1"/>
  <c r="O55" i="38" s="1"/>
  <c r="L55" i="38"/>
  <c r="H55" i="38"/>
  <c r="P55" i="38" s="1"/>
  <c r="M55" i="38"/>
  <c r="P54" i="38"/>
  <c r="H57" i="20"/>
  <c r="Q55" i="38"/>
  <c r="E56" i="38"/>
  <c r="I56" i="38" s="1"/>
  <c r="C56" i="38"/>
  <c r="D56" i="38"/>
  <c r="C59" i="20"/>
  <c r="A57" i="38"/>
  <c r="B57" i="38" s="1"/>
  <c r="K57" i="38" s="1"/>
  <c r="AA57" i="20"/>
  <c r="AC57" i="20"/>
  <c r="AE57" i="20"/>
  <c r="W57" i="20"/>
  <c r="U57" i="20"/>
  <c r="Y57" i="20"/>
  <c r="M56" i="20"/>
  <c r="AI56" i="20"/>
  <c r="Q56" i="20" s="1"/>
  <c r="AG56" i="20"/>
  <c r="O56" i="20" s="1"/>
  <c r="AK56" i="20"/>
  <c r="S56" i="20" s="1"/>
  <c r="A59" i="20"/>
  <c r="F63" i="15"/>
  <c r="G63" i="15"/>
  <c r="C64" i="15"/>
  <c r="B64" i="15"/>
  <c r="F62" i="8"/>
  <c r="G62" i="8"/>
  <c r="H62" i="15"/>
  <c r="K58" i="20" s="1"/>
  <c r="B63" i="8"/>
  <c r="C63" i="8"/>
  <c r="G63" i="14"/>
  <c r="F63" i="14"/>
  <c r="C64" i="14"/>
  <c r="B64" i="14"/>
  <c r="P63" i="15"/>
  <c r="F59" i="20" s="1"/>
  <c r="D63" i="15"/>
  <c r="N64" i="15"/>
  <c r="O64" i="15"/>
  <c r="A65" i="15"/>
  <c r="L57" i="20"/>
  <c r="B60" i="20"/>
  <c r="J58" i="20"/>
  <c r="A64" i="8"/>
  <c r="N63" i="8"/>
  <c r="O63" i="8"/>
  <c r="D62" i="8"/>
  <c r="H62" i="8" s="1"/>
  <c r="P62" i="8"/>
  <c r="G58" i="20" s="1"/>
  <c r="N64" i="14"/>
  <c r="A65" i="14"/>
  <c r="B80" i="37" s="1"/>
  <c r="A80" i="37" s="1"/>
  <c r="O64" i="14"/>
  <c r="D63" i="14"/>
  <c r="H63" i="14" s="1"/>
  <c r="P63" i="14"/>
  <c r="E59" i="20" s="1"/>
  <c r="H56" i="38" l="1"/>
  <c r="M56" i="38"/>
  <c r="G56" i="38"/>
  <c r="O56" i="38" s="1"/>
  <c r="L56" i="38"/>
  <c r="H58" i="20"/>
  <c r="Q56" i="38"/>
  <c r="E57" i="38"/>
  <c r="I57" i="38" s="1"/>
  <c r="D57" i="38"/>
  <c r="C57" i="38"/>
  <c r="C60" i="20"/>
  <c r="A58" i="38"/>
  <c r="B58" i="38" s="1"/>
  <c r="K58" i="38" s="1"/>
  <c r="W58" i="20"/>
  <c r="Y58" i="20"/>
  <c r="U58" i="20"/>
  <c r="AA58" i="20"/>
  <c r="AC58" i="20"/>
  <c r="AE58" i="20"/>
  <c r="M57" i="20"/>
  <c r="AK57" i="20"/>
  <c r="S57" i="20" s="1"/>
  <c r="AG57" i="20"/>
  <c r="O57" i="20" s="1"/>
  <c r="AI57" i="20"/>
  <c r="Q57" i="20" s="1"/>
  <c r="A60" i="20"/>
  <c r="G63" i="8"/>
  <c r="F63" i="8"/>
  <c r="C65" i="15"/>
  <c r="B65" i="15"/>
  <c r="F64" i="15"/>
  <c r="G64" i="15"/>
  <c r="B64" i="8"/>
  <c r="C64" i="8"/>
  <c r="H63" i="15"/>
  <c r="K59" i="20" s="1"/>
  <c r="G64" i="14"/>
  <c r="F64" i="14"/>
  <c r="C65" i="14"/>
  <c r="B65" i="14"/>
  <c r="N65" i="15"/>
  <c r="O65" i="15"/>
  <c r="A66" i="15"/>
  <c r="D64" i="15"/>
  <c r="P64" i="15"/>
  <c r="F60" i="20" s="1"/>
  <c r="L58" i="20"/>
  <c r="J59" i="20"/>
  <c r="B61" i="20"/>
  <c r="D63" i="8"/>
  <c r="H63" i="8" s="1"/>
  <c r="P63" i="8"/>
  <c r="G59" i="20" s="1"/>
  <c r="O64" i="8"/>
  <c r="A65" i="8"/>
  <c r="N64" i="8"/>
  <c r="N65" i="14"/>
  <c r="A66" i="14"/>
  <c r="B81" i="37" s="1"/>
  <c r="A81" i="37" s="1"/>
  <c r="O65" i="14"/>
  <c r="D64" i="14"/>
  <c r="H64" i="14" s="1"/>
  <c r="P64" i="14"/>
  <c r="E60" i="20" s="1"/>
  <c r="G57" i="38" l="1"/>
  <c r="O57" i="38" s="1"/>
  <c r="L57" i="38"/>
  <c r="H57" i="38"/>
  <c r="M57" i="38"/>
  <c r="P56" i="38"/>
  <c r="H59" i="20"/>
  <c r="Q57" i="38"/>
  <c r="E58" i="38"/>
  <c r="I58" i="38" s="1"/>
  <c r="D58" i="38"/>
  <c r="C58" i="38"/>
  <c r="C61" i="20"/>
  <c r="A59" i="38"/>
  <c r="B59" i="38" s="1"/>
  <c r="K59" i="38" s="1"/>
  <c r="AA59" i="20"/>
  <c r="AE59" i="20"/>
  <c r="AC59" i="20"/>
  <c r="W59" i="20"/>
  <c r="U59" i="20"/>
  <c r="Y59" i="20"/>
  <c r="M58" i="20"/>
  <c r="AK58" i="20"/>
  <c r="S58" i="20" s="1"/>
  <c r="AG58" i="20"/>
  <c r="O58" i="20" s="1"/>
  <c r="AI58" i="20"/>
  <c r="Q58" i="20" s="1"/>
  <c r="A61" i="20"/>
  <c r="F64" i="8"/>
  <c r="G64" i="8"/>
  <c r="H64" i="15"/>
  <c r="K60" i="20" s="1"/>
  <c r="F65" i="15"/>
  <c r="G65" i="15"/>
  <c r="B65" i="8"/>
  <c r="C65" i="8"/>
  <c r="C66" i="15"/>
  <c r="B66" i="15"/>
  <c r="G65" i="14"/>
  <c r="F65" i="14"/>
  <c r="C66" i="14"/>
  <c r="B66" i="14"/>
  <c r="A67" i="15"/>
  <c r="O66" i="15"/>
  <c r="N66" i="15"/>
  <c r="D65" i="15"/>
  <c r="P65" i="15"/>
  <c r="F61" i="20" s="1"/>
  <c r="L59" i="20"/>
  <c r="J60" i="20"/>
  <c r="B62" i="20"/>
  <c r="P64" i="8"/>
  <c r="G60" i="20" s="1"/>
  <c r="D64" i="8"/>
  <c r="H64" i="8" s="1"/>
  <c r="N65" i="8"/>
  <c r="O65" i="8"/>
  <c r="A66" i="8"/>
  <c r="O66" i="14"/>
  <c r="N66" i="14"/>
  <c r="A67" i="14"/>
  <c r="B82" i="37" s="1"/>
  <c r="A82" i="37" s="1"/>
  <c r="D65" i="14"/>
  <c r="H65" i="14" s="1"/>
  <c r="P65" i="14"/>
  <c r="E61" i="20" s="1"/>
  <c r="P57" i="38" l="1"/>
  <c r="G58" i="38"/>
  <c r="O58" i="38" s="1"/>
  <c r="L58" i="38"/>
  <c r="H58" i="38"/>
  <c r="P58" i="38" s="1"/>
  <c r="M58" i="38"/>
  <c r="H60" i="20"/>
  <c r="Q58" i="38"/>
  <c r="D59" i="38"/>
  <c r="E59" i="38"/>
  <c r="I59" i="38" s="1"/>
  <c r="C59" i="38"/>
  <c r="C62" i="20"/>
  <c r="A60" i="38"/>
  <c r="B60" i="38" s="1"/>
  <c r="K60" i="38" s="1"/>
  <c r="AE60" i="20"/>
  <c r="AC60" i="20"/>
  <c r="AA60" i="20"/>
  <c r="Y60" i="20"/>
  <c r="U60" i="20"/>
  <c r="W60" i="20"/>
  <c r="M59" i="20"/>
  <c r="AK59" i="20"/>
  <c r="S59" i="20" s="1"/>
  <c r="AI59" i="20"/>
  <c r="Q59" i="20" s="1"/>
  <c r="AG59" i="20"/>
  <c r="O59" i="20" s="1"/>
  <c r="A62" i="20"/>
  <c r="G66" i="15"/>
  <c r="F66" i="15"/>
  <c r="G65" i="8"/>
  <c r="H65" i="15"/>
  <c r="K61" i="20" s="1"/>
  <c r="C66" i="8"/>
  <c r="B66" i="8"/>
  <c r="F65" i="8"/>
  <c r="B67" i="15"/>
  <c r="C67" i="15"/>
  <c r="G66" i="14"/>
  <c r="F66" i="14"/>
  <c r="C67" i="14"/>
  <c r="B67" i="14"/>
  <c r="D66" i="15"/>
  <c r="P66" i="15"/>
  <c r="F62" i="20" s="1"/>
  <c r="A68" i="15"/>
  <c r="O67" i="15"/>
  <c r="N67" i="15"/>
  <c r="L60" i="20"/>
  <c r="B63" i="20"/>
  <c r="J61" i="20"/>
  <c r="P65" i="8"/>
  <c r="G61" i="20" s="1"/>
  <c r="D65" i="8"/>
  <c r="H65" i="8" s="1"/>
  <c r="A67" i="8"/>
  <c r="O66" i="8"/>
  <c r="N66" i="8"/>
  <c r="P66" i="14"/>
  <c r="E62" i="20" s="1"/>
  <c r="D66" i="14"/>
  <c r="H66" i="14" s="1"/>
  <c r="N67" i="14"/>
  <c r="O67" i="14"/>
  <c r="A68" i="14"/>
  <c r="B83" i="37" s="1"/>
  <c r="A83" i="37" s="1"/>
  <c r="G59" i="38" l="1"/>
  <c r="O59" i="38" s="1"/>
  <c r="L59" i="38"/>
  <c r="H59" i="38"/>
  <c r="P59" i="38" s="1"/>
  <c r="M59" i="38"/>
  <c r="H61" i="20"/>
  <c r="Q59" i="38"/>
  <c r="D60" i="38"/>
  <c r="C60" i="38"/>
  <c r="E60" i="38"/>
  <c r="I60" i="38" s="1"/>
  <c r="C63" i="20"/>
  <c r="A61" i="38"/>
  <c r="B61" i="38" s="1"/>
  <c r="K61" i="38" s="1"/>
  <c r="M60" i="20"/>
  <c r="AI60" i="20"/>
  <c r="Q60" i="20" s="1"/>
  <c r="AG60" i="20"/>
  <c r="O60" i="20" s="1"/>
  <c r="AK60" i="20"/>
  <c r="S60" i="20" s="1"/>
  <c r="AE61" i="20"/>
  <c r="AC61" i="20"/>
  <c r="AA61" i="20"/>
  <c r="U61" i="20"/>
  <c r="Y61" i="20"/>
  <c r="W61" i="20"/>
  <c r="A63" i="20"/>
  <c r="G67" i="15"/>
  <c r="F67" i="15"/>
  <c r="G66" i="8"/>
  <c r="H66" i="15"/>
  <c r="K62" i="20" s="1"/>
  <c r="F66" i="8"/>
  <c r="C67" i="8"/>
  <c r="B67" i="8"/>
  <c r="C68" i="15"/>
  <c r="B68" i="15"/>
  <c r="G67" i="14"/>
  <c r="F67" i="14"/>
  <c r="C68" i="14"/>
  <c r="B68" i="14"/>
  <c r="P67" i="15"/>
  <c r="F63" i="20" s="1"/>
  <c r="O68" i="15"/>
  <c r="A69" i="15"/>
  <c r="N68" i="15"/>
  <c r="D67" i="15"/>
  <c r="P66" i="8"/>
  <c r="G62" i="20" s="1"/>
  <c r="L61" i="20"/>
  <c r="J62" i="20"/>
  <c r="B64" i="20"/>
  <c r="D66" i="8"/>
  <c r="H66" i="8" s="1"/>
  <c r="O67" i="8"/>
  <c r="A68" i="8"/>
  <c r="N67" i="8"/>
  <c r="N68" i="14"/>
  <c r="A69" i="14"/>
  <c r="B84" i="37" s="1"/>
  <c r="A84" i="37" s="1"/>
  <c r="O68" i="14"/>
  <c r="P67" i="14"/>
  <c r="E63" i="20" s="1"/>
  <c r="D67" i="14"/>
  <c r="H67" i="14" s="1"/>
  <c r="G60" i="38" l="1"/>
  <c r="O60" i="38" s="1"/>
  <c r="L60" i="38"/>
  <c r="H60" i="38"/>
  <c r="M60" i="38"/>
  <c r="H62" i="20"/>
  <c r="Q60" i="38"/>
  <c r="E61" i="38"/>
  <c r="I61" i="38" s="1"/>
  <c r="D61" i="38"/>
  <c r="C61" i="38"/>
  <c r="C64" i="20"/>
  <c r="A62" i="38"/>
  <c r="B62" i="38" s="1"/>
  <c r="K62" i="38" s="1"/>
  <c r="W62" i="20"/>
  <c r="Y62" i="20"/>
  <c r="U62" i="20"/>
  <c r="M61" i="20"/>
  <c r="AG61" i="20"/>
  <c r="O61" i="20" s="1"/>
  <c r="AI61" i="20"/>
  <c r="Q61" i="20" s="1"/>
  <c r="AK61" i="20"/>
  <c r="S61" i="20" s="1"/>
  <c r="AE62" i="20"/>
  <c r="AC62" i="20"/>
  <c r="AA62" i="20"/>
  <c r="A64" i="20"/>
  <c r="F68" i="15"/>
  <c r="G68" i="15"/>
  <c r="C68" i="8"/>
  <c r="B68" i="8"/>
  <c r="G67" i="8"/>
  <c r="H67" i="15"/>
  <c r="K63" i="20" s="1"/>
  <c r="F67" i="8"/>
  <c r="B69" i="15"/>
  <c r="C69" i="15"/>
  <c r="G68" i="14"/>
  <c r="F68" i="14"/>
  <c r="C69" i="14"/>
  <c r="B69" i="14"/>
  <c r="P68" i="15"/>
  <c r="F64" i="20" s="1"/>
  <c r="D68" i="15"/>
  <c r="O69" i="15"/>
  <c r="N69" i="15"/>
  <c r="A70" i="15"/>
  <c r="B65" i="20"/>
  <c r="J63" i="20"/>
  <c r="L62" i="20"/>
  <c r="P67" i="8"/>
  <c r="G63" i="20" s="1"/>
  <c r="D67" i="8"/>
  <c r="H67" i="8" s="1"/>
  <c r="O68" i="8"/>
  <c r="N68" i="8"/>
  <c r="A69" i="8"/>
  <c r="N69" i="14"/>
  <c r="O69" i="14"/>
  <c r="A70" i="14"/>
  <c r="B85" i="37" s="1"/>
  <c r="A85" i="37" s="1"/>
  <c r="D68" i="14"/>
  <c r="H68" i="14" s="1"/>
  <c r="P68" i="14"/>
  <c r="E64" i="20" s="1"/>
  <c r="P60" i="38" l="1"/>
  <c r="H61" i="38"/>
  <c r="M61" i="38"/>
  <c r="G61" i="38"/>
  <c r="O61" i="38" s="1"/>
  <c r="L61" i="38"/>
  <c r="H63" i="20"/>
  <c r="Q61" i="38"/>
  <c r="E62" i="38"/>
  <c r="I62" i="38" s="1"/>
  <c r="C62" i="38"/>
  <c r="D62" i="38"/>
  <c r="C65" i="20"/>
  <c r="A63" i="38"/>
  <c r="B63" i="38" s="1"/>
  <c r="K63" i="38" s="1"/>
  <c r="W63" i="20"/>
  <c r="Y63" i="20"/>
  <c r="U63" i="20"/>
  <c r="M62" i="20"/>
  <c r="AG62" i="20"/>
  <c r="O62" i="20" s="1"/>
  <c r="AI62" i="20"/>
  <c r="Q62" i="20" s="1"/>
  <c r="AK62" i="20"/>
  <c r="S62" i="20" s="1"/>
  <c r="AE63" i="20"/>
  <c r="AA63" i="20"/>
  <c r="AC63" i="20"/>
  <c r="A65" i="20"/>
  <c r="G69" i="15"/>
  <c r="F69" i="15"/>
  <c r="B70" i="15"/>
  <c r="C70" i="15"/>
  <c r="F68" i="8"/>
  <c r="G68" i="8"/>
  <c r="B69" i="8"/>
  <c r="C69" i="8"/>
  <c r="H68" i="15"/>
  <c r="K64" i="20" s="1"/>
  <c r="G69" i="14"/>
  <c r="F69" i="14"/>
  <c r="C70" i="14"/>
  <c r="B70" i="14"/>
  <c r="N70" i="15"/>
  <c r="A71" i="15"/>
  <c r="O70" i="15"/>
  <c r="D69" i="15"/>
  <c r="P69" i="15"/>
  <c r="F65" i="20" s="1"/>
  <c r="L63" i="20"/>
  <c r="J64" i="20"/>
  <c r="B66" i="20"/>
  <c r="P68" i="8"/>
  <c r="G64" i="20" s="1"/>
  <c r="N69" i="8"/>
  <c r="A70" i="8"/>
  <c r="O69" i="8"/>
  <c r="D68" i="8"/>
  <c r="H68" i="8" s="1"/>
  <c r="O70" i="14"/>
  <c r="N70" i="14"/>
  <c r="A71" i="14"/>
  <c r="B86" i="37" s="1"/>
  <c r="A86" i="37" s="1"/>
  <c r="D69" i="14"/>
  <c r="H69" i="14" s="1"/>
  <c r="P69" i="14"/>
  <c r="E65" i="20" s="1"/>
  <c r="G62" i="38" l="1"/>
  <c r="O62" i="38" s="1"/>
  <c r="L62" i="38"/>
  <c r="H62" i="38"/>
  <c r="M62" i="38"/>
  <c r="P61" i="38"/>
  <c r="H64" i="20"/>
  <c r="Q62" i="38"/>
  <c r="E63" i="38"/>
  <c r="I63" i="38" s="1"/>
  <c r="D63" i="38"/>
  <c r="C63" i="38"/>
  <c r="C66" i="20"/>
  <c r="A64" i="38"/>
  <c r="B64" i="38" s="1"/>
  <c r="K64" i="38" s="1"/>
  <c r="Y64" i="20"/>
  <c r="U64" i="20"/>
  <c r="W64" i="20"/>
  <c r="M63" i="20"/>
  <c r="AK63" i="20"/>
  <c r="S63" i="20" s="1"/>
  <c r="AI63" i="20"/>
  <c r="Q63" i="20" s="1"/>
  <c r="AG63" i="20"/>
  <c r="O63" i="20" s="1"/>
  <c r="AA64" i="20"/>
  <c r="AC64" i="20"/>
  <c r="AE64" i="20"/>
  <c r="A66" i="20"/>
  <c r="G69" i="8"/>
  <c r="G70" i="15"/>
  <c r="F70" i="15"/>
  <c r="C70" i="8"/>
  <c r="B70" i="8"/>
  <c r="F69" i="8"/>
  <c r="H69" i="15"/>
  <c r="K65" i="20" s="1"/>
  <c r="C71" i="15"/>
  <c r="B71" i="15"/>
  <c r="G70" i="14"/>
  <c r="F70" i="14"/>
  <c r="B71" i="14"/>
  <c r="C71" i="14"/>
  <c r="D70" i="15"/>
  <c r="N71" i="15"/>
  <c r="A72" i="15"/>
  <c r="O71" i="15"/>
  <c r="P70" i="15"/>
  <c r="F66" i="20" s="1"/>
  <c r="J65" i="20"/>
  <c r="L64" i="20"/>
  <c r="B67" i="20"/>
  <c r="P70" i="14"/>
  <c r="E66" i="20" s="1"/>
  <c r="P69" i="8"/>
  <c r="G65" i="20" s="1"/>
  <c r="D69" i="8"/>
  <c r="H69" i="8" s="1"/>
  <c r="N70" i="8"/>
  <c r="A71" i="8"/>
  <c r="O70" i="8"/>
  <c r="N71" i="14"/>
  <c r="A72" i="14"/>
  <c r="B87" i="37" s="1"/>
  <c r="A87" i="37" s="1"/>
  <c r="O71" i="14"/>
  <c r="D70" i="14"/>
  <c r="H70" i="14" s="1"/>
  <c r="P62" i="38" l="1"/>
  <c r="H63" i="38"/>
  <c r="M63" i="38"/>
  <c r="G63" i="38"/>
  <c r="O63" i="38" s="1"/>
  <c r="L63" i="38"/>
  <c r="H65" i="20"/>
  <c r="Q63" i="38"/>
  <c r="E64" i="38"/>
  <c r="I64" i="38" s="1"/>
  <c r="D64" i="38"/>
  <c r="C64" i="38"/>
  <c r="C67" i="20"/>
  <c r="A65" i="38"/>
  <c r="B65" i="38" s="1"/>
  <c r="K65" i="38" s="1"/>
  <c r="AE65" i="20"/>
  <c r="AC65" i="20"/>
  <c r="AA65" i="20"/>
  <c r="M64" i="20"/>
  <c r="AG64" i="20"/>
  <c r="O64" i="20" s="1"/>
  <c r="AI64" i="20"/>
  <c r="Q64" i="20" s="1"/>
  <c r="AK64" i="20"/>
  <c r="S64" i="20" s="1"/>
  <c r="Y65" i="20"/>
  <c r="U65" i="20"/>
  <c r="W65" i="20"/>
  <c r="A67" i="20"/>
  <c r="F71" i="15"/>
  <c r="G71" i="15"/>
  <c r="H70" i="15"/>
  <c r="K66" i="20" s="1"/>
  <c r="B71" i="8"/>
  <c r="C71" i="8"/>
  <c r="F70" i="8"/>
  <c r="G70" i="8"/>
  <c r="C72" i="15"/>
  <c r="B72" i="15"/>
  <c r="G71" i="14"/>
  <c r="F71" i="14"/>
  <c r="C72" i="14"/>
  <c r="B72" i="14"/>
  <c r="D71" i="15"/>
  <c r="N72" i="15"/>
  <c r="A73" i="15"/>
  <c r="O72" i="15"/>
  <c r="P71" i="15"/>
  <c r="F67" i="20" s="1"/>
  <c r="L65" i="20"/>
  <c r="J66" i="20"/>
  <c r="B68" i="20"/>
  <c r="P70" i="8"/>
  <c r="G66" i="20" s="1"/>
  <c r="N71" i="8"/>
  <c r="O71" i="8"/>
  <c r="A72" i="8"/>
  <c r="D70" i="8"/>
  <c r="H70" i="8" s="1"/>
  <c r="D71" i="14"/>
  <c r="H71" i="14" s="1"/>
  <c r="N72" i="14"/>
  <c r="A73" i="14"/>
  <c r="B88" i="37" s="1"/>
  <c r="A88" i="37" s="1"/>
  <c r="O72" i="14"/>
  <c r="P71" i="14"/>
  <c r="E67" i="20" s="1"/>
  <c r="G64" i="38" l="1"/>
  <c r="O64" i="38" s="1"/>
  <c r="L64" i="38"/>
  <c r="H64" i="38"/>
  <c r="M64" i="38"/>
  <c r="P63" i="38"/>
  <c r="H66" i="20"/>
  <c r="Q64" i="38"/>
  <c r="E65" i="38"/>
  <c r="I65" i="38" s="1"/>
  <c r="C65" i="38"/>
  <c r="D65" i="38"/>
  <c r="C68" i="20"/>
  <c r="A66" i="38"/>
  <c r="B66" i="38" s="1"/>
  <c r="K66" i="38" s="1"/>
  <c r="Y66" i="20"/>
  <c r="U66" i="20"/>
  <c r="W66" i="20"/>
  <c r="M65" i="20"/>
  <c r="AK65" i="20"/>
  <c r="S65" i="20" s="1"/>
  <c r="AI65" i="20"/>
  <c r="Q65" i="20" s="1"/>
  <c r="AG65" i="20"/>
  <c r="O65" i="20" s="1"/>
  <c r="AC66" i="20"/>
  <c r="AA66" i="20"/>
  <c r="AE66" i="20"/>
  <c r="A68" i="20"/>
  <c r="G72" i="15"/>
  <c r="F72" i="15"/>
  <c r="H71" i="15"/>
  <c r="K67" i="20" s="1"/>
  <c r="G71" i="8"/>
  <c r="B72" i="8"/>
  <c r="C72" i="8"/>
  <c r="F71" i="8"/>
  <c r="C73" i="15"/>
  <c r="B73" i="15"/>
  <c r="G72" i="14"/>
  <c r="F72" i="14"/>
  <c r="C73" i="14"/>
  <c r="B73" i="14"/>
  <c r="O73" i="15"/>
  <c r="N73" i="15"/>
  <c r="A74" i="15"/>
  <c r="D72" i="15"/>
  <c r="P72" i="15"/>
  <c r="F68" i="20" s="1"/>
  <c r="J67" i="20"/>
  <c r="L66" i="20"/>
  <c r="B69" i="20"/>
  <c r="P71" i="8"/>
  <c r="G67" i="20" s="1"/>
  <c r="D71" i="8"/>
  <c r="H71" i="8" s="1"/>
  <c r="O72" i="8"/>
  <c r="N72" i="8"/>
  <c r="A73" i="8"/>
  <c r="D72" i="14"/>
  <c r="H72" i="14" s="1"/>
  <c r="N73" i="14"/>
  <c r="A74" i="14"/>
  <c r="B89" i="37" s="1"/>
  <c r="A89" i="37" s="1"/>
  <c r="O73" i="14"/>
  <c r="P72" i="14"/>
  <c r="E68" i="20" s="1"/>
  <c r="P64" i="38" l="1"/>
  <c r="G65" i="38"/>
  <c r="O65" i="38" s="1"/>
  <c r="L65" i="38"/>
  <c r="H65" i="38"/>
  <c r="P65" i="38" s="1"/>
  <c r="M65" i="38"/>
  <c r="H67" i="20"/>
  <c r="Q65" i="38"/>
  <c r="D66" i="38"/>
  <c r="C66" i="38"/>
  <c r="E66" i="38"/>
  <c r="I66" i="38" s="1"/>
  <c r="C69" i="20"/>
  <c r="A67" i="38"/>
  <c r="B67" i="38" s="1"/>
  <c r="K67" i="38" s="1"/>
  <c r="M66" i="20"/>
  <c r="AG66" i="20"/>
  <c r="O66" i="20" s="1"/>
  <c r="AK66" i="20"/>
  <c r="S66" i="20" s="1"/>
  <c r="AI66" i="20"/>
  <c r="Q66" i="20" s="1"/>
  <c r="W67" i="20"/>
  <c r="Y67" i="20"/>
  <c r="U67" i="20"/>
  <c r="AC67" i="20"/>
  <c r="AE67" i="20"/>
  <c r="AA67" i="20"/>
  <c r="A69" i="20"/>
  <c r="F73" i="15"/>
  <c r="G73" i="15"/>
  <c r="G72" i="8"/>
  <c r="F72" i="8"/>
  <c r="C73" i="8"/>
  <c r="B73" i="8"/>
  <c r="H72" i="15"/>
  <c r="K68" i="20" s="1"/>
  <c r="C74" i="15"/>
  <c r="B74" i="15"/>
  <c r="G73" i="14"/>
  <c r="F73" i="14"/>
  <c r="C74" i="14"/>
  <c r="B74" i="14"/>
  <c r="P73" i="15"/>
  <c r="F69" i="20" s="1"/>
  <c r="O74" i="15"/>
  <c r="A75" i="15"/>
  <c r="N74" i="15"/>
  <c r="D73" i="15"/>
  <c r="L67" i="20"/>
  <c r="J68" i="20"/>
  <c r="B70" i="20"/>
  <c r="P72" i="8"/>
  <c r="G68" i="20" s="1"/>
  <c r="D72" i="8"/>
  <c r="H72" i="8" s="1"/>
  <c r="A74" i="8"/>
  <c r="N73" i="8"/>
  <c r="O73" i="8"/>
  <c r="D73" i="14"/>
  <c r="H73" i="14" s="1"/>
  <c r="P73" i="14"/>
  <c r="E69" i="20" s="1"/>
  <c r="N74" i="14"/>
  <c r="O74" i="14"/>
  <c r="A75" i="14"/>
  <c r="B90" i="37" s="1"/>
  <c r="A90" i="37" s="1"/>
  <c r="G66" i="38" l="1"/>
  <c r="O66" i="38" s="1"/>
  <c r="L66" i="38"/>
  <c r="H66" i="38"/>
  <c r="P66" i="38" s="1"/>
  <c r="M66" i="38"/>
  <c r="H68" i="20"/>
  <c r="Q66" i="38"/>
  <c r="E67" i="38"/>
  <c r="I67" i="38" s="1"/>
  <c r="D67" i="38"/>
  <c r="C67" i="38"/>
  <c r="C70" i="20"/>
  <c r="A68" i="38"/>
  <c r="B68" i="38" s="1"/>
  <c r="K68" i="38" s="1"/>
  <c r="U68" i="20"/>
  <c r="Y68" i="20"/>
  <c r="W68" i="20"/>
  <c r="M67" i="20"/>
  <c r="AG67" i="20"/>
  <c r="O67" i="20" s="1"/>
  <c r="AI67" i="20"/>
  <c r="Q67" i="20" s="1"/>
  <c r="AK67" i="20"/>
  <c r="S67" i="20" s="1"/>
  <c r="AE68" i="20"/>
  <c r="AC68" i="20"/>
  <c r="AA68" i="20"/>
  <c r="A70" i="20"/>
  <c r="F74" i="15"/>
  <c r="G74" i="15"/>
  <c r="C74" i="8"/>
  <c r="B74" i="8"/>
  <c r="H73" i="15"/>
  <c r="K69" i="20" s="1"/>
  <c r="G73" i="8"/>
  <c r="B75" i="15"/>
  <c r="C75" i="15"/>
  <c r="F73" i="8"/>
  <c r="G74" i="14"/>
  <c r="F74" i="14"/>
  <c r="C75" i="14"/>
  <c r="B75" i="14"/>
  <c r="P74" i="15"/>
  <c r="F70" i="20" s="1"/>
  <c r="D74" i="15"/>
  <c r="A76" i="15"/>
  <c r="N75" i="15"/>
  <c r="O75" i="15"/>
  <c r="L68" i="20"/>
  <c r="J69" i="20"/>
  <c r="B71" i="20"/>
  <c r="P73" i="8"/>
  <c r="G69" i="20" s="1"/>
  <c r="O74" i="8"/>
  <c r="N74" i="8"/>
  <c r="A75" i="8"/>
  <c r="D73" i="8"/>
  <c r="H73" i="8" s="1"/>
  <c r="D74" i="14"/>
  <c r="H74" i="14" s="1"/>
  <c r="N75" i="14"/>
  <c r="A76" i="14"/>
  <c r="B91" i="37" s="1"/>
  <c r="A91" i="37" s="1"/>
  <c r="O75" i="14"/>
  <c r="P74" i="14"/>
  <c r="E70" i="20" s="1"/>
  <c r="H67" i="38" l="1"/>
  <c r="M67" i="38"/>
  <c r="G67" i="38"/>
  <c r="O67" i="38" s="1"/>
  <c r="L67" i="38"/>
  <c r="H69" i="20"/>
  <c r="Q67" i="38"/>
  <c r="D68" i="38"/>
  <c r="E68" i="38"/>
  <c r="I68" i="38" s="1"/>
  <c r="C68" i="38"/>
  <c r="C71" i="20"/>
  <c r="A69" i="38"/>
  <c r="B69" i="38" s="1"/>
  <c r="K69" i="38" s="1"/>
  <c r="AE69" i="20"/>
  <c r="AC69" i="20"/>
  <c r="AA69" i="20"/>
  <c r="U69" i="20"/>
  <c r="W69" i="20"/>
  <c r="Y69" i="20"/>
  <c r="M68" i="20"/>
  <c r="AG68" i="20"/>
  <c r="O68" i="20" s="1"/>
  <c r="AI68" i="20"/>
  <c r="Q68" i="20" s="1"/>
  <c r="AK68" i="20"/>
  <c r="S68" i="20" s="1"/>
  <c r="A71" i="20"/>
  <c r="F75" i="15"/>
  <c r="G75" i="15"/>
  <c r="B75" i="8"/>
  <c r="C75" i="8"/>
  <c r="F74" i="8"/>
  <c r="C76" i="15"/>
  <c r="B76" i="15"/>
  <c r="H74" i="15"/>
  <c r="K70" i="20" s="1"/>
  <c r="G74" i="8"/>
  <c r="G75" i="14"/>
  <c r="F75" i="14"/>
  <c r="C76" i="14"/>
  <c r="B76" i="14"/>
  <c r="P75" i="15"/>
  <c r="F71" i="20" s="1"/>
  <c r="O76" i="15"/>
  <c r="N76" i="15"/>
  <c r="A77" i="15"/>
  <c r="D75" i="15"/>
  <c r="L69" i="20"/>
  <c r="B72" i="20"/>
  <c r="J70" i="20"/>
  <c r="P74" i="8"/>
  <c r="G70" i="20" s="1"/>
  <c r="O75" i="8"/>
  <c r="A76" i="8"/>
  <c r="N75" i="8"/>
  <c r="D74" i="8"/>
  <c r="H74" i="8" s="1"/>
  <c r="O76" i="14"/>
  <c r="N76" i="14"/>
  <c r="A77" i="14"/>
  <c r="B92" i="37" s="1"/>
  <c r="A92" i="37" s="1"/>
  <c r="D75" i="14"/>
  <c r="H75" i="14" s="1"/>
  <c r="P75" i="14"/>
  <c r="E71" i="20" s="1"/>
  <c r="G68" i="38" l="1"/>
  <c r="O68" i="38" s="1"/>
  <c r="L68" i="38"/>
  <c r="H68" i="38"/>
  <c r="M68" i="38"/>
  <c r="P67" i="38"/>
  <c r="H70" i="20"/>
  <c r="Q68" i="38"/>
  <c r="E69" i="38"/>
  <c r="I69" i="38" s="1"/>
  <c r="D69" i="38"/>
  <c r="C69" i="38"/>
  <c r="C72" i="20"/>
  <c r="A70" i="38"/>
  <c r="B70" i="38" s="1"/>
  <c r="K70" i="38" s="1"/>
  <c r="U70" i="20"/>
  <c r="Y70" i="20"/>
  <c r="W70" i="20"/>
  <c r="AC70" i="20"/>
  <c r="AA70" i="20"/>
  <c r="AE70" i="20"/>
  <c r="M69" i="20"/>
  <c r="AK69" i="20"/>
  <c r="S69" i="20" s="1"/>
  <c r="AG69" i="20"/>
  <c r="O69" i="20" s="1"/>
  <c r="AI69" i="20"/>
  <c r="Q69" i="20" s="1"/>
  <c r="A72" i="20"/>
  <c r="F76" i="15"/>
  <c r="G76" i="15"/>
  <c r="C76" i="8"/>
  <c r="B76" i="8"/>
  <c r="G75" i="8"/>
  <c r="F75" i="8"/>
  <c r="B77" i="15"/>
  <c r="C77" i="15"/>
  <c r="H75" i="15"/>
  <c r="K71" i="20" s="1"/>
  <c r="G76" i="14"/>
  <c r="F76" i="14"/>
  <c r="C77" i="14"/>
  <c r="B77" i="14"/>
  <c r="P76" i="15"/>
  <c r="F72" i="20" s="1"/>
  <c r="D76" i="15"/>
  <c r="A78" i="15"/>
  <c r="N77" i="15"/>
  <c r="O77" i="15"/>
  <c r="P75" i="8"/>
  <c r="G71" i="20" s="1"/>
  <c r="B73" i="20"/>
  <c r="J71" i="20"/>
  <c r="L70" i="20"/>
  <c r="P76" i="14"/>
  <c r="E72" i="20" s="1"/>
  <c r="D75" i="8"/>
  <c r="H75" i="8" s="1"/>
  <c r="A77" i="8"/>
  <c r="O76" i="8"/>
  <c r="N76" i="8"/>
  <c r="N77" i="14"/>
  <c r="A78" i="14"/>
  <c r="B93" i="37" s="1"/>
  <c r="A93" i="37" s="1"/>
  <c r="O77" i="14"/>
  <c r="D76" i="14"/>
  <c r="H76" i="14" s="1"/>
  <c r="P68" i="38" l="1"/>
  <c r="H69" i="38"/>
  <c r="M69" i="38"/>
  <c r="G69" i="38"/>
  <c r="O69" i="38" s="1"/>
  <c r="L69" i="38"/>
  <c r="H71" i="20"/>
  <c r="Q69" i="38"/>
  <c r="E70" i="38"/>
  <c r="I70" i="38" s="1"/>
  <c r="D70" i="38"/>
  <c r="C70" i="38"/>
  <c r="C73" i="20"/>
  <c r="A71" i="38"/>
  <c r="B71" i="38" s="1"/>
  <c r="K71" i="38" s="1"/>
  <c r="M70" i="20"/>
  <c r="AK70" i="20"/>
  <c r="S70" i="20" s="1"/>
  <c r="AI70" i="20"/>
  <c r="Q70" i="20" s="1"/>
  <c r="AG70" i="20"/>
  <c r="O70" i="20" s="1"/>
  <c r="AE71" i="20"/>
  <c r="AA71" i="20"/>
  <c r="AC71" i="20"/>
  <c r="U71" i="20"/>
  <c r="W71" i="20"/>
  <c r="Y71" i="20"/>
  <c r="A73" i="20"/>
  <c r="G77" i="15"/>
  <c r="F77" i="15"/>
  <c r="B77" i="8"/>
  <c r="C77" i="8"/>
  <c r="F76" i="8"/>
  <c r="B78" i="15"/>
  <c r="C78" i="15"/>
  <c r="H76" i="15"/>
  <c r="K72" i="20" s="1"/>
  <c r="G76" i="8"/>
  <c r="G77" i="14"/>
  <c r="F77" i="14"/>
  <c r="B78" i="14"/>
  <c r="C78" i="14"/>
  <c r="D77" i="15"/>
  <c r="P77" i="15"/>
  <c r="F73" i="20" s="1"/>
  <c r="N78" i="15"/>
  <c r="A79" i="15"/>
  <c r="O78" i="15"/>
  <c r="L71" i="20"/>
  <c r="J72" i="20"/>
  <c r="B74" i="20"/>
  <c r="P76" i="8"/>
  <c r="G72" i="20" s="1"/>
  <c r="A78" i="8"/>
  <c r="O77" i="8"/>
  <c r="N77" i="8"/>
  <c r="D76" i="8"/>
  <c r="H76" i="8" s="1"/>
  <c r="D77" i="14"/>
  <c r="H77" i="14" s="1"/>
  <c r="N78" i="14"/>
  <c r="A79" i="14"/>
  <c r="B94" i="37" s="1"/>
  <c r="A94" i="37" s="1"/>
  <c r="O78" i="14"/>
  <c r="P77" i="14"/>
  <c r="E73" i="20" s="1"/>
  <c r="H70" i="38" l="1"/>
  <c r="M70" i="38"/>
  <c r="G70" i="38"/>
  <c r="O70" i="38" s="1"/>
  <c r="L70" i="38"/>
  <c r="P69" i="38"/>
  <c r="H72" i="20"/>
  <c r="Q70" i="38"/>
  <c r="E71" i="38"/>
  <c r="I71" i="38" s="1"/>
  <c r="D71" i="38"/>
  <c r="C71" i="38"/>
  <c r="C74" i="20"/>
  <c r="A72" i="38"/>
  <c r="B72" i="38" s="1"/>
  <c r="K72" i="38" s="1"/>
  <c r="AE72" i="20"/>
  <c r="AC72" i="20"/>
  <c r="AA72" i="20"/>
  <c r="U72" i="20"/>
  <c r="Y72" i="20"/>
  <c r="W72" i="20"/>
  <c r="M71" i="20"/>
  <c r="AI71" i="20"/>
  <c r="Q71" i="20" s="1"/>
  <c r="AK71" i="20"/>
  <c r="S71" i="20" s="1"/>
  <c r="AG71" i="20"/>
  <c r="O71" i="20" s="1"/>
  <c r="A74" i="20"/>
  <c r="G78" i="15"/>
  <c r="F78" i="15"/>
  <c r="H77" i="15"/>
  <c r="K73" i="20" s="1"/>
  <c r="C78" i="8"/>
  <c r="B78" i="8"/>
  <c r="C79" i="15"/>
  <c r="B79" i="15"/>
  <c r="G77" i="8"/>
  <c r="F77" i="8"/>
  <c r="G78" i="14"/>
  <c r="F78" i="14"/>
  <c r="B79" i="14"/>
  <c r="C79" i="14"/>
  <c r="D78" i="15"/>
  <c r="O79" i="15"/>
  <c r="A80" i="15"/>
  <c r="N79" i="15"/>
  <c r="P78" i="15"/>
  <c r="F74" i="20" s="1"/>
  <c r="J73" i="20"/>
  <c r="L72" i="20"/>
  <c r="B75" i="20"/>
  <c r="N78" i="8"/>
  <c r="O78" i="8"/>
  <c r="A79" i="8"/>
  <c r="P77" i="8"/>
  <c r="G73" i="20" s="1"/>
  <c r="D77" i="8"/>
  <c r="H77" i="8" s="1"/>
  <c r="D78" i="14"/>
  <c r="H78" i="14" s="1"/>
  <c r="N79" i="14"/>
  <c r="O79" i="14"/>
  <c r="A80" i="14"/>
  <c r="B95" i="37" s="1"/>
  <c r="A95" i="37" s="1"/>
  <c r="P78" i="14"/>
  <c r="E74" i="20" s="1"/>
  <c r="G71" i="38" l="1"/>
  <c r="O71" i="38" s="1"/>
  <c r="L71" i="38"/>
  <c r="H71" i="38"/>
  <c r="M71" i="38"/>
  <c r="P70" i="38"/>
  <c r="H73" i="20"/>
  <c r="Q71" i="38"/>
  <c r="E72" i="38"/>
  <c r="I72" i="38" s="1"/>
  <c r="C72" i="38"/>
  <c r="D72" i="38"/>
  <c r="C75" i="20"/>
  <c r="A73" i="38"/>
  <c r="B73" i="38" s="1"/>
  <c r="K73" i="38" s="1"/>
  <c r="AA73" i="20"/>
  <c r="AE73" i="20"/>
  <c r="AC73" i="20"/>
  <c r="M72" i="20"/>
  <c r="AK72" i="20"/>
  <c r="S72" i="20" s="1"/>
  <c r="AG72" i="20"/>
  <c r="O72" i="20" s="1"/>
  <c r="AI72" i="20"/>
  <c r="Q72" i="20" s="1"/>
  <c r="W73" i="20"/>
  <c r="U73" i="20"/>
  <c r="Y73" i="20"/>
  <c r="A75" i="20"/>
  <c r="F79" i="15"/>
  <c r="G79" i="15"/>
  <c r="B79" i="8"/>
  <c r="C79" i="8"/>
  <c r="F78" i="8"/>
  <c r="G78" i="8"/>
  <c r="H78" i="15"/>
  <c r="K74" i="20" s="1"/>
  <c r="C80" i="15"/>
  <c r="B80" i="15"/>
  <c r="G79" i="14"/>
  <c r="F79" i="14"/>
  <c r="C80" i="14"/>
  <c r="B80" i="14"/>
  <c r="P79" i="15"/>
  <c r="F75" i="20" s="1"/>
  <c r="D79" i="15"/>
  <c r="N80" i="15"/>
  <c r="O80" i="15"/>
  <c r="A81" i="15"/>
  <c r="L73" i="20"/>
  <c r="J74" i="20"/>
  <c r="B76" i="20"/>
  <c r="D78" i="8"/>
  <c r="H78" i="8" s="1"/>
  <c r="P78" i="8"/>
  <c r="G74" i="20" s="1"/>
  <c r="N79" i="8"/>
  <c r="O79" i="8"/>
  <c r="A80" i="8"/>
  <c r="D79" i="14"/>
  <c r="H79" i="14" s="1"/>
  <c r="N80" i="14"/>
  <c r="A81" i="14"/>
  <c r="B96" i="37" s="1"/>
  <c r="A96" i="37" s="1"/>
  <c r="O80" i="14"/>
  <c r="P79" i="14"/>
  <c r="E75" i="20" s="1"/>
  <c r="P71" i="38" l="1"/>
  <c r="H72" i="38"/>
  <c r="M72" i="38"/>
  <c r="G72" i="38"/>
  <c r="O72" i="38" s="1"/>
  <c r="L72" i="38"/>
  <c r="H74" i="20"/>
  <c r="Q72" i="38"/>
  <c r="E73" i="38"/>
  <c r="I73" i="38" s="1"/>
  <c r="D73" i="38"/>
  <c r="C73" i="38"/>
  <c r="C76" i="20"/>
  <c r="A74" i="38"/>
  <c r="B74" i="38" s="1"/>
  <c r="K74" i="38" s="1"/>
  <c r="M73" i="20"/>
  <c r="AI73" i="20"/>
  <c r="Q73" i="20" s="1"/>
  <c r="AG73" i="20"/>
  <c r="O73" i="20" s="1"/>
  <c r="AK73" i="20"/>
  <c r="S73" i="20" s="1"/>
  <c r="W74" i="20"/>
  <c r="U74" i="20"/>
  <c r="Y74" i="20"/>
  <c r="AA74" i="20"/>
  <c r="AE74" i="20"/>
  <c r="AC74" i="20"/>
  <c r="A76" i="20"/>
  <c r="G80" i="15"/>
  <c r="F80" i="15"/>
  <c r="B81" i="15"/>
  <c r="C81" i="15"/>
  <c r="G79" i="8"/>
  <c r="B80" i="8"/>
  <c r="C80" i="8"/>
  <c r="F79" i="8"/>
  <c r="H79" i="15"/>
  <c r="K75" i="20" s="1"/>
  <c r="G80" i="14"/>
  <c r="F80" i="14"/>
  <c r="C81" i="14"/>
  <c r="B81" i="14"/>
  <c r="P80" i="15"/>
  <c r="F76" i="20" s="1"/>
  <c r="A82" i="15"/>
  <c r="N81" i="15"/>
  <c r="O81" i="15"/>
  <c r="D80" i="15"/>
  <c r="J75" i="20"/>
  <c r="L74" i="20"/>
  <c r="B77" i="20"/>
  <c r="P79" i="8"/>
  <c r="G75" i="20" s="1"/>
  <c r="N80" i="8"/>
  <c r="A81" i="8"/>
  <c r="O80" i="8"/>
  <c r="D79" i="8"/>
  <c r="H79" i="8" s="1"/>
  <c r="A82" i="14"/>
  <c r="B97" i="37" s="1"/>
  <c r="A97" i="37" s="1"/>
  <c r="N81" i="14"/>
  <c r="O81" i="14"/>
  <c r="D80" i="14"/>
  <c r="H80" i="14" s="1"/>
  <c r="P80" i="14"/>
  <c r="E76" i="20" s="1"/>
  <c r="P72" i="38" l="1"/>
  <c r="G73" i="38"/>
  <c r="O73" i="38" s="1"/>
  <c r="L73" i="38"/>
  <c r="H73" i="38"/>
  <c r="P73" i="38" s="1"/>
  <c r="M73" i="38"/>
  <c r="H75" i="20"/>
  <c r="Q73" i="38"/>
  <c r="E74" i="38"/>
  <c r="I74" i="38" s="1"/>
  <c r="C74" i="38"/>
  <c r="D74" i="38"/>
  <c r="C77" i="20"/>
  <c r="A75" i="38"/>
  <c r="B75" i="38" s="1"/>
  <c r="K75" i="38" s="1"/>
  <c r="U75" i="20"/>
  <c r="W75" i="20"/>
  <c r="Y75" i="20"/>
  <c r="AE75" i="20"/>
  <c r="AA75" i="20"/>
  <c r="AC75" i="20"/>
  <c r="M74" i="20"/>
  <c r="AK74" i="20"/>
  <c r="S74" i="20" s="1"/>
  <c r="AG74" i="20"/>
  <c r="O74" i="20" s="1"/>
  <c r="AI74" i="20"/>
  <c r="Q74" i="20" s="1"/>
  <c r="A77" i="20"/>
  <c r="G81" i="15"/>
  <c r="F81" i="15"/>
  <c r="G80" i="8"/>
  <c r="C81" i="8"/>
  <c r="B81" i="8"/>
  <c r="F80" i="8"/>
  <c r="H80" i="15"/>
  <c r="K76" i="20" s="1"/>
  <c r="C82" i="15"/>
  <c r="B82" i="15"/>
  <c r="G81" i="14"/>
  <c r="F81" i="14"/>
  <c r="C82" i="14"/>
  <c r="B82" i="14"/>
  <c r="D81" i="15"/>
  <c r="P81" i="15"/>
  <c r="F77" i="20" s="1"/>
  <c r="A83" i="15"/>
  <c r="N82" i="15"/>
  <c r="O82" i="15"/>
  <c r="P80" i="8"/>
  <c r="G76" i="20" s="1"/>
  <c r="B78" i="20"/>
  <c r="J76" i="20"/>
  <c r="L75" i="20"/>
  <c r="D80" i="8"/>
  <c r="H80" i="8" s="1"/>
  <c r="N81" i="8"/>
  <c r="A82" i="8"/>
  <c r="O81" i="8"/>
  <c r="P81" i="14"/>
  <c r="E77" i="20" s="1"/>
  <c r="D81" i="14"/>
  <c r="H81" i="14" s="1"/>
  <c r="A83" i="14"/>
  <c r="B98" i="37" s="1"/>
  <c r="A98" i="37" s="1"/>
  <c r="N82" i="14"/>
  <c r="O82" i="14"/>
  <c r="G74" i="38" l="1"/>
  <c r="O74" i="38" s="1"/>
  <c r="L74" i="38"/>
  <c r="H74" i="38"/>
  <c r="M74" i="38"/>
  <c r="H76" i="20"/>
  <c r="Q74" i="38"/>
  <c r="E75" i="38"/>
  <c r="I75" i="38" s="1"/>
  <c r="C75" i="38"/>
  <c r="D75" i="38"/>
  <c r="C78" i="20"/>
  <c r="A76" i="38"/>
  <c r="B76" i="38" s="1"/>
  <c r="K76" i="38" s="1"/>
  <c r="M75" i="20"/>
  <c r="AG75" i="20"/>
  <c r="O75" i="20" s="1"/>
  <c r="AI75" i="20"/>
  <c r="Q75" i="20" s="1"/>
  <c r="AK75" i="20"/>
  <c r="S75" i="20" s="1"/>
  <c r="AE76" i="20"/>
  <c r="AC76" i="20"/>
  <c r="AA76" i="20"/>
  <c r="W76" i="20"/>
  <c r="U76" i="20"/>
  <c r="Y76" i="20"/>
  <c r="A78" i="20"/>
  <c r="F82" i="15"/>
  <c r="G82" i="15"/>
  <c r="H81" i="15"/>
  <c r="K77" i="20" s="1"/>
  <c r="F81" i="8"/>
  <c r="G81" i="8"/>
  <c r="C82" i="8"/>
  <c r="B82" i="8"/>
  <c r="B83" i="15"/>
  <c r="C83" i="15"/>
  <c r="G82" i="14"/>
  <c r="F82" i="14"/>
  <c r="C83" i="14"/>
  <c r="B83" i="14"/>
  <c r="P82" i="15"/>
  <c r="F78" i="20" s="1"/>
  <c r="D82" i="15"/>
  <c r="N83" i="15"/>
  <c r="O83" i="15"/>
  <c r="A84" i="15"/>
  <c r="P81" i="8"/>
  <c r="G77" i="20" s="1"/>
  <c r="J77" i="20"/>
  <c r="L76" i="20"/>
  <c r="B79" i="20"/>
  <c r="D81" i="8"/>
  <c r="H81" i="8" s="1"/>
  <c r="A83" i="8"/>
  <c r="O82" i="8"/>
  <c r="N82" i="8"/>
  <c r="D82" i="14"/>
  <c r="H82" i="14" s="1"/>
  <c r="N83" i="14"/>
  <c r="A84" i="14"/>
  <c r="B99" i="37" s="1"/>
  <c r="A99" i="37" s="1"/>
  <c r="O83" i="14"/>
  <c r="P82" i="14"/>
  <c r="E78" i="20" s="1"/>
  <c r="P74" i="38" l="1"/>
  <c r="H75" i="38"/>
  <c r="M75" i="38"/>
  <c r="G75" i="38"/>
  <c r="O75" i="38" s="1"/>
  <c r="L75" i="38"/>
  <c r="H77" i="20"/>
  <c r="Q75" i="38"/>
  <c r="E76" i="38"/>
  <c r="I76" i="38" s="1"/>
  <c r="D76" i="38"/>
  <c r="C76" i="38"/>
  <c r="C79" i="20"/>
  <c r="A77" i="38"/>
  <c r="B77" i="38" s="1"/>
  <c r="K77" i="38" s="1"/>
  <c r="U77" i="20"/>
  <c r="W77" i="20"/>
  <c r="Y77" i="20"/>
  <c r="M76" i="20"/>
  <c r="AI76" i="20"/>
  <c r="Q76" i="20" s="1"/>
  <c r="AG76" i="20"/>
  <c r="O76" i="20" s="1"/>
  <c r="AK76" i="20"/>
  <c r="S76" i="20" s="1"/>
  <c r="AC77" i="20"/>
  <c r="AA77" i="20"/>
  <c r="AE77" i="20"/>
  <c r="A79" i="20"/>
  <c r="G83" i="15"/>
  <c r="F83" i="15"/>
  <c r="C83" i="8"/>
  <c r="B83" i="8"/>
  <c r="G82" i="8"/>
  <c r="F82" i="8"/>
  <c r="C84" i="15"/>
  <c r="B84" i="15"/>
  <c r="H82" i="15"/>
  <c r="K78" i="20" s="1"/>
  <c r="G83" i="14"/>
  <c r="F83" i="14"/>
  <c r="C84" i="14"/>
  <c r="B84" i="14"/>
  <c r="A85" i="15"/>
  <c r="N84" i="15"/>
  <c r="O84" i="15"/>
  <c r="D83" i="15"/>
  <c r="P83" i="15"/>
  <c r="F79" i="20" s="1"/>
  <c r="L77" i="20"/>
  <c r="J78" i="20"/>
  <c r="B80" i="20"/>
  <c r="D82" i="8"/>
  <c r="H82" i="8" s="1"/>
  <c r="N83" i="8"/>
  <c r="O83" i="8"/>
  <c r="A84" i="8"/>
  <c r="P82" i="8"/>
  <c r="G78" i="20" s="1"/>
  <c r="P83" i="14"/>
  <c r="E79" i="20" s="1"/>
  <c r="N84" i="14"/>
  <c r="O84" i="14"/>
  <c r="A85" i="14"/>
  <c r="B100" i="37" s="1"/>
  <c r="A100" i="37" s="1"/>
  <c r="D83" i="14"/>
  <c r="H83" i="14" s="1"/>
  <c r="G76" i="38" l="1"/>
  <c r="O76" i="38" s="1"/>
  <c r="L76" i="38"/>
  <c r="H76" i="38"/>
  <c r="M76" i="38"/>
  <c r="P75" i="38"/>
  <c r="H78" i="20"/>
  <c r="Q76" i="38"/>
  <c r="C77" i="38"/>
  <c r="D77" i="38"/>
  <c r="E77" i="38"/>
  <c r="I77" i="38" s="1"/>
  <c r="C80" i="20"/>
  <c r="A78" i="38"/>
  <c r="B78" i="38" s="1"/>
  <c r="K78" i="38" s="1"/>
  <c r="M77" i="20"/>
  <c r="AK77" i="20"/>
  <c r="S77" i="20" s="1"/>
  <c r="AG77" i="20"/>
  <c r="O77" i="20" s="1"/>
  <c r="AI77" i="20"/>
  <c r="Q77" i="20" s="1"/>
  <c r="AA78" i="20"/>
  <c r="AC78" i="20"/>
  <c r="AE78" i="20"/>
  <c r="Y78" i="20"/>
  <c r="U78" i="20"/>
  <c r="W78" i="20"/>
  <c r="A80" i="20"/>
  <c r="F84" i="15"/>
  <c r="B84" i="8"/>
  <c r="C84" i="8"/>
  <c r="B85" i="15"/>
  <c r="C85" i="15"/>
  <c r="H83" i="15"/>
  <c r="K79" i="20" s="1"/>
  <c r="F83" i="8"/>
  <c r="G84" i="15"/>
  <c r="G83" i="8"/>
  <c r="G84" i="14"/>
  <c r="F84" i="14"/>
  <c r="C85" i="14"/>
  <c r="B85" i="14"/>
  <c r="D84" i="15"/>
  <c r="P84" i="15"/>
  <c r="F80" i="20" s="1"/>
  <c r="A86" i="15"/>
  <c r="O85" i="15"/>
  <c r="N85" i="15"/>
  <c r="J79" i="20"/>
  <c r="B81" i="20"/>
  <c r="L78" i="20"/>
  <c r="P83" i="8"/>
  <c r="G79" i="20" s="1"/>
  <c r="D83" i="8"/>
  <c r="H83" i="8" s="1"/>
  <c r="A85" i="8"/>
  <c r="N84" i="8"/>
  <c r="O84" i="8"/>
  <c r="N85" i="14"/>
  <c r="O85" i="14"/>
  <c r="A86" i="14"/>
  <c r="B101" i="37" s="1"/>
  <c r="A101" i="37" s="1"/>
  <c r="D84" i="14"/>
  <c r="H84" i="14" s="1"/>
  <c r="P84" i="14"/>
  <c r="E80" i="20" s="1"/>
  <c r="P76" i="38" l="1"/>
  <c r="H77" i="38"/>
  <c r="M77" i="38"/>
  <c r="G77" i="38"/>
  <c r="O77" i="38" s="1"/>
  <c r="L77" i="38"/>
  <c r="H79" i="20"/>
  <c r="Q77" i="38"/>
  <c r="E78" i="38"/>
  <c r="I78" i="38" s="1"/>
  <c r="D78" i="38"/>
  <c r="C78" i="38"/>
  <c r="C81" i="20"/>
  <c r="A79" i="38"/>
  <c r="B79" i="38" s="1"/>
  <c r="K79" i="38" s="1"/>
  <c r="M78" i="20"/>
  <c r="AG78" i="20"/>
  <c r="O78" i="20" s="1"/>
  <c r="AI78" i="20"/>
  <c r="Q78" i="20" s="1"/>
  <c r="AK78" i="20"/>
  <c r="S78" i="20" s="1"/>
  <c r="Y79" i="20"/>
  <c r="W79" i="20"/>
  <c r="U79" i="20"/>
  <c r="AE79" i="20"/>
  <c r="AA79" i="20"/>
  <c r="AC79" i="20"/>
  <c r="G85" i="15"/>
  <c r="A81" i="20"/>
  <c r="F85" i="15"/>
  <c r="F84" i="8"/>
  <c r="B86" i="15"/>
  <c r="C86" i="15"/>
  <c r="B85" i="8"/>
  <c r="C85" i="8"/>
  <c r="G84" i="8"/>
  <c r="H84" i="15"/>
  <c r="K80" i="20" s="1"/>
  <c r="G85" i="14"/>
  <c r="F85" i="14"/>
  <c r="C86" i="14"/>
  <c r="B86" i="14"/>
  <c r="P85" i="15"/>
  <c r="F81" i="20" s="1"/>
  <c r="A87" i="15"/>
  <c r="O86" i="15"/>
  <c r="N86" i="15"/>
  <c r="D85" i="15"/>
  <c r="J80" i="20"/>
  <c r="B82" i="20"/>
  <c r="L79" i="20"/>
  <c r="O85" i="8"/>
  <c r="A86" i="8"/>
  <c r="N85" i="8"/>
  <c r="D84" i="8"/>
  <c r="H84" i="8" s="1"/>
  <c r="P84" i="8"/>
  <c r="G80" i="20" s="1"/>
  <c r="N86" i="14"/>
  <c r="A87" i="14"/>
  <c r="B102" i="37" s="1"/>
  <c r="A102" i="37" s="1"/>
  <c r="O86" i="14"/>
  <c r="D85" i="14"/>
  <c r="H85" i="14" s="1"/>
  <c r="P85" i="14"/>
  <c r="E81" i="20" s="1"/>
  <c r="G78" i="38" l="1"/>
  <c r="O78" i="38" s="1"/>
  <c r="L78" i="38"/>
  <c r="H78" i="38"/>
  <c r="P78" i="38" s="1"/>
  <c r="M78" i="38"/>
  <c r="P77" i="38"/>
  <c r="H80" i="20"/>
  <c r="Q78" i="38"/>
  <c r="C79" i="38"/>
  <c r="E79" i="38"/>
  <c r="I79" i="38" s="1"/>
  <c r="D79" i="38"/>
  <c r="C82" i="20"/>
  <c r="A80" i="38"/>
  <c r="B80" i="38" s="1"/>
  <c r="K80" i="38" s="1"/>
  <c r="AA80" i="20"/>
  <c r="AC80" i="20"/>
  <c r="AE80" i="20"/>
  <c r="Y80" i="20"/>
  <c r="U80" i="20"/>
  <c r="W80" i="20"/>
  <c r="M79" i="20"/>
  <c r="AG79" i="20"/>
  <c r="O79" i="20" s="1"/>
  <c r="AI79" i="20"/>
  <c r="Q79" i="20" s="1"/>
  <c r="AK79" i="20"/>
  <c r="S79" i="20" s="1"/>
  <c r="A82" i="20"/>
  <c r="G86" i="15"/>
  <c r="F86" i="15"/>
  <c r="C86" i="8"/>
  <c r="B86" i="8"/>
  <c r="F85" i="8"/>
  <c r="G85" i="8"/>
  <c r="H85" i="15"/>
  <c r="K81" i="20" s="1"/>
  <c r="C87" i="15"/>
  <c r="B87" i="15"/>
  <c r="G86" i="14"/>
  <c r="F86" i="14"/>
  <c r="B87" i="14"/>
  <c r="C87" i="14"/>
  <c r="P86" i="15"/>
  <c r="F82" i="20" s="1"/>
  <c r="D86" i="15"/>
  <c r="O87" i="15"/>
  <c r="N87" i="15"/>
  <c r="A88" i="15"/>
  <c r="L80" i="20"/>
  <c r="B83" i="20"/>
  <c r="J81" i="20"/>
  <c r="P85" i="8"/>
  <c r="G81" i="20" s="1"/>
  <c r="N86" i="8"/>
  <c r="A87" i="8"/>
  <c r="O86" i="8"/>
  <c r="D85" i="8"/>
  <c r="H85" i="8" s="1"/>
  <c r="A88" i="14"/>
  <c r="B103" i="37" s="1"/>
  <c r="A103" i="37" s="1"/>
  <c r="N87" i="14"/>
  <c r="O87" i="14"/>
  <c r="D86" i="14"/>
  <c r="H86" i="14" s="1"/>
  <c r="P86" i="14"/>
  <c r="E82" i="20" s="1"/>
  <c r="H79" i="38" l="1"/>
  <c r="M79" i="38"/>
  <c r="G79" i="38"/>
  <c r="O79" i="38" s="1"/>
  <c r="L79" i="38"/>
  <c r="H81" i="20"/>
  <c r="Q79" i="38"/>
  <c r="C80" i="38"/>
  <c r="E80" i="38"/>
  <c r="I80" i="38" s="1"/>
  <c r="D80" i="38"/>
  <c r="C83" i="20"/>
  <c r="A81" i="38"/>
  <c r="B81" i="38" s="1"/>
  <c r="K81" i="38" s="1"/>
  <c r="Y81" i="20"/>
  <c r="U81" i="20"/>
  <c r="W81" i="20"/>
  <c r="AC81" i="20"/>
  <c r="AE81" i="20"/>
  <c r="AA81" i="20"/>
  <c r="M80" i="20"/>
  <c r="AI80" i="20"/>
  <c r="Q80" i="20" s="1"/>
  <c r="AK80" i="20"/>
  <c r="S80" i="20" s="1"/>
  <c r="AG80" i="20"/>
  <c r="O80" i="20" s="1"/>
  <c r="A83" i="20"/>
  <c r="F87" i="15"/>
  <c r="G87" i="15"/>
  <c r="B87" i="8"/>
  <c r="C87" i="8"/>
  <c r="C88" i="15"/>
  <c r="B88" i="15"/>
  <c r="F86" i="8"/>
  <c r="H86" i="15"/>
  <c r="K82" i="20" s="1"/>
  <c r="G86" i="8"/>
  <c r="G87" i="14"/>
  <c r="F87" i="14"/>
  <c r="C88" i="14"/>
  <c r="B88" i="14"/>
  <c r="P87" i="15"/>
  <c r="F83" i="20" s="1"/>
  <c r="N88" i="15"/>
  <c r="A89" i="15"/>
  <c r="O88" i="15"/>
  <c r="D87" i="15"/>
  <c r="B84" i="20"/>
  <c r="J82" i="20"/>
  <c r="L81" i="20"/>
  <c r="P86" i="8"/>
  <c r="G82" i="20" s="1"/>
  <c r="A88" i="8"/>
  <c r="N87" i="8"/>
  <c r="O87" i="8"/>
  <c r="D86" i="8"/>
  <c r="H86" i="8" s="1"/>
  <c r="N88" i="14"/>
  <c r="A89" i="14"/>
  <c r="B104" i="37" s="1"/>
  <c r="A104" i="37" s="1"/>
  <c r="O88" i="14"/>
  <c r="P87" i="14"/>
  <c r="E83" i="20" s="1"/>
  <c r="D87" i="14"/>
  <c r="H87" i="14" s="1"/>
  <c r="H80" i="38" l="1"/>
  <c r="M80" i="38"/>
  <c r="G80" i="38"/>
  <c r="O80" i="38" s="1"/>
  <c r="L80" i="38"/>
  <c r="P79" i="38"/>
  <c r="H82" i="20"/>
  <c r="Q80" i="38"/>
  <c r="E81" i="38"/>
  <c r="I81" i="38" s="1"/>
  <c r="D81" i="38"/>
  <c r="C81" i="38"/>
  <c r="C84" i="20"/>
  <c r="A82" i="38"/>
  <c r="B82" i="38" s="1"/>
  <c r="K82" i="38" s="1"/>
  <c r="AE82" i="20"/>
  <c r="AC82" i="20"/>
  <c r="AA82" i="20"/>
  <c r="W82" i="20"/>
  <c r="U82" i="20"/>
  <c r="Y82" i="20"/>
  <c r="M81" i="20"/>
  <c r="AG81" i="20"/>
  <c r="O81" i="20" s="1"/>
  <c r="AI81" i="20"/>
  <c r="Q81" i="20" s="1"/>
  <c r="AK81" i="20"/>
  <c r="S81" i="20" s="1"/>
  <c r="A84" i="20"/>
  <c r="F88" i="15"/>
  <c r="G88" i="15"/>
  <c r="B88" i="8"/>
  <c r="C88" i="8"/>
  <c r="G87" i="8"/>
  <c r="F87" i="8"/>
  <c r="H87" i="15"/>
  <c r="K83" i="20" s="1"/>
  <c r="C89" i="15"/>
  <c r="B89" i="15"/>
  <c r="G88" i="14"/>
  <c r="F88" i="14"/>
  <c r="C89" i="14"/>
  <c r="B89" i="14"/>
  <c r="D88" i="15"/>
  <c r="A90" i="15"/>
  <c r="O89" i="15"/>
  <c r="N89" i="15"/>
  <c r="P88" i="15"/>
  <c r="F84" i="20" s="1"/>
  <c r="B85" i="20"/>
  <c r="J83" i="20"/>
  <c r="L82" i="20"/>
  <c r="P87" i="8"/>
  <c r="G83" i="20" s="1"/>
  <c r="D87" i="8"/>
  <c r="H87" i="8" s="1"/>
  <c r="O88" i="8"/>
  <c r="N88" i="8"/>
  <c r="A89" i="8"/>
  <c r="N89" i="14"/>
  <c r="A90" i="14"/>
  <c r="B105" i="37" s="1"/>
  <c r="A105" i="37" s="1"/>
  <c r="O89" i="14"/>
  <c r="D88" i="14"/>
  <c r="H88" i="14" s="1"/>
  <c r="P88" i="14"/>
  <c r="E84" i="20" s="1"/>
  <c r="H81" i="38" l="1"/>
  <c r="M81" i="38"/>
  <c r="G81" i="38"/>
  <c r="O81" i="38" s="1"/>
  <c r="L81" i="38"/>
  <c r="P80" i="38"/>
  <c r="H83" i="20"/>
  <c r="Q81" i="38"/>
  <c r="E82" i="38"/>
  <c r="I82" i="38" s="1"/>
  <c r="D82" i="38"/>
  <c r="C82" i="38"/>
  <c r="C85" i="20"/>
  <c r="A83" i="38"/>
  <c r="B83" i="38" s="1"/>
  <c r="K83" i="38" s="1"/>
  <c r="AE83" i="20"/>
  <c r="AC83" i="20"/>
  <c r="AA83" i="20"/>
  <c r="M82" i="20"/>
  <c r="AG82" i="20"/>
  <c r="O82" i="20" s="1"/>
  <c r="AI82" i="20"/>
  <c r="Q82" i="20" s="1"/>
  <c r="AK82" i="20"/>
  <c r="S82" i="20" s="1"/>
  <c r="U83" i="20"/>
  <c r="W83" i="20"/>
  <c r="Y83" i="20"/>
  <c r="A85" i="20"/>
  <c r="F89" i="15"/>
  <c r="G89" i="15"/>
  <c r="G88" i="8"/>
  <c r="H88" i="15"/>
  <c r="K84" i="20" s="1"/>
  <c r="C89" i="8"/>
  <c r="B89" i="8"/>
  <c r="F88" i="8"/>
  <c r="C90" i="15"/>
  <c r="B90" i="15"/>
  <c r="G89" i="14"/>
  <c r="F89" i="14"/>
  <c r="C90" i="14"/>
  <c r="B90" i="14"/>
  <c r="P89" i="15"/>
  <c r="F85" i="20" s="1"/>
  <c r="N90" i="15"/>
  <c r="O90" i="15"/>
  <c r="A91" i="15"/>
  <c r="D89" i="15"/>
  <c r="L83" i="20"/>
  <c r="J84" i="20"/>
  <c r="B86" i="20"/>
  <c r="P88" i="8"/>
  <c r="G84" i="20" s="1"/>
  <c r="D88" i="8"/>
  <c r="H88" i="8" s="1"/>
  <c r="N89" i="8"/>
  <c r="A90" i="8"/>
  <c r="O89" i="8"/>
  <c r="N90" i="14"/>
  <c r="O90" i="14"/>
  <c r="A91" i="14"/>
  <c r="B106" i="37" s="1"/>
  <c r="A106" i="37" s="1"/>
  <c r="D89" i="14"/>
  <c r="H89" i="14" s="1"/>
  <c r="P89" i="14"/>
  <c r="E85" i="20" s="1"/>
  <c r="H82" i="38" l="1"/>
  <c r="M82" i="38"/>
  <c r="G82" i="38"/>
  <c r="O82" i="38" s="1"/>
  <c r="L82" i="38"/>
  <c r="P81" i="38"/>
  <c r="H84" i="20"/>
  <c r="Q82" i="38"/>
  <c r="C83" i="38"/>
  <c r="D83" i="38"/>
  <c r="E83" i="38"/>
  <c r="I83" i="38" s="1"/>
  <c r="C86" i="20"/>
  <c r="A84" i="38"/>
  <c r="B84" i="38" s="1"/>
  <c r="K84" i="38" s="1"/>
  <c r="M83" i="20"/>
  <c r="AG83" i="20"/>
  <c r="O83" i="20" s="1"/>
  <c r="AI83" i="20"/>
  <c r="Q83" i="20" s="1"/>
  <c r="AK83" i="20"/>
  <c r="S83" i="20" s="1"/>
  <c r="AC84" i="20"/>
  <c r="AE84" i="20"/>
  <c r="AA84" i="20"/>
  <c r="W84" i="20"/>
  <c r="U84" i="20"/>
  <c r="Y84" i="20"/>
  <c r="A86" i="20"/>
  <c r="F90" i="15"/>
  <c r="G90" i="15"/>
  <c r="C90" i="8"/>
  <c r="B90" i="8"/>
  <c r="G89" i="8"/>
  <c r="B91" i="15"/>
  <c r="C91" i="15"/>
  <c r="F89" i="8"/>
  <c r="H89" i="15"/>
  <c r="K85" i="20" s="1"/>
  <c r="G90" i="14"/>
  <c r="F90" i="14"/>
  <c r="C91" i="14"/>
  <c r="B91" i="14"/>
  <c r="A92" i="15"/>
  <c r="O91" i="15"/>
  <c r="N91" i="15"/>
  <c r="D90" i="15"/>
  <c r="P90" i="15"/>
  <c r="F86" i="20" s="1"/>
  <c r="J85" i="20"/>
  <c r="L84" i="20"/>
  <c r="B87" i="20"/>
  <c r="P89" i="8"/>
  <c r="G85" i="20" s="1"/>
  <c r="O90" i="8"/>
  <c r="N90" i="8"/>
  <c r="A91" i="8"/>
  <c r="D89" i="8"/>
  <c r="H89" i="8" s="1"/>
  <c r="N91" i="14"/>
  <c r="O91" i="14"/>
  <c r="A92" i="14"/>
  <c r="B107" i="37" s="1"/>
  <c r="A107" i="37" s="1"/>
  <c r="D90" i="14"/>
  <c r="H90" i="14" s="1"/>
  <c r="P90" i="14"/>
  <c r="E86" i="20" s="1"/>
  <c r="H83" i="38" l="1"/>
  <c r="M83" i="38"/>
  <c r="G83" i="38"/>
  <c r="O83" i="38" s="1"/>
  <c r="L83" i="38"/>
  <c r="P82" i="38"/>
  <c r="H85" i="20"/>
  <c r="Q83" i="38"/>
  <c r="E84" i="38"/>
  <c r="I84" i="38" s="1"/>
  <c r="C84" i="38"/>
  <c r="D84" i="38"/>
  <c r="C87" i="20"/>
  <c r="A85" i="38"/>
  <c r="B85" i="38" s="1"/>
  <c r="K85" i="38" s="1"/>
  <c r="AE85" i="20"/>
  <c r="AC85" i="20"/>
  <c r="AA85" i="20"/>
  <c r="W85" i="20"/>
  <c r="Y85" i="20"/>
  <c r="U85" i="20"/>
  <c r="M84" i="20"/>
  <c r="AI84" i="20"/>
  <c r="Q84" i="20" s="1"/>
  <c r="AG84" i="20"/>
  <c r="O84" i="20" s="1"/>
  <c r="AK84" i="20"/>
  <c r="S84" i="20" s="1"/>
  <c r="A87" i="20"/>
  <c r="C91" i="8"/>
  <c r="B91" i="8"/>
  <c r="F91" i="15"/>
  <c r="G91" i="15"/>
  <c r="H90" i="15"/>
  <c r="K86" i="20" s="1"/>
  <c r="C92" i="15"/>
  <c r="B92" i="15"/>
  <c r="F90" i="8"/>
  <c r="G90" i="8"/>
  <c r="G91" i="14"/>
  <c r="F91" i="14"/>
  <c r="C92" i="14"/>
  <c r="B92" i="14"/>
  <c r="P91" i="15"/>
  <c r="F87" i="20" s="1"/>
  <c r="D91" i="15"/>
  <c r="A93" i="15"/>
  <c r="O92" i="15"/>
  <c r="N92" i="15"/>
  <c r="L85" i="20"/>
  <c r="J86" i="20"/>
  <c r="B88" i="20"/>
  <c r="O91" i="8"/>
  <c r="A92" i="8"/>
  <c r="N91" i="8"/>
  <c r="D90" i="8"/>
  <c r="H90" i="8" s="1"/>
  <c r="P90" i="8"/>
  <c r="G86" i="20" s="1"/>
  <c r="D91" i="14"/>
  <c r="H91" i="14" s="1"/>
  <c r="N92" i="14"/>
  <c r="A93" i="14"/>
  <c r="B108" i="37" s="1"/>
  <c r="A108" i="37" s="1"/>
  <c r="O92" i="14"/>
  <c r="P91" i="14"/>
  <c r="E87" i="20" s="1"/>
  <c r="H84" i="38" l="1"/>
  <c r="M84" i="38"/>
  <c r="G84" i="38"/>
  <c r="O84" i="38" s="1"/>
  <c r="L84" i="38"/>
  <c r="P83" i="38"/>
  <c r="H86" i="20"/>
  <c r="Q84" i="38"/>
  <c r="E85" i="38"/>
  <c r="I85" i="38" s="1"/>
  <c r="D85" i="38"/>
  <c r="C85" i="38"/>
  <c r="C88" i="20"/>
  <c r="A86" i="38"/>
  <c r="B86" i="38" s="1"/>
  <c r="K86" i="38" s="1"/>
  <c r="M85" i="20"/>
  <c r="AI85" i="20"/>
  <c r="Q85" i="20" s="1"/>
  <c r="AK85" i="20"/>
  <c r="S85" i="20" s="1"/>
  <c r="AG85" i="20"/>
  <c r="O85" i="20" s="1"/>
  <c r="AE86" i="20"/>
  <c r="AC86" i="20"/>
  <c r="AA86" i="20"/>
  <c r="W86" i="20"/>
  <c r="Y86" i="20"/>
  <c r="U86" i="20"/>
  <c r="A88" i="20"/>
  <c r="F92" i="15"/>
  <c r="G92" i="15"/>
  <c r="C92" i="8"/>
  <c r="B92" i="8"/>
  <c r="B93" i="15"/>
  <c r="C93" i="15"/>
  <c r="H91" i="15"/>
  <c r="K87" i="20" s="1"/>
  <c r="F91" i="8"/>
  <c r="G91" i="8"/>
  <c r="G92" i="14"/>
  <c r="F92" i="14"/>
  <c r="C93" i="14"/>
  <c r="B93" i="14"/>
  <c r="P92" i="15"/>
  <c r="F88" i="20" s="1"/>
  <c r="D92" i="15"/>
  <c r="N93" i="15"/>
  <c r="A94" i="15"/>
  <c r="O93" i="15"/>
  <c r="L86" i="20"/>
  <c r="B89" i="20"/>
  <c r="J87" i="20"/>
  <c r="D91" i="8"/>
  <c r="H91" i="8" s="1"/>
  <c r="P91" i="8"/>
  <c r="G87" i="20" s="1"/>
  <c r="O92" i="8"/>
  <c r="N92" i="8"/>
  <c r="A93" i="8"/>
  <c r="N93" i="14"/>
  <c r="O93" i="14"/>
  <c r="A94" i="14"/>
  <c r="B109" i="37" s="1"/>
  <c r="A109" i="37" s="1"/>
  <c r="D92" i="14"/>
  <c r="H92" i="14" s="1"/>
  <c r="P92" i="14"/>
  <c r="E88" i="20" s="1"/>
  <c r="H85" i="38" l="1"/>
  <c r="M85" i="38"/>
  <c r="G85" i="38"/>
  <c r="O85" i="38" s="1"/>
  <c r="L85" i="38"/>
  <c r="P84" i="38"/>
  <c r="H87" i="20"/>
  <c r="Q85" i="38"/>
  <c r="C86" i="38"/>
  <c r="E86" i="38"/>
  <c r="I86" i="38" s="1"/>
  <c r="D86" i="38"/>
  <c r="C89" i="20"/>
  <c r="A87" i="38"/>
  <c r="B87" i="38" s="1"/>
  <c r="K87" i="38" s="1"/>
  <c r="AA87" i="20"/>
  <c r="AC87" i="20"/>
  <c r="AE87" i="20"/>
  <c r="W87" i="20"/>
  <c r="U87" i="20"/>
  <c r="Y87" i="20"/>
  <c r="M86" i="20"/>
  <c r="AI86" i="20"/>
  <c r="Q86" i="20" s="1"/>
  <c r="AK86" i="20"/>
  <c r="S86" i="20" s="1"/>
  <c r="AG86" i="20"/>
  <c r="O86" i="20" s="1"/>
  <c r="A89" i="20"/>
  <c r="G93" i="15"/>
  <c r="F93" i="15"/>
  <c r="B93" i="8"/>
  <c r="C93" i="8"/>
  <c r="F92" i="8"/>
  <c r="G92" i="8"/>
  <c r="B94" i="15"/>
  <c r="C94" i="15"/>
  <c r="H92" i="15"/>
  <c r="K88" i="20" s="1"/>
  <c r="G93" i="14"/>
  <c r="F93" i="14"/>
  <c r="C94" i="14"/>
  <c r="B94" i="14"/>
  <c r="P93" i="15"/>
  <c r="F89" i="20" s="1"/>
  <c r="O94" i="15"/>
  <c r="A95" i="15"/>
  <c r="N94" i="15"/>
  <c r="D93" i="15"/>
  <c r="J88" i="20"/>
  <c r="L87" i="20"/>
  <c r="B90" i="20"/>
  <c r="P92" i="8"/>
  <c r="G88" i="20" s="1"/>
  <c r="D92" i="8"/>
  <c r="H92" i="8" s="1"/>
  <c r="O93" i="8"/>
  <c r="A94" i="8"/>
  <c r="N93" i="8"/>
  <c r="D93" i="14"/>
  <c r="H93" i="14" s="1"/>
  <c r="N94" i="14"/>
  <c r="A95" i="14"/>
  <c r="B110" i="37" s="1"/>
  <c r="A110" i="37" s="1"/>
  <c r="O94" i="14"/>
  <c r="P93" i="14"/>
  <c r="E89" i="20" s="1"/>
  <c r="H86" i="38" l="1"/>
  <c r="M86" i="38"/>
  <c r="G86" i="38"/>
  <c r="O86" i="38" s="1"/>
  <c r="L86" i="38"/>
  <c r="P85" i="38"/>
  <c r="H88" i="20"/>
  <c r="Q86" i="38"/>
  <c r="E87" i="38"/>
  <c r="I87" i="38" s="1"/>
  <c r="D87" i="38"/>
  <c r="C87" i="38"/>
  <c r="C90" i="20"/>
  <c r="A88" i="38"/>
  <c r="B88" i="38" s="1"/>
  <c r="K88" i="38" s="1"/>
  <c r="AA88" i="20"/>
  <c r="AE88" i="20"/>
  <c r="AC88" i="20"/>
  <c r="M87" i="20"/>
  <c r="AG87" i="20"/>
  <c r="O87" i="20" s="1"/>
  <c r="AI87" i="20"/>
  <c r="Q87" i="20" s="1"/>
  <c r="AK87" i="20"/>
  <c r="S87" i="20" s="1"/>
  <c r="Y88" i="20"/>
  <c r="U88" i="20"/>
  <c r="W88" i="20"/>
  <c r="A90" i="20"/>
  <c r="G94" i="15"/>
  <c r="F94" i="15"/>
  <c r="B94" i="8"/>
  <c r="C94" i="8"/>
  <c r="H93" i="15"/>
  <c r="K89" i="20" s="1"/>
  <c r="C95" i="15"/>
  <c r="B95" i="15"/>
  <c r="G93" i="8"/>
  <c r="F93" i="8"/>
  <c r="G94" i="14"/>
  <c r="F94" i="14"/>
  <c r="B95" i="14"/>
  <c r="C95" i="14"/>
  <c r="P94" i="15"/>
  <c r="F90" i="20" s="1"/>
  <c r="D94" i="15"/>
  <c r="N95" i="15"/>
  <c r="O95" i="15"/>
  <c r="A96" i="15"/>
  <c r="P93" i="8"/>
  <c r="G89" i="20" s="1"/>
  <c r="B91" i="20"/>
  <c r="J89" i="20"/>
  <c r="L88" i="20"/>
  <c r="O94" i="8"/>
  <c r="N94" i="8"/>
  <c r="A95" i="8"/>
  <c r="D93" i="8"/>
  <c r="H93" i="8" s="1"/>
  <c r="D94" i="14"/>
  <c r="H94" i="14" s="1"/>
  <c r="N95" i="14"/>
  <c r="O95" i="14"/>
  <c r="A96" i="14"/>
  <c r="B111" i="37" s="1"/>
  <c r="A111" i="37" s="1"/>
  <c r="P94" i="14"/>
  <c r="E90" i="20" s="1"/>
  <c r="H87" i="38" l="1"/>
  <c r="M87" i="38"/>
  <c r="G87" i="38"/>
  <c r="O87" i="38" s="1"/>
  <c r="L87" i="38"/>
  <c r="P86" i="38"/>
  <c r="H89" i="20"/>
  <c r="Q87" i="38"/>
  <c r="E88" i="38"/>
  <c r="I88" i="38" s="1"/>
  <c r="D88" i="38"/>
  <c r="C88" i="38"/>
  <c r="C91" i="20"/>
  <c r="A89" i="38"/>
  <c r="B89" i="38" s="1"/>
  <c r="K89" i="38" s="1"/>
  <c r="W89" i="20"/>
  <c r="U89" i="20"/>
  <c r="Y89" i="20"/>
  <c r="M88" i="20"/>
  <c r="AK88" i="20"/>
  <c r="S88" i="20" s="1"/>
  <c r="AG88" i="20"/>
  <c r="O88" i="20" s="1"/>
  <c r="AI88" i="20"/>
  <c r="Q88" i="20" s="1"/>
  <c r="AA89" i="20"/>
  <c r="AE89" i="20"/>
  <c r="AC89" i="20"/>
  <c r="A91" i="20"/>
  <c r="F95" i="15"/>
  <c r="G95" i="15"/>
  <c r="H94" i="15"/>
  <c r="K90" i="20" s="1"/>
  <c r="B95" i="8"/>
  <c r="C95" i="8"/>
  <c r="C96" i="15"/>
  <c r="B96" i="15"/>
  <c r="G94" i="8"/>
  <c r="F94" i="8"/>
  <c r="G95" i="14"/>
  <c r="F95" i="14"/>
  <c r="C96" i="14"/>
  <c r="B96" i="14"/>
  <c r="A97" i="15"/>
  <c r="N96" i="15"/>
  <c r="O96" i="15"/>
  <c r="P95" i="15"/>
  <c r="F91" i="20" s="1"/>
  <c r="D95" i="15"/>
  <c r="B92" i="20"/>
  <c r="J90" i="20"/>
  <c r="L89" i="20"/>
  <c r="P94" i="8"/>
  <c r="G90" i="20" s="1"/>
  <c r="D94" i="8"/>
  <c r="H94" i="8" s="1"/>
  <c r="O95" i="8"/>
  <c r="A96" i="8"/>
  <c r="N95" i="8"/>
  <c r="P95" i="14"/>
  <c r="E91" i="20" s="1"/>
  <c r="O96" i="14"/>
  <c r="N96" i="14"/>
  <c r="A97" i="14"/>
  <c r="B112" i="37" s="1"/>
  <c r="A112" i="37" s="1"/>
  <c r="D95" i="14"/>
  <c r="H95" i="14" s="1"/>
  <c r="H88" i="38" l="1"/>
  <c r="M88" i="38"/>
  <c r="G88" i="38"/>
  <c r="O88" i="38" s="1"/>
  <c r="L88" i="38"/>
  <c r="P87" i="38"/>
  <c r="H90" i="20"/>
  <c r="Q88" i="38"/>
  <c r="E89" i="38"/>
  <c r="I89" i="38" s="1"/>
  <c r="D89" i="38"/>
  <c r="C89" i="38"/>
  <c r="C92" i="20"/>
  <c r="A90" i="38"/>
  <c r="B90" i="38" s="1"/>
  <c r="K90" i="38" s="1"/>
  <c r="M89" i="20"/>
  <c r="AG89" i="20"/>
  <c r="O89" i="20" s="1"/>
  <c r="AK89" i="20"/>
  <c r="S89" i="20" s="1"/>
  <c r="AI89" i="20"/>
  <c r="Q89" i="20" s="1"/>
  <c r="Y90" i="20"/>
  <c r="W90" i="20"/>
  <c r="U90" i="20"/>
  <c r="AC90" i="20"/>
  <c r="AA90" i="20"/>
  <c r="AE90" i="20"/>
  <c r="A92" i="20"/>
  <c r="C97" i="15"/>
  <c r="B97" i="15"/>
  <c r="F96" i="15"/>
  <c r="B96" i="8"/>
  <c r="C96" i="8"/>
  <c r="G95" i="8"/>
  <c r="G96" i="15"/>
  <c r="F95" i="8"/>
  <c r="H95" i="15"/>
  <c r="K91" i="20" s="1"/>
  <c r="G96" i="14"/>
  <c r="F96" i="14"/>
  <c r="C97" i="14"/>
  <c r="B97" i="14"/>
  <c r="P96" i="15"/>
  <c r="F92" i="20" s="1"/>
  <c r="D96" i="15"/>
  <c r="O97" i="15"/>
  <c r="N97" i="15"/>
  <c r="A98" i="15"/>
  <c r="J91" i="20"/>
  <c r="L90" i="20"/>
  <c r="B93" i="20"/>
  <c r="D95" i="8"/>
  <c r="H95" i="8" s="1"/>
  <c r="N96" i="8"/>
  <c r="A97" i="8"/>
  <c r="O96" i="8"/>
  <c r="P95" i="8"/>
  <c r="G91" i="20" s="1"/>
  <c r="P96" i="14"/>
  <c r="E92" i="20" s="1"/>
  <c r="N97" i="14"/>
  <c r="O97" i="14"/>
  <c r="A98" i="14"/>
  <c r="B113" i="37" s="1"/>
  <c r="A113" i="37" s="1"/>
  <c r="D96" i="14"/>
  <c r="H96" i="14" s="1"/>
  <c r="G89" i="38" l="1"/>
  <c r="O89" i="38" s="1"/>
  <c r="L89" i="38"/>
  <c r="H89" i="38"/>
  <c r="M89" i="38"/>
  <c r="P88" i="38"/>
  <c r="H91" i="20"/>
  <c r="Q89" i="38"/>
  <c r="C90" i="38"/>
  <c r="D90" i="38"/>
  <c r="E90" i="38"/>
  <c r="I90" i="38" s="1"/>
  <c r="C93" i="20"/>
  <c r="A91" i="38"/>
  <c r="B91" i="38" s="1"/>
  <c r="K91" i="38" s="1"/>
  <c r="AC91" i="20"/>
  <c r="AE91" i="20"/>
  <c r="AA91" i="20"/>
  <c r="M90" i="20"/>
  <c r="AI90" i="20"/>
  <c r="Q90" i="20" s="1"/>
  <c r="AK90" i="20"/>
  <c r="S90" i="20" s="1"/>
  <c r="AG90" i="20"/>
  <c r="O90" i="20" s="1"/>
  <c r="Y91" i="20"/>
  <c r="U91" i="20"/>
  <c r="W91" i="20"/>
  <c r="A93" i="20"/>
  <c r="G96" i="8"/>
  <c r="F96" i="8"/>
  <c r="H96" i="15"/>
  <c r="K92" i="20" s="1"/>
  <c r="F97" i="15"/>
  <c r="C97" i="8"/>
  <c r="B97" i="8"/>
  <c r="C98" i="15"/>
  <c r="B98" i="15"/>
  <c r="G97" i="15"/>
  <c r="G97" i="14"/>
  <c r="F97" i="14"/>
  <c r="C98" i="14"/>
  <c r="B98" i="14"/>
  <c r="P97" i="15"/>
  <c r="F93" i="20" s="1"/>
  <c r="N98" i="15"/>
  <c r="O98" i="15"/>
  <c r="A99" i="15"/>
  <c r="D97" i="15"/>
  <c r="L91" i="20"/>
  <c r="J92" i="20"/>
  <c r="B94" i="20"/>
  <c r="P96" i="8"/>
  <c r="G92" i="20" s="1"/>
  <c r="D96" i="8"/>
  <c r="H96" i="8" s="1"/>
  <c r="O97" i="8"/>
  <c r="N97" i="8"/>
  <c r="A98" i="8"/>
  <c r="D97" i="14"/>
  <c r="H97" i="14" s="1"/>
  <c r="N98" i="14"/>
  <c r="O98" i="14"/>
  <c r="A99" i="14"/>
  <c r="B114" i="37" s="1"/>
  <c r="A114" i="37" s="1"/>
  <c r="P97" i="14"/>
  <c r="E93" i="20" s="1"/>
  <c r="P89" i="38" l="1"/>
  <c r="H90" i="38"/>
  <c r="M90" i="38"/>
  <c r="G90" i="38"/>
  <c r="O90" i="38" s="1"/>
  <c r="L90" i="38"/>
  <c r="H92" i="20"/>
  <c r="Q90" i="38"/>
  <c r="E91" i="38"/>
  <c r="I91" i="38" s="1"/>
  <c r="D91" i="38"/>
  <c r="C91" i="38"/>
  <c r="C94" i="20"/>
  <c r="A92" i="38"/>
  <c r="B92" i="38" s="1"/>
  <c r="K92" i="38" s="1"/>
  <c r="W92" i="20"/>
  <c r="Y92" i="20"/>
  <c r="U92" i="20"/>
  <c r="AA92" i="20"/>
  <c r="AC92" i="20"/>
  <c r="AE92" i="20"/>
  <c r="M91" i="20"/>
  <c r="AK91" i="20"/>
  <c r="S91" i="20" s="1"/>
  <c r="AG91" i="20"/>
  <c r="O91" i="20" s="1"/>
  <c r="AI91" i="20"/>
  <c r="Q91" i="20" s="1"/>
  <c r="G98" i="15"/>
  <c r="A94" i="20"/>
  <c r="F98" i="15"/>
  <c r="F97" i="8"/>
  <c r="B99" i="15"/>
  <c r="C99" i="15"/>
  <c r="H97" i="15"/>
  <c r="K93" i="20" s="1"/>
  <c r="C98" i="8"/>
  <c r="B98" i="8"/>
  <c r="G97" i="8"/>
  <c r="G98" i="14"/>
  <c r="F98" i="14"/>
  <c r="C99" i="14"/>
  <c r="B99" i="14"/>
  <c r="D98" i="15"/>
  <c r="A100" i="15"/>
  <c r="N99" i="15"/>
  <c r="O99" i="15"/>
  <c r="P98" i="15"/>
  <c r="F94" i="20" s="1"/>
  <c r="L92" i="20"/>
  <c r="J93" i="20"/>
  <c r="B95" i="20"/>
  <c r="P97" i="8"/>
  <c r="G93" i="20" s="1"/>
  <c r="D97" i="8"/>
  <c r="H97" i="8" s="1"/>
  <c r="A99" i="8"/>
  <c r="N98" i="8"/>
  <c r="O98" i="8"/>
  <c r="D98" i="14"/>
  <c r="H98" i="14" s="1"/>
  <c r="N99" i="14"/>
  <c r="O99" i="14"/>
  <c r="A100" i="14"/>
  <c r="B115" i="37" s="1"/>
  <c r="A115" i="37" s="1"/>
  <c r="P98" i="14"/>
  <c r="E94" i="20" s="1"/>
  <c r="G91" i="38" l="1"/>
  <c r="O91" i="38" s="1"/>
  <c r="L91" i="38"/>
  <c r="H91" i="38"/>
  <c r="M91" i="38"/>
  <c r="P90" i="38"/>
  <c r="H93" i="20"/>
  <c r="Q91" i="38"/>
  <c r="C92" i="38"/>
  <c r="E92" i="38"/>
  <c r="I92" i="38" s="1"/>
  <c r="D92" i="38"/>
  <c r="C95" i="20"/>
  <c r="A93" i="38"/>
  <c r="B93" i="38" s="1"/>
  <c r="K93" i="38" s="1"/>
  <c r="AA93" i="20"/>
  <c r="AE93" i="20"/>
  <c r="AC93" i="20"/>
  <c r="Y93" i="20"/>
  <c r="W93" i="20"/>
  <c r="U93" i="20"/>
  <c r="M92" i="20"/>
  <c r="AI92" i="20"/>
  <c r="Q92" i="20" s="1"/>
  <c r="AK92" i="20"/>
  <c r="S92" i="20" s="1"/>
  <c r="AG92" i="20"/>
  <c r="O92" i="20" s="1"/>
  <c r="A95" i="20"/>
  <c r="G99" i="15"/>
  <c r="F98" i="8"/>
  <c r="F99" i="15"/>
  <c r="C99" i="8"/>
  <c r="B99" i="8"/>
  <c r="H98" i="15"/>
  <c r="K94" i="20" s="1"/>
  <c r="G98" i="8"/>
  <c r="C100" i="15"/>
  <c r="B100" i="15"/>
  <c r="G99" i="14"/>
  <c r="F99" i="14"/>
  <c r="C100" i="14"/>
  <c r="B100" i="14"/>
  <c r="D99" i="15"/>
  <c r="P99" i="15"/>
  <c r="F95" i="20" s="1"/>
  <c r="N100" i="15"/>
  <c r="A101" i="15"/>
  <c r="O100" i="15"/>
  <c r="J94" i="20"/>
  <c r="L93" i="20"/>
  <c r="B96" i="20"/>
  <c r="A100" i="8"/>
  <c r="N99" i="8"/>
  <c r="O99" i="8"/>
  <c r="D98" i="8"/>
  <c r="H98" i="8" s="1"/>
  <c r="P98" i="8"/>
  <c r="G94" i="20" s="1"/>
  <c r="O100" i="14"/>
  <c r="N100" i="14"/>
  <c r="A101" i="14"/>
  <c r="B116" i="37" s="1"/>
  <c r="A116" i="37" s="1"/>
  <c r="P99" i="14"/>
  <c r="E95" i="20" s="1"/>
  <c r="D99" i="14"/>
  <c r="H99" i="14" s="1"/>
  <c r="P91" i="38" l="1"/>
  <c r="H92" i="38"/>
  <c r="M92" i="38"/>
  <c r="G92" i="38"/>
  <c r="O92" i="38" s="1"/>
  <c r="L92" i="38"/>
  <c r="H94" i="20"/>
  <c r="Q92" i="38"/>
  <c r="E93" i="38"/>
  <c r="I93" i="38" s="1"/>
  <c r="D93" i="38"/>
  <c r="C93" i="38"/>
  <c r="C96" i="20"/>
  <c r="A94" i="38"/>
  <c r="B94" i="38" s="1"/>
  <c r="K94" i="38" s="1"/>
  <c r="AC94" i="20"/>
  <c r="AE94" i="20"/>
  <c r="AA94" i="20"/>
  <c r="W94" i="20"/>
  <c r="Y94" i="20"/>
  <c r="U94" i="20"/>
  <c r="M93" i="20"/>
  <c r="AG93" i="20"/>
  <c r="O93" i="20" s="1"/>
  <c r="AI93" i="20"/>
  <c r="Q93" i="20" s="1"/>
  <c r="AK93" i="20"/>
  <c r="S93" i="20" s="1"/>
  <c r="A96" i="20"/>
  <c r="F100" i="15"/>
  <c r="G100" i="15"/>
  <c r="H99" i="15"/>
  <c r="K95" i="20" s="1"/>
  <c r="C100" i="8"/>
  <c r="B100" i="8"/>
  <c r="B101" i="15"/>
  <c r="C101" i="15"/>
  <c r="F99" i="8"/>
  <c r="G99" i="8"/>
  <c r="G100" i="14"/>
  <c r="F100" i="14"/>
  <c r="C101" i="14"/>
  <c r="B101" i="14"/>
  <c r="P100" i="15"/>
  <c r="F96" i="20" s="1"/>
  <c r="D100" i="15"/>
  <c r="N101" i="15"/>
  <c r="A102" i="15"/>
  <c r="O101" i="15"/>
  <c r="J95" i="20"/>
  <c r="L94" i="20"/>
  <c r="B97" i="20"/>
  <c r="P99" i="8"/>
  <c r="G95" i="20" s="1"/>
  <c r="D99" i="8"/>
  <c r="H99" i="8" s="1"/>
  <c r="O100" i="8"/>
  <c r="A101" i="8"/>
  <c r="N100" i="8"/>
  <c r="P100" i="14"/>
  <c r="E96" i="20" s="1"/>
  <c r="N101" i="14"/>
  <c r="A102" i="14"/>
  <c r="B117" i="37" s="1"/>
  <c r="A117" i="37" s="1"/>
  <c r="O101" i="14"/>
  <c r="D100" i="14"/>
  <c r="H100" i="14" s="1"/>
  <c r="G93" i="38" l="1"/>
  <c r="O93" i="38" s="1"/>
  <c r="L93" i="38"/>
  <c r="H93" i="38"/>
  <c r="P93" i="38" s="1"/>
  <c r="M93" i="38"/>
  <c r="P92" i="38"/>
  <c r="H95" i="20"/>
  <c r="Q93" i="38"/>
  <c r="E94" i="38"/>
  <c r="I94" i="38" s="1"/>
  <c r="D94" i="38"/>
  <c r="C94" i="38"/>
  <c r="C97" i="20"/>
  <c r="A95" i="38"/>
  <c r="B95" i="38" s="1"/>
  <c r="K95" i="38" s="1"/>
  <c r="M94" i="20"/>
  <c r="AK94" i="20"/>
  <c r="S94" i="20" s="1"/>
  <c r="AG94" i="20"/>
  <c r="O94" i="20" s="1"/>
  <c r="AI94" i="20"/>
  <c r="Q94" i="20" s="1"/>
  <c r="Y95" i="20"/>
  <c r="U95" i="20"/>
  <c r="W95" i="20"/>
  <c r="AE95" i="20"/>
  <c r="AC95" i="20"/>
  <c r="AA95" i="20"/>
  <c r="A97" i="20"/>
  <c r="F101" i="15"/>
  <c r="G101" i="15"/>
  <c r="G100" i="8"/>
  <c r="B101" i="8"/>
  <c r="C101" i="8"/>
  <c r="F100" i="8"/>
  <c r="B102" i="15"/>
  <c r="C102" i="15"/>
  <c r="H100" i="15"/>
  <c r="K96" i="20" s="1"/>
  <c r="G101" i="14"/>
  <c r="F101" i="14"/>
  <c r="C102" i="14"/>
  <c r="B102" i="14"/>
  <c r="N102" i="15"/>
  <c r="A103" i="15"/>
  <c r="O102" i="15"/>
  <c r="D101" i="15"/>
  <c r="P101" i="15"/>
  <c r="F97" i="20" s="1"/>
  <c r="J96" i="20"/>
  <c r="B98" i="20"/>
  <c r="P100" i="8"/>
  <c r="G96" i="20" s="1"/>
  <c r="L95" i="20"/>
  <c r="N101" i="8"/>
  <c r="O101" i="8"/>
  <c r="A102" i="8"/>
  <c r="D100" i="8"/>
  <c r="H100" i="8" s="1"/>
  <c r="P101" i="14"/>
  <c r="E97" i="20" s="1"/>
  <c r="D101" i="14"/>
  <c r="H101" i="14" s="1"/>
  <c r="A103" i="14"/>
  <c r="B118" i="37" s="1"/>
  <c r="A118" i="37" s="1"/>
  <c r="N102" i="14"/>
  <c r="O102" i="14"/>
  <c r="H94" i="38" l="1"/>
  <c r="M94" i="38"/>
  <c r="G94" i="38"/>
  <c r="O94" i="38" s="1"/>
  <c r="L94" i="38"/>
  <c r="H96" i="20"/>
  <c r="Q94" i="38"/>
  <c r="E95" i="38"/>
  <c r="I95" i="38" s="1"/>
  <c r="D95" i="38"/>
  <c r="C95" i="38"/>
  <c r="C98" i="20"/>
  <c r="A96" i="38"/>
  <c r="B96" i="38" s="1"/>
  <c r="K96" i="38" s="1"/>
  <c r="M95" i="20"/>
  <c r="AG95" i="20"/>
  <c r="O95" i="20" s="1"/>
  <c r="AI95" i="20"/>
  <c r="Q95" i="20" s="1"/>
  <c r="AK95" i="20"/>
  <c r="S95" i="20" s="1"/>
  <c r="W96" i="20"/>
  <c r="Y96" i="20"/>
  <c r="U96" i="20"/>
  <c r="AA96" i="20"/>
  <c r="AC96" i="20"/>
  <c r="AE96" i="20"/>
  <c r="A98" i="20"/>
  <c r="G102" i="15"/>
  <c r="F102" i="15"/>
  <c r="C102" i="8"/>
  <c r="B102" i="8"/>
  <c r="G101" i="8"/>
  <c r="F101" i="8"/>
  <c r="H101" i="15"/>
  <c r="K97" i="20" s="1"/>
  <c r="C103" i="15"/>
  <c r="B103" i="15"/>
  <c r="G102" i="14"/>
  <c r="F102" i="14"/>
  <c r="B103" i="14"/>
  <c r="C103" i="14"/>
  <c r="O103" i="15"/>
  <c r="A104" i="15"/>
  <c r="N103" i="15"/>
  <c r="P102" i="15"/>
  <c r="F98" i="20" s="1"/>
  <c r="D102" i="15"/>
  <c r="J97" i="20"/>
  <c r="L96" i="20"/>
  <c r="B99" i="20"/>
  <c r="P101" i="8"/>
  <c r="G97" i="20" s="1"/>
  <c r="D101" i="8"/>
  <c r="H101" i="8" s="1"/>
  <c r="N102" i="8"/>
  <c r="A103" i="8"/>
  <c r="O102" i="8"/>
  <c r="D102" i="14"/>
  <c r="H102" i="14" s="1"/>
  <c r="A104" i="14"/>
  <c r="B119" i="37" s="1"/>
  <c r="A119" i="37" s="1"/>
  <c r="O103" i="14"/>
  <c r="N103" i="14"/>
  <c r="P102" i="14"/>
  <c r="E98" i="20" s="1"/>
  <c r="H95" i="38" l="1"/>
  <c r="M95" i="38"/>
  <c r="G95" i="38"/>
  <c r="O95" i="38" s="1"/>
  <c r="L95" i="38"/>
  <c r="P94" i="38"/>
  <c r="H97" i="20"/>
  <c r="Q95" i="38"/>
  <c r="E96" i="38"/>
  <c r="I96" i="38" s="1"/>
  <c r="D96" i="38"/>
  <c r="C96" i="38"/>
  <c r="C99" i="20"/>
  <c r="A97" i="38"/>
  <c r="B97" i="38" s="1"/>
  <c r="K97" i="38" s="1"/>
  <c r="U97" i="20"/>
  <c r="W97" i="20"/>
  <c r="Y97" i="20"/>
  <c r="M96" i="20"/>
  <c r="AI96" i="20"/>
  <c r="Q96" i="20" s="1"/>
  <c r="AK96" i="20"/>
  <c r="S96" i="20" s="1"/>
  <c r="AG96" i="20"/>
  <c r="O96" i="20" s="1"/>
  <c r="AE97" i="20"/>
  <c r="AA97" i="20"/>
  <c r="AC97" i="20"/>
  <c r="A99" i="20"/>
  <c r="F103" i="15"/>
  <c r="G103" i="15"/>
  <c r="B103" i="8"/>
  <c r="C103" i="8"/>
  <c r="H102" i="15"/>
  <c r="K98" i="20" s="1"/>
  <c r="F102" i="8"/>
  <c r="C104" i="15"/>
  <c r="B104" i="15"/>
  <c r="G102" i="8"/>
  <c r="G103" i="14"/>
  <c r="F103" i="14"/>
  <c r="C104" i="14"/>
  <c r="B104" i="14"/>
  <c r="P103" i="15"/>
  <c r="F99" i="20" s="1"/>
  <c r="D103" i="15"/>
  <c r="N104" i="15"/>
  <c r="O104" i="15"/>
  <c r="A105" i="15"/>
  <c r="B100" i="20"/>
  <c r="L97" i="20"/>
  <c r="J98" i="20"/>
  <c r="P103" i="14"/>
  <c r="E99" i="20" s="1"/>
  <c r="P102" i="8"/>
  <c r="G98" i="20" s="1"/>
  <c r="A104" i="8"/>
  <c r="N103" i="8"/>
  <c r="O103" i="8"/>
  <c r="D102" i="8"/>
  <c r="H102" i="8" s="1"/>
  <c r="D103" i="14"/>
  <c r="H103" i="14" s="1"/>
  <c r="N104" i="14"/>
  <c r="A105" i="14"/>
  <c r="B120" i="37" s="1"/>
  <c r="A120" i="37" s="1"/>
  <c r="O104" i="14"/>
  <c r="G96" i="38" l="1"/>
  <c r="O96" i="38" s="1"/>
  <c r="L96" i="38"/>
  <c r="H96" i="38"/>
  <c r="M96" i="38"/>
  <c r="P95" i="38"/>
  <c r="H98" i="20"/>
  <c r="Q96" i="38"/>
  <c r="E97" i="38"/>
  <c r="I97" i="38" s="1"/>
  <c r="D97" i="38"/>
  <c r="C97" i="38"/>
  <c r="C100" i="20"/>
  <c r="A98" i="38"/>
  <c r="B98" i="38" s="1"/>
  <c r="K98" i="38" s="1"/>
  <c r="M97" i="20"/>
  <c r="AI97" i="20"/>
  <c r="Q97" i="20" s="1"/>
  <c r="AK97" i="20"/>
  <c r="S97" i="20" s="1"/>
  <c r="AG97" i="20"/>
  <c r="O97" i="20" s="1"/>
  <c r="AE98" i="20"/>
  <c r="AA98" i="20"/>
  <c r="AC98" i="20"/>
  <c r="Y98" i="20"/>
  <c r="W98" i="20"/>
  <c r="U98" i="20"/>
  <c r="A100" i="20"/>
  <c r="F104" i="15"/>
  <c r="G104" i="15"/>
  <c r="B104" i="8"/>
  <c r="C104" i="8"/>
  <c r="C105" i="15"/>
  <c r="B105" i="15"/>
  <c r="G103" i="8"/>
  <c r="H103" i="15"/>
  <c r="K99" i="20" s="1"/>
  <c r="F103" i="8"/>
  <c r="G104" i="14"/>
  <c r="F104" i="14"/>
  <c r="C105" i="14"/>
  <c r="B105" i="14"/>
  <c r="A106" i="15"/>
  <c r="O105" i="15"/>
  <c r="N105" i="15"/>
  <c r="P104" i="15"/>
  <c r="F100" i="20" s="1"/>
  <c r="D104" i="15"/>
  <c r="B101" i="20"/>
  <c r="L98" i="20"/>
  <c r="J99" i="20"/>
  <c r="P103" i="8"/>
  <c r="G99" i="20" s="1"/>
  <c r="D103" i="8"/>
  <c r="H103" i="8" s="1"/>
  <c r="N104" i="8"/>
  <c r="O104" i="8"/>
  <c r="A105" i="8"/>
  <c r="D104" i="14"/>
  <c r="H104" i="14" s="1"/>
  <c r="N105" i="14"/>
  <c r="O105" i="14"/>
  <c r="A106" i="14"/>
  <c r="B121" i="37" s="1"/>
  <c r="A121" i="37" s="1"/>
  <c r="P104" i="14"/>
  <c r="E100" i="20" s="1"/>
  <c r="P96" i="38" l="1"/>
  <c r="H97" i="38"/>
  <c r="M97" i="38"/>
  <c r="G97" i="38"/>
  <c r="O97" i="38" s="1"/>
  <c r="L97" i="38"/>
  <c r="H99" i="20"/>
  <c r="Q97" i="38"/>
  <c r="D98" i="38"/>
  <c r="E98" i="38"/>
  <c r="I98" i="38" s="1"/>
  <c r="C98" i="38"/>
  <c r="C101" i="20"/>
  <c r="A99" i="38"/>
  <c r="B99" i="38" s="1"/>
  <c r="K99" i="38" s="1"/>
  <c r="M98" i="20"/>
  <c r="AG98" i="20"/>
  <c r="O98" i="20" s="1"/>
  <c r="AI98" i="20"/>
  <c r="Q98" i="20" s="1"/>
  <c r="AK98" i="20"/>
  <c r="S98" i="20" s="1"/>
  <c r="Y99" i="20"/>
  <c r="W99" i="20"/>
  <c r="U99" i="20"/>
  <c r="AE99" i="20"/>
  <c r="AC99" i="20"/>
  <c r="AA99" i="20"/>
  <c r="A101" i="20"/>
  <c r="C106" i="15"/>
  <c r="B106" i="15"/>
  <c r="B105" i="8"/>
  <c r="C105" i="8"/>
  <c r="F105" i="15"/>
  <c r="G105" i="15"/>
  <c r="G104" i="8"/>
  <c r="H104" i="15"/>
  <c r="K100" i="20" s="1"/>
  <c r="F104" i="8"/>
  <c r="G105" i="14"/>
  <c r="F105" i="14"/>
  <c r="C106" i="14"/>
  <c r="B106" i="14"/>
  <c r="P105" i="15"/>
  <c r="F101" i="20" s="1"/>
  <c r="D105" i="15"/>
  <c r="N106" i="15"/>
  <c r="O106" i="15"/>
  <c r="A107" i="15"/>
  <c r="B102" i="20"/>
  <c r="L99" i="20"/>
  <c r="J100" i="20"/>
  <c r="P104" i="8"/>
  <c r="G100" i="20" s="1"/>
  <c r="D104" i="8"/>
  <c r="H104" i="8" s="1"/>
  <c r="A106" i="8"/>
  <c r="N105" i="8"/>
  <c r="O105" i="8"/>
  <c r="N106" i="14"/>
  <c r="A107" i="14"/>
  <c r="B122" i="37" s="1"/>
  <c r="A122" i="37" s="1"/>
  <c r="O106" i="14"/>
  <c r="D105" i="14"/>
  <c r="H105" i="14" s="1"/>
  <c r="P105" i="14"/>
  <c r="E101" i="20" s="1"/>
  <c r="H98" i="38" l="1"/>
  <c r="M98" i="38"/>
  <c r="G98" i="38"/>
  <c r="O98" i="38" s="1"/>
  <c r="L98" i="38"/>
  <c r="P97" i="38"/>
  <c r="H100" i="20"/>
  <c r="Q98" i="38"/>
  <c r="E99" i="38"/>
  <c r="I99" i="38" s="1"/>
  <c r="C99" i="38"/>
  <c r="D99" i="38"/>
  <c r="C102" i="20"/>
  <c r="A100" i="38"/>
  <c r="B100" i="38" s="1"/>
  <c r="K100" i="38" s="1"/>
  <c r="M99" i="20"/>
  <c r="AG99" i="20"/>
  <c r="O99" i="20" s="1"/>
  <c r="AI99" i="20"/>
  <c r="Q99" i="20" s="1"/>
  <c r="AK99" i="20"/>
  <c r="S99" i="20" s="1"/>
  <c r="AC100" i="20"/>
  <c r="AE100" i="20"/>
  <c r="AA100" i="20"/>
  <c r="Y100" i="20"/>
  <c r="U100" i="20"/>
  <c r="W100" i="20"/>
  <c r="A102" i="20"/>
  <c r="G105" i="8"/>
  <c r="C106" i="8"/>
  <c r="B106" i="8"/>
  <c r="F105" i="8"/>
  <c r="H105" i="15"/>
  <c r="K101" i="20" s="1"/>
  <c r="B107" i="15"/>
  <c r="C107" i="15"/>
  <c r="F106" i="15"/>
  <c r="G106" i="15"/>
  <c r="G106" i="14"/>
  <c r="F106" i="14"/>
  <c r="C107" i="14"/>
  <c r="B107" i="14"/>
  <c r="P106" i="15"/>
  <c r="F102" i="20" s="1"/>
  <c r="N107" i="15"/>
  <c r="A108" i="15"/>
  <c r="O107" i="15"/>
  <c r="D106" i="15"/>
  <c r="B103" i="20"/>
  <c r="L100" i="20"/>
  <c r="J101" i="20"/>
  <c r="P105" i="8"/>
  <c r="G101" i="20" s="1"/>
  <c r="A107" i="8"/>
  <c r="N106" i="8"/>
  <c r="O106" i="8"/>
  <c r="D105" i="8"/>
  <c r="H105" i="8" s="1"/>
  <c r="D106" i="14"/>
  <c r="H106" i="14" s="1"/>
  <c r="O107" i="14"/>
  <c r="A108" i="14"/>
  <c r="B123" i="37" s="1"/>
  <c r="A123" i="37" s="1"/>
  <c r="N107" i="14"/>
  <c r="P106" i="14"/>
  <c r="E102" i="20" s="1"/>
  <c r="H99" i="38" l="1"/>
  <c r="M99" i="38"/>
  <c r="G99" i="38"/>
  <c r="O99" i="38" s="1"/>
  <c r="L99" i="38"/>
  <c r="P98" i="38"/>
  <c r="H101" i="20"/>
  <c r="Q99" i="38"/>
  <c r="E100" i="38"/>
  <c r="I100" i="38" s="1"/>
  <c r="D100" i="38"/>
  <c r="C100" i="38"/>
  <c r="C103" i="20"/>
  <c r="A101" i="38"/>
  <c r="B101" i="38" s="1"/>
  <c r="K101" i="38" s="1"/>
  <c r="AE101" i="20"/>
  <c r="AC101" i="20"/>
  <c r="AA101" i="20"/>
  <c r="M100" i="20"/>
  <c r="AG100" i="20"/>
  <c r="O100" i="20" s="1"/>
  <c r="AK100" i="20"/>
  <c r="S100" i="20" s="1"/>
  <c r="AI100" i="20"/>
  <c r="Q100" i="20" s="1"/>
  <c r="U101" i="20"/>
  <c r="Y101" i="20"/>
  <c r="W101" i="20"/>
  <c r="A103" i="20"/>
  <c r="F107" i="15"/>
  <c r="G107" i="15"/>
  <c r="C107" i="8"/>
  <c r="B107" i="8"/>
  <c r="F106" i="8"/>
  <c r="H106" i="15"/>
  <c r="K102" i="20" s="1"/>
  <c r="G106" i="8"/>
  <c r="C108" i="15"/>
  <c r="B108" i="15"/>
  <c r="G107" i="14"/>
  <c r="F107" i="14"/>
  <c r="C108" i="14"/>
  <c r="B108" i="14"/>
  <c r="N108" i="15"/>
  <c r="A109" i="15"/>
  <c r="O108" i="15"/>
  <c r="D107" i="15"/>
  <c r="P107" i="15"/>
  <c r="F103" i="20" s="1"/>
  <c r="B104" i="20"/>
  <c r="L101" i="20"/>
  <c r="J102" i="20"/>
  <c r="P107" i="14"/>
  <c r="E103" i="20" s="1"/>
  <c r="P106" i="8"/>
  <c r="G102" i="20" s="1"/>
  <c r="N107" i="8"/>
  <c r="O107" i="8"/>
  <c r="A108" i="8"/>
  <c r="D106" i="8"/>
  <c r="H106" i="8" s="1"/>
  <c r="O108" i="14"/>
  <c r="N108" i="14"/>
  <c r="A109" i="14"/>
  <c r="B124" i="37" s="1"/>
  <c r="A124" i="37" s="1"/>
  <c r="D107" i="14"/>
  <c r="H107" i="14" s="1"/>
  <c r="G100" i="38" l="1"/>
  <c r="O100" i="38" s="1"/>
  <c r="L100" i="38"/>
  <c r="H100" i="38"/>
  <c r="P100" i="38" s="1"/>
  <c r="M100" i="38"/>
  <c r="P99" i="38"/>
  <c r="H102" i="20"/>
  <c r="Q100" i="38"/>
  <c r="E101" i="38"/>
  <c r="I101" i="38" s="1"/>
  <c r="D101" i="38"/>
  <c r="C101" i="38"/>
  <c r="C104" i="20"/>
  <c r="A102" i="38"/>
  <c r="B102" i="38" s="1"/>
  <c r="K102" i="38" s="1"/>
  <c r="AE102" i="20"/>
  <c r="AA102" i="20"/>
  <c r="AC102" i="20"/>
  <c r="M101" i="20"/>
  <c r="AK101" i="20"/>
  <c r="S101" i="20" s="1"/>
  <c r="AG101" i="20"/>
  <c r="O101" i="20" s="1"/>
  <c r="AI101" i="20"/>
  <c r="Q101" i="20" s="1"/>
  <c r="Y102" i="20"/>
  <c r="W102" i="20"/>
  <c r="U102" i="20"/>
  <c r="A104" i="20"/>
  <c r="F108" i="15"/>
  <c r="G108" i="15"/>
  <c r="C108" i="8"/>
  <c r="B108" i="8"/>
  <c r="H107" i="15"/>
  <c r="K103" i="20" s="1"/>
  <c r="F107" i="8"/>
  <c r="B109" i="15"/>
  <c r="C109" i="15"/>
  <c r="G107" i="8"/>
  <c r="G108" i="14"/>
  <c r="F108" i="14"/>
  <c r="C109" i="14"/>
  <c r="B109" i="14"/>
  <c r="D108" i="15"/>
  <c r="N109" i="15"/>
  <c r="A110" i="15"/>
  <c r="O109" i="15"/>
  <c r="P108" i="15"/>
  <c r="F104" i="20" s="1"/>
  <c r="L102" i="20"/>
  <c r="J103" i="20"/>
  <c r="B105" i="20"/>
  <c r="P108" i="14"/>
  <c r="E104" i="20" s="1"/>
  <c r="P107" i="8"/>
  <c r="G103" i="20" s="1"/>
  <c r="D107" i="8"/>
  <c r="H107" i="8" s="1"/>
  <c r="O108" i="8"/>
  <c r="N108" i="8"/>
  <c r="A109" i="8"/>
  <c r="N109" i="14"/>
  <c r="A110" i="14"/>
  <c r="B125" i="37" s="1"/>
  <c r="A125" i="37" s="1"/>
  <c r="O109" i="14"/>
  <c r="D108" i="14"/>
  <c r="H108" i="14" s="1"/>
  <c r="G101" i="38" l="1"/>
  <c r="O101" i="38" s="1"/>
  <c r="L101" i="38"/>
  <c r="H101" i="38"/>
  <c r="P101" i="38" s="1"/>
  <c r="M101" i="38"/>
  <c r="H103" i="20"/>
  <c r="Q101" i="38"/>
  <c r="D102" i="38"/>
  <c r="E102" i="38"/>
  <c r="I102" i="38" s="1"/>
  <c r="C102" i="38"/>
  <c r="C105" i="20"/>
  <c r="A103" i="38"/>
  <c r="B103" i="38" s="1"/>
  <c r="K103" i="38" s="1"/>
  <c r="Y103" i="20"/>
  <c r="W103" i="20"/>
  <c r="U103" i="20"/>
  <c r="M102" i="20"/>
  <c r="AK102" i="20"/>
  <c r="S102" i="20" s="1"/>
  <c r="AI102" i="20"/>
  <c r="Q102" i="20" s="1"/>
  <c r="AG102" i="20"/>
  <c r="O102" i="20" s="1"/>
  <c r="AC103" i="20"/>
  <c r="AE103" i="20"/>
  <c r="AA103" i="20"/>
  <c r="F109" i="15"/>
  <c r="A105" i="20"/>
  <c r="G109" i="15"/>
  <c r="H108" i="15"/>
  <c r="K104" i="20" s="1"/>
  <c r="B109" i="8"/>
  <c r="C109" i="8"/>
  <c r="B110" i="15"/>
  <c r="C110" i="15"/>
  <c r="F108" i="8"/>
  <c r="G108" i="8"/>
  <c r="G109" i="14"/>
  <c r="F109" i="14"/>
  <c r="C110" i="14"/>
  <c r="B110" i="14"/>
  <c r="N110" i="15"/>
  <c r="A111" i="15"/>
  <c r="O110" i="15"/>
  <c r="P109" i="15"/>
  <c r="F105" i="20" s="1"/>
  <c r="D109" i="15"/>
  <c r="B106" i="20"/>
  <c r="L103" i="20"/>
  <c r="J104" i="20"/>
  <c r="P108" i="8"/>
  <c r="G104" i="20" s="1"/>
  <c r="D108" i="8"/>
  <c r="H108" i="8" s="1"/>
  <c r="A110" i="8"/>
  <c r="N109" i="8"/>
  <c r="O109" i="8"/>
  <c r="N110" i="14"/>
  <c r="O110" i="14"/>
  <c r="A111" i="14"/>
  <c r="B126" i="37" s="1"/>
  <c r="A126" i="37" s="1"/>
  <c r="D109" i="14"/>
  <c r="H109" i="14" s="1"/>
  <c r="P109" i="14"/>
  <c r="E105" i="20" s="1"/>
  <c r="G102" i="38" l="1"/>
  <c r="O102" i="38" s="1"/>
  <c r="L102" i="38"/>
  <c r="H102" i="38"/>
  <c r="P102" i="38" s="1"/>
  <c r="M102" i="38"/>
  <c r="H104" i="20"/>
  <c r="Q102" i="38"/>
  <c r="D103" i="38"/>
  <c r="E103" i="38"/>
  <c r="I103" i="38" s="1"/>
  <c r="C103" i="38"/>
  <c r="C106" i="20"/>
  <c r="A104" i="38"/>
  <c r="B104" i="38" s="1"/>
  <c r="K104" i="38" s="1"/>
  <c r="Y104" i="20"/>
  <c r="U104" i="20"/>
  <c r="W104" i="20"/>
  <c r="AA104" i="20"/>
  <c r="AE104" i="20"/>
  <c r="AC104" i="20"/>
  <c r="M103" i="20"/>
  <c r="AI103" i="20"/>
  <c r="Q103" i="20" s="1"/>
  <c r="AK103" i="20"/>
  <c r="S103" i="20" s="1"/>
  <c r="AG103" i="20"/>
  <c r="O103" i="20" s="1"/>
  <c r="A106" i="20"/>
  <c r="G110" i="15"/>
  <c r="F110" i="15"/>
  <c r="G109" i="8"/>
  <c r="F109" i="8"/>
  <c r="C110" i="8"/>
  <c r="B110" i="8"/>
  <c r="H109" i="15"/>
  <c r="K105" i="20" s="1"/>
  <c r="B111" i="15"/>
  <c r="C111" i="15"/>
  <c r="G110" i="14"/>
  <c r="F110" i="14"/>
  <c r="B111" i="14"/>
  <c r="C111" i="14"/>
  <c r="N111" i="15"/>
  <c r="O111" i="15"/>
  <c r="A112" i="15"/>
  <c r="D110" i="15"/>
  <c r="P110" i="15"/>
  <c r="F106" i="20" s="1"/>
  <c r="J105" i="20"/>
  <c r="B107" i="20"/>
  <c r="L104" i="20"/>
  <c r="N110" i="8"/>
  <c r="O110" i="8"/>
  <c r="A111" i="8"/>
  <c r="D109" i="8"/>
  <c r="H109" i="8" s="1"/>
  <c r="P109" i="8"/>
  <c r="G105" i="20" s="1"/>
  <c r="D110" i="14"/>
  <c r="H110" i="14" s="1"/>
  <c r="N111" i="14"/>
  <c r="O111" i="14"/>
  <c r="A112" i="14"/>
  <c r="B127" i="37" s="1"/>
  <c r="A127" i="37" s="1"/>
  <c r="P110" i="14"/>
  <c r="E106" i="20" s="1"/>
  <c r="G103" i="38" l="1"/>
  <c r="O103" i="38" s="1"/>
  <c r="L103" i="38"/>
  <c r="H103" i="38"/>
  <c r="P103" i="38" s="1"/>
  <c r="M103" i="38"/>
  <c r="H105" i="20"/>
  <c r="Q103" i="38"/>
  <c r="E104" i="38"/>
  <c r="I104" i="38" s="1"/>
  <c r="D104" i="38"/>
  <c r="C104" i="38"/>
  <c r="C107" i="20"/>
  <c r="A105" i="38"/>
  <c r="B105" i="38" s="1"/>
  <c r="K105" i="38" s="1"/>
  <c r="M104" i="20"/>
  <c r="AI104" i="20"/>
  <c r="Q104" i="20" s="1"/>
  <c r="AG104" i="20"/>
  <c r="O104" i="20" s="1"/>
  <c r="AK104" i="20"/>
  <c r="S104" i="20" s="1"/>
  <c r="W105" i="20"/>
  <c r="Y105" i="20"/>
  <c r="U105" i="20"/>
  <c r="AA105" i="20"/>
  <c r="AE105" i="20"/>
  <c r="AC105" i="20"/>
  <c r="A107" i="20"/>
  <c r="G111" i="15"/>
  <c r="F111" i="15"/>
  <c r="B111" i="8"/>
  <c r="C111" i="8"/>
  <c r="F110" i="8"/>
  <c r="G110" i="8"/>
  <c r="H110" i="15"/>
  <c r="K106" i="20" s="1"/>
  <c r="C112" i="15"/>
  <c r="B112" i="15"/>
  <c r="G111" i="14"/>
  <c r="F111" i="14"/>
  <c r="C112" i="14"/>
  <c r="B112" i="14"/>
  <c r="P111" i="15"/>
  <c r="F107" i="20" s="1"/>
  <c r="N112" i="15"/>
  <c r="O112" i="15"/>
  <c r="A113" i="15"/>
  <c r="D111" i="15"/>
  <c r="J106" i="20"/>
  <c r="B108" i="20"/>
  <c r="L105" i="20"/>
  <c r="P110" i="8"/>
  <c r="G106" i="20" s="1"/>
  <c r="A112" i="8"/>
  <c r="O111" i="8"/>
  <c r="N111" i="8"/>
  <c r="D110" i="8"/>
  <c r="H110" i="8" s="1"/>
  <c r="O112" i="14"/>
  <c r="A113" i="14"/>
  <c r="B128" i="37" s="1"/>
  <c r="A128" i="37" s="1"/>
  <c r="N112" i="14"/>
  <c r="D111" i="14"/>
  <c r="H111" i="14" s="1"/>
  <c r="P111" i="14"/>
  <c r="E107" i="20" s="1"/>
  <c r="G104" i="38" l="1"/>
  <c r="O104" i="38" s="1"/>
  <c r="L104" i="38"/>
  <c r="H104" i="38"/>
  <c r="M104" i="38"/>
  <c r="H106" i="20"/>
  <c r="Q104" i="38"/>
  <c r="C105" i="38"/>
  <c r="E105" i="38"/>
  <c r="I105" i="38" s="1"/>
  <c r="D105" i="38"/>
  <c r="C108" i="20"/>
  <c r="A106" i="38"/>
  <c r="B106" i="38" s="1"/>
  <c r="K106" i="38" s="1"/>
  <c r="Y106" i="20"/>
  <c r="W106" i="20"/>
  <c r="U106" i="20"/>
  <c r="M105" i="20"/>
  <c r="AK105" i="20"/>
  <c r="S105" i="20" s="1"/>
  <c r="AG105" i="20"/>
  <c r="O105" i="20" s="1"/>
  <c r="AI105" i="20"/>
  <c r="Q105" i="20" s="1"/>
  <c r="AA106" i="20"/>
  <c r="AE106" i="20"/>
  <c r="AC106" i="20"/>
  <c r="A108" i="20"/>
  <c r="G112" i="15"/>
  <c r="F112" i="15"/>
  <c r="H111" i="15"/>
  <c r="K107" i="20" s="1"/>
  <c r="B112" i="8"/>
  <c r="C112" i="8"/>
  <c r="C113" i="15"/>
  <c r="B113" i="15"/>
  <c r="G111" i="8"/>
  <c r="F111" i="8"/>
  <c r="G112" i="14"/>
  <c r="F112" i="14"/>
  <c r="C113" i="14"/>
  <c r="B113" i="14"/>
  <c r="N113" i="15"/>
  <c r="A114" i="15"/>
  <c r="O113" i="15"/>
  <c r="D112" i="15"/>
  <c r="P112" i="15"/>
  <c r="F108" i="20" s="1"/>
  <c r="P112" i="14"/>
  <c r="E108" i="20" s="1"/>
  <c r="P111" i="8"/>
  <c r="G107" i="20" s="1"/>
  <c r="B109" i="20"/>
  <c r="L106" i="20"/>
  <c r="J107" i="20"/>
  <c r="D111" i="8"/>
  <c r="H111" i="8" s="1"/>
  <c r="A113" i="8"/>
  <c r="O112" i="8"/>
  <c r="N112" i="8"/>
  <c r="N113" i="14"/>
  <c r="O113" i="14"/>
  <c r="A114" i="14"/>
  <c r="B129" i="37" s="1"/>
  <c r="A129" i="37" s="1"/>
  <c r="D112" i="14"/>
  <c r="H112" i="14" s="1"/>
  <c r="P104" i="38" l="1"/>
  <c r="G105" i="38"/>
  <c r="O105" i="38" s="1"/>
  <c r="L105" i="38"/>
  <c r="H105" i="38"/>
  <c r="P105" i="38" s="1"/>
  <c r="M105" i="38"/>
  <c r="H107" i="20"/>
  <c r="Q105" i="38"/>
  <c r="E106" i="38"/>
  <c r="I106" i="38" s="1"/>
  <c r="D106" i="38"/>
  <c r="C106" i="38"/>
  <c r="C109" i="20"/>
  <c r="A107" i="38"/>
  <c r="B107" i="38" s="1"/>
  <c r="K107" i="38" s="1"/>
  <c r="M106" i="20"/>
  <c r="AK106" i="20"/>
  <c r="S106" i="20" s="1"/>
  <c r="AG106" i="20"/>
  <c r="O106" i="20" s="1"/>
  <c r="AI106" i="20"/>
  <c r="Q106" i="20" s="1"/>
  <c r="U107" i="20"/>
  <c r="Y107" i="20"/>
  <c r="W107" i="20"/>
  <c r="AC107" i="20"/>
  <c r="AA107" i="20"/>
  <c r="AE107" i="20"/>
  <c r="A109" i="20"/>
  <c r="F113" i="15"/>
  <c r="G113" i="15"/>
  <c r="F112" i="8"/>
  <c r="G112" i="8"/>
  <c r="H112" i="15"/>
  <c r="K108" i="20" s="1"/>
  <c r="C113" i="8"/>
  <c r="B113" i="8"/>
  <c r="C114" i="15"/>
  <c r="B114" i="15"/>
  <c r="G113" i="14"/>
  <c r="F113" i="14"/>
  <c r="C114" i="14"/>
  <c r="B114" i="14"/>
  <c r="P113" i="15"/>
  <c r="F109" i="20" s="1"/>
  <c r="N114" i="15"/>
  <c r="A115" i="15"/>
  <c r="O114" i="15"/>
  <c r="D113" i="15"/>
  <c r="L107" i="20"/>
  <c r="J108" i="20"/>
  <c r="B110" i="20"/>
  <c r="P112" i="8"/>
  <c r="G108" i="20" s="1"/>
  <c r="D112" i="8"/>
  <c r="H112" i="8" s="1"/>
  <c r="N113" i="8"/>
  <c r="A114" i="8"/>
  <c r="O113" i="8"/>
  <c r="N114" i="14"/>
  <c r="A115" i="14"/>
  <c r="B130" i="37" s="1"/>
  <c r="A130" i="37" s="1"/>
  <c r="O114" i="14"/>
  <c r="D113" i="14"/>
  <c r="H113" i="14" s="1"/>
  <c r="P113" i="14"/>
  <c r="E109" i="20" s="1"/>
  <c r="H106" i="38" l="1"/>
  <c r="M106" i="38"/>
  <c r="G106" i="38"/>
  <c r="O106" i="38" s="1"/>
  <c r="L106" i="38"/>
  <c r="H108" i="20"/>
  <c r="Q106" i="38"/>
  <c r="E107" i="38"/>
  <c r="I107" i="38" s="1"/>
  <c r="D107" i="38"/>
  <c r="C107" i="38"/>
  <c r="C110" i="20"/>
  <c r="A108" i="38"/>
  <c r="B108" i="38" s="1"/>
  <c r="K108" i="38" s="1"/>
  <c r="U108" i="20"/>
  <c r="W108" i="20"/>
  <c r="Y108" i="20"/>
  <c r="M107" i="20"/>
  <c r="AI107" i="20"/>
  <c r="Q107" i="20" s="1"/>
  <c r="AG107" i="20"/>
  <c r="O107" i="20" s="1"/>
  <c r="AK107" i="20"/>
  <c r="S107" i="20" s="1"/>
  <c r="AA108" i="20"/>
  <c r="AC108" i="20"/>
  <c r="AE108" i="20"/>
  <c r="A110" i="20"/>
  <c r="F114" i="15"/>
  <c r="G114" i="15"/>
  <c r="F113" i="8"/>
  <c r="B114" i="8"/>
  <c r="C114" i="8"/>
  <c r="G113" i="8"/>
  <c r="B115" i="15"/>
  <c r="C115" i="15"/>
  <c r="H113" i="15"/>
  <c r="K109" i="20" s="1"/>
  <c r="G114" i="14"/>
  <c r="F114" i="14"/>
  <c r="C115" i="14"/>
  <c r="B115" i="14"/>
  <c r="N115" i="15"/>
  <c r="O115" i="15"/>
  <c r="A116" i="15"/>
  <c r="D114" i="15"/>
  <c r="P114" i="15"/>
  <c r="F110" i="20" s="1"/>
  <c r="B111" i="20"/>
  <c r="L108" i="20"/>
  <c r="J109" i="20"/>
  <c r="P113" i="8"/>
  <c r="G109" i="20" s="1"/>
  <c r="D113" i="8"/>
  <c r="H113" i="8" s="1"/>
  <c r="N114" i="8"/>
  <c r="O114" i="8"/>
  <c r="A115" i="8"/>
  <c r="A116" i="14"/>
  <c r="B131" i="37" s="1"/>
  <c r="A131" i="37" s="1"/>
  <c r="O115" i="14"/>
  <c r="N115" i="14"/>
  <c r="D114" i="14"/>
  <c r="H114" i="14" s="1"/>
  <c r="P114" i="14"/>
  <c r="E110" i="20" s="1"/>
  <c r="G107" i="38" l="1"/>
  <c r="O107" i="38" s="1"/>
  <c r="L107" i="38"/>
  <c r="H107" i="38"/>
  <c r="M107" i="38"/>
  <c r="P106" i="38"/>
  <c r="H109" i="20"/>
  <c r="Q107" i="38"/>
  <c r="C108" i="38"/>
  <c r="E108" i="38"/>
  <c r="I108" i="38" s="1"/>
  <c r="D108" i="38"/>
  <c r="C111" i="20"/>
  <c r="A109" i="38"/>
  <c r="B109" i="38" s="1"/>
  <c r="K109" i="38" s="1"/>
  <c r="AE109" i="20"/>
  <c r="AC109" i="20"/>
  <c r="AA109" i="20"/>
  <c r="Y109" i="20"/>
  <c r="W109" i="20"/>
  <c r="U109" i="20"/>
  <c r="M108" i="20"/>
  <c r="AG108" i="20"/>
  <c r="O108" i="20" s="1"/>
  <c r="AI108" i="20"/>
  <c r="Q108" i="20" s="1"/>
  <c r="AK108" i="20"/>
  <c r="S108" i="20" s="1"/>
  <c r="A111" i="20"/>
  <c r="F115" i="15"/>
  <c r="G115" i="15"/>
  <c r="C115" i="8"/>
  <c r="B115" i="8"/>
  <c r="G114" i="8"/>
  <c r="F114" i="8"/>
  <c r="H114" i="15"/>
  <c r="K110" i="20" s="1"/>
  <c r="C116" i="15"/>
  <c r="B116" i="15"/>
  <c r="G115" i="14"/>
  <c r="F115" i="14"/>
  <c r="C116" i="14"/>
  <c r="B116" i="14"/>
  <c r="P115" i="15"/>
  <c r="F111" i="20" s="1"/>
  <c r="D115" i="15"/>
  <c r="A117" i="15"/>
  <c r="N116" i="15"/>
  <c r="O116" i="15"/>
  <c r="B112" i="20"/>
  <c r="L109" i="20"/>
  <c r="J110" i="20"/>
  <c r="P115" i="14"/>
  <c r="E111" i="20" s="1"/>
  <c r="P114" i="8"/>
  <c r="G110" i="20" s="1"/>
  <c r="O115" i="8"/>
  <c r="N115" i="8"/>
  <c r="A116" i="8"/>
  <c r="D114" i="8"/>
  <c r="H114" i="8" s="1"/>
  <c r="D115" i="14"/>
  <c r="H115" i="14" s="1"/>
  <c r="A117" i="14"/>
  <c r="B132" i="37" s="1"/>
  <c r="A132" i="37" s="1"/>
  <c r="O116" i="14"/>
  <c r="N116" i="14"/>
  <c r="P107" i="38" l="1"/>
  <c r="H108" i="38"/>
  <c r="M108" i="38"/>
  <c r="G108" i="38"/>
  <c r="O108" i="38" s="1"/>
  <c r="L108" i="38"/>
  <c r="H110" i="20"/>
  <c r="Q108" i="38"/>
  <c r="C109" i="38"/>
  <c r="E109" i="38"/>
  <c r="I109" i="38" s="1"/>
  <c r="D109" i="38"/>
  <c r="C112" i="20"/>
  <c r="A110" i="38"/>
  <c r="B110" i="38" s="1"/>
  <c r="K110" i="38" s="1"/>
  <c r="W110" i="20"/>
  <c r="U110" i="20"/>
  <c r="Y110" i="20"/>
  <c r="M109" i="20"/>
  <c r="AG109" i="20"/>
  <c r="O109" i="20" s="1"/>
  <c r="AI109" i="20"/>
  <c r="Q109" i="20" s="1"/>
  <c r="AK109" i="20"/>
  <c r="S109" i="20" s="1"/>
  <c r="AE110" i="20"/>
  <c r="AC110" i="20"/>
  <c r="AA110" i="20"/>
  <c r="A112" i="20"/>
  <c r="F116" i="15"/>
  <c r="G116" i="15"/>
  <c r="C116" i="8"/>
  <c r="B116" i="8"/>
  <c r="B117" i="15"/>
  <c r="C117" i="15"/>
  <c r="F115" i="8"/>
  <c r="H115" i="15"/>
  <c r="K111" i="20" s="1"/>
  <c r="G115" i="8"/>
  <c r="G116" i="14"/>
  <c r="F116" i="14"/>
  <c r="C117" i="14"/>
  <c r="B117" i="14"/>
  <c r="P116" i="15"/>
  <c r="F112" i="20" s="1"/>
  <c r="N117" i="15"/>
  <c r="O117" i="15"/>
  <c r="A118" i="15"/>
  <c r="D116" i="15"/>
  <c r="L110" i="20"/>
  <c r="B113" i="20"/>
  <c r="J111" i="20"/>
  <c r="P116" i="14"/>
  <c r="E112" i="20" s="1"/>
  <c r="D115" i="8"/>
  <c r="H115" i="8" s="1"/>
  <c r="A117" i="8"/>
  <c r="O116" i="8"/>
  <c r="N116" i="8"/>
  <c r="P115" i="8"/>
  <c r="G111" i="20" s="1"/>
  <c r="D116" i="14"/>
  <c r="H116" i="14" s="1"/>
  <c r="N117" i="14"/>
  <c r="O117" i="14"/>
  <c r="A118" i="14"/>
  <c r="B133" i="37" s="1"/>
  <c r="A133" i="37" s="1"/>
  <c r="G109" i="38" l="1"/>
  <c r="O109" i="38" s="1"/>
  <c r="L109" i="38"/>
  <c r="H109" i="38"/>
  <c r="M109" i="38"/>
  <c r="P108" i="38"/>
  <c r="H111" i="20"/>
  <c r="Q109" i="38"/>
  <c r="D110" i="38"/>
  <c r="C110" i="38"/>
  <c r="E110" i="38"/>
  <c r="I110" i="38" s="1"/>
  <c r="C113" i="20"/>
  <c r="A111" i="38"/>
  <c r="B111" i="38" s="1"/>
  <c r="K111" i="38" s="1"/>
  <c r="AC111" i="20"/>
  <c r="AA111" i="20"/>
  <c r="AE111" i="20"/>
  <c r="U111" i="20"/>
  <c r="Y111" i="20"/>
  <c r="W111" i="20"/>
  <c r="M110" i="20"/>
  <c r="AG110" i="20"/>
  <c r="O110" i="20" s="1"/>
  <c r="AI110" i="20"/>
  <c r="Q110" i="20" s="1"/>
  <c r="AK110" i="20"/>
  <c r="S110" i="20" s="1"/>
  <c r="A113" i="20"/>
  <c r="G117" i="15"/>
  <c r="F117" i="15"/>
  <c r="B117" i="8"/>
  <c r="C117" i="8"/>
  <c r="H116" i="15"/>
  <c r="K112" i="20" s="1"/>
  <c r="B118" i="15"/>
  <c r="C118" i="15"/>
  <c r="F116" i="8"/>
  <c r="G116" i="8"/>
  <c r="G117" i="14"/>
  <c r="F117" i="14"/>
  <c r="C118" i="14"/>
  <c r="B118" i="14"/>
  <c r="N118" i="15"/>
  <c r="A119" i="15"/>
  <c r="O118" i="15"/>
  <c r="D117" i="15"/>
  <c r="P117" i="15"/>
  <c r="F113" i="20" s="1"/>
  <c r="L111" i="20"/>
  <c r="J112" i="20"/>
  <c r="B114" i="20"/>
  <c r="P116" i="8"/>
  <c r="G112" i="20" s="1"/>
  <c r="A118" i="8"/>
  <c r="O117" i="8"/>
  <c r="N117" i="8"/>
  <c r="D116" i="8"/>
  <c r="H116" i="8" s="1"/>
  <c r="N118" i="14"/>
  <c r="A119" i="14"/>
  <c r="B134" i="37" s="1"/>
  <c r="A134" i="37" s="1"/>
  <c r="O118" i="14"/>
  <c r="P117" i="14"/>
  <c r="E113" i="20" s="1"/>
  <c r="D117" i="14"/>
  <c r="H117" i="14" s="1"/>
  <c r="P109" i="38" l="1"/>
  <c r="H110" i="38"/>
  <c r="M110" i="38"/>
  <c r="G110" i="38"/>
  <c r="O110" i="38" s="1"/>
  <c r="L110" i="38"/>
  <c r="H112" i="20"/>
  <c r="Q110" i="38"/>
  <c r="D111" i="38"/>
  <c r="C111" i="38"/>
  <c r="E111" i="38"/>
  <c r="I111" i="38" s="1"/>
  <c r="C114" i="20"/>
  <c r="A112" i="38"/>
  <c r="B112" i="38" s="1"/>
  <c r="K112" i="38" s="1"/>
  <c r="U112" i="20"/>
  <c r="Y112" i="20"/>
  <c r="W112" i="20"/>
  <c r="AE112" i="20"/>
  <c r="AA112" i="20"/>
  <c r="AC112" i="20"/>
  <c r="M111" i="20"/>
  <c r="AG111" i="20"/>
  <c r="O111" i="20" s="1"/>
  <c r="AI111" i="20"/>
  <c r="Q111" i="20" s="1"/>
  <c r="AK111" i="20"/>
  <c r="S111" i="20" s="1"/>
  <c r="A114" i="20"/>
  <c r="G118" i="15"/>
  <c r="F118" i="15"/>
  <c r="C118" i="8"/>
  <c r="B118" i="8"/>
  <c r="H117" i="15"/>
  <c r="K113" i="20" s="1"/>
  <c r="G117" i="8"/>
  <c r="F117" i="8"/>
  <c r="C119" i="15"/>
  <c r="B119" i="15"/>
  <c r="G118" i="14"/>
  <c r="F118" i="14"/>
  <c r="C119" i="14"/>
  <c r="B119" i="14"/>
  <c r="P118" i="15"/>
  <c r="F114" i="20" s="1"/>
  <c r="D118" i="15"/>
  <c r="A120" i="15"/>
  <c r="O119" i="15"/>
  <c r="N119" i="15"/>
  <c r="L112" i="20"/>
  <c r="J113" i="20"/>
  <c r="B115" i="20"/>
  <c r="P117" i="8"/>
  <c r="G113" i="20" s="1"/>
  <c r="D117" i="8"/>
  <c r="H117" i="8" s="1"/>
  <c r="N118" i="8"/>
  <c r="A119" i="8"/>
  <c r="O118" i="8"/>
  <c r="P118" i="14"/>
  <c r="E114" i="20" s="1"/>
  <c r="N119" i="14"/>
  <c r="A120" i="14"/>
  <c r="B135" i="37" s="1"/>
  <c r="A135" i="37" s="1"/>
  <c r="O119" i="14"/>
  <c r="D118" i="14"/>
  <c r="H118" i="14" s="1"/>
  <c r="G111" i="38" l="1"/>
  <c r="O111" i="38" s="1"/>
  <c r="L111" i="38"/>
  <c r="H111" i="38"/>
  <c r="P111" i="38" s="1"/>
  <c r="M111" i="38"/>
  <c r="P110" i="38"/>
  <c r="H113" i="20"/>
  <c r="Q111" i="38"/>
  <c r="C112" i="38"/>
  <c r="E112" i="38"/>
  <c r="I112" i="38" s="1"/>
  <c r="D112" i="38"/>
  <c r="C115" i="20"/>
  <c r="A113" i="38"/>
  <c r="B113" i="38" s="1"/>
  <c r="K113" i="38" s="1"/>
  <c r="M112" i="20"/>
  <c r="AG112" i="20"/>
  <c r="O112" i="20" s="1"/>
  <c r="AI112" i="20"/>
  <c r="Q112" i="20" s="1"/>
  <c r="AK112" i="20"/>
  <c r="S112" i="20" s="1"/>
  <c r="AE113" i="20"/>
  <c r="AA113" i="20"/>
  <c r="AC113" i="20"/>
  <c r="U113" i="20"/>
  <c r="W113" i="20"/>
  <c r="Y113" i="20"/>
  <c r="A115" i="20"/>
  <c r="F119" i="15"/>
  <c r="G119" i="15"/>
  <c r="B119" i="8"/>
  <c r="C119" i="8"/>
  <c r="F118" i="8"/>
  <c r="G118" i="8"/>
  <c r="C120" i="15"/>
  <c r="B120" i="15"/>
  <c r="H118" i="15"/>
  <c r="K114" i="20" s="1"/>
  <c r="G119" i="14"/>
  <c r="F119" i="14"/>
  <c r="C120" i="14"/>
  <c r="B120" i="14"/>
  <c r="P119" i="15"/>
  <c r="F115" i="20" s="1"/>
  <c r="D119" i="15"/>
  <c r="N120" i="15"/>
  <c r="A121" i="15"/>
  <c r="O120" i="15"/>
  <c r="J114" i="20"/>
  <c r="B116" i="20"/>
  <c r="L113" i="20"/>
  <c r="P118" i="8"/>
  <c r="G114" i="20" s="1"/>
  <c r="D118" i="8"/>
  <c r="H118" i="8" s="1"/>
  <c r="O119" i="8"/>
  <c r="N119" i="8"/>
  <c r="A120" i="8"/>
  <c r="D119" i="14"/>
  <c r="H119" i="14" s="1"/>
  <c r="P119" i="14"/>
  <c r="E115" i="20" s="1"/>
  <c r="N120" i="14"/>
  <c r="O120" i="14"/>
  <c r="A121" i="14"/>
  <c r="B136" i="37" s="1"/>
  <c r="A136" i="37" s="1"/>
  <c r="H112" i="38" l="1"/>
  <c r="M112" i="38"/>
  <c r="G112" i="38"/>
  <c r="O112" i="38" s="1"/>
  <c r="L112" i="38"/>
  <c r="H114" i="20"/>
  <c r="Q112" i="38"/>
  <c r="C113" i="38"/>
  <c r="E113" i="38"/>
  <c r="I113" i="38" s="1"/>
  <c r="D113" i="38"/>
  <c r="C116" i="20"/>
  <c r="A114" i="38"/>
  <c r="B114" i="38" s="1"/>
  <c r="K114" i="38" s="1"/>
  <c r="Y114" i="20"/>
  <c r="U114" i="20"/>
  <c r="W114" i="20"/>
  <c r="AE114" i="20"/>
  <c r="AA114" i="20"/>
  <c r="AC114" i="20"/>
  <c r="M113" i="20"/>
  <c r="AI113" i="20"/>
  <c r="Q113" i="20" s="1"/>
  <c r="AK113" i="20"/>
  <c r="S113" i="20" s="1"/>
  <c r="AG113" i="20"/>
  <c r="O113" i="20" s="1"/>
  <c r="A116" i="20"/>
  <c r="G120" i="15"/>
  <c r="F120" i="15"/>
  <c r="B120" i="8"/>
  <c r="C120" i="8"/>
  <c r="G119" i="8"/>
  <c r="F119" i="8"/>
  <c r="C121" i="15"/>
  <c r="B121" i="15"/>
  <c r="H119" i="15"/>
  <c r="K115" i="20" s="1"/>
  <c r="G120" i="14"/>
  <c r="F120" i="14"/>
  <c r="C121" i="14"/>
  <c r="B121" i="14"/>
  <c r="O121" i="15"/>
  <c r="A122" i="15"/>
  <c r="N121" i="15"/>
  <c r="D120" i="15"/>
  <c r="P120" i="15"/>
  <c r="F116" i="20" s="1"/>
  <c r="L114" i="20"/>
  <c r="B117" i="20"/>
  <c r="J115" i="20"/>
  <c r="P119" i="8"/>
  <c r="G115" i="20" s="1"/>
  <c r="A121" i="8"/>
  <c r="N120" i="8"/>
  <c r="O120" i="8"/>
  <c r="D119" i="8"/>
  <c r="H119" i="8" s="1"/>
  <c r="D120" i="14"/>
  <c r="H120" i="14" s="1"/>
  <c r="N121" i="14"/>
  <c r="O121" i="14"/>
  <c r="A122" i="14"/>
  <c r="B137" i="37" s="1"/>
  <c r="A137" i="37" s="1"/>
  <c r="P120" i="14"/>
  <c r="E116" i="20" s="1"/>
  <c r="H113" i="38" l="1"/>
  <c r="M113" i="38"/>
  <c r="G113" i="38"/>
  <c r="O113" i="38" s="1"/>
  <c r="L113" i="38"/>
  <c r="P112" i="38"/>
  <c r="H115" i="20"/>
  <c r="Q113" i="38"/>
  <c r="E114" i="38"/>
  <c r="I114" i="38" s="1"/>
  <c r="D114" i="38"/>
  <c r="C114" i="38"/>
  <c r="C117" i="20"/>
  <c r="A115" i="38"/>
  <c r="B115" i="38" s="1"/>
  <c r="K115" i="38" s="1"/>
  <c r="AC115" i="20"/>
  <c r="AE115" i="20"/>
  <c r="AA115" i="20"/>
  <c r="M114" i="20"/>
  <c r="AG114" i="20"/>
  <c r="O114" i="20" s="1"/>
  <c r="AI114" i="20"/>
  <c r="Q114" i="20" s="1"/>
  <c r="AK114" i="20"/>
  <c r="S114" i="20" s="1"/>
  <c r="U115" i="20"/>
  <c r="Y115" i="20"/>
  <c r="W115" i="20"/>
  <c r="A117" i="20"/>
  <c r="F121" i="15"/>
  <c r="G121" i="15"/>
  <c r="C121" i="8"/>
  <c r="B121" i="8"/>
  <c r="H120" i="15"/>
  <c r="K116" i="20" s="1"/>
  <c r="G120" i="8"/>
  <c r="C122" i="15"/>
  <c r="B122" i="15"/>
  <c r="F120" i="8"/>
  <c r="G121" i="14"/>
  <c r="F121" i="14"/>
  <c r="C122" i="14"/>
  <c r="B122" i="14"/>
  <c r="P121" i="15"/>
  <c r="F117" i="20" s="1"/>
  <c r="D121" i="15"/>
  <c r="N122" i="15"/>
  <c r="A123" i="15"/>
  <c r="O122" i="15"/>
  <c r="J116" i="20"/>
  <c r="L115" i="20"/>
  <c r="B118" i="20"/>
  <c r="P120" i="8"/>
  <c r="G116" i="20" s="1"/>
  <c r="D120" i="8"/>
  <c r="H120" i="8" s="1"/>
  <c r="N121" i="8"/>
  <c r="A122" i="8"/>
  <c r="O121" i="8"/>
  <c r="D121" i="14"/>
  <c r="H121" i="14" s="1"/>
  <c r="N122" i="14"/>
  <c r="O122" i="14"/>
  <c r="A123" i="14"/>
  <c r="B138" i="37" s="1"/>
  <c r="A138" i="37" s="1"/>
  <c r="P121" i="14"/>
  <c r="E117" i="20" s="1"/>
  <c r="H114" i="38" l="1"/>
  <c r="M114" i="38"/>
  <c r="G114" i="38"/>
  <c r="O114" i="38" s="1"/>
  <c r="L114" i="38"/>
  <c r="P113" i="38"/>
  <c r="H116" i="20"/>
  <c r="Q114" i="38"/>
  <c r="C115" i="38"/>
  <c r="E115" i="38"/>
  <c r="I115" i="38" s="1"/>
  <c r="D115" i="38"/>
  <c r="C118" i="20"/>
  <c r="A116" i="38"/>
  <c r="B116" i="38" s="1"/>
  <c r="K116" i="38" s="1"/>
  <c r="M115" i="20"/>
  <c r="AI115" i="20"/>
  <c r="Q115" i="20" s="1"/>
  <c r="AK115" i="20"/>
  <c r="S115" i="20" s="1"/>
  <c r="AG115" i="20"/>
  <c r="O115" i="20" s="1"/>
  <c r="AA116" i="20"/>
  <c r="AC116" i="20"/>
  <c r="AE116" i="20"/>
  <c r="W116" i="20"/>
  <c r="U116" i="20"/>
  <c r="Y116" i="20"/>
  <c r="A118" i="20"/>
  <c r="F122" i="15"/>
  <c r="G122" i="15"/>
  <c r="F121" i="8"/>
  <c r="C122" i="8"/>
  <c r="B122" i="8"/>
  <c r="G121" i="8"/>
  <c r="B123" i="15"/>
  <c r="C123" i="15"/>
  <c r="H121" i="15"/>
  <c r="K117" i="20" s="1"/>
  <c r="G122" i="14"/>
  <c r="F122" i="14"/>
  <c r="C123" i="14"/>
  <c r="B123" i="14"/>
  <c r="N123" i="15"/>
  <c r="A124" i="15"/>
  <c r="O123" i="15"/>
  <c r="P122" i="15"/>
  <c r="F118" i="20" s="1"/>
  <c r="D122" i="15"/>
  <c r="L116" i="20"/>
  <c r="B119" i="20"/>
  <c r="J117" i="20"/>
  <c r="A123" i="8"/>
  <c r="N122" i="8"/>
  <c r="O122" i="8"/>
  <c r="P121" i="8"/>
  <c r="G117" i="20" s="1"/>
  <c r="D121" i="8"/>
  <c r="H121" i="8" s="1"/>
  <c r="N123" i="14"/>
  <c r="A124" i="14"/>
  <c r="B139" i="37" s="1"/>
  <c r="A139" i="37" s="1"/>
  <c r="O123" i="14"/>
  <c r="P122" i="14"/>
  <c r="E118" i="20" s="1"/>
  <c r="D122" i="14"/>
  <c r="H122" i="14" s="1"/>
  <c r="G115" i="38" l="1"/>
  <c r="O115" i="38" s="1"/>
  <c r="L115" i="38"/>
  <c r="H115" i="38"/>
  <c r="M115" i="38"/>
  <c r="P114" i="38"/>
  <c r="H117" i="20"/>
  <c r="Q115" i="38"/>
  <c r="E116" i="38"/>
  <c r="I116" i="38" s="1"/>
  <c r="D116" i="38"/>
  <c r="C116" i="38"/>
  <c r="C119" i="20"/>
  <c r="A117" i="38"/>
  <c r="B117" i="38" s="1"/>
  <c r="K117" i="38" s="1"/>
  <c r="Y117" i="20"/>
  <c r="U117" i="20"/>
  <c r="W117" i="20"/>
  <c r="AE117" i="20"/>
  <c r="AC117" i="20"/>
  <c r="AA117" i="20"/>
  <c r="M116" i="20"/>
  <c r="AK116" i="20"/>
  <c r="S116" i="20" s="1"/>
  <c r="AI116" i="20"/>
  <c r="Q116" i="20" s="1"/>
  <c r="AG116" i="20"/>
  <c r="O116" i="20" s="1"/>
  <c r="A119" i="20"/>
  <c r="F123" i="15"/>
  <c r="G123" i="15"/>
  <c r="H122" i="15"/>
  <c r="K118" i="20" s="1"/>
  <c r="G122" i="8"/>
  <c r="C123" i="8"/>
  <c r="B123" i="8"/>
  <c r="F122" i="8"/>
  <c r="C124" i="15"/>
  <c r="B124" i="15"/>
  <c r="G123" i="14"/>
  <c r="F123" i="14"/>
  <c r="C124" i="14"/>
  <c r="B124" i="14"/>
  <c r="O124" i="15"/>
  <c r="A125" i="15"/>
  <c r="N124" i="15"/>
  <c r="D123" i="15"/>
  <c r="P123" i="15"/>
  <c r="F119" i="20" s="1"/>
  <c r="B120" i="20"/>
  <c r="J118" i="20"/>
  <c r="L117" i="20"/>
  <c r="P122" i="8"/>
  <c r="G118" i="20" s="1"/>
  <c r="D122" i="8"/>
  <c r="H122" i="8" s="1"/>
  <c r="N123" i="8"/>
  <c r="A124" i="8"/>
  <c r="O123" i="8"/>
  <c r="N124" i="14"/>
  <c r="A125" i="14"/>
  <c r="B140" i="37" s="1"/>
  <c r="A140" i="37" s="1"/>
  <c r="O124" i="14"/>
  <c r="P123" i="14"/>
  <c r="E119" i="20" s="1"/>
  <c r="D123" i="14"/>
  <c r="H123" i="14" s="1"/>
  <c r="P115" i="38" l="1"/>
  <c r="G116" i="38"/>
  <c r="O116" i="38" s="1"/>
  <c r="L116" i="38"/>
  <c r="H116" i="38"/>
  <c r="P116" i="38" s="1"/>
  <c r="M116" i="38"/>
  <c r="H118" i="20"/>
  <c r="Q116" i="38"/>
  <c r="E117" i="38"/>
  <c r="I117" i="38" s="1"/>
  <c r="D117" i="38"/>
  <c r="C117" i="38"/>
  <c r="C120" i="20"/>
  <c r="A118" i="38"/>
  <c r="B118" i="38" s="1"/>
  <c r="K118" i="38" s="1"/>
  <c r="M117" i="20"/>
  <c r="AI117" i="20"/>
  <c r="Q117" i="20" s="1"/>
  <c r="AK117" i="20"/>
  <c r="S117" i="20" s="1"/>
  <c r="AG117" i="20"/>
  <c r="O117" i="20" s="1"/>
  <c r="W118" i="20"/>
  <c r="U118" i="20"/>
  <c r="Y118" i="20"/>
  <c r="AA118" i="20"/>
  <c r="AE118" i="20"/>
  <c r="AC118" i="20"/>
  <c r="A120" i="20"/>
  <c r="F124" i="15"/>
  <c r="G124" i="15"/>
  <c r="B124" i="8"/>
  <c r="C124" i="8"/>
  <c r="G123" i="8"/>
  <c r="F123" i="8"/>
  <c r="H123" i="15"/>
  <c r="K119" i="20" s="1"/>
  <c r="B125" i="15"/>
  <c r="C125" i="15"/>
  <c r="G124" i="14"/>
  <c r="F124" i="14"/>
  <c r="C125" i="14"/>
  <c r="B125" i="14"/>
  <c r="P124" i="15"/>
  <c r="F120" i="20" s="1"/>
  <c r="D124" i="15"/>
  <c r="O125" i="15"/>
  <c r="N125" i="15"/>
  <c r="A126" i="15"/>
  <c r="J119" i="20"/>
  <c r="L118" i="20"/>
  <c r="B121" i="20"/>
  <c r="P123" i="8"/>
  <c r="G119" i="20" s="1"/>
  <c r="O124" i="8"/>
  <c r="N124" i="8"/>
  <c r="A125" i="8"/>
  <c r="D123" i="8"/>
  <c r="H123" i="8" s="1"/>
  <c r="N125" i="14"/>
  <c r="A126" i="14"/>
  <c r="B141" i="37" s="1"/>
  <c r="A141" i="37" s="1"/>
  <c r="O125" i="14"/>
  <c r="P124" i="14"/>
  <c r="E120" i="20" s="1"/>
  <c r="D124" i="14"/>
  <c r="H124" i="14" s="1"/>
  <c r="H117" i="38" l="1"/>
  <c r="M117" i="38"/>
  <c r="G117" i="38"/>
  <c r="O117" i="38" s="1"/>
  <c r="L117" i="38"/>
  <c r="H119" i="20"/>
  <c r="Q117" i="38"/>
  <c r="E118" i="38"/>
  <c r="I118" i="38" s="1"/>
  <c r="D118" i="38"/>
  <c r="C118" i="38"/>
  <c r="C121" i="20"/>
  <c r="A119" i="38"/>
  <c r="B119" i="38" s="1"/>
  <c r="K119" i="38" s="1"/>
  <c r="M118" i="20"/>
  <c r="AI118" i="20"/>
  <c r="Q118" i="20" s="1"/>
  <c r="AK118" i="20"/>
  <c r="S118" i="20" s="1"/>
  <c r="AG118" i="20"/>
  <c r="O118" i="20" s="1"/>
  <c r="AE119" i="20"/>
  <c r="AA119" i="20"/>
  <c r="AC119" i="20"/>
  <c r="W119" i="20"/>
  <c r="U119" i="20"/>
  <c r="Y119" i="20"/>
  <c r="A121" i="20"/>
  <c r="G125" i="15"/>
  <c r="F125" i="15"/>
  <c r="B125" i="8"/>
  <c r="C125" i="8"/>
  <c r="B126" i="15"/>
  <c r="C126" i="15"/>
  <c r="G124" i="8"/>
  <c r="H124" i="15"/>
  <c r="K120" i="20" s="1"/>
  <c r="F124" i="8"/>
  <c r="G125" i="14"/>
  <c r="F125" i="14"/>
  <c r="C126" i="14"/>
  <c r="B126" i="14"/>
  <c r="N126" i="15"/>
  <c r="O126" i="15"/>
  <c r="A127" i="15"/>
  <c r="P125" i="15"/>
  <c r="F121" i="20" s="1"/>
  <c r="D125" i="15"/>
  <c r="L119" i="20"/>
  <c r="J120" i="20"/>
  <c r="B122" i="20"/>
  <c r="P124" i="8"/>
  <c r="G120" i="20" s="1"/>
  <c r="D124" i="8"/>
  <c r="H124" i="8" s="1"/>
  <c r="A126" i="8"/>
  <c r="N125" i="8"/>
  <c r="O125" i="8"/>
  <c r="N126" i="14"/>
  <c r="A127" i="14"/>
  <c r="B142" i="37" s="1"/>
  <c r="A142" i="37" s="1"/>
  <c r="O126" i="14"/>
  <c r="P125" i="14"/>
  <c r="E121" i="20" s="1"/>
  <c r="D125" i="14"/>
  <c r="H125" i="14" s="1"/>
  <c r="G118" i="38" l="1"/>
  <c r="O118" i="38" s="1"/>
  <c r="L118" i="38"/>
  <c r="H118" i="38"/>
  <c r="M118" i="38"/>
  <c r="P117" i="38"/>
  <c r="H120" i="20"/>
  <c r="Q118" i="38"/>
  <c r="E119" i="38"/>
  <c r="I119" i="38" s="1"/>
  <c r="D119" i="38"/>
  <c r="C119" i="38"/>
  <c r="C122" i="20"/>
  <c r="A120" i="38"/>
  <c r="B120" i="38" s="1"/>
  <c r="K120" i="38" s="1"/>
  <c r="AA120" i="20"/>
  <c r="AE120" i="20"/>
  <c r="AC120" i="20"/>
  <c r="M119" i="20"/>
  <c r="AI119" i="20"/>
  <c r="Q119" i="20" s="1"/>
  <c r="AK119" i="20"/>
  <c r="S119" i="20" s="1"/>
  <c r="AG119" i="20"/>
  <c r="O119" i="20" s="1"/>
  <c r="W120" i="20"/>
  <c r="U120" i="20"/>
  <c r="Y120" i="20"/>
  <c r="A122" i="20"/>
  <c r="G126" i="15"/>
  <c r="C126" i="8"/>
  <c r="B126" i="8"/>
  <c r="F126" i="15"/>
  <c r="H125" i="15"/>
  <c r="K121" i="20" s="1"/>
  <c r="C127" i="15"/>
  <c r="B127" i="15"/>
  <c r="G125" i="8"/>
  <c r="F125" i="8"/>
  <c r="G126" i="14"/>
  <c r="F126" i="14"/>
  <c r="B127" i="14"/>
  <c r="C127" i="14"/>
  <c r="A128" i="15"/>
  <c r="N127" i="15"/>
  <c r="O127" i="15"/>
  <c r="D126" i="15"/>
  <c r="P126" i="15"/>
  <c r="F122" i="20" s="1"/>
  <c r="J121" i="20"/>
  <c r="L120" i="20"/>
  <c r="B123" i="20"/>
  <c r="P125" i="8"/>
  <c r="G121" i="20" s="1"/>
  <c r="A127" i="8"/>
  <c r="O126" i="8"/>
  <c r="N126" i="8"/>
  <c r="D125" i="8"/>
  <c r="H125" i="8" s="1"/>
  <c r="N127" i="14"/>
  <c r="O127" i="14"/>
  <c r="A128" i="14"/>
  <c r="B143" i="37" s="1"/>
  <c r="A143" i="37" s="1"/>
  <c r="P126" i="14"/>
  <c r="E122" i="20" s="1"/>
  <c r="D126" i="14"/>
  <c r="H126" i="14" s="1"/>
  <c r="P118" i="38" l="1"/>
  <c r="G119" i="38"/>
  <c r="O119" i="38" s="1"/>
  <c r="L119" i="38"/>
  <c r="H119" i="38"/>
  <c r="P119" i="38" s="1"/>
  <c r="M119" i="38"/>
  <c r="Q119" i="38" s="1"/>
  <c r="H121" i="20"/>
  <c r="C120" i="38"/>
  <c r="D120" i="38"/>
  <c r="E120" i="38"/>
  <c r="I120" i="38" s="1"/>
  <c r="C123" i="20"/>
  <c r="A121" i="38"/>
  <c r="B121" i="38" s="1"/>
  <c r="K121" i="38" s="1"/>
  <c r="M120" i="20"/>
  <c r="AK120" i="20"/>
  <c r="S120" i="20" s="1"/>
  <c r="AG120" i="20"/>
  <c r="O120" i="20" s="1"/>
  <c r="AI120" i="20"/>
  <c r="Q120" i="20" s="1"/>
  <c r="Y121" i="20"/>
  <c r="U121" i="20"/>
  <c r="W121" i="20"/>
  <c r="AA121" i="20"/>
  <c r="AE121" i="20"/>
  <c r="AC121" i="20"/>
  <c r="A123" i="20"/>
  <c r="F127" i="15"/>
  <c r="G127" i="15"/>
  <c r="B127" i="8"/>
  <c r="C127" i="8"/>
  <c r="H126" i="15"/>
  <c r="K122" i="20" s="1"/>
  <c r="F126" i="8"/>
  <c r="G126" i="8"/>
  <c r="C128" i="15"/>
  <c r="B128" i="15"/>
  <c r="G127" i="14"/>
  <c r="F127" i="14"/>
  <c r="C128" i="14"/>
  <c r="B128" i="14"/>
  <c r="P127" i="15"/>
  <c r="F123" i="20" s="1"/>
  <c r="D127" i="15"/>
  <c r="A129" i="15"/>
  <c r="O128" i="15"/>
  <c r="N128" i="15"/>
  <c r="J122" i="20"/>
  <c r="L121" i="20"/>
  <c r="B124" i="20"/>
  <c r="P126" i="8"/>
  <c r="G122" i="20" s="1"/>
  <c r="D126" i="8"/>
  <c r="H126" i="8" s="1"/>
  <c r="A128" i="8"/>
  <c r="O127" i="8"/>
  <c r="N127" i="8"/>
  <c r="N128" i="14"/>
  <c r="A129" i="14"/>
  <c r="B144" i="37" s="1"/>
  <c r="A144" i="37" s="1"/>
  <c r="O128" i="14"/>
  <c r="P127" i="14"/>
  <c r="E123" i="20" s="1"/>
  <c r="D127" i="14"/>
  <c r="H127" i="14" s="1"/>
  <c r="H120" i="38" l="1"/>
  <c r="M120" i="38"/>
  <c r="G120" i="38"/>
  <c r="O120" i="38" s="1"/>
  <c r="L120" i="38"/>
  <c r="H122" i="20"/>
  <c r="Q120" i="38"/>
  <c r="D121" i="38"/>
  <c r="C121" i="38"/>
  <c r="E121" i="38"/>
  <c r="I121" i="38" s="1"/>
  <c r="C124" i="20"/>
  <c r="A122" i="38"/>
  <c r="B122" i="38" s="1"/>
  <c r="K122" i="38" s="1"/>
  <c r="M121" i="20"/>
  <c r="AK121" i="20"/>
  <c r="S121" i="20" s="1"/>
  <c r="AI121" i="20"/>
  <c r="Q121" i="20" s="1"/>
  <c r="AG121" i="20"/>
  <c r="O121" i="20" s="1"/>
  <c r="AE122" i="20"/>
  <c r="AA122" i="20"/>
  <c r="AC122" i="20"/>
  <c r="Y122" i="20"/>
  <c r="U122" i="20"/>
  <c r="W122" i="20"/>
  <c r="A124" i="20"/>
  <c r="F128" i="15"/>
  <c r="G128" i="15"/>
  <c r="B128" i="8"/>
  <c r="C128" i="8"/>
  <c r="C129" i="15"/>
  <c r="B129" i="15"/>
  <c r="G127" i="8"/>
  <c r="H127" i="15"/>
  <c r="K123" i="20" s="1"/>
  <c r="F127" i="8"/>
  <c r="G128" i="14"/>
  <c r="F128" i="14"/>
  <c r="C129" i="14"/>
  <c r="B129" i="14"/>
  <c r="O129" i="15"/>
  <c r="N129" i="15"/>
  <c r="A130" i="15"/>
  <c r="D128" i="15"/>
  <c r="P128" i="15"/>
  <c r="F124" i="20" s="1"/>
  <c r="L122" i="20"/>
  <c r="J123" i="20"/>
  <c r="B125" i="20"/>
  <c r="P127" i="8"/>
  <c r="G123" i="20" s="1"/>
  <c r="D127" i="8"/>
  <c r="H127" i="8" s="1"/>
  <c r="N128" i="8"/>
  <c r="O128" i="8"/>
  <c r="A129" i="8"/>
  <c r="N129" i="14"/>
  <c r="A130" i="14"/>
  <c r="B145" i="37" s="1"/>
  <c r="A145" i="37" s="1"/>
  <c r="O129" i="14"/>
  <c r="P128" i="14"/>
  <c r="E124" i="20" s="1"/>
  <c r="D128" i="14"/>
  <c r="H128" i="14" s="1"/>
  <c r="H121" i="38" l="1"/>
  <c r="M121" i="38"/>
  <c r="G121" i="38"/>
  <c r="O121" i="38" s="1"/>
  <c r="L121" i="38"/>
  <c r="P120" i="38"/>
  <c r="H123" i="20"/>
  <c r="Q121" i="38"/>
  <c r="D122" i="38"/>
  <c r="E122" i="38"/>
  <c r="I122" i="38" s="1"/>
  <c r="C122" i="38"/>
  <c r="C125" i="20"/>
  <c r="A123" i="38"/>
  <c r="B123" i="38" s="1"/>
  <c r="K123" i="38" s="1"/>
  <c r="M122" i="20"/>
  <c r="AK122" i="20"/>
  <c r="S122" i="20" s="1"/>
  <c r="AG122" i="20"/>
  <c r="O122" i="20" s="1"/>
  <c r="AI122" i="20"/>
  <c r="Q122" i="20" s="1"/>
  <c r="U123" i="20"/>
  <c r="Y123" i="20"/>
  <c r="W123" i="20"/>
  <c r="AE123" i="20"/>
  <c r="AA123" i="20"/>
  <c r="AC123" i="20"/>
  <c r="A125" i="20"/>
  <c r="F129" i="15"/>
  <c r="G129" i="15"/>
  <c r="C129" i="8"/>
  <c r="B129" i="8"/>
  <c r="G128" i="8"/>
  <c r="F128" i="8"/>
  <c r="H128" i="15"/>
  <c r="K124" i="20" s="1"/>
  <c r="B130" i="15"/>
  <c r="C130" i="15"/>
  <c r="G129" i="14"/>
  <c r="F129" i="14"/>
  <c r="C130" i="14"/>
  <c r="B130" i="14"/>
  <c r="P129" i="15"/>
  <c r="F125" i="20" s="1"/>
  <c r="A131" i="15"/>
  <c r="N130" i="15"/>
  <c r="O130" i="15"/>
  <c r="D129" i="15"/>
  <c r="J124" i="20"/>
  <c r="L123" i="20"/>
  <c r="B126" i="20"/>
  <c r="O129" i="8"/>
  <c r="N129" i="8"/>
  <c r="A130" i="8"/>
  <c r="D128" i="8"/>
  <c r="H128" i="8" s="1"/>
  <c r="P128" i="8"/>
  <c r="G124" i="20" s="1"/>
  <c r="A131" i="14"/>
  <c r="B146" i="37" s="1"/>
  <c r="A146" i="37" s="1"/>
  <c r="O130" i="14"/>
  <c r="N130" i="14"/>
  <c r="P129" i="14"/>
  <c r="E125" i="20" s="1"/>
  <c r="D129" i="14"/>
  <c r="H129" i="14" s="1"/>
  <c r="G122" i="38" l="1"/>
  <c r="O122" i="38" s="1"/>
  <c r="L122" i="38"/>
  <c r="H122" i="38"/>
  <c r="M122" i="38"/>
  <c r="P121" i="38"/>
  <c r="H124" i="20"/>
  <c r="Q122" i="38"/>
  <c r="E123" i="38"/>
  <c r="I123" i="38" s="1"/>
  <c r="D123" i="38"/>
  <c r="C123" i="38"/>
  <c r="C126" i="20"/>
  <c r="A124" i="38"/>
  <c r="B124" i="38" s="1"/>
  <c r="K124" i="38" s="1"/>
  <c r="AE124" i="20"/>
  <c r="AA124" i="20"/>
  <c r="AC124" i="20"/>
  <c r="M123" i="20"/>
  <c r="AI123" i="20"/>
  <c r="Q123" i="20" s="1"/>
  <c r="AG123" i="20"/>
  <c r="O123" i="20" s="1"/>
  <c r="AK123" i="20"/>
  <c r="S123" i="20" s="1"/>
  <c r="W124" i="20"/>
  <c r="Y124" i="20"/>
  <c r="U124" i="20"/>
  <c r="A126" i="20"/>
  <c r="G130" i="15"/>
  <c r="F130" i="15"/>
  <c r="H129" i="15"/>
  <c r="K125" i="20" s="1"/>
  <c r="F129" i="8"/>
  <c r="C130" i="8"/>
  <c r="B130" i="8"/>
  <c r="B131" i="15"/>
  <c r="C131" i="15"/>
  <c r="G129" i="8"/>
  <c r="G130" i="14"/>
  <c r="F130" i="14"/>
  <c r="C131" i="14"/>
  <c r="B131" i="14"/>
  <c r="P130" i="15"/>
  <c r="F126" i="20" s="1"/>
  <c r="O131" i="15"/>
  <c r="N131" i="15"/>
  <c r="A132" i="15"/>
  <c r="D130" i="15"/>
  <c r="B127" i="20"/>
  <c r="L124" i="20"/>
  <c r="J125" i="20"/>
  <c r="P129" i="8"/>
  <c r="G125" i="20" s="1"/>
  <c r="D129" i="8"/>
  <c r="H129" i="8" s="1"/>
  <c r="O130" i="8"/>
  <c r="A131" i="8"/>
  <c r="N130" i="8"/>
  <c r="P130" i="14"/>
  <c r="E126" i="20" s="1"/>
  <c r="N131" i="14"/>
  <c r="O131" i="14"/>
  <c r="A132" i="14"/>
  <c r="B147" i="37" s="1"/>
  <c r="A147" i="37" s="1"/>
  <c r="D130" i="14"/>
  <c r="H130" i="14" s="1"/>
  <c r="P122" i="38" l="1"/>
  <c r="G123" i="38"/>
  <c r="O123" i="38" s="1"/>
  <c r="L123" i="38"/>
  <c r="H123" i="38"/>
  <c r="P123" i="38" s="1"/>
  <c r="M123" i="38"/>
  <c r="H125" i="20"/>
  <c r="Q123" i="38"/>
  <c r="E124" i="38"/>
  <c r="I124" i="38" s="1"/>
  <c r="D124" i="38"/>
  <c r="C124" i="38"/>
  <c r="C127" i="20"/>
  <c r="A125" i="38"/>
  <c r="B125" i="38" s="1"/>
  <c r="K125" i="38" s="1"/>
  <c r="Y125" i="20"/>
  <c r="U125" i="20"/>
  <c r="W125" i="20"/>
  <c r="M124" i="20"/>
  <c r="AG124" i="20"/>
  <c r="O124" i="20" s="1"/>
  <c r="AI124" i="20"/>
  <c r="Q124" i="20" s="1"/>
  <c r="AK124" i="20"/>
  <c r="S124" i="20" s="1"/>
  <c r="AA125" i="20"/>
  <c r="AE125" i="20"/>
  <c r="AC125" i="20"/>
  <c r="F131" i="15"/>
  <c r="A127" i="20"/>
  <c r="G131" i="15"/>
  <c r="C131" i="8"/>
  <c r="B131" i="8"/>
  <c r="F130" i="8"/>
  <c r="G130" i="8"/>
  <c r="C132" i="15"/>
  <c r="B132" i="15"/>
  <c r="H130" i="15"/>
  <c r="K126" i="20" s="1"/>
  <c r="G131" i="14"/>
  <c r="F131" i="14"/>
  <c r="C132" i="14"/>
  <c r="B132" i="14"/>
  <c r="P131" i="15"/>
  <c r="F127" i="20" s="1"/>
  <c r="N132" i="15"/>
  <c r="O132" i="15"/>
  <c r="A133" i="15"/>
  <c r="D131" i="15"/>
  <c r="L125" i="20"/>
  <c r="J126" i="20"/>
  <c r="B128" i="20"/>
  <c r="D130" i="8"/>
  <c r="H130" i="8" s="1"/>
  <c r="P130" i="8"/>
  <c r="G126" i="20" s="1"/>
  <c r="N131" i="8"/>
  <c r="O131" i="8"/>
  <c r="A132" i="8"/>
  <c r="D131" i="14"/>
  <c r="H131" i="14" s="1"/>
  <c r="A133" i="14"/>
  <c r="B148" i="37" s="1"/>
  <c r="A148" i="37" s="1"/>
  <c r="O132" i="14"/>
  <c r="N132" i="14"/>
  <c r="P131" i="14"/>
  <c r="E127" i="20" s="1"/>
  <c r="G124" i="38" l="1"/>
  <c r="O124" i="38" s="1"/>
  <c r="L124" i="38"/>
  <c r="H124" i="38"/>
  <c r="P124" i="38" s="1"/>
  <c r="M124" i="38"/>
  <c r="H126" i="20"/>
  <c r="Q124" i="38"/>
  <c r="E125" i="38"/>
  <c r="I125" i="38" s="1"/>
  <c r="D125" i="38"/>
  <c r="C125" i="38"/>
  <c r="C128" i="20"/>
  <c r="A126" i="38"/>
  <c r="B126" i="38" s="1"/>
  <c r="K126" i="38" s="1"/>
  <c r="M125" i="20"/>
  <c r="AI125" i="20"/>
  <c r="Q125" i="20" s="1"/>
  <c r="AK125" i="20"/>
  <c r="S125" i="20" s="1"/>
  <c r="AG125" i="20"/>
  <c r="O125" i="20" s="1"/>
  <c r="Y126" i="20"/>
  <c r="U126" i="20"/>
  <c r="W126" i="20"/>
  <c r="AA126" i="20"/>
  <c r="AC126" i="20"/>
  <c r="AE126" i="20"/>
  <c r="A128" i="20"/>
  <c r="F132" i="15"/>
  <c r="G132" i="15"/>
  <c r="H131" i="15"/>
  <c r="K127" i="20" s="1"/>
  <c r="F131" i="8"/>
  <c r="G131" i="8"/>
  <c r="C132" i="8"/>
  <c r="B132" i="8"/>
  <c r="B133" i="15"/>
  <c r="C133" i="15"/>
  <c r="G132" i="14"/>
  <c r="F132" i="14"/>
  <c r="C133" i="14"/>
  <c r="B133" i="14"/>
  <c r="N133" i="15"/>
  <c r="O133" i="15"/>
  <c r="A134" i="15"/>
  <c r="P132" i="15"/>
  <c r="F128" i="20" s="1"/>
  <c r="D132" i="15"/>
  <c r="B129" i="20"/>
  <c r="J127" i="20"/>
  <c r="L126" i="20"/>
  <c r="P131" i="8"/>
  <c r="G127" i="20" s="1"/>
  <c r="D131" i="8"/>
  <c r="H131" i="8" s="1"/>
  <c r="O132" i="8"/>
  <c r="A133" i="8"/>
  <c r="N132" i="8"/>
  <c r="P132" i="14"/>
  <c r="E128" i="20" s="1"/>
  <c r="N133" i="14"/>
  <c r="O133" i="14"/>
  <c r="A134" i="14"/>
  <c r="B149" i="37" s="1"/>
  <c r="A149" i="37" s="1"/>
  <c r="D132" i="14"/>
  <c r="H132" i="14" s="1"/>
  <c r="H125" i="38" l="1"/>
  <c r="M125" i="38"/>
  <c r="G125" i="38"/>
  <c r="O125" i="38" s="1"/>
  <c r="L125" i="38"/>
  <c r="H127" i="20"/>
  <c r="Q125" i="38"/>
  <c r="E126" i="38"/>
  <c r="I126" i="38" s="1"/>
  <c r="D126" i="38"/>
  <c r="C126" i="38"/>
  <c r="C129" i="20"/>
  <c r="A127" i="38"/>
  <c r="B127" i="38" s="1"/>
  <c r="K127" i="38" s="1"/>
  <c r="U127" i="20"/>
  <c r="W127" i="20"/>
  <c r="Y127" i="20"/>
  <c r="M126" i="20"/>
  <c r="AK126" i="20"/>
  <c r="S126" i="20" s="1"/>
  <c r="AI126" i="20"/>
  <c r="Q126" i="20" s="1"/>
  <c r="AG126" i="20"/>
  <c r="O126" i="20" s="1"/>
  <c r="AA127" i="20"/>
  <c r="AE127" i="20"/>
  <c r="AC127" i="20"/>
  <c r="A129" i="20"/>
  <c r="F133" i="15"/>
  <c r="G133" i="15"/>
  <c r="F132" i="8"/>
  <c r="G132" i="8"/>
  <c r="B133" i="8"/>
  <c r="C133" i="8"/>
  <c r="B134" i="15"/>
  <c r="C134" i="15"/>
  <c r="H132" i="15"/>
  <c r="K128" i="20" s="1"/>
  <c r="G133" i="14"/>
  <c r="F133" i="14"/>
  <c r="C134" i="14"/>
  <c r="B134" i="14"/>
  <c r="P133" i="15"/>
  <c r="F129" i="20" s="1"/>
  <c r="A135" i="15"/>
  <c r="N134" i="15"/>
  <c r="O134" i="15"/>
  <c r="D133" i="15"/>
  <c r="J128" i="20"/>
  <c r="L127" i="20"/>
  <c r="B130" i="20"/>
  <c r="P132" i="8"/>
  <c r="G128" i="20" s="1"/>
  <c r="N133" i="8"/>
  <c r="O133" i="8"/>
  <c r="A134" i="8"/>
  <c r="D132" i="8"/>
  <c r="H132" i="8" s="1"/>
  <c r="P133" i="14"/>
  <c r="E129" i="20" s="1"/>
  <c r="O134" i="14"/>
  <c r="N134" i="14"/>
  <c r="A135" i="14"/>
  <c r="B150" i="37" s="1"/>
  <c r="A150" i="37" s="1"/>
  <c r="D133" i="14"/>
  <c r="H133" i="14" s="1"/>
  <c r="G126" i="38" l="1"/>
  <c r="O126" i="38" s="1"/>
  <c r="L126" i="38"/>
  <c r="H126" i="38"/>
  <c r="M126" i="38"/>
  <c r="P125" i="38"/>
  <c r="H128" i="20"/>
  <c r="Q126" i="38"/>
  <c r="E127" i="38"/>
  <c r="I127" i="38" s="1"/>
  <c r="D127" i="38"/>
  <c r="C127" i="38"/>
  <c r="C130" i="20"/>
  <c r="A128" i="38"/>
  <c r="B128" i="38" s="1"/>
  <c r="K128" i="38" s="1"/>
  <c r="AC128" i="20"/>
  <c r="AE128" i="20"/>
  <c r="AA128" i="20"/>
  <c r="M127" i="20"/>
  <c r="AI127" i="20"/>
  <c r="Q127" i="20" s="1"/>
  <c r="AG127" i="20"/>
  <c r="O127" i="20" s="1"/>
  <c r="AK127" i="20"/>
  <c r="S127" i="20" s="1"/>
  <c r="U128" i="20"/>
  <c r="Y128" i="20"/>
  <c r="W128" i="20"/>
  <c r="A130" i="20"/>
  <c r="F134" i="15"/>
  <c r="G134" i="15"/>
  <c r="F133" i="8"/>
  <c r="C134" i="8"/>
  <c r="B134" i="8"/>
  <c r="G133" i="8"/>
  <c r="H133" i="15"/>
  <c r="K129" i="20" s="1"/>
  <c r="C135" i="15"/>
  <c r="B135" i="15"/>
  <c r="G134" i="14"/>
  <c r="F134" i="14"/>
  <c r="B135" i="14"/>
  <c r="C135" i="14"/>
  <c r="D134" i="15"/>
  <c r="P134" i="15"/>
  <c r="F130" i="20" s="1"/>
  <c r="O135" i="15"/>
  <c r="A136" i="15"/>
  <c r="N135" i="15"/>
  <c r="J129" i="20"/>
  <c r="L128" i="20"/>
  <c r="B131" i="20"/>
  <c r="D133" i="8"/>
  <c r="H133" i="8" s="1"/>
  <c r="O134" i="8"/>
  <c r="A135" i="8"/>
  <c r="N134" i="8"/>
  <c r="P133" i="8"/>
  <c r="G129" i="20" s="1"/>
  <c r="N135" i="14"/>
  <c r="O135" i="14"/>
  <c r="A136" i="14"/>
  <c r="B151" i="37" s="1"/>
  <c r="A151" i="37" s="1"/>
  <c r="D134" i="14"/>
  <c r="H134" i="14" s="1"/>
  <c r="P134" i="14"/>
  <c r="E130" i="20" s="1"/>
  <c r="P126" i="38" l="1"/>
  <c r="G127" i="38"/>
  <c r="O127" i="38" s="1"/>
  <c r="L127" i="38"/>
  <c r="H127" i="38"/>
  <c r="P127" i="38" s="1"/>
  <c r="M127" i="38"/>
  <c r="H129" i="20"/>
  <c r="Q127" i="38"/>
  <c r="E128" i="38"/>
  <c r="I128" i="38" s="1"/>
  <c r="D128" i="38"/>
  <c r="C128" i="38"/>
  <c r="C131" i="20"/>
  <c r="A129" i="38"/>
  <c r="B129" i="38" s="1"/>
  <c r="K129" i="38" s="1"/>
  <c r="M128" i="20"/>
  <c r="AG128" i="20"/>
  <c r="O128" i="20" s="1"/>
  <c r="AI128" i="20"/>
  <c r="Q128" i="20" s="1"/>
  <c r="AK128" i="20"/>
  <c r="S128" i="20" s="1"/>
  <c r="U129" i="20"/>
  <c r="Y129" i="20"/>
  <c r="W129" i="20"/>
  <c r="AE129" i="20"/>
  <c r="AC129" i="20"/>
  <c r="AA129" i="20"/>
  <c r="A131" i="20"/>
  <c r="F135" i="15"/>
  <c r="G135" i="15"/>
  <c r="H134" i="15"/>
  <c r="K130" i="20" s="1"/>
  <c r="B135" i="8"/>
  <c r="C135" i="8"/>
  <c r="G134" i="8"/>
  <c r="F134" i="8"/>
  <c r="C136" i="15"/>
  <c r="B136" i="15"/>
  <c r="G135" i="14"/>
  <c r="F135" i="14"/>
  <c r="C136" i="14"/>
  <c r="B136" i="14"/>
  <c r="P135" i="15"/>
  <c r="F131" i="20" s="1"/>
  <c r="D135" i="15"/>
  <c r="A137" i="15"/>
  <c r="N136" i="15"/>
  <c r="O136" i="15"/>
  <c r="L129" i="20"/>
  <c r="J130" i="20"/>
  <c r="B132" i="20"/>
  <c r="P134" i="8"/>
  <c r="G130" i="20" s="1"/>
  <c r="N135" i="8"/>
  <c r="O135" i="8"/>
  <c r="A136" i="8"/>
  <c r="D134" i="8"/>
  <c r="H134" i="8" s="1"/>
  <c r="P135" i="14"/>
  <c r="E131" i="20" s="1"/>
  <c r="N136" i="14"/>
  <c r="A137" i="14"/>
  <c r="B152" i="37" s="1"/>
  <c r="A152" i="37" s="1"/>
  <c r="O136" i="14"/>
  <c r="D135" i="14"/>
  <c r="H135" i="14" s="1"/>
  <c r="G128" i="38" l="1"/>
  <c r="O128" i="38" s="1"/>
  <c r="L128" i="38"/>
  <c r="H128" i="38"/>
  <c r="M128" i="38"/>
  <c r="H130" i="20"/>
  <c r="Q128" i="38"/>
  <c r="E129" i="38"/>
  <c r="I129" i="38" s="1"/>
  <c r="D129" i="38"/>
  <c r="C129" i="38"/>
  <c r="C132" i="20"/>
  <c r="A130" i="38"/>
  <c r="B130" i="38" s="1"/>
  <c r="K130" i="38" s="1"/>
  <c r="Y130" i="20"/>
  <c r="W130" i="20"/>
  <c r="U130" i="20"/>
  <c r="M129" i="20"/>
  <c r="AG129" i="20"/>
  <c r="O129" i="20" s="1"/>
  <c r="AI129" i="20"/>
  <c r="Q129" i="20" s="1"/>
  <c r="AK129" i="20"/>
  <c r="S129" i="20" s="1"/>
  <c r="AA130" i="20"/>
  <c r="AE130" i="20"/>
  <c r="AC130" i="20"/>
  <c r="A132" i="20"/>
  <c r="F136" i="15"/>
  <c r="G136" i="15"/>
  <c r="B136" i="8"/>
  <c r="C136" i="8"/>
  <c r="F135" i="8"/>
  <c r="G135" i="8"/>
  <c r="C137" i="15"/>
  <c r="B137" i="15"/>
  <c r="H135" i="15"/>
  <c r="K131" i="20" s="1"/>
  <c r="G136" i="14"/>
  <c r="F136" i="14"/>
  <c r="C137" i="14"/>
  <c r="B137" i="14"/>
  <c r="D136" i="15"/>
  <c r="P136" i="15"/>
  <c r="F132" i="20" s="1"/>
  <c r="N137" i="15"/>
  <c r="O137" i="15"/>
  <c r="A138" i="15"/>
  <c r="J131" i="20"/>
  <c r="B133" i="20"/>
  <c r="L130" i="20"/>
  <c r="P135" i="8"/>
  <c r="G131" i="20" s="1"/>
  <c r="N136" i="8"/>
  <c r="O136" i="8"/>
  <c r="A137" i="8"/>
  <c r="D135" i="8"/>
  <c r="H135" i="8" s="1"/>
  <c r="N137" i="14"/>
  <c r="A138" i="14"/>
  <c r="B153" i="37" s="1"/>
  <c r="A153" i="37" s="1"/>
  <c r="O137" i="14"/>
  <c r="P136" i="14"/>
  <c r="E132" i="20" s="1"/>
  <c r="D136" i="14"/>
  <c r="H136" i="14" s="1"/>
  <c r="P128" i="38" l="1"/>
  <c r="H129" i="38"/>
  <c r="M129" i="38"/>
  <c r="G129" i="38"/>
  <c r="O129" i="38" s="1"/>
  <c r="L129" i="38"/>
  <c r="H131" i="20"/>
  <c r="Q129" i="38"/>
  <c r="D130" i="38"/>
  <c r="E130" i="38"/>
  <c r="I130" i="38" s="1"/>
  <c r="C130" i="38"/>
  <c r="C133" i="20"/>
  <c r="A131" i="38"/>
  <c r="B131" i="38" s="1"/>
  <c r="K131" i="38" s="1"/>
  <c r="Y131" i="20"/>
  <c r="U131" i="20"/>
  <c r="W131" i="20"/>
  <c r="M130" i="20"/>
  <c r="AG130" i="20"/>
  <c r="O130" i="20" s="1"/>
  <c r="AI130" i="20"/>
  <c r="Q130" i="20" s="1"/>
  <c r="AK130" i="20"/>
  <c r="S130" i="20" s="1"/>
  <c r="AA131" i="20"/>
  <c r="AE131" i="20"/>
  <c r="AC131" i="20"/>
  <c r="A133" i="20"/>
  <c r="F137" i="15"/>
  <c r="G137" i="15"/>
  <c r="C137" i="8"/>
  <c r="B137" i="8"/>
  <c r="G136" i="8"/>
  <c r="C138" i="15"/>
  <c r="B138" i="15"/>
  <c r="F136" i="8"/>
  <c r="H136" i="15"/>
  <c r="K132" i="20" s="1"/>
  <c r="G137" i="14"/>
  <c r="F137" i="14"/>
  <c r="C138" i="14"/>
  <c r="B138" i="14"/>
  <c r="A139" i="15"/>
  <c r="N138" i="15"/>
  <c r="O138" i="15"/>
  <c r="D137" i="15"/>
  <c r="P137" i="15"/>
  <c r="F133" i="20" s="1"/>
  <c r="J132" i="20"/>
  <c r="L131" i="20"/>
  <c r="B134" i="20"/>
  <c r="D136" i="8"/>
  <c r="H136" i="8" s="1"/>
  <c r="A138" i="8"/>
  <c r="N137" i="8"/>
  <c r="O137" i="8"/>
  <c r="P136" i="8"/>
  <c r="G132" i="20" s="1"/>
  <c r="P137" i="14"/>
  <c r="E133" i="20" s="1"/>
  <c r="N138" i="14"/>
  <c r="O138" i="14"/>
  <c r="A139" i="14"/>
  <c r="B154" i="37" s="1"/>
  <c r="A154" i="37" s="1"/>
  <c r="D137" i="14"/>
  <c r="H137" i="14" s="1"/>
  <c r="G130" i="38" l="1"/>
  <c r="O130" i="38" s="1"/>
  <c r="L130" i="38"/>
  <c r="H130" i="38"/>
  <c r="M130" i="38"/>
  <c r="P129" i="38"/>
  <c r="H132" i="20"/>
  <c r="Q130" i="38"/>
  <c r="C131" i="38"/>
  <c r="D131" i="38"/>
  <c r="E131" i="38"/>
  <c r="I131" i="38" s="1"/>
  <c r="C134" i="20"/>
  <c r="A132" i="38"/>
  <c r="B132" i="38" s="1"/>
  <c r="K132" i="38" s="1"/>
  <c r="Y132" i="20"/>
  <c r="U132" i="20"/>
  <c r="W132" i="20"/>
  <c r="AC132" i="20"/>
  <c r="AA132" i="20"/>
  <c r="AE132" i="20"/>
  <c r="M131" i="20"/>
  <c r="AG131" i="20"/>
  <c r="O131" i="20" s="1"/>
  <c r="AI131" i="20"/>
  <c r="Q131" i="20" s="1"/>
  <c r="AK131" i="20"/>
  <c r="S131" i="20" s="1"/>
  <c r="A134" i="20"/>
  <c r="B139" i="15"/>
  <c r="C139" i="15"/>
  <c r="C138" i="8"/>
  <c r="B138" i="8"/>
  <c r="F138" i="15"/>
  <c r="G138" i="15"/>
  <c r="H137" i="15"/>
  <c r="K133" i="20" s="1"/>
  <c r="F137" i="8"/>
  <c r="G137" i="8"/>
  <c r="G138" i="14"/>
  <c r="F138" i="14"/>
  <c r="C139" i="14"/>
  <c r="B139" i="14"/>
  <c r="D138" i="15"/>
  <c r="P138" i="15"/>
  <c r="F134" i="20" s="1"/>
  <c r="O139" i="15"/>
  <c r="A140" i="15"/>
  <c r="N139" i="15"/>
  <c r="L132" i="20"/>
  <c r="B135" i="20"/>
  <c r="J133" i="20"/>
  <c r="A139" i="8"/>
  <c r="O138" i="8"/>
  <c r="N138" i="8"/>
  <c r="D137" i="8"/>
  <c r="H137" i="8" s="1"/>
  <c r="P137" i="8"/>
  <c r="G133" i="20" s="1"/>
  <c r="P138" i="14"/>
  <c r="E134" i="20" s="1"/>
  <c r="D138" i="14"/>
  <c r="H138" i="14" s="1"/>
  <c r="O139" i="14"/>
  <c r="A140" i="14"/>
  <c r="B155" i="37" s="1"/>
  <c r="A155" i="37" s="1"/>
  <c r="N139" i="14"/>
  <c r="P130" i="38" l="1"/>
  <c r="H131" i="38"/>
  <c r="M131" i="38"/>
  <c r="G131" i="38"/>
  <c r="O131" i="38" s="1"/>
  <c r="L131" i="38"/>
  <c r="H133" i="20"/>
  <c r="Q131" i="38"/>
  <c r="E132" i="38"/>
  <c r="I132" i="38" s="1"/>
  <c r="D132" i="38"/>
  <c r="C132" i="38"/>
  <c r="C135" i="20"/>
  <c r="A133" i="38"/>
  <c r="B133" i="38" s="1"/>
  <c r="K133" i="38" s="1"/>
  <c r="AA133" i="20"/>
  <c r="AC133" i="20"/>
  <c r="AE133" i="20"/>
  <c r="Y133" i="20"/>
  <c r="U133" i="20"/>
  <c r="W133" i="20"/>
  <c r="M132" i="20"/>
  <c r="AG132" i="20"/>
  <c r="O132" i="20" s="1"/>
  <c r="AI132" i="20"/>
  <c r="Q132" i="20" s="1"/>
  <c r="AK132" i="20"/>
  <c r="S132" i="20" s="1"/>
  <c r="A135" i="20"/>
  <c r="C139" i="8"/>
  <c r="B139" i="8"/>
  <c r="B140" i="15"/>
  <c r="C140" i="15"/>
  <c r="F138" i="8"/>
  <c r="G138" i="8"/>
  <c r="H138" i="15"/>
  <c r="K134" i="20" s="1"/>
  <c r="G139" i="15"/>
  <c r="F139" i="15"/>
  <c r="G139" i="14"/>
  <c r="F139" i="14"/>
  <c r="C140" i="14"/>
  <c r="B140" i="14"/>
  <c r="P139" i="15"/>
  <c r="F135" i="20" s="1"/>
  <c r="O140" i="15"/>
  <c r="A141" i="15"/>
  <c r="N140" i="15"/>
  <c r="D139" i="15"/>
  <c r="L133" i="20"/>
  <c r="J134" i="20"/>
  <c r="B136" i="20"/>
  <c r="P139" i="14"/>
  <c r="E135" i="20" s="1"/>
  <c r="P138" i="8"/>
  <c r="G134" i="20" s="1"/>
  <c r="D138" i="8"/>
  <c r="H138" i="8" s="1"/>
  <c r="O139" i="8"/>
  <c r="A140" i="8"/>
  <c r="N139" i="8"/>
  <c r="N140" i="14"/>
  <c r="A141" i="14"/>
  <c r="B156" i="37" s="1"/>
  <c r="A156" i="37" s="1"/>
  <c r="O140" i="14"/>
  <c r="D139" i="14"/>
  <c r="H139" i="14" s="1"/>
  <c r="G132" i="38" l="1"/>
  <c r="O132" i="38" s="1"/>
  <c r="L132" i="38"/>
  <c r="H132" i="38"/>
  <c r="M132" i="38"/>
  <c r="P131" i="38"/>
  <c r="H134" i="20"/>
  <c r="Q132" i="38"/>
  <c r="C133" i="38"/>
  <c r="E133" i="38"/>
  <c r="I133" i="38" s="1"/>
  <c r="D133" i="38"/>
  <c r="C136" i="20"/>
  <c r="A134" i="38"/>
  <c r="B134" i="38" s="1"/>
  <c r="K134" i="38" s="1"/>
  <c r="AA134" i="20"/>
  <c r="AE134" i="20"/>
  <c r="AC134" i="20"/>
  <c r="U134" i="20"/>
  <c r="Y134" i="20"/>
  <c r="W134" i="20"/>
  <c r="M133" i="20"/>
  <c r="AG133" i="20"/>
  <c r="O133" i="20" s="1"/>
  <c r="AI133" i="20"/>
  <c r="Q133" i="20" s="1"/>
  <c r="AK133" i="20"/>
  <c r="S133" i="20" s="1"/>
  <c r="G140" i="15"/>
  <c r="A136" i="20"/>
  <c r="F140" i="15"/>
  <c r="C140" i="8"/>
  <c r="B140" i="8"/>
  <c r="B141" i="15"/>
  <c r="C141" i="15"/>
  <c r="F139" i="8"/>
  <c r="H139" i="15"/>
  <c r="K135" i="20" s="1"/>
  <c r="G139" i="8"/>
  <c r="G140" i="14"/>
  <c r="F140" i="14"/>
  <c r="C141" i="14"/>
  <c r="B141" i="14"/>
  <c r="P140" i="15"/>
  <c r="F136" i="20" s="1"/>
  <c r="D140" i="15"/>
  <c r="N141" i="15"/>
  <c r="O141" i="15"/>
  <c r="A142" i="15"/>
  <c r="L134" i="20"/>
  <c r="J135" i="20"/>
  <c r="B137" i="20"/>
  <c r="P139" i="8"/>
  <c r="G135" i="20" s="1"/>
  <c r="O140" i="8"/>
  <c r="N140" i="8"/>
  <c r="A141" i="8"/>
  <c r="D139" i="8"/>
  <c r="H139" i="8" s="1"/>
  <c r="N141" i="14"/>
  <c r="O141" i="14"/>
  <c r="A142" i="14"/>
  <c r="B157" i="37" s="1"/>
  <c r="A157" i="37" s="1"/>
  <c r="P140" i="14"/>
  <c r="E136" i="20" s="1"/>
  <c r="D140" i="14"/>
  <c r="H140" i="14" s="1"/>
  <c r="P132" i="38" l="1"/>
  <c r="G133" i="38"/>
  <c r="O133" i="38" s="1"/>
  <c r="L133" i="38"/>
  <c r="H133" i="38"/>
  <c r="P133" i="38" s="1"/>
  <c r="M133" i="38"/>
  <c r="H135" i="20"/>
  <c r="Q133" i="38"/>
  <c r="E134" i="38"/>
  <c r="I134" i="38" s="1"/>
  <c r="C134" i="38"/>
  <c r="D134" i="38"/>
  <c r="C137" i="20"/>
  <c r="A135" i="38"/>
  <c r="B135" i="38" s="1"/>
  <c r="K135" i="38" s="1"/>
  <c r="U135" i="20"/>
  <c r="W135" i="20"/>
  <c r="Y135" i="20"/>
  <c r="AC135" i="20"/>
  <c r="AE135" i="20"/>
  <c r="AA135" i="20"/>
  <c r="M134" i="20"/>
  <c r="AI134" i="20"/>
  <c r="Q134" i="20" s="1"/>
  <c r="AK134" i="20"/>
  <c r="S134" i="20" s="1"/>
  <c r="AG134" i="20"/>
  <c r="O134" i="20" s="1"/>
  <c r="G141" i="15"/>
  <c r="A137" i="20"/>
  <c r="F141" i="15"/>
  <c r="B141" i="8"/>
  <c r="C141" i="8"/>
  <c r="B142" i="15"/>
  <c r="C142" i="15"/>
  <c r="F140" i="8"/>
  <c r="H140" i="15"/>
  <c r="K136" i="20" s="1"/>
  <c r="G140" i="8"/>
  <c r="G141" i="14"/>
  <c r="F141" i="14"/>
  <c r="C142" i="14"/>
  <c r="B142" i="14"/>
  <c r="P141" i="15"/>
  <c r="F137" i="20" s="1"/>
  <c r="D141" i="15"/>
  <c r="O142" i="15"/>
  <c r="A143" i="15"/>
  <c r="N142" i="15"/>
  <c r="B138" i="20"/>
  <c r="L135" i="20"/>
  <c r="J136" i="20"/>
  <c r="P140" i="8"/>
  <c r="G136" i="20" s="1"/>
  <c r="D140" i="8"/>
  <c r="H140" i="8" s="1"/>
  <c r="O141" i="8"/>
  <c r="N141" i="8"/>
  <c r="A142" i="8"/>
  <c r="D141" i="14"/>
  <c r="H141" i="14" s="1"/>
  <c r="A143" i="14"/>
  <c r="B158" i="37" s="1"/>
  <c r="A158" i="37" s="1"/>
  <c r="N142" i="14"/>
  <c r="O142" i="14"/>
  <c r="P141" i="14"/>
  <c r="E137" i="20" s="1"/>
  <c r="G134" i="38" l="1"/>
  <c r="O134" i="38" s="1"/>
  <c r="L134" i="38"/>
  <c r="H134" i="38"/>
  <c r="P134" i="38" s="1"/>
  <c r="M134" i="38"/>
  <c r="H136" i="20"/>
  <c r="Q134" i="38"/>
  <c r="C135" i="38"/>
  <c r="E135" i="38"/>
  <c r="I135" i="38" s="1"/>
  <c r="D135" i="38"/>
  <c r="C138" i="20"/>
  <c r="A136" i="38"/>
  <c r="B136" i="38" s="1"/>
  <c r="K136" i="38" s="1"/>
  <c r="AA136" i="20"/>
  <c r="AE136" i="20"/>
  <c r="AC136" i="20"/>
  <c r="Y136" i="20"/>
  <c r="U136" i="20"/>
  <c r="W136" i="20"/>
  <c r="M135" i="20"/>
  <c r="AI135" i="20"/>
  <c r="Q135" i="20" s="1"/>
  <c r="AK135" i="20"/>
  <c r="S135" i="20" s="1"/>
  <c r="AG135" i="20"/>
  <c r="O135" i="20" s="1"/>
  <c r="A138" i="20"/>
  <c r="C142" i="8"/>
  <c r="B142" i="8"/>
  <c r="G142" i="15"/>
  <c r="C143" i="15"/>
  <c r="B143" i="15"/>
  <c r="F142" i="15"/>
  <c r="G141" i="8"/>
  <c r="H141" i="15"/>
  <c r="K137" i="20" s="1"/>
  <c r="F141" i="8"/>
  <c r="G142" i="14"/>
  <c r="F142" i="14"/>
  <c r="C143" i="14"/>
  <c r="B143" i="14"/>
  <c r="P142" i="15"/>
  <c r="F138" i="20" s="1"/>
  <c r="D142" i="15"/>
  <c r="A144" i="15"/>
  <c r="O143" i="15"/>
  <c r="N143" i="15"/>
  <c r="L136" i="20"/>
  <c r="J137" i="20"/>
  <c r="B139" i="20"/>
  <c r="P141" i="8"/>
  <c r="G137" i="20" s="1"/>
  <c r="O142" i="8"/>
  <c r="N142" i="8"/>
  <c r="A143" i="8"/>
  <c r="D141" i="8"/>
  <c r="H141" i="8" s="1"/>
  <c r="D142" i="14"/>
  <c r="H142" i="14" s="1"/>
  <c r="O143" i="14"/>
  <c r="A144" i="14"/>
  <c r="B159" i="37" s="1"/>
  <c r="A159" i="37" s="1"/>
  <c r="N143" i="14"/>
  <c r="P142" i="14"/>
  <c r="E138" i="20" s="1"/>
  <c r="H135" i="38" l="1"/>
  <c r="M135" i="38"/>
  <c r="G135" i="38"/>
  <c r="O135" i="38" s="1"/>
  <c r="L135" i="38"/>
  <c r="H137" i="20"/>
  <c r="Q135" i="38"/>
  <c r="E136" i="38"/>
  <c r="I136" i="38" s="1"/>
  <c r="D136" i="38"/>
  <c r="C136" i="38"/>
  <c r="C139" i="20"/>
  <c r="A137" i="38"/>
  <c r="B137" i="38" s="1"/>
  <c r="K137" i="38" s="1"/>
  <c r="M136" i="20"/>
  <c r="AI136" i="20"/>
  <c r="Q136" i="20" s="1"/>
  <c r="AK136" i="20"/>
  <c r="S136" i="20" s="1"/>
  <c r="AG136" i="20"/>
  <c r="O136" i="20" s="1"/>
  <c r="Y137" i="20"/>
  <c r="W137" i="20"/>
  <c r="U137" i="20"/>
  <c r="AC137" i="20"/>
  <c r="AA137" i="20"/>
  <c r="AE137" i="20"/>
  <c r="A139" i="20"/>
  <c r="F143" i="15"/>
  <c r="G143" i="15"/>
  <c r="C143" i="8"/>
  <c r="B143" i="8"/>
  <c r="C144" i="15"/>
  <c r="B144" i="15"/>
  <c r="H142" i="15"/>
  <c r="K138" i="20" s="1"/>
  <c r="F142" i="8"/>
  <c r="G142" i="8"/>
  <c r="G143" i="14"/>
  <c r="F143" i="14"/>
  <c r="C144" i="14"/>
  <c r="B144" i="14"/>
  <c r="P143" i="15"/>
  <c r="F139" i="20" s="1"/>
  <c r="O144" i="15"/>
  <c r="N144" i="15"/>
  <c r="A145" i="15"/>
  <c r="D143" i="15"/>
  <c r="J138" i="20"/>
  <c r="B140" i="20"/>
  <c r="L137" i="20"/>
  <c r="P143" i="14"/>
  <c r="E139" i="20" s="1"/>
  <c r="P142" i="8"/>
  <c r="G138" i="20" s="1"/>
  <c r="A144" i="8"/>
  <c r="N143" i="8"/>
  <c r="O143" i="8"/>
  <c r="D142" i="8"/>
  <c r="H142" i="8" s="1"/>
  <c r="A145" i="14"/>
  <c r="B160" i="37" s="1"/>
  <c r="A160" i="37" s="1"/>
  <c r="N144" i="14"/>
  <c r="O144" i="14"/>
  <c r="D143" i="14"/>
  <c r="H143" i="14" s="1"/>
  <c r="G136" i="38" l="1"/>
  <c r="O136" i="38" s="1"/>
  <c r="L136" i="38"/>
  <c r="H136" i="38"/>
  <c r="P136" i="38" s="1"/>
  <c r="M136" i="38"/>
  <c r="P135" i="38"/>
  <c r="H138" i="20"/>
  <c r="Q136" i="38"/>
  <c r="E137" i="38"/>
  <c r="I137" i="38" s="1"/>
  <c r="D137" i="38"/>
  <c r="C137" i="38"/>
  <c r="C140" i="20"/>
  <c r="A138" i="38"/>
  <c r="B138" i="38" s="1"/>
  <c r="K138" i="38" s="1"/>
  <c r="M137" i="20"/>
  <c r="AI137" i="20"/>
  <c r="Q137" i="20" s="1"/>
  <c r="AK137" i="20"/>
  <c r="S137" i="20" s="1"/>
  <c r="AG137" i="20"/>
  <c r="O137" i="20" s="1"/>
  <c r="AC138" i="20"/>
  <c r="AA138" i="20"/>
  <c r="AE138" i="20"/>
  <c r="W138" i="20"/>
  <c r="Y138" i="20"/>
  <c r="U138" i="20"/>
  <c r="A140" i="20"/>
  <c r="F144" i="15"/>
  <c r="G144" i="15"/>
  <c r="C145" i="15"/>
  <c r="B145" i="15"/>
  <c r="B144" i="8"/>
  <c r="C144" i="8"/>
  <c r="F143" i="8"/>
  <c r="H143" i="15"/>
  <c r="K139" i="20" s="1"/>
  <c r="G143" i="8"/>
  <c r="G144" i="14"/>
  <c r="F144" i="14"/>
  <c r="C145" i="14"/>
  <c r="B145" i="14"/>
  <c r="P144" i="15"/>
  <c r="F140" i="20" s="1"/>
  <c r="O145" i="15"/>
  <c r="N145" i="15"/>
  <c r="A146" i="15"/>
  <c r="D144" i="15"/>
  <c r="B141" i="20"/>
  <c r="J139" i="20"/>
  <c r="L138" i="20"/>
  <c r="P143" i="8"/>
  <c r="G139" i="20" s="1"/>
  <c r="O144" i="8"/>
  <c r="N144" i="8"/>
  <c r="A145" i="8"/>
  <c r="D143" i="8"/>
  <c r="H143" i="8" s="1"/>
  <c r="P144" i="14"/>
  <c r="E140" i="20" s="1"/>
  <c r="D144" i="14"/>
  <c r="H144" i="14" s="1"/>
  <c r="N145" i="14"/>
  <c r="A146" i="14"/>
  <c r="B161" i="37" s="1"/>
  <c r="A161" i="37" s="1"/>
  <c r="O145" i="14"/>
  <c r="H137" i="38" l="1"/>
  <c r="M137" i="38"/>
  <c r="G137" i="38"/>
  <c r="O137" i="38" s="1"/>
  <c r="L137" i="38"/>
  <c r="H139" i="20"/>
  <c r="Q137" i="38"/>
  <c r="D138" i="38"/>
  <c r="C138" i="38"/>
  <c r="E138" i="38"/>
  <c r="I138" i="38" s="1"/>
  <c r="C141" i="20"/>
  <c r="A139" i="38"/>
  <c r="B139" i="38" s="1"/>
  <c r="K139" i="38" s="1"/>
  <c r="AA139" i="20"/>
  <c r="AE139" i="20"/>
  <c r="AC139" i="20"/>
  <c r="M138" i="20"/>
  <c r="AK138" i="20"/>
  <c r="S138" i="20" s="1"/>
  <c r="AI138" i="20"/>
  <c r="Q138" i="20" s="1"/>
  <c r="AG138" i="20"/>
  <c r="O138" i="20" s="1"/>
  <c r="U139" i="20"/>
  <c r="W139" i="20"/>
  <c r="Y139" i="20"/>
  <c r="F145" i="15"/>
  <c r="A141" i="20"/>
  <c r="G145" i="15"/>
  <c r="B145" i="8"/>
  <c r="C145" i="8"/>
  <c r="G144" i="8"/>
  <c r="F144" i="8"/>
  <c r="C146" i="15"/>
  <c r="B146" i="15"/>
  <c r="H144" i="15"/>
  <c r="K140" i="20" s="1"/>
  <c r="G145" i="14"/>
  <c r="F145" i="14"/>
  <c r="C146" i="14"/>
  <c r="B146" i="14"/>
  <c r="P145" i="15"/>
  <c r="F141" i="20" s="1"/>
  <c r="O146" i="15"/>
  <c r="A147" i="15"/>
  <c r="N146" i="15"/>
  <c r="D145" i="15"/>
  <c r="J140" i="20"/>
  <c r="L139" i="20"/>
  <c r="B142" i="20"/>
  <c r="P144" i="8"/>
  <c r="G140" i="20" s="1"/>
  <c r="N145" i="8"/>
  <c r="O145" i="8"/>
  <c r="A146" i="8"/>
  <c r="D144" i="8"/>
  <c r="H144" i="8" s="1"/>
  <c r="D145" i="14"/>
  <c r="H145" i="14" s="1"/>
  <c r="O146" i="14"/>
  <c r="N146" i="14"/>
  <c r="A147" i="14"/>
  <c r="B162" i="37" s="1"/>
  <c r="A162" i="37" s="1"/>
  <c r="P145" i="14"/>
  <c r="E141" i="20" s="1"/>
  <c r="G138" i="38" l="1"/>
  <c r="O138" i="38" s="1"/>
  <c r="L138" i="38"/>
  <c r="H138" i="38"/>
  <c r="M138" i="38"/>
  <c r="P137" i="38"/>
  <c r="H140" i="20"/>
  <c r="Q138" i="38"/>
  <c r="E139" i="38"/>
  <c r="I139" i="38" s="1"/>
  <c r="D139" i="38"/>
  <c r="C139" i="38"/>
  <c r="C142" i="20"/>
  <c r="A140" i="38"/>
  <c r="B140" i="38" s="1"/>
  <c r="K140" i="38" s="1"/>
  <c r="U140" i="20"/>
  <c r="Y140" i="20"/>
  <c r="W140" i="20"/>
  <c r="M139" i="20"/>
  <c r="AI139" i="20"/>
  <c r="Q139" i="20" s="1"/>
  <c r="AG139" i="20"/>
  <c r="O139" i="20" s="1"/>
  <c r="AK139" i="20"/>
  <c r="S139" i="20" s="1"/>
  <c r="AC140" i="20"/>
  <c r="AE140" i="20"/>
  <c r="AA140" i="20"/>
  <c r="A142" i="20"/>
  <c r="F146" i="15"/>
  <c r="G146" i="15"/>
  <c r="C146" i="8"/>
  <c r="B146" i="8"/>
  <c r="H145" i="15"/>
  <c r="K141" i="20" s="1"/>
  <c r="B147" i="15"/>
  <c r="C147" i="15"/>
  <c r="G145" i="8"/>
  <c r="F145" i="8"/>
  <c r="G146" i="14"/>
  <c r="F146" i="14"/>
  <c r="C147" i="14"/>
  <c r="B147" i="14"/>
  <c r="P146" i="15"/>
  <c r="F142" i="20" s="1"/>
  <c r="D146" i="15"/>
  <c r="O147" i="15"/>
  <c r="A148" i="15"/>
  <c r="N147" i="15"/>
  <c r="J141" i="20"/>
  <c r="B143" i="20"/>
  <c r="L140" i="20"/>
  <c r="P146" i="14"/>
  <c r="E142" i="20" s="1"/>
  <c r="A147" i="8"/>
  <c r="N146" i="8"/>
  <c r="O146" i="8"/>
  <c r="P145" i="8"/>
  <c r="G141" i="20" s="1"/>
  <c r="D145" i="8"/>
  <c r="H145" i="8" s="1"/>
  <c r="A148" i="14"/>
  <c r="B163" i="37" s="1"/>
  <c r="A163" i="37" s="1"/>
  <c r="O147" i="14"/>
  <c r="N147" i="14"/>
  <c r="D146" i="14"/>
  <c r="H146" i="14" s="1"/>
  <c r="P138" i="38" l="1"/>
  <c r="G139" i="38"/>
  <c r="O139" i="38" s="1"/>
  <c r="L139" i="38"/>
  <c r="H139" i="38"/>
  <c r="P139" i="38" s="1"/>
  <c r="M139" i="38"/>
  <c r="H141" i="20"/>
  <c r="Q139" i="38"/>
  <c r="E140" i="38"/>
  <c r="I140" i="38" s="1"/>
  <c r="D140" i="38"/>
  <c r="C140" i="38"/>
  <c r="C143" i="20"/>
  <c r="A141" i="38"/>
  <c r="B141" i="38" s="1"/>
  <c r="K141" i="38" s="1"/>
  <c r="AA141" i="20"/>
  <c r="AE141" i="20"/>
  <c r="AC141" i="20"/>
  <c r="M140" i="20"/>
  <c r="AK140" i="20"/>
  <c r="S140" i="20" s="1"/>
  <c r="AI140" i="20"/>
  <c r="Q140" i="20" s="1"/>
  <c r="AG140" i="20"/>
  <c r="O140" i="20" s="1"/>
  <c r="W141" i="20"/>
  <c r="U141" i="20"/>
  <c r="Y141" i="20"/>
  <c r="G147" i="15"/>
  <c r="F147" i="15"/>
  <c r="A143" i="20"/>
  <c r="C147" i="8"/>
  <c r="B147" i="8"/>
  <c r="F146" i="8"/>
  <c r="G146" i="8"/>
  <c r="C148" i="15"/>
  <c r="B148" i="15"/>
  <c r="H146" i="15"/>
  <c r="K142" i="20" s="1"/>
  <c r="G147" i="14"/>
  <c r="F147" i="14"/>
  <c r="C148" i="14"/>
  <c r="B148" i="14"/>
  <c r="P147" i="15"/>
  <c r="F143" i="20" s="1"/>
  <c r="D147" i="15"/>
  <c r="O148" i="15"/>
  <c r="A149" i="15"/>
  <c r="N148" i="15"/>
  <c r="J142" i="20"/>
  <c r="B144" i="20"/>
  <c r="L141" i="20"/>
  <c r="P146" i="8"/>
  <c r="G142" i="20" s="1"/>
  <c r="A148" i="8"/>
  <c r="N147" i="8"/>
  <c r="O147" i="8"/>
  <c r="D146" i="8"/>
  <c r="H146" i="8" s="1"/>
  <c r="N148" i="14"/>
  <c r="A149" i="14"/>
  <c r="B164" i="37" s="1"/>
  <c r="A164" i="37" s="1"/>
  <c r="O148" i="14"/>
  <c r="P147" i="14"/>
  <c r="E143" i="20" s="1"/>
  <c r="D147" i="14"/>
  <c r="H147" i="14" s="1"/>
  <c r="G140" i="38" l="1"/>
  <c r="O140" i="38" s="1"/>
  <c r="L140" i="38"/>
  <c r="H140" i="38"/>
  <c r="P140" i="38" s="1"/>
  <c r="M140" i="38"/>
  <c r="H142" i="20"/>
  <c r="Q140" i="38"/>
  <c r="C141" i="38"/>
  <c r="E141" i="38"/>
  <c r="I141" i="38" s="1"/>
  <c r="D141" i="38"/>
  <c r="C144" i="20"/>
  <c r="A142" i="38"/>
  <c r="B142" i="38" s="1"/>
  <c r="K142" i="38" s="1"/>
  <c r="AE142" i="20"/>
  <c r="AA142" i="20"/>
  <c r="AC142" i="20"/>
  <c r="U142" i="20"/>
  <c r="Y142" i="20"/>
  <c r="W142" i="20"/>
  <c r="M141" i="20"/>
  <c r="AI141" i="20"/>
  <c r="Q141" i="20" s="1"/>
  <c r="AK141" i="20"/>
  <c r="S141" i="20" s="1"/>
  <c r="AG141" i="20"/>
  <c r="O141" i="20" s="1"/>
  <c r="A144" i="20"/>
  <c r="F148" i="15"/>
  <c r="G148" i="15"/>
  <c r="B148" i="8"/>
  <c r="C148" i="8"/>
  <c r="B149" i="15"/>
  <c r="C149" i="15"/>
  <c r="F147" i="8"/>
  <c r="H147" i="15"/>
  <c r="K143" i="20" s="1"/>
  <c r="G147" i="8"/>
  <c r="G148" i="14"/>
  <c r="F148" i="14"/>
  <c r="C149" i="14"/>
  <c r="B149" i="14"/>
  <c r="P148" i="15"/>
  <c r="F144" i="20" s="1"/>
  <c r="N149" i="15"/>
  <c r="O149" i="15"/>
  <c r="A150" i="15"/>
  <c r="D148" i="15"/>
  <c r="B145" i="20"/>
  <c r="L142" i="20"/>
  <c r="J143" i="20"/>
  <c r="D147" i="8"/>
  <c r="H147" i="8" s="1"/>
  <c r="P147" i="8"/>
  <c r="G143" i="20" s="1"/>
  <c r="O148" i="8"/>
  <c r="A149" i="8"/>
  <c r="N148" i="8"/>
  <c r="N149" i="14"/>
  <c r="O149" i="14"/>
  <c r="A150" i="14"/>
  <c r="B165" i="37" s="1"/>
  <c r="A165" i="37" s="1"/>
  <c r="P148" i="14"/>
  <c r="E144" i="20" s="1"/>
  <c r="D148" i="14"/>
  <c r="H148" i="14" s="1"/>
  <c r="H141" i="38" l="1"/>
  <c r="M141" i="38"/>
  <c r="G141" i="38"/>
  <c r="O141" i="38" s="1"/>
  <c r="L141" i="38"/>
  <c r="H143" i="20"/>
  <c r="Q141" i="38"/>
  <c r="C142" i="38"/>
  <c r="E142" i="38"/>
  <c r="I142" i="38" s="1"/>
  <c r="D142" i="38"/>
  <c r="C145" i="20"/>
  <c r="A143" i="38"/>
  <c r="B143" i="38" s="1"/>
  <c r="K143" i="38" s="1"/>
  <c r="U143" i="20"/>
  <c r="W143" i="20"/>
  <c r="Y143" i="20"/>
  <c r="AE143" i="20"/>
  <c r="AC143" i="20"/>
  <c r="AA143" i="20"/>
  <c r="M142" i="20"/>
  <c r="AI142" i="20"/>
  <c r="Q142" i="20" s="1"/>
  <c r="AG142" i="20"/>
  <c r="O142" i="20" s="1"/>
  <c r="AK142" i="20"/>
  <c r="S142" i="20" s="1"/>
  <c r="G149" i="15"/>
  <c r="F149" i="15"/>
  <c r="A145" i="20"/>
  <c r="B149" i="8"/>
  <c r="C149" i="8"/>
  <c r="H148" i="15"/>
  <c r="K144" i="20" s="1"/>
  <c r="B150" i="15"/>
  <c r="C150" i="15"/>
  <c r="G148" i="8"/>
  <c r="F148" i="8"/>
  <c r="G149" i="14"/>
  <c r="F149" i="14"/>
  <c r="C150" i="14"/>
  <c r="B150" i="14"/>
  <c r="O150" i="15"/>
  <c r="A151" i="15"/>
  <c r="N150" i="15"/>
  <c r="D149" i="15"/>
  <c r="P149" i="15"/>
  <c r="F145" i="20" s="1"/>
  <c r="J144" i="20"/>
  <c r="L143" i="20"/>
  <c r="B146" i="20"/>
  <c r="P148" i="8"/>
  <c r="G144" i="20" s="1"/>
  <c r="O149" i="8"/>
  <c r="N149" i="8"/>
  <c r="A150" i="8"/>
  <c r="D148" i="8"/>
  <c r="H148" i="8" s="1"/>
  <c r="N150" i="14"/>
  <c r="O150" i="14"/>
  <c r="A151" i="14"/>
  <c r="B166" i="37" s="1"/>
  <c r="A166" i="37" s="1"/>
  <c r="P149" i="14"/>
  <c r="E145" i="20" s="1"/>
  <c r="D149" i="14"/>
  <c r="H149" i="14" s="1"/>
  <c r="H142" i="38" l="1"/>
  <c r="M142" i="38"/>
  <c r="G142" i="38"/>
  <c r="O142" i="38" s="1"/>
  <c r="L142" i="38"/>
  <c r="P141" i="38"/>
  <c r="H144" i="20"/>
  <c r="Q142" i="38"/>
  <c r="E143" i="38"/>
  <c r="I143" i="38" s="1"/>
  <c r="D143" i="38"/>
  <c r="C143" i="38"/>
  <c r="C146" i="20"/>
  <c r="A144" i="38"/>
  <c r="B144" i="38" s="1"/>
  <c r="K144" i="38" s="1"/>
  <c r="AC144" i="20"/>
  <c r="AA144" i="20"/>
  <c r="AE144" i="20"/>
  <c r="M143" i="20"/>
  <c r="AG143" i="20"/>
  <c r="O143" i="20" s="1"/>
  <c r="AI143" i="20"/>
  <c r="Q143" i="20" s="1"/>
  <c r="AK143" i="20"/>
  <c r="S143" i="20" s="1"/>
  <c r="W144" i="20"/>
  <c r="U144" i="20"/>
  <c r="Y144" i="20"/>
  <c r="A146" i="20"/>
  <c r="G150" i="15"/>
  <c r="F150" i="15"/>
  <c r="H149" i="15"/>
  <c r="K145" i="20" s="1"/>
  <c r="G149" i="8"/>
  <c r="F149" i="8"/>
  <c r="C150" i="8"/>
  <c r="B150" i="8"/>
  <c r="B151" i="15"/>
  <c r="C151" i="15"/>
  <c r="G150" i="14"/>
  <c r="F150" i="14"/>
  <c r="B151" i="14"/>
  <c r="C151" i="14"/>
  <c r="P150" i="15"/>
  <c r="F146" i="20" s="1"/>
  <c r="N151" i="15"/>
  <c r="O151" i="15"/>
  <c r="A152" i="15"/>
  <c r="D150" i="15"/>
  <c r="L144" i="20"/>
  <c r="J145" i="20"/>
  <c r="B147" i="20"/>
  <c r="P149" i="8"/>
  <c r="G145" i="20" s="1"/>
  <c r="O150" i="8"/>
  <c r="N150" i="8"/>
  <c r="A151" i="8"/>
  <c r="D149" i="8"/>
  <c r="H149" i="8" s="1"/>
  <c r="A152" i="14"/>
  <c r="B167" i="37" s="1"/>
  <c r="A167" i="37" s="1"/>
  <c r="O151" i="14"/>
  <c r="N151" i="14"/>
  <c r="P150" i="14"/>
  <c r="E146" i="20" s="1"/>
  <c r="D150" i="14"/>
  <c r="H150" i="14" s="1"/>
  <c r="H143" i="38" l="1"/>
  <c r="M143" i="38"/>
  <c r="G143" i="38"/>
  <c r="O143" i="38" s="1"/>
  <c r="L143" i="38"/>
  <c r="P142" i="38"/>
  <c r="H145" i="20"/>
  <c r="Q143" i="38"/>
  <c r="E144" i="38"/>
  <c r="I144" i="38" s="1"/>
  <c r="D144" i="38"/>
  <c r="C144" i="38"/>
  <c r="C147" i="20"/>
  <c r="A145" i="38"/>
  <c r="B145" i="38" s="1"/>
  <c r="K145" i="38" s="1"/>
  <c r="M144" i="20"/>
  <c r="AI144" i="20"/>
  <c r="Q144" i="20" s="1"/>
  <c r="AG144" i="20"/>
  <c r="O144" i="20" s="1"/>
  <c r="AK144" i="20"/>
  <c r="S144" i="20" s="1"/>
  <c r="AC145" i="20"/>
  <c r="AE145" i="20"/>
  <c r="AA145" i="20"/>
  <c r="U145" i="20"/>
  <c r="Y145" i="20"/>
  <c r="W145" i="20"/>
  <c r="A147" i="20"/>
  <c r="G151" i="15"/>
  <c r="F151" i="15"/>
  <c r="C151" i="8"/>
  <c r="B151" i="8"/>
  <c r="G150" i="8"/>
  <c r="F150" i="8"/>
  <c r="C152" i="15"/>
  <c r="B152" i="15"/>
  <c r="H150" i="15"/>
  <c r="K146" i="20" s="1"/>
  <c r="G151" i="14"/>
  <c r="F151" i="14"/>
  <c r="C152" i="14"/>
  <c r="B152" i="14"/>
  <c r="D151" i="15"/>
  <c r="P151" i="15"/>
  <c r="F147" i="20" s="1"/>
  <c r="N152" i="15"/>
  <c r="A153" i="15"/>
  <c r="O152" i="15"/>
  <c r="L145" i="20"/>
  <c r="B148" i="20"/>
  <c r="J146" i="20"/>
  <c r="P151" i="14"/>
  <c r="E147" i="20" s="1"/>
  <c r="P150" i="8"/>
  <c r="G146" i="20" s="1"/>
  <c r="D150" i="8"/>
  <c r="H150" i="8" s="1"/>
  <c r="A152" i="8"/>
  <c r="N151" i="8"/>
  <c r="O151" i="8"/>
  <c r="D151" i="14"/>
  <c r="H151" i="14" s="1"/>
  <c r="N152" i="14"/>
  <c r="O152" i="14"/>
  <c r="A153" i="14"/>
  <c r="B168" i="37" s="1"/>
  <c r="A168" i="37" s="1"/>
  <c r="G144" i="38" l="1"/>
  <c r="O144" i="38" s="1"/>
  <c r="L144" i="38"/>
  <c r="H144" i="38"/>
  <c r="P144" i="38" s="1"/>
  <c r="M144" i="38"/>
  <c r="P143" i="38"/>
  <c r="H146" i="20"/>
  <c r="Q144" i="38"/>
  <c r="E145" i="38"/>
  <c r="I145" i="38" s="1"/>
  <c r="D145" i="38"/>
  <c r="C145" i="38"/>
  <c r="C148" i="20"/>
  <c r="A146" i="38"/>
  <c r="B146" i="38" s="1"/>
  <c r="K146" i="38" s="1"/>
  <c r="Y146" i="20"/>
  <c r="W146" i="20"/>
  <c r="U146" i="20"/>
  <c r="AC146" i="20"/>
  <c r="AA146" i="20"/>
  <c r="AE146" i="20"/>
  <c r="M145" i="20"/>
  <c r="AK145" i="20"/>
  <c r="S145" i="20" s="1"/>
  <c r="AG145" i="20"/>
  <c r="O145" i="20" s="1"/>
  <c r="AI145" i="20"/>
  <c r="Q145" i="20" s="1"/>
  <c r="A148" i="20"/>
  <c r="F152" i="15"/>
  <c r="G152" i="15"/>
  <c r="H151" i="15"/>
  <c r="K147" i="20" s="1"/>
  <c r="B152" i="8"/>
  <c r="C152" i="8"/>
  <c r="F151" i="8"/>
  <c r="G151" i="8"/>
  <c r="C153" i="15"/>
  <c r="B153" i="15"/>
  <c r="G152" i="14"/>
  <c r="F152" i="14"/>
  <c r="C153" i="14"/>
  <c r="B153" i="14"/>
  <c r="A154" i="15"/>
  <c r="O153" i="15"/>
  <c r="N153" i="15"/>
  <c r="D152" i="15"/>
  <c r="P152" i="15"/>
  <c r="F148" i="20" s="1"/>
  <c r="L146" i="20"/>
  <c r="J147" i="20"/>
  <c r="B149" i="20"/>
  <c r="P151" i="8"/>
  <c r="G147" i="20" s="1"/>
  <c r="D151" i="8"/>
  <c r="H151" i="8" s="1"/>
  <c r="N152" i="8"/>
  <c r="A153" i="8"/>
  <c r="O152" i="8"/>
  <c r="P152" i="14"/>
  <c r="E148" i="20" s="1"/>
  <c r="N153" i="14"/>
  <c r="A154" i="14"/>
  <c r="B169" i="37" s="1"/>
  <c r="A169" i="37" s="1"/>
  <c r="O153" i="14"/>
  <c r="D152" i="14"/>
  <c r="H152" i="14" s="1"/>
  <c r="H145" i="38" l="1"/>
  <c r="M145" i="38"/>
  <c r="G145" i="38"/>
  <c r="O145" i="38" s="1"/>
  <c r="L145" i="38"/>
  <c r="H147" i="20"/>
  <c r="Q145" i="38"/>
  <c r="E146" i="38"/>
  <c r="I146" i="38" s="1"/>
  <c r="D146" i="38"/>
  <c r="C146" i="38"/>
  <c r="C149" i="20"/>
  <c r="A147" i="38"/>
  <c r="B147" i="38" s="1"/>
  <c r="K147" i="38" s="1"/>
  <c r="M146" i="20"/>
  <c r="AG146" i="20"/>
  <c r="O146" i="20" s="1"/>
  <c r="AK146" i="20"/>
  <c r="S146" i="20" s="1"/>
  <c r="AI146" i="20"/>
  <c r="Q146" i="20" s="1"/>
  <c r="Y147" i="20"/>
  <c r="U147" i="20"/>
  <c r="W147" i="20"/>
  <c r="AC147" i="20"/>
  <c r="AE147" i="20"/>
  <c r="AA147" i="20"/>
  <c r="A149" i="20"/>
  <c r="G153" i="15"/>
  <c r="F153" i="15"/>
  <c r="G152" i="8"/>
  <c r="C153" i="8"/>
  <c r="B153" i="8"/>
  <c r="H152" i="15"/>
  <c r="K148" i="20" s="1"/>
  <c r="F152" i="8"/>
  <c r="C154" i="15"/>
  <c r="B154" i="15"/>
  <c r="G153" i="14"/>
  <c r="F153" i="14"/>
  <c r="C154" i="14"/>
  <c r="B154" i="14"/>
  <c r="P153" i="15"/>
  <c r="F149" i="20" s="1"/>
  <c r="D153" i="15"/>
  <c r="O154" i="15"/>
  <c r="A155" i="15"/>
  <c r="N154" i="15"/>
  <c r="L147" i="20"/>
  <c r="J148" i="20"/>
  <c r="B150" i="20"/>
  <c r="P152" i="8"/>
  <c r="G148" i="20" s="1"/>
  <c r="D152" i="8"/>
  <c r="H152" i="8" s="1"/>
  <c r="A154" i="8"/>
  <c r="N153" i="8"/>
  <c r="O153" i="8"/>
  <c r="O154" i="14"/>
  <c r="A155" i="14"/>
  <c r="B170" i="37" s="1"/>
  <c r="A170" i="37" s="1"/>
  <c r="N154" i="14"/>
  <c r="P153" i="14"/>
  <c r="E149" i="20" s="1"/>
  <c r="D153" i="14"/>
  <c r="H153" i="14" s="1"/>
  <c r="H146" i="38" l="1"/>
  <c r="M146" i="38"/>
  <c r="G146" i="38"/>
  <c r="O146" i="38" s="1"/>
  <c r="L146" i="38"/>
  <c r="P145" i="38"/>
  <c r="H148" i="20"/>
  <c r="Q146" i="38"/>
  <c r="C147" i="38"/>
  <c r="E147" i="38"/>
  <c r="I147" i="38" s="1"/>
  <c r="D147" i="38"/>
  <c r="C150" i="20"/>
  <c r="A148" i="38"/>
  <c r="B148" i="38" s="1"/>
  <c r="K148" i="38" s="1"/>
  <c r="Y148" i="20"/>
  <c r="U148" i="20"/>
  <c r="W148" i="20"/>
  <c r="AA148" i="20"/>
  <c r="AE148" i="20"/>
  <c r="AC148" i="20"/>
  <c r="M147" i="20"/>
  <c r="AI147" i="20"/>
  <c r="Q147" i="20" s="1"/>
  <c r="AK147" i="20"/>
  <c r="S147" i="20" s="1"/>
  <c r="AG147" i="20"/>
  <c r="O147" i="20" s="1"/>
  <c r="A150" i="20"/>
  <c r="G154" i="15"/>
  <c r="F154" i="15"/>
  <c r="G153" i="8"/>
  <c r="H153" i="15"/>
  <c r="K149" i="20" s="1"/>
  <c r="C154" i="8"/>
  <c r="B154" i="8"/>
  <c r="F153" i="8"/>
  <c r="B155" i="15"/>
  <c r="C155" i="15"/>
  <c r="G154" i="14"/>
  <c r="F154" i="14"/>
  <c r="C155" i="14"/>
  <c r="B155" i="14"/>
  <c r="P154" i="15"/>
  <c r="F150" i="20" s="1"/>
  <c r="D154" i="15"/>
  <c r="N155" i="15"/>
  <c r="A156" i="15"/>
  <c r="O155" i="15"/>
  <c r="L148" i="20"/>
  <c r="B151" i="20"/>
  <c r="J149" i="20"/>
  <c r="P154" i="14"/>
  <c r="E150" i="20" s="1"/>
  <c r="P153" i="8"/>
  <c r="G149" i="20" s="1"/>
  <c r="O154" i="8"/>
  <c r="A155" i="8"/>
  <c r="N154" i="8"/>
  <c r="D153" i="8"/>
  <c r="H153" i="8" s="1"/>
  <c r="N155" i="14"/>
  <c r="A156" i="14"/>
  <c r="B171" i="37" s="1"/>
  <c r="A171" i="37" s="1"/>
  <c r="O155" i="14"/>
  <c r="D154" i="14"/>
  <c r="H154" i="14" s="1"/>
  <c r="H147" i="38" l="1"/>
  <c r="M147" i="38"/>
  <c r="G147" i="38"/>
  <c r="O147" i="38" s="1"/>
  <c r="L147" i="38"/>
  <c r="P146" i="38"/>
  <c r="H149" i="20"/>
  <c r="Q147" i="38"/>
  <c r="E148" i="38"/>
  <c r="I148" i="38" s="1"/>
  <c r="D148" i="38"/>
  <c r="C148" i="38"/>
  <c r="C151" i="20"/>
  <c r="A149" i="38"/>
  <c r="B149" i="38" s="1"/>
  <c r="K149" i="38" s="1"/>
  <c r="AA149" i="20"/>
  <c r="AC149" i="20"/>
  <c r="AE149" i="20"/>
  <c r="U149" i="20"/>
  <c r="Y149" i="20"/>
  <c r="W149" i="20"/>
  <c r="M148" i="20"/>
  <c r="AG148" i="20"/>
  <c r="O148" i="20" s="1"/>
  <c r="AK148" i="20"/>
  <c r="S148" i="20" s="1"/>
  <c r="AI148" i="20"/>
  <c r="Q148" i="20" s="1"/>
  <c r="A151" i="20"/>
  <c r="F155" i="15"/>
  <c r="G155" i="15"/>
  <c r="G154" i="8"/>
  <c r="F154" i="8"/>
  <c r="C156" i="15"/>
  <c r="B156" i="15"/>
  <c r="B155" i="8"/>
  <c r="C155" i="8"/>
  <c r="H154" i="15"/>
  <c r="K150" i="20" s="1"/>
  <c r="G155" i="14"/>
  <c r="F155" i="14"/>
  <c r="C156" i="14"/>
  <c r="B156" i="14"/>
  <c r="O156" i="15"/>
  <c r="N156" i="15"/>
  <c r="A157" i="15"/>
  <c r="P155" i="15"/>
  <c r="F151" i="20" s="1"/>
  <c r="D155" i="15"/>
  <c r="J150" i="20"/>
  <c r="L149" i="20"/>
  <c r="B152" i="20"/>
  <c r="O155" i="8"/>
  <c r="N155" i="8"/>
  <c r="A156" i="8"/>
  <c r="D154" i="8"/>
  <c r="H154" i="8" s="1"/>
  <c r="P154" i="8"/>
  <c r="G150" i="20" s="1"/>
  <c r="N156" i="14"/>
  <c r="A157" i="14"/>
  <c r="B172" i="37" s="1"/>
  <c r="A172" i="37" s="1"/>
  <c r="O156" i="14"/>
  <c r="D155" i="14"/>
  <c r="H155" i="14" s="1"/>
  <c r="P155" i="14"/>
  <c r="E151" i="20" s="1"/>
  <c r="H148" i="38" l="1"/>
  <c r="M148" i="38"/>
  <c r="G148" i="38"/>
  <c r="O148" i="38" s="1"/>
  <c r="L148" i="38"/>
  <c r="P147" i="38"/>
  <c r="H150" i="20"/>
  <c r="Q148" i="38"/>
  <c r="E149" i="38"/>
  <c r="I149" i="38" s="1"/>
  <c r="D149" i="38"/>
  <c r="C149" i="38"/>
  <c r="C152" i="20"/>
  <c r="A150" i="38"/>
  <c r="B150" i="38" s="1"/>
  <c r="K150" i="38" s="1"/>
  <c r="AA150" i="20"/>
  <c r="AE150" i="20"/>
  <c r="AC150" i="20"/>
  <c r="M149" i="20"/>
  <c r="AK149" i="20"/>
  <c r="S149" i="20" s="1"/>
  <c r="AG149" i="20"/>
  <c r="O149" i="20" s="1"/>
  <c r="AI149" i="20"/>
  <c r="Q149" i="20" s="1"/>
  <c r="U150" i="20"/>
  <c r="W150" i="20"/>
  <c r="Y150" i="20"/>
  <c r="A152" i="20"/>
  <c r="F156" i="15"/>
  <c r="G156" i="15"/>
  <c r="B156" i="8"/>
  <c r="C156" i="8"/>
  <c r="G155" i="8"/>
  <c r="F155" i="8"/>
  <c r="B157" i="15"/>
  <c r="C157" i="15"/>
  <c r="H155" i="15"/>
  <c r="K151" i="20" s="1"/>
  <c r="G156" i="14"/>
  <c r="F156" i="14"/>
  <c r="C157" i="14"/>
  <c r="B157" i="14"/>
  <c r="P156" i="15"/>
  <c r="F152" i="20" s="1"/>
  <c r="A158" i="15"/>
  <c r="N157" i="15"/>
  <c r="O157" i="15"/>
  <c r="D156" i="15"/>
  <c r="L150" i="20"/>
  <c r="B153" i="20"/>
  <c r="J151" i="20"/>
  <c r="P155" i="8"/>
  <c r="G151" i="20" s="1"/>
  <c r="O156" i="8"/>
  <c r="A157" i="8"/>
  <c r="N156" i="8"/>
  <c r="D155" i="8"/>
  <c r="H155" i="8" s="1"/>
  <c r="N157" i="14"/>
  <c r="O157" i="14"/>
  <c r="A158" i="14"/>
  <c r="B173" i="37" s="1"/>
  <c r="A173" i="37" s="1"/>
  <c r="D156" i="14"/>
  <c r="H156" i="14" s="1"/>
  <c r="P156" i="14"/>
  <c r="E152" i="20" s="1"/>
  <c r="H149" i="38" l="1"/>
  <c r="M149" i="38"/>
  <c r="G149" i="38"/>
  <c r="O149" i="38" s="1"/>
  <c r="L149" i="38"/>
  <c r="P148" i="38"/>
  <c r="H151" i="20"/>
  <c r="Q149" i="38"/>
  <c r="E150" i="38"/>
  <c r="I150" i="38" s="1"/>
  <c r="C150" i="38"/>
  <c r="D150" i="38"/>
  <c r="C153" i="20"/>
  <c r="A151" i="38"/>
  <c r="B151" i="38" s="1"/>
  <c r="K151" i="38" s="1"/>
  <c r="AE151" i="20"/>
  <c r="AA151" i="20"/>
  <c r="AC151" i="20"/>
  <c r="Y151" i="20"/>
  <c r="W151" i="20"/>
  <c r="U151" i="20"/>
  <c r="M150" i="20"/>
  <c r="AI150" i="20"/>
  <c r="Q150" i="20" s="1"/>
  <c r="AK150" i="20"/>
  <c r="S150" i="20" s="1"/>
  <c r="AG150" i="20"/>
  <c r="O150" i="20" s="1"/>
  <c r="A153" i="20"/>
  <c r="F157" i="15"/>
  <c r="G157" i="15"/>
  <c r="H156" i="15"/>
  <c r="K152" i="20" s="1"/>
  <c r="B157" i="8"/>
  <c r="C157" i="8"/>
  <c r="G156" i="8"/>
  <c r="B158" i="15"/>
  <c r="C158" i="15"/>
  <c r="F156" i="8"/>
  <c r="G157" i="14"/>
  <c r="F157" i="14"/>
  <c r="C158" i="14"/>
  <c r="B158" i="14"/>
  <c r="D157" i="15"/>
  <c r="P157" i="15"/>
  <c r="F153" i="20" s="1"/>
  <c r="N158" i="15"/>
  <c r="O158" i="15"/>
  <c r="A159" i="15"/>
  <c r="P156" i="8"/>
  <c r="G152" i="20" s="1"/>
  <c r="J152" i="20"/>
  <c r="B154" i="20"/>
  <c r="L151" i="20"/>
  <c r="A158" i="8"/>
  <c r="N157" i="8"/>
  <c r="O157" i="8"/>
  <c r="D156" i="8"/>
  <c r="H156" i="8" s="1"/>
  <c r="N158" i="14"/>
  <c r="A159" i="14"/>
  <c r="B174" i="37" s="1"/>
  <c r="A174" i="37" s="1"/>
  <c r="O158" i="14"/>
  <c r="D157" i="14"/>
  <c r="H157" i="14" s="1"/>
  <c r="P157" i="14"/>
  <c r="E153" i="20" s="1"/>
  <c r="G150" i="38" l="1"/>
  <c r="O150" i="38" s="1"/>
  <c r="L150" i="38"/>
  <c r="H150" i="38"/>
  <c r="M150" i="38"/>
  <c r="P149" i="38"/>
  <c r="H152" i="20"/>
  <c r="Q150" i="38"/>
  <c r="E151" i="38"/>
  <c r="I151" i="38" s="1"/>
  <c r="D151" i="38"/>
  <c r="C151" i="38"/>
  <c r="C154" i="20"/>
  <c r="A152" i="38"/>
  <c r="B152" i="38" s="1"/>
  <c r="K152" i="38" s="1"/>
  <c r="M151" i="20"/>
  <c r="AI151" i="20"/>
  <c r="Q151" i="20" s="1"/>
  <c r="AG151" i="20"/>
  <c r="O151" i="20" s="1"/>
  <c r="AK151" i="20"/>
  <c r="S151" i="20" s="1"/>
  <c r="U152" i="20"/>
  <c r="W152" i="20"/>
  <c r="Y152" i="20"/>
  <c r="AA152" i="20"/>
  <c r="AC152" i="20"/>
  <c r="AE152" i="20"/>
  <c r="A154" i="20"/>
  <c r="F158" i="15"/>
  <c r="G158" i="15"/>
  <c r="H157" i="15"/>
  <c r="K153" i="20" s="1"/>
  <c r="C159" i="15"/>
  <c r="B159" i="15"/>
  <c r="G157" i="8"/>
  <c r="C158" i="8"/>
  <c r="B158" i="8"/>
  <c r="F157" i="8"/>
  <c r="G158" i="14"/>
  <c r="F158" i="14"/>
  <c r="C159" i="14"/>
  <c r="B159" i="14"/>
  <c r="N159" i="15"/>
  <c r="A160" i="15"/>
  <c r="O159" i="15"/>
  <c r="D158" i="15"/>
  <c r="P158" i="15"/>
  <c r="F154" i="20" s="1"/>
  <c r="L152" i="20"/>
  <c r="J153" i="20"/>
  <c r="B155" i="20"/>
  <c r="P157" i="8"/>
  <c r="G153" i="20" s="1"/>
  <c r="O158" i="8"/>
  <c r="A159" i="8"/>
  <c r="N158" i="8"/>
  <c r="D157" i="8"/>
  <c r="H157" i="8" s="1"/>
  <c r="P158" i="14"/>
  <c r="E154" i="20" s="1"/>
  <c r="D158" i="14"/>
  <c r="H158" i="14" s="1"/>
  <c r="N159" i="14"/>
  <c r="O159" i="14"/>
  <c r="A160" i="14"/>
  <c r="B175" i="37" s="1"/>
  <c r="A175" i="37" s="1"/>
  <c r="P150" i="38" l="1"/>
  <c r="H151" i="38"/>
  <c r="M151" i="38"/>
  <c r="G151" i="38"/>
  <c r="O151" i="38" s="1"/>
  <c r="L151" i="38"/>
  <c r="H153" i="20"/>
  <c r="Q151" i="38"/>
  <c r="C152" i="38"/>
  <c r="E152" i="38"/>
  <c r="I152" i="38" s="1"/>
  <c r="D152" i="38"/>
  <c r="C155" i="20"/>
  <c r="A153" i="38"/>
  <c r="B153" i="38" s="1"/>
  <c r="K153" i="38" s="1"/>
  <c r="AE153" i="20"/>
  <c r="AC153" i="20"/>
  <c r="AA153" i="20"/>
  <c r="Y153" i="20"/>
  <c r="W153" i="20"/>
  <c r="U153" i="20"/>
  <c r="M152" i="20"/>
  <c r="AI152" i="20"/>
  <c r="Q152" i="20" s="1"/>
  <c r="AK152" i="20"/>
  <c r="S152" i="20" s="1"/>
  <c r="AG152" i="20"/>
  <c r="O152" i="20" s="1"/>
  <c r="A155" i="20"/>
  <c r="G159" i="15"/>
  <c r="F159" i="15"/>
  <c r="C159" i="8"/>
  <c r="B159" i="8"/>
  <c r="G158" i="8"/>
  <c r="F158" i="8"/>
  <c r="H158" i="15"/>
  <c r="K154" i="20" s="1"/>
  <c r="B160" i="15"/>
  <c r="C160" i="15"/>
  <c r="G159" i="14"/>
  <c r="F159" i="14"/>
  <c r="C160" i="14"/>
  <c r="B160" i="14"/>
  <c r="O160" i="15"/>
  <c r="N160" i="15"/>
  <c r="A161" i="15"/>
  <c r="P159" i="15"/>
  <c r="F155" i="20" s="1"/>
  <c r="D159" i="15"/>
  <c r="J154" i="20"/>
  <c r="B156" i="20"/>
  <c r="L153" i="20"/>
  <c r="D158" i="8"/>
  <c r="H158" i="8" s="1"/>
  <c r="O159" i="8"/>
  <c r="N159" i="8"/>
  <c r="A160" i="8"/>
  <c r="P158" i="8"/>
  <c r="G154" i="20" s="1"/>
  <c r="N160" i="14"/>
  <c r="O160" i="14"/>
  <c r="A161" i="14"/>
  <c r="B176" i="37" s="1"/>
  <c r="A176" i="37" s="1"/>
  <c r="D159" i="14"/>
  <c r="H159" i="14" s="1"/>
  <c r="P159" i="14"/>
  <c r="E155" i="20" s="1"/>
  <c r="G152" i="38" l="1"/>
  <c r="O152" i="38" s="1"/>
  <c r="L152" i="38"/>
  <c r="H152" i="38"/>
  <c r="M152" i="38"/>
  <c r="P151" i="38"/>
  <c r="H154" i="20"/>
  <c r="Q152" i="38"/>
  <c r="E153" i="38"/>
  <c r="I153" i="38" s="1"/>
  <c r="D153" i="38"/>
  <c r="C153" i="38"/>
  <c r="C156" i="20"/>
  <c r="A154" i="38"/>
  <c r="B154" i="38" s="1"/>
  <c r="K154" i="38" s="1"/>
  <c r="M153" i="20"/>
  <c r="AK153" i="20"/>
  <c r="S153" i="20" s="1"/>
  <c r="AI153" i="20"/>
  <c r="Q153" i="20" s="1"/>
  <c r="AG153" i="20"/>
  <c r="O153" i="20" s="1"/>
  <c r="Y154" i="20"/>
  <c r="W154" i="20"/>
  <c r="U154" i="20"/>
  <c r="AE154" i="20"/>
  <c r="AC154" i="20"/>
  <c r="AA154" i="20"/>
  <c r="A156" i="20"/>
  <c r="G160" i="15"/>
  <c r="F160" i="15"/>
  <c r="B160" i="8"/>
  <c r="C160" i="8"/>
  <c r="H159" i="15"/>
  <c r="K155" i="20" s="1"/>
  <c r="C161" i="15"/>
  <c r="B161" i="15"/>
  <c r="F159" i="8"/>
  <c r="G159" i="8"/>
  <c r="G160" i="14"/>
  <c r="F160" i="14"/>
  <c r="C161" i="14"/>
  <c r="B161" i="14"/>
  <c r="P160" i="15"/>
  <c r="F156" i="20" s="1"/>
  <c r="D160" i="15"/>
  <c r="N161" i="15"/>
  <c r="O161" i="15"/>
  <c r="A162" i="15"/>
  <c r="L154" i="20"/>
  <c r="B157" i="20"/>
  <c r="J155" i="20"/>
  <c r="A161" i="8"/>
  <c r="N160" i="8"/>
  <c r="O160" i="8"/>
  <c r="P159" i="8"/>
  <c r="G155" i="20" s="1"/>
  <c r="D159" i="8"/>
  <c r="H159" i="8" s="1"/>
  <c r="D160" i="14"/>
  <c r="H160" i="14" s="1"/>
  <c r="N161" i="14"/>
  <c r="A162" i="14"/>
  <c r="B177" i="37" s="1"/>
  <c r="A177" i="37" s="1"/>
  <c r="O161" i="14"/>
  <c r="P160" i="14"/>
  <c r="E156" i="20" s="1"/>
  <c r="P152" i="38" l="1"/>
  <c r="H153" i="38"/>
  <c r="M153" i="38"/>
  <c r="G153" i="38"/>
  <c r="O153" i="38" s="1"/>
  <c r="L153" i="38"/>
  <c r="H155" i="20"/>
  <c r="Q153" i="38"/>
  <c r="D154" i="38"/>
  <c r="C154" i="38"/>
  <c r="E154" i="38"/>
  <c r="I154" i="38" s="1"/>
  <c r="C157" i="20"/>
  <c r="A155" i="38"/>
  <c r="B155" i="38" s="1"/>
  <c r="K155" i="38" s="1"/>
  <c r="U155" i="20"/>
  <c r="W155" i="20"/>
  <c r="Y155" i="20"/>
  <c r="AA155" i="20"/>
  <c r="AE155" i="20"/>
  <c r="AC155" i="20"/>
  <c r="M154" i="20"/>
  <c r="AG154" i="20"/>
  <c r="O154" i="20" s="1"/>
  <c r="AI154" i="20"/>
  <c r="Q154" i="20" s="1"/>
  <c r="AK154" i="20"/>
  <c r="S154" i="20" s="1"/>
  <c r="A157" i="20"/>
  <c r="F161" i="15"/>
  <c r="G161" i="15"/>
  <c r="C162" i="15"/>
  <c r="B162" i="15"/>
  <c r="C161" i="8"/>
  <c r="B161" i="8"/>
  <c r="G160" i="8"/>
  <c r="H160" i="15"/>
  <c r="K156" i="20" s="1"/>
  <c r="F160" i="8"/>
  <c r="G161" i="14"/>
  <c r="F161" i="14"/>
  <c r="C162" i="14"/>
  <c r="B162" i="14"/>
  <c r="O162" i="15"/>
  <c r="A163" i="15"/>
  <c r="N162" i="15"/>
  <c r="P161" i="15"/>
  <c r="F157" i="20" s="1"/>
  <c r="D161" i="15"/>
  <c r="B158" i="20"/>
  <c r="L155" i="20"/>
  <c r="J156" i="20"/>
  <c r="P160" i="8"/>
  <c r="G156" i="20" s="1"/>
  <c r="D160" i="8"/>
  <c r="H160" i="8" s="1"/>
  <c r="N161" i="8"/>
  <c r="A162" i="8"/>
  <c r="O161" i="8"/>
  <c r="N162" i="14"/>
  <c r="O162" i="14"/>
  <c r="A163" i="14"/>
  <c r="B178" i="37" s="1"/>
  <c r="A178" i="37" s="1"/>
  <c r="D161" i="14"/>
  <c r="H161" i="14" s="1"/>
  <c r="P161" i="14"/>
  <c r="E157" i="20" s="1"/>
  <c r="G154" i="38" l="1"/>
  <c r="O154" i="38" s="1"/>
  <c r="L154" i="38"/>
  <c r="H154" i="38"/>
  <c r="M154" i="38"/>
  <c r="P153" i="38"/>
  <c r="H156" i="20"/>
  <c r="Q154" i="38"/>
  <c r="D155" i="38"/>
  <c r="C155" i="38"/>
  <c r="E155" i="38"/>
  <c r="I155" i="38" s="1"/>
  <c r="C158" i="20"/>
  <c r="A156" i="38"/>
  <c r="B156" i="38" s="1"/>
  <c r="K156" i="38" s="1"/>
  <c r="AC156" i="20"/>
  <c r="AE156" i="20"/>
  <c r="AA156" i="20"/>
  <c r="Y156" i="20"/>
  <c r="U156" i="20"/>
  <c r="W156" i="20"/>
  <c r="M155" i="20"/>
  <c r="AK155" i="20"/>
  <c r="S155" i="20" s="1"/>
  <c r="AG155" i="20"/>
  <c r="O155" i="20" s="1"/>
  <c r="AI155" i="20"/>
  <c r="Q155" i="20" s="1"/>
  <c r="A158" i="20"/>
  <c r="G162" i="15"/>
  <c r="F162" i="15"/>
  <c r="G161" i="8"/>
  <c r="C162" i="8"/>
  <c r="B162" i="8"/>
  <c r="F161" i="8"/>
  <c r="H161" i="15"/>
  <c r="K157" i="20" s="1"/>
  <c r="B163" i="15"/>
  <c r="C163" i="15"/>
  <c r="G162" i="14"/>
  <c r="F162" i="14"/>
  <c r="C163" i="14"/>
  <c r="B163" i="14"/>
  <c r="P162" i="15"/>
  <c r="F158" i="20" s="1"/>
  <c r="D162" i="15"/>
  <c r="N163" i="15"/>
  <c r="O163" i="15"/>
  <c r="A164" i="15"/>
  <c r="B159" i="20"/>
  <c r="L156" i="20"/>
  <c r="J157" i="20"/>
  <c r="P161" i="8"/>
  <c r="G157" i="20" s="1"/>
  <c r="A163" i="8"/>
  <c r="O162" i="8"/>
  <c r="N162" i="8"/>
  <c r="D161" i="8"/>
  <c r="H161" i="8" s="1"/>
  <c r="D162" i="14"/>
  <c r="H162" i="14" s="1"/>
  <c r="N163" i="14"/>
  <c r="A164" i="14"/>
  <c r="B179" i="37" s="1"/>
  <c r="A179" i="37" s="1"/>
  <c r="O163" i="14"/>
  <c r="P162" i="14"/>
  <c r="E158" i="20" s="1"/>
  <c r="P154" i="38" l="1"/>
  <c r="H155" i="38"/>
  <c r="M155" i="38"/>
  <c r="G155" i="38"/>
  <c r="O155" i="38" s="1"/>
  <c r="L155" i="38"/>
  <c r="H157" i="20"/>
  <c r="Q155" i="38"/>
  <c r="D156" i="38"/>
  <c r="C156" i="38"/>
  <c r="E156" i="38"/>
  <c r="I156" i="38" s="1"/>
  <c r="C159" i="20"/>
  <c r="A157" i="38"/>
  <c r="B157" i="38" s="1"/>
  <c r="K157" i="38" s="1"/>
  <c r="M156" i="20"/>
  <c r="AG156" i="20"/>
  <c r="O156" i="20" s="1"/>
  <c r="AK156" i="20"/>
  <c r="S156" i="20" s="1"/>
  <c r="AI156" i="20"/>
  <c r="Q156" i="20" s="1"/>
  <c r="Y157" i="20"/>
  <c r="U157" i="20"/>
  <c r="W157" i="20"/>
  <c r="AE157" i="20"/>
  <c r="AA157" i="20"/>
  <c r="AC157" i="20"/>
  <c r="A159" i="20"/>
  <c r="G163" i="15"/>
  <c r="F163" i="15"/>
  <c r="B163" i="8"/>
  <c r="C163" i="8"/>
  <c r="F162" i="8"/>
  <c r="G162" i="8"/>
  <c r="C164" i="15"/>
  <c r="B164" i="15"/>
  <c r="H162" i="15"/>
  <c r="K158" i="20" s="1"/>
  <c r="G163" i="14"/>
  <c r="F163" i="14"/>
  <c r="C164" i="14"/>
  <c r="B164" i="14"/>
  <c r="A165" i="15"/>
  <c r="O164" i="15"/>
  <c r="N164" i="15"/>
  <c r="D163" i="15"/>
  <c r="P163" i="15"/>
  <c r="F159" i="20" s="1"/>
  <c r="P162" i="8"/>
  <c r="G158" i="20" s="1"/>
  <c r="J158" i="20"/>
  <c r="L157" i="20"/>
  <c r="B160" i="20"/>
  <c r="A164" i="8"/>
  <c r="O163" i="8"/>
  <c r="N163" i="8"/>
  <c r="D162" i="8"/>
  <c r="H162" i="8" s="1"/>
  <c r="P163" i="14"/>
  <c r="E159" i="20" s="1"/>
  <c r="A165" i="14"/>
  <c r="B180" i="37" s="1"/>
  <c r="A180" i="37" s="1"/>
  <c r="O164" i="14"/>
  <c r="N164" i="14"/>
  <c r="D163" i="14"/>
  <c r="H163" i="14" s="1"/>
  <c r="G156" i="38" l="1"/>
  <c r="O156" i="38" s="1"/>
  <c r="L156" i="38"/>
  <c r="H156" i="38"/>
  <c r="P156" i="38" s="1"/>
  <c r="M156" i="38"/>
  <c r="P155" i="38"/>
  <c r="H158" i="20"/>
  <c r="Q156" i="38"/>
  <c r="C157" i="38"/>
  <c r="E157" i="38"/>
  <c r="I157" i="38" s="1"/>
  <c r="D157" i="38"/>
  <c r="C160" i="20"/>
  <c r="A158" i="38"/>
  <c r="B158" i="38" s="1"/>
  <c r="K158" i="38" s="1"/>
  <c r="M157" i="20"/>
  <c r="AG157" i="20"/>
  <c r="O157" i="20" s="1"/>
  <c r="AI157" i="20"/>
  <c r="Q157" i="20" s="1"/>
  <c r="AK157" i="20"/>
  <c r="S157" i="20" s="1"/>
  <c r="AC158" i="20"/>
  <c r="AE158" i="20"/>
  <c r="AA158" i="20"/>
  <c r="W158" i="20"/>
  <c r="U158" i="20"/>
  <c r="Y158" i="20"/>
  <c r="A160" i="20"/>
  <c r="B165" i="15"/>
  <c r="C165" i="15"/>
  <c r="F164" i="15"/>
  <c r="B164" i="8"/>
  <c r="C164" i="8"/>
  <c r="G163" i="8"/>
  <c r="F163" i="8"/>
  <c r="G164" i="15"/>
  <c r="H163" i="15"/>
  <c r="K159" i="20" s="1"/>
  <c r="G164" i="14"/>
  <c r="F164" i="14"/>
  <c r="C165" i="14"/>
  <c r="B165" i="14"/>
  <c r="P164" i="15"/>
  <c r="F160" i="20" s="1"/>
  <c r="D164" i="15"/>
  <c r="N165" i="15"/>
  <c r="O165" i="15"/>
  <c r="A166" i="15"/>
  <c r="B161" i="20"/>
  <c r="L158" i="20"/>
  <c r="J159" i="20"/>
  <c r="P164" i="14"/>
  <c r="E160" i="20" s="1"/>
  <c r="O164" i="8"/>
  <c r="N164" i="8"/>
  <c r="A165" i="8"/>
  <c r="D163" i="8"/>
  <c r="H163" i="8" s="1"/>
  <c r="P163" i="8"/>
  <c r="G159" i="20" s="1"/>
  <c r="D164" i="14"/>
  <c r="H164" i="14" s="1"/>
  <c r="O165" i="14"/>
  <c r="N165" i="14"/>
  <c r="A166" i="14"/>
  <c r="B181" i="37" s="1"/>
  <c r="A181" i="37" s="1"/>
  <c r="H157" i="38" l="1"/>
  <c r="M157" i="38"/>
  <c r="G157" i="38"/>
  <c r="O157" i="38" s="1"/>
  <c r="L157" i="38"/>
  <c r="H159" i="20"/>
  <c r="Q157" i="38"/>
  <c r="E158" i="38"/>
  <c r="I158" i="38" s="1"/>
  <c r="D158" i="38"/>
  <c r="C158" i="38"/>
  <c r="C161" i="20"/>
  <c r="A159" i="38"/>
  <c r="B159" i="38" s="1"/>
  <c r="K159" i="38" s="1"/>
  <c r="AE159" i="20"/>
  <c r="AA159" i="20"/>
  <c r="AC159" i="20"/>
  <c r="M158" i="20"/>
  <c r="AG158" i="20"/>
  <c r="O158" i="20" s="1"/>
  <c r="AK158" i="20"/>
  <c r="S158" i="20" s="1"/>
  <c r="AI158" i="20"/>
  <c r="Q158" i="20" s="1"/>
  <c r="W159" i="20"/>
  <c r="Y159" i="20"/>
  <c r="U159" i="20"/>
  <c r="A161" i="20"/>
  <c r="B165" i="8"/>
  <c r="C165" i="8"/>
  <c r="F164" i="8"/>
  <c r="B166" i="15"/>
  <c r="C166" i="15"/>
  <c r="H164" i="15"/>
  <c r="K160" i="20" s="1"/>
  <c r="G164" i="8"/>
  <c r="G165" i="15"/>
  <c r="F165" i="15"/>
  <c r="G165" i="14"/>
  <c r="F165" i="14"/>
  <c r="C166" i="14"/>
  <c r="B166" i="14"/>
  <c r="N166" i="15"/>
  <c r="O166" i="15"/>
  <c r="A167" i="15"/>
  <c r="P165" i="15"/>
  <c r="F161" i="20" s="1"/>
  <c r="D165" i="15"/>
  <c r="L159" i="20"/>
  <c r="J160" i="20"/>
  <c r="B162" i="20"/>
  <c r="P164" i="8"/>
  <c r="G160" i="20" s="1"/>
  <c r="N165" i="8"/>
  <c r="A166" i="8"/>
  <c r="O165" i="8"/>
  <c r="D164" i="8"/>
  <c r="H164" i="8" s="1"/>
  <c r="P165" i="14"/>
  <c r="E161" i="20" s="1"/>
  <c r="N166" i="14"/>
  <c r="O166" i="14"/>
  <c r="A167" i="14"/>
  <c r="B182" i="37" s="1"/>
  <c r="A182" i="37" s="1"/>
  <c r="D165" i="14"/>
  <c r="H165" i="14" s="1"/>
  <c r="H158" i="38" l="1"/>
  <c r="M158" i="38"/>
  <c r="G158" i="38"/>
  <c r="O158" i="38" s="1"/>
  <c r="L158" i="38"/>
  <c r="P157" i="38"/>
  <c r="H160" i="20"/>
  <c r="Q158" i="38"/>
  <c r="E159" i="38"/>
  <c r="I159" i="38" s="1"/>
  <c r="D159" i="38"/>
  <c r="C159" i="38"/>
  <c r="C162" i="20"/>
  <c r="A160" i="38"/>
  <c r="B160" i="38" s="1"/>
  <c r="K160" i="38" s="1"/>
  <c r="AC160" i="20"/>
  <c r="AA160" i="20"/>
  <c r="AE160" i="20"/>
  <c r="W160" i="20"/>
  <c r="Y160" i="20"/>
  <c r="U160" i="20"/>
  <c r="M159" i="20"/>
  <c r="AG159" i="20"/>
  <c r="O159" i="20" s="1"/>
  <c r="AI159" i="20"/>
  <c r="Q159" i="20" s="1"/>
  <c r="AK159" i="20"/>
  <c r="S159" i="20" s="1"/>
  <c r="A162" i="20"/>
  <c r="G166" i="15"/>
  <c r="F166" i="15"/>
  <c r="B166" i="8"/>
  <c r="C166" i="8"/>
  <c r="C167" i="15"/>
  <c r="B167" i="15"/>
  <c r="G165" i="8"/>
  <c r="H165" i="15"/>
  <c r="K161" i="20" s="1"/>
  <c r="F165" i="8"/>
  <c r="G166" i="14"/>
  <c r="F166" i="14"/>
  <c r="B167" i="14"/>
  <c r="C167" i="14"/>
  <c r="P166" i="15"/>
  <c r="F162" i="20" s="1"/>
  <c r="O167" i="15"/>
  <c r="A168" i="15"/>
  <c r="N167" i="15"/>
  <c r="D166" i="15"/>
  <c r="J161" i="20"/>
  <c r="B163" i="20"/>
  <c r="L160" i="20"/>
  <c r="A167" i="8"/>
  <c r="N166" i="8"/>
  <c r="O166" i="8"/>
  <c r="P165" i="8"/>
  <c r="G161" i="20" s="1"/>
  <c r="D165" i="8"/>
  <c r="H165" i="8" s="1"/>
  <c r="D166" i="14"/>
  <c r="H166" i="14" s="1"/>
  <c r="P166" i="14"/>
  <c r="E162" i="20" s="1"/>
  <c r="N167" i="14"/>
  <c r="A168" i="14"/>
  <c r="B183" i="37" s="1"/>
  <c r="A183" i="37" s="1"/>
  <c r="O167" i="14"/>
  <c r="H159" i="38" l="1"/>
  <c r="M159" i="38"/>
  <c r="G159" i="38"/>
  <c r="O159" i="38" s="1"/>
  <c r="L159" i="38"/>
  <c r="P158" i="38"/>
  <c r="H161" i="20"/>
  <c r="Q159" i="38"/>
  <c r="D160" i="38"/>
  <c r="C160" i="38"/>
  <c r="E160" i="38"/>
  <c r="I160" i="38" s="1"/>
  <c r="C163" i="20"/>
  <c r="A161" i="38"/>
  <c r="B161" i="38" s="1"/>
  <c r="K161" i="38" s="1"/>
  <c r="M160" i="20"/>
  <c r="AK160" i="20"/>
  <c r="S160" i="20" s="1"/>
  <c r="AI160" i="20"/>
  <c r="Q160" i="20" s="1"/>
  <c r="AG160" i="20"/>
  <c r="O160" i="20" s="1"/>
  <c r="AE161" i="20"/>
  <c r="AC161" i="20"/>
  <c r="AA161" i="20"/>
  <c r="W161" i="20"/>
  <c r="U161" i="20"/>
  <c r="Y161" i="20"/>
  <c r="A163" i="20"/>
  <c r="F167" i="15"/>
  <c r="H166" i="15"/>
  <c r="K162" i="20" s="1"/>
  <c r="G167" i="15"/>
  <c r="C167" i="8"/>
  <c r="B167" i="8"/>
  <c r="C168" i="15"/>
  <c r="B168" i="15"/>
  <c r="G166" i="8"/>
  <c r="F166" i="8"/>
  <c r="G167" i="14"/>
  <c r="F167" i="14"/>
  <c r="C168" i="14"/>
  <c r="B168" i="14"/>
  <c r="P167" i="15"/>
  <c r="F163" i="20" s="1"/>
  <c r="D167" i="15"/>
  <c r="N168" i="15"/>
  <c r="O168" i="15"/>
  <c r="A169" i="15"/>
  <c r="J162" i="20"/>
  <c r="B164" i="20"/>
  <c r="L161" i="20"/>
  <c r="P167" i="14"/>
  <c r="E163" i="20" s="1"/>
  <c r="P166" i="8"/>
  <c r="G162" i="20" s="1"/>
  <c r="D166" i="8"/>
  <c r="H166" i="8" s="1"/>
  <c r="A168" i="8"/>
  <c r="N167" i="8"/>
  <c r="O167" i="8"/>
  <c r="N168" i="14"/>
  <c r="A169" i="14"/>
  <c r="B184" i="37" s="1"/>
  <c r="A184" i="37" s="1"/>
  <c r="O168" i="14"/>
  <c r="D167" i="14"/>
  <c r="H167" i="14" s="1"/>
  <c r="H160" i="38" l="1"/>
  <c r="M160" i="38"/>
  <c r="G160" i="38"/>
  <c r="O160" i="38" s="1"/>
  <c r="L160" i="38"/>
  <c r="P159" i="38"/>
  <c r="H162" i="20"/>
  <c r="Q160" i="38"/>
  <c r="E161" i="38"/>
  <c r="I161" i="38" s="1"/>
  <c r="D161" i="38"/>
  <c r="C161" i="38"/>
  <c r="C164" i="20"/>
  <c r="A162" i="38"/>
  <c r="B162" i="38" s="1"/>
  <c r="K162" i="38" s="1"/>
  <c r="M161" i="20"/>
  <c r="AI161" i="20"/>
  <c r="Q161" i="20" s="1"/>
  <c r="AK161" i="20"/>
  <c r="S161" i="20" s="1"/>
  <c r="AG161" i="20"/>
  <c r="O161" i="20" s="1"/>
  <c r="AE162" i="20"/>
  <c r="AC162" i="20"/>
  <c r="AA162" i="20"/>
  <c r="W162" i="20"/>
  <c r="Y162" i="20"/>
  <c r="U162" i="20"/>
  <c r="F168" i="15"/>
  <c r="A164" i="20"/>
  <c r="G168" i="15"/>
  <c r="B168" i="8"/>
  <c r="C168" i="8"/>
  <c r="G167" i="8"/>
  <c r="C169" i="15"/>
  <c r="B169" i="15"/>
  <c r="F167" i="8"/>
  <c r="H167" i="15"/>
  <c r="K163" i="20" s="1"/>
  <c r="G168" i="14"/>
  <c r="F168" i="14"/>
  <c r="C169" i="14"/>
  <c r="B169" i="14"/>
  <c r="P168" i="15"/>
  <c r="F164" i="20" s="1"/>
  <c r="D168" i="15"/>
  <c r="O169" i="15"/>
  <c r="A170" i="15"/>
  <c r="N169" i="15"/>
  <c r="L162" i="20"/>
  <c r="J163" i="20"/>
  <c r="B165" i="20"/>
  <c r="D167" i="8"/>
  <c r="H167" i="8" s="1"/>
  <c r="P167" i="8"/>
  <c r="G163" i="20" s="1"/>
  <c r="A169" i="8"/>
  <c r="N168" i="8"/>
  <c r="O168" i="8"/>
  <c r="D168" i="14"/>
  <c r="H168" i="14" s="1"/>
  <c r="N169" i="14"/>
  <c r="A170" i="14"/>
  <c r="B185" i="37" s="1"/>
  <c r="A185" i="37" s="1"/>
  <c r="O169" i="14"/>
  <c r="P168" i="14"/>
  <c r="E164" i="20" s="1"/>
  <c r="G161" i="38" l="1"/>
  <c r="O161" i="38" s="1"/>
  <c r="L161" i="38"/>
  <c r="H161" i="38"/>
  <c r="M161" i="38"/>
  <c r="P160" i="38"/>
  <c r="H163" i="20"/>
  <c r="Q161" i="38"/>
  <c r="D162" i="38"/>
  <c r="C162" i="38"/>
  <c r="E162" i="38"/>
  <c r="I162" i="38" s="1"/>
  <c r="C165" i="20"/>
  <c r="A163" i="38"/>
  <c r="B163" i="38" s="1"/>
  <c r="K163" i="38" s="1"/>
  <c r="AE163" i="20"/>
  <c r="AC163" i="20"/>
  <c r="AA163" i="20"/>
  <c r="Y163" i="20"/>
  <c r="W163" i="20"/>
  <c r="U163" i="20"/>
  <c r="M162" i="20"/>
  <c r="AG162" i="20"/>
  <c r="O162" i="20" s="1"/>
  <c r="AI162" i="20"/>
  <c r="Q162" i="20" s="1"/>
  <c r="AK162" i="20"/>
  <c r="S162" i="20" s="1"/>
  <c r="F169" i="15"/>
  <c r="G169" i="15"/>
  <c r="A165" i="20"/>
  <c r="C170" i="15"/>
  <c r="B170" i="15"/>
  <c r="G168" i="8"/>
  <c r="B169" i="8"/>
  <c r="C169" i="8"/>
  <c r="H168" i="15"/>
  <c r="K164" i="20" s="1"/>
  <c r="F168" i="8"/>
  <c r="G169" i="14"/>
  <c r="F169" i="14"/>
  <c r="C170" i="14"/>
  <c r="B170" i="14"/>
  <c r="P169" i="15"/>
  <c r="F165" i="20" s="1"/>
  <c r="N170" i="15"/>
  <c r="A171" i="15"/>
  <c r="O170" i="15"/>
  <c r="D169" i="15"/>
  <c r="J164" i="20"/>
  <c r="L163" i="20"/>
  <c r="B166" i="20"/>
  <c r="O169" i="8"/>
  <c r="A170" i="8"/>
  <c r="N169" i="8"/>
  <c r="P168" i="8"/>
  <c r="G164" i="20" s="1"/>
  <c r="D168" i="8"/>
  <c r="H168" i="8" s="1"/>
  <c r="N170" i="14"/>
  <c r="O170" i="14"/>
  <c r="A171" i="14"/>
  <c r="B186" i="37" s="1"/>
  <c r="A186" i="37" s="1"/>
  <c r="D169" i="14"/>
  <c r="H169" i="14" s="1"/>
  <c r="P169" i="14"/>
  <c r="E165" i="20" s="1"/>
  <c r="P161" i="38" l="1"/>
  <c r="G162" i="38"/>
  <c r="O162" i="38" s="1"/>
  <c r="L162" i="38"/>
  <c r="H162" i="38"/>
  <c r="M162" i="38"/>
  <c r="Q162" i="38" s="1"/>
  <c r="H164" i="20"/>
  <c r="C163" i="38"/>
  <c r="D163" i="38"/>
  <c r="E163" i="38"/>
  <c r="I163" i="38" s="1"/>
  <c r="C166" i="20"/>
  <c r="A164" i="38"/>
  <c r="B164" i="38" s="1"/>
  <c r="K164" i="38" s="1"/>
  <c r="AA164" i="20"/>
  <c r="AE164" i="20"/>
  <c r="AC164" i="20"/>
  <c r="Y164" i="20"/>
  <c r="W164" i="20"/>
  <c r="U164" i="20"/>
  <c r="M163" i="20"/>
  <c r="AK163" i="20"/>
  <c r="S163" i="20" s="1"/>
  <c r="AI163" i="20"/>
  <c r="Q163" i="20" s="1"/>
  <c r="AG163" i="20"/>
  <c r="O163" i="20" s="1"/>
  <c r="A166" i="20"/>
  <c r="F170" i="15"/>
  <c r="G169" i="8"/>
  <c r="C170" i="8"/>
  <c r="B170" i="8"/>
  <c r="F169" i="8"/>
  <c r="G170" i="15"/>
  <c r="H169" i="15"/>
  <c r="K165" i="20" s="1"/>
  <c r="B171" i="15"/>
  <c r="C171" i="15"/>
  <c r="G170" i="14"/>
  <c r="F170" i="14"/>
  <c r="C171" i="14"/>
  <c r="B171" i="14"/>
  <c r="N171" i="15"/>
  <c r="A172" i="15"/>
  <c r="O171" i="15"/>
  <c r="D170" i="15"/>
  <c r="P170" i="15"/>
  <c r="F166" i="20" s="1"/>
  <c r="J165" i="20"/>
  <c r="B167" i="20"/>
  <c r="L164" i="20"/>
  <c r="N170" i="8"/>
  <c r="O170" i="8"/>
  <c r="A171" i="8"/>
  <c r="D169" i="8"/>
  <c r="H169" i="8" s="1"/>
  <c r="P169" i="8"/>
  <c r="G165" i="20" s="1"/>
  <c r="D170" i="14"/>
  <c r="H170" i="14" s="1"/>
  <c r="O171" i="14"/>
  <c r="N171" i="14"/>
  <c r="A172" i="14"/>
  <c r="B187" i="37" s="1"/>
  <c r="A187" i="37" s="1"/>
  <c r="P170" i="14"/>
  <c r="E166" i="20" s="1"/>
  <c r="P162" i="38" l="1"/>
  <c r="H163" i="38"/>
  <c r="M163" i="38"/>
  <c r="G163" i="38"/>
  <c r="O163" i="38" s="1"/>
  <c r="L163" i="38"/>
  <c r="H165" i="20"/>
  <c r="Q163" i="38"/>
  <c r="C164" i="38"/>
  <c r="E164" i="38"/>
  <c r="I164" i="38" s="1"/>
  <c r="D164" i="38"/>
  <c r="C167" i="20"/>
  <c r="A165" i="38"/>
  <c r="B165" i="38" s="1"/>
  <c r="K165" i="38" s="1"/>
  <c r="AE165" i="20"/>
  <c r="AC165" i="20"/>
  <c r="AA165" i="20"/>
  <c r="U165" i="20"/>
  <c r="W165" i="20"/>
  <c r="Y165" i="20"/>
  <c r="M164" i="20"/>
  <c r="AK164" i="20"/>
  <c r="S164" i="20" s="1"/>
  <c r="AG164" i="20"/>
  <c r="O164" i="20" s="1"/>
  <c r="AI164" i="20"/>
  <c r="Q164" i="20" s="1"/>
  <c r="A167" i="20"/>
  <c r="G171" i="15"/>
  <c r="F171" i="15"/>
  <c r="B171" i="8"/>
  <c r="C171" i="8"/>
  <c r="G170" i="8"/>
  <c r="F170" i="8"/>
  <c r="C172" i="15"/>
  <c r="B172" i="15"/>
  <c r="H170" i="15"/>
  <c r="K166" i="20" s="1"/>
  <c r="G171" i="14"/>
  <c r="F171" i="14"/>
  <c r="C172" i="14"/>
  <c r="B172" i="14"/>
  <c r="A173" i="15"/>
  <c r="O172" i="15"/>
  <c r="N172" i="15"/>
  <c r="P171" i="15"/>
  <c r="F167" i="20" s="1"/>
  <c r="D171" i="15"/>
  <c r="J166" i="20"/>
  <c r="L165" i="20"/>
  <c r="B168" i="20"/>
  <c r="D170" i="8"/>
  <c r="H170" i="8" s="1"/>
  <c r="O171" i="8"/>
  <c r="N171" i="8"/>
  <c r="A172" i="8"/>
  <c r="P170" i="8"/>
  <c r="G166" i="20" s="1"/>
  <c r="N172" i="14"/>
  <c r="A173" i="14"/>
  <c r="B188" i="37" s="1"/>
  <c r="A188" i="37" s="1"/>
  <c r="O172" i="14"/>
  <c r="P171" i="14"/>
  <c r="E167" i="20" s="1"/>
  <c r="D171" i="14"/>
  <c r="H171" i="14" s="1"/>
  <c r="H164" i="38" l="1"/>
  <c r="M164" i="38"/>
  <c r="G164" i="38"/>
  <c r="O164" i="38" s="1"/>
  <c r="L164" i="38"/>
  <c r="P163" i="38"/>
  <c r="H166" i="20"/>
  <c r="Q164" i="38"/>
  <c r="E165" i="38"/>
  <c r="I165" i="38" s="1"/>
  <c r="D165" i="38"/>
  <c r="C165" i="38"/>
  <c r="C168" i="20"/>
  <c r="A166" i="38"/>
  <c r="B166" i="38" s="1"/>
  <c r="K166" i="38" s="1"/>
  <c r="W166" i="20"/>
  <c r="Y166" i="20"/>
  <c r="U166" i="20"/>
  <c r="M165" i="20"/>
  <c r="AK165" i="20"/>
  <c r="S165" i="20" s="1"/>
  <c r="AG165" i="20"/>
  <c r="O165" i="20" s="1"/>
  <c r="AI165" i="20"/>
  <c r="Q165" i="20" s="1"/>
  <c r="AE166" i="20"/>
  <c r="AA166" i="20"/>
  <c r="AC166" i="20"/>
  <c r="A168" i="20"/>
  <c r="F172" i="15"/>
  <c r="B172" i="8"/>
  <c r="C172" i="8"/>
  <c r="H171" i="15"/>
  <c r="K167" i="20" s="1"/>
  <c r="G171" i="8"/>
  <c r="B173" i="15"/>
  <c r="C173" i="15"/>
  <c r="G172" i="15"/>
  <c r="F171" i="8"/>
  <c r="G172" i="14"/>
  <c r="F172" i="14"/>
  <c r="C173" i="14"/>
  <c r="B173" i="14"/>
  <c r="P172" i="15"/>
  <c r="F168" i="20" s="1"/>
  <c r="D172" i="15"/>
  <c r="N173" i="15"/>
  <c r="O173" i="15"/>
  <c r="A174" i="15"/>
  <c r="B169" i="20"/>
  <c r="J167" i="20"/>
  <c r="L166" i="20"/>
  <c r="D171" i="8"/>
  <c r="H171" i="8" s="1"/>
  <c r="A173" i="8"/>
  <c r="N172" i="8"/>
  <c r="O172" i="8"/>
  <c r="P171" i="8"/>
  <c r="G167" i="20" s="1"/>
  <c r="A174" i="14"/>
  <c r="B189" i="37" s="1"/>
  <c r="A189" i="37" s="1"/>
  <c r="N173" i="14"/>
  <c r="O173" i="14"/>
  <c r="P172" i="14"/>
  <c r="E168" i="20" s="1"/>
  <c r="D172" i="14"/>
  <c r="H172" i="14" s="1"/>
  <c r="H165" i="38" l="1"/>
  <c r="M165" i="38"/>
  <c r="G165" i="38"/>
  <c r="O165" i="38" s="1"/>
  <c r="L165" i="38"/>
  <c r="P164" i="38"/>
  <c r="H167" i="20"/>
  <c r="Q165" i="38"/>
  <c r="C166" i="38"/>
  <c r="D166" i="38"/>
  <c r="E166" i="38"/>
  <c r="I166" i="38" s="1"/>
  <c r="C169" i="20"/>
  <c r="A167" i="38"/>
  <c r="B167" i="38" s="1"/>
  <c r="K167" i="38" s="1"/>
  <c r="M166" i="20"/>
  <c r="AI166" i="20"/>
  <c r="Q166" i="20" s="1"/>
  <c r="AK166" i="20"/>
  <c r="S166" i="20" s="1"/>
  <c r="AG166" i="20"/>
  <c r="O166" i="20" s="1"/>
  <c r="W167" i="20"/>
  <c r="Y167" i="20"/>
  <c r="U167" i="20"/>
  <c r="AA167" i="20"/>
  <c r="AC167" i="20"/>
  <c r="AE167" i="20"/>
  <c r="A169" i="20"/>
  <c r="F173" i="15"/>
  <c r="G173" i="15"/>
  <c r="B173" i="8"/>
  <c r="C173" i="8"/>
  <c r="B174" i="15"/>
  <c r="C174" i="15"/>
  <c r="F172" i="8"/>
  <c r="G172" i="8"/>
  <c r="H172" i="15"/>
  <c r="K168" i="20" s="1"/>
  <c r="G173" i="14"/>
  <c r="F173" i="14"/>
  <c r="C174" i="14"/>
  <c r="B174" i="14"/>
  <c r="O174" i="15"/>
  <c r="N174" i="15"/>
  <c r="A175" i="15"/>
  <c r="D173" i="15"/>
  <c r="P173" i="15"/>
  <c r="F169" i="20" s="1"/>
  <c r="B170" i="20"/>
  <c r="L167" i="20"/>
  <c r="J168" i="20"/>
  <c r="P172" i="8"/>
  <c r="G168" i="20" s="1"/>
  <c r="D172" i="8"/>
  <c r="H172" i="8" s="1"/>
  <c r="N173" i="8"/>
  <c r="O173" i="8"/>
  <c r="A174" i="8"/>
  <c r="P173" i="14"/>
  <c r="E169" i="20" s="1"/>
  <c r="N174" i="14"/>
  <c r="O174" i="14"/>
  <c r="A175" i="14"/>
  <c r="B190" i="37" s="1"/>
  <c r="A190" i="37" s="1"/>
  <c r="D173" i="14"/>
  <c r="H173" i="14" s="1"/>
  <c r="H166" i="38" l="1"/>
  <c r="M166" i="38"/>
  <c r="G166" i="38"/>
  <c r="O166" i="38" s="1"/>
  <c r="L166" i="38"/>
  <c r="P165" i="38"/>
  <c r="H168" i="20"/>
  <c r="Q166" i="38"/>
  <c r="E167" i="38"/>
  <c r="I167" i="38" s="1"/>
  <c r="D167" i="38"/>
  <c r="C167" i="38"/>
  <c r="C170" i="20"/>
  <c r="A168" i="38"/>
  <c r="B168" i="38" s="1"/>
  <c r="K168" i="38" s="1"/>
  <c r="AE168" i="20"/>
  <c r="AC168" i="20"/>
  <c r="AA168" i="20"/>
  <c r="Y168" i="20"/>
  <c r="U168" i="20"/>
  <c r="W168" i="20"/>
  <c r="M167" i="20"/>
  <c r="AG167" i="20"/>
  <c r="O167" i="20" s="1"/>
  <c r="AI167" i="20"/>
  <c r="Q167" i="20" s="1"/>
  <c r="AK167" i="20"/>
  <c r="S167" i="20" s="1"/>
  <c r="G174" i="15"/>
  <c r="F174" i="15"/>
  <c r="A170" i="20"/>
  <c r="H173" i="15"/>
  <c r="K169" i="20" s="1"/>
  <c r="G173" i="8"/>
  <c r="F173" i="8"/>
  <c r="B174" i="8"/>
  <c r="C174" i="8"/>
  <c r="C175" i="15"/>
  <c r="B175" i="15"/>
  <c r="G174" i="14"/>
  <c r="F174" i="14"/>
  <c r="C175" i="14"/>
  <c r="B175" i="14"/>
  <c r="P174" i="15"/>
  <c r="F170" i="20" s="1"/>
  <c r="O175" i="15"/>
  <c r="N175" i="15"/>
  <c r="A176" i="15"/>
  <c r="D174" i="15"/>
  <c r="J169" i="20"/>
  <c r="B171" i="20"/>
  <c r="L168" i="20"/>
  <c r="P173" i="8"/>
  <c r="G169" i="20" s="1"/>
  <c r="D173" i="8"/>
  <c r="H173" i="8" s="1"/>
  <c r="O174" i="8"/>
  <c r="A175" i="8"/>
  <c r="N174" i="8"/>
  <c r="A176" i="14"/>
  <c r="B191" i="37" s="1"/>
  <c r="A191" i="37" s="1"/>
  <c r="N175" i="14"/>
  <c r="O175" i="14"/>
  <c r="D174" i="14"/>
  <c r="H174" i="14" s="1"/>
  <c r="P174" i="14"/>
  <c r="E170" i="20" s="1"/>
  <c r="G167" i="38" l="1"/>
  <c r="O167" i="38" s="1"/>
  <c r="L167" i="38"/>
  <c r="H167" i="38"/>
  <c r="P167" i="38" s="1"/>
  <c r="M167" i="38"/>
  <c r="P166" i="38"/>
  <c r="H169" i="20"/>
  <c r="Q167" i="38"/>
  <c r="C168" i="38"/>
  <c r="D168" i="38"/>
  <c r="E168" i="38"/>
  <c r="I168" i="38" s="1"/>
  <c r="C171" i="20"/>
  <c r="A169" i="38"/>
  <c r="B169" i="38" s="1"/>
  <c r="K169" i="38" s="1"/>
  <c r="Y169" i="20"/>
  <c r="U169" i="20"/>
  <c r="W169" i="20"/>
  <c r="M168" i="20"/>
  <c r="AK168" i="20"/>
  <c r="S168" i="20" s="1"/>
  <c r="AG168" i="20"/>
  <c r="O168" i="20" s="1"/>
  <c r="AI168" i="20"/>
  <c r="Q168" i="20" s="1"/>
  <c r="AE169" i="20"/>
  <c r="AA169" i="20"/>
  <c r="AC169" i="20"/>
  <c r="A171" i="20"/>
  <c r="F175" i="15"/>
  <c r="G175" i="15"/>
  <c r="G174" i="8"/>
  <c r="C175" i="8"/>
  <c r="B175" i="8"/>
  <c r="F174" i="8"/>
  <c r="C176" i="15"/>
  <c r="B176" i="15"/>
  <c r="H174" i="15"/>
  <c r="K170" i="20" s="1"/>
  <c r="G175" i="14"/>
  <c r="F175" i="14"/>
  <c r="C176" i="14"/>
  <c r="B176" i="14"/>
  <c r="P175" i="15"/>
  <c r="F171" i="20" s="1"/>
  <c r="N176" i="15"/>
  <c r="A177" i="15"/>
  <c r="O176" i="15"/>
  <c r="D175" i="15"/>
  <c r="B172" i="20"/>
  <c r="J170" i="20"/>
  <c r="L169" i="20"/>
  <c r="P174" i="8"/>
  <c r="G170" i="20" s="1"/>
  <c r="A176" i="8"/>
  <c r="N175" i="8"/>
  <c r="O175" i="8"/>
  <c r="D174" i="8"/>
  <c r="H174" i="8" s="1"/>
  <c r="D175" i="14"/>
  <c r="H175" i="14" s="1"/>
  <c r="P175" i="14"/>
  <c r="E171" i="20" s="1"/>
  <c r="O176" i="14"/>
  <c r="N176" i="14"/>
  <c r="A177" i="14"/>
  <c r="B192" i="37" s="1"/>
  <c r="A192" i="37" s="1"/>
  <c r="H168" i="38" l="1"/>
  <c r="M168" i="38"/>
  <c r="G168" i="38"/>
  <c r="O168" i="38" s="1"/>
  <c r="L168" i="38"/>
  <c r="H170" i="20"/>
  <c r="Q168" i="38"/>
  <c r="E169" i="38"/>
  <c r="I169" i="38" s="1"/>
  <c r="D169" i="38"/>
  <c r="C169" i="38"/>
  <c r="C172" i="20"/>
  <c r="A170" i="38"/>
  <c r="B170" i="38" s="1"/>
  <c r="K170" i="38" s="1"/>
  <c r="M169" i="20"/>
  <c r="AK169" i="20"/>
  <c r="S169" i="20" s="1"/>
  <c r="AG169" i="20"/>
  <c r="O169" i="20" s="1"/>
  <c r="AI169" i="20"/>
  <c r="Q169" i="20" s="1"/>
  <c r="U170" i="20"/>
  <c r="W170" i="20"/>
  <c r="Y170" i="20"/>
  <c r="AA170" i="20"/>
  <c r="AE170" i="20"/>
  <c r="AC170" i="20"/>
  <c r="A172" i="20"/>
  <c r="F176" i="15"/>
  <c r="G176" i="15"/>
  <c r="F175" i="8"/>
  <c r="B176" i="8"/>
  <c r="C176" i="8"/>
  <c r="G175" i="8"/>
  <c r="H175" i="15"/>
  <c r="K171" i="20" s="1"/>
  <c r="C177" i="15"/>
  <c r="B177" i="15"/>
  <c r="G176" i="14"/>
  <c r="F176" i="14"/>
  <c r="C177" i="14"/>
  <c r="B177" i="14"/>
  <c r="D176" i="15"/>
  <c r="N177" i="15"/>
  <c r="O177" i="15"/>
  <c r="A178" i="15"/>
  <c r="P176" i="15"/>
  <c r="F172" i="20" s="1"/>
  <c r="J171" i="20"/>
  <c r="L170" i="20"/>
  <c r="B173" i="20"/>
  <c r="P176" i="14"/>
  <c r="E172" i="20" s="1"/>
  <c r="P175" i="8"/>
  <c r="G171" i="20" s="1"/>
  <c r="D175" i="8"/>
  <c r="H175" i="8" s="1"/>
  <c r="A177" i="8"/>
  <c r="O176" i="8"/>
  <c r="N176" i="8"/>
  <c r="N177" i="14"/>
  <c r="O177" i="14"/>
  <c r="A178" i="14"/>
  <c r="B193" i="37" s="1"/>
  <c r="A193" i="37" s="1"/>
  <c r="D176" i="14"/>
  <c r="H176" i="14" s="1"/>
  <c r="G169" i="38" l="1"/>
  <c r="O169" i="38" s="1"/>
  <c r="L169" i="38"/>
  <c r="H169" i="38"/>
  <c r="M169" i="38"/>
  <c r="P168" i="38"/>
  <c r="H171" i="20"/>
  <c r="Q169" i="38"/>
  <c r="D170" i="38"/>
  <c r="C170" i="38"/>
  <c r="E170" i="38"/>
  <c r="I170" i="38" s="1"/>
  <c r="C173" i="20"/>
  <c r="A171" i="38"/>
  <c r="B171" i="38" s="1"/>
  <c r="K171" i="38" s="1"/>
  <c r="M170" i="20"/>
  <c r="AK170" i="20"/>
  <c r="S170" i="20" s="1"/>
  <c r="AI170" i="20"/>
  <c r="Q170" i="20" s="1"/>
  <c r="AG170" i="20"/>
  <c r="O170" i="20" s="1"/>
  <c r="AE171" i="20"/>
  <c r="AC171" i="20"/>
  <c r="AA171" i="20"/>
  <c r="Y171" i="20"/>
  <c r="W171" i="20"/>
  <c r="U171" i="20"/>
  <c r="A173" i="20"/>
  <c r="F177" i="15"/>
  <c r="G177" i="15"/>
  <c r="C177" i="8"/>
  <c r="B177" i="8"/>
  <c r="G176" i="8"/>
  <c r="F176" i="8"/>
  <c r="H176" i="15"/>
  <c r="K172" i="20" s="1"/>
  <c r="C178" i="15"/>
  <c r="B178" i="15"/>
  <c r="G177" i="14"/>
  <c r="F177" i="14"/>
  <c r="C178" i="14"/>
  <c r="B178" i="14"/>
  <c r="O178" i="15"/>
  <c r="A179" i="15"/>
  <c r="N178" i="15"/>
  <c r="D177" i="15"/>
  <c r="P177" i="15"/>
  <c r="F173" i="20" s="1"/>
  <c r="L171" i="20"/>
  <c r="J172" i="20"/>
  <c r="B174" i="20"/>
  <c r="N177" i="8"/>
  <c r="A178" i="8"/>
  <c r="O177" i="8"/>
  <c r="D176" i="8"/>
  <c r="H176" i="8" s="1"/>
  <c r="P176" i="8"/>
  <c r="G172" i="20" s="1"/>
  <c r="P177" i="14"/>
  <c r="E173" i="20" s="1"/>
  <c r="O178" i="14"/>
  <c r="N178" i="14"/>
  <c r="A179" i="14"/>
  <c r="B194" i="37" s="1"/>
  <c r="A194" i="37" s="1"/>
  <c r="D177" i="14"/>
  <c r="H177" i="14" s="1"/>
  <c r="P169" i="38" l="1"/>
  <c r="G170" i="38"/>
  <c r="O170" i="38" s="1"/>
  <c r="L170" i="38"/>
  <c r="H170" i="38"/>
  <c r="M170" i="38"/>
  <c r="H172" i="20"/>
  <c r="Q170" i="38"/>
  <c r="E171" i="38"/>
  <c r="I171" i="38" s="1"/>
  <c r="D171" i="38"/>
  <c r="C171" i="38"/>
  <c r="C174" i="20"/>
  <c r="A172" i="38"/>
  <c r="B172" i="38" s="1"/>
  <c r="K172" i="38" s="1"/>
  <c r="AA172" i="20"/>
  <c r="AE172" i="20"/>
  <c r="AC172" i="20"/>
  <c r="M171" i="20"/>
  <c r="AG171" i="20"/>
  <c r="O171" i="20" s="1"/>
  <c r="AI171" i="20"/>
  <c r="Q171" i="20" s="1"/>
  <c r="AK171" i="20"/>
  <c r="S171" i="20" s="1"/>
  <c r="U172" i="20"/>
  <c r="Y172" i="20"/>
  <c r="W172" i="20"/>
  <c r="A174" i="20"/>
  <c r="G178" i="15"/>
  <c r="F178" i="15"/>
  <c r="H177" i="15"/>
  <c r="K173" i="20" s="1"/>
  <c r="C178" i="8"/>
  <c r="B178" i="8"/>
  <c r="F177" i="8"/>
  <c r="B179" i="15"/>
  <c r="C179" i="15"/>
  <c r="G177" i="8"/>
  <c r="G178" i="14"/>
  <c r="F178" i="14"/>
  <c r="C179" i="14"/>
  <c r="B179" i="14"/>
  <c r="P178" i="15"/>
  <c r="F174" i="20" s="1"/>
  <c r="A180" i="15"/>
  <c r="O179" i="15"/>
  <c r="N179" i="15"/>
  <c r="D178" i="15"/>
  <c r="J173" i="20"/>
  <c r="B175" i="20"/>
  <c r="L172" i="20"/>
  <c r="N178" i="8"/>
  <c r="O178" i="8"/>
  <c r="A179" i="8"/>
  <c r="P177" i="8"/>
  <c r="G173" i="20" s="1"/>
  <c r="D177" i="8"/>
  <c r="H177" i="8" s="1"/>
  <c r="A180" i="14"/>
  <c r="B195" i="37" s="1"/>
  <c r="A195" i="37" s="1"/>
  <c r="N179" i="14"/>
  <c r="O179" i="14"/>
  <c r="D178" i="14"/>
  <c r="H178" i="14" s="1"/>
  <c r="P178" i="14"/>
  <c r="E174" i="20" s="1"/>
  <c r="P170" i="38" l="1"/>
  <c r="G171" i="38"/>
  <c r="O171" i="38" s="1"/>
  <c r="L171" i="38"/>
  <c r="H171" i="38"/>
  <c r="P171" i="38" s="1"/>
  <c r="M171" i="38"/>
  <c r="H173" i="20"/>
  <c r="Q171" i="38"/>
  <c r="E172" i="38"/>
  <c r="I172" i="38" s="1"/>
  <c r="D172" i="38"/>
  <c r="C172" i="38"/>
  <c r="C175" i="20"/>
  <c r="A173" i="38"/>
  <c r="B173" i="38" s="1"/>
  <c r="K173" i="38" s="1"/>
  <c r="M172" i="20"/>
  <c r="AI172" i="20"/>
  <c r="Q172" i="20" s="1"/>
  <c r="AK172" i="20"/>
  <c r="S172" i="20" s="1"/>
  <c r="AG172" i="20"/>
  <c r="O172" i="20" s="1"/>
  <c r="U173" i="20"/>
  <c r="W173" i="20"/>
  <c r="Y173" i="20"/>
  <c r="AC173" i="20"/>
  <c r="AE173" i="20"/>
  <c r="AA173" i="20"/>
  <c r="F179" i="15"/>
  <c r="A175" i="20"/>
  <c r="G179" i="15"/>
  <c r="B179" i="8"/>
  <c r="C179" i="8"/>
  <c r="G178" i="8"/>
  <c r="H178" i="15"/>
  <c r="K174" i="20" s="1"/>
  <c r="F178" i="8"/>
  <c r="B180" i="15"/>
  <c r="C180" i="15"/>
  <c r="G179" i="14"/>
  <c r="F179" i="14"/>
  <c r="C180" i="14"/>
  <c r="B180" i="14"/>
  <c r="P179" i="15"/>
  <c r="F175" i="20" s="1"/>
  <c r="D179" i="15"/>
  <c r="O180" i="15"/>
  <c r="N180" i="15"/>
  <c r="A181" i="15"/>
  <c r="B176" i="20"/>
  <c r="J174" i="20"/>
  <c r="L173" i="20"/>
  <c r="D178" i="8"/>
  <c r="H178" i="8" s="1"/>
  <c r="A180" i="8"/>
  <c r="O179" i="8"/>
  <c r="N179" i="8"/>
  <c r="P178" i="8"/>
  <c r="G174" i="20" s="1"/>
  <c r="P179" i="14"/>
  <c r="E175" i="20" s="1"/>
  <c r="D179" i="14"/>
  <c r="H179" i="14" s="1"/>
  <c r="N180" i="14"/>
  <c r="O180" i="14"/>
  <c r="A181" i="14"/>
  <c r="B196" i="37" s="1"/>
  <c r="A196" i="37" s="1"/>
  <c r="G172" i="38" l="1"/>
  <c r="O172" i="38" s="1"/>
  <c r="L172" i="38"/>
  <c r="H172" i="38"/>
  <c r="M172" i="38"/>
  <c r="H174" i="20"/>
  <c r="Q172" i="38"/>
  <c r="C173" i="38"/>
  <c r="E173" i="38"/>
  <c r="I173" i="38" s="1"/>
  <c r="D173" i="38"/>
  <c r="C176" i="20"/>
  <c r="A174" i="38"/>
  <c r="B174" i="38" s="1"/>
  <c r="K174" i="38" s="1"/>
  <c r="M173" i="20"/>
  <c r="AG173" i="20"/>
  <c r="O173" i="20" s="1"/>
  <c r="AI173" i="20"/>
  <c r="Q173" i="20" s="1"/>
  <c r="AK173" i="20"/>
  <c r="S173" i="20" s="1"/>
  <c r="AC174" i="20"/>
  <c r="AA174" i="20"/>
  <c r="AE174" i="20"/>
  <c r="Y174" i="20"/>
  <c r="U174" i="20"/>
  <c r="W174" i="20"/>
  <c r="F180" i="15"/>
  <c r="A176" i="20"/>
  <c r="G180" i="15"/>
  <c r="B181" i="15"/>
  <c r="C181" i="15"/>
  <c r="B180" i="8"/>
  <c r="C180" i="8"/>
  <c r="G179" i="8"/>
  <c r="H179" i="15"/>
  <c r="K175" i="20" s="1"/>
  <c r="F179" i="8"/>
  <c r="G180" i="14"/>
  <c r="F180" i="14"/>
  <c r="C181" i="14"/>
  <c r="B181" i="14"/>
  <c r="P180" i="15"/>
  <c r="F176" i="20" s="1"/>
  <c r="A182" i="15"/>
  <c r="O181" i="15"/>
  <c r="N181" i="15"/>
  <c r="D180" i="15"/>
  <c r="J175" i="20"/>
  <c r="B177" i="20"/>
  <c r="L174" i="20"/>
  <c r="P180" i="14"/>
  <c r="E176" i="20" s="1"/>
  <c r="O180" i="8"/>
  <c r="N180" i="8"/>
  <c r="A181" i="8"/>
  <c r="D179" i="8"/>
  <c r="H179" i="8" s="1"/>
  <c r="P179" i="8"/>
  <c r="G175" i="20" s="1"/>
  <c r="N181" i="14"/>
  <c r="A182" i="14"/>
  <c r="B197" i="37" s="1"/>
  <c r="A197" i="37" s="1"/>
  <c r="O181" i="14"/>
  <c r="D180" i="14"/>
  <c r="H180" i="14" s="1"/>
  <c r="P172" i="38" l="1"/>
  <c r="G173" i="38"/>
  <c r="O173" i="38" s="1"/>
  <c r="L173" i="38"/>
  <c r="H173" i="38"/>
  <c r="P173" i="38" s="1"/>
  <c r="M173" i="38"/>
  <c r="H175" i="20"/>
  <c r="Q173" i="38"/>
  <c r="C174" i="38"/>
  <c r="D174" i="38"/>
  <c r="E174" i="38"/>
  <c r="I174" i="38" s="1"/>
  <c r="C177" i="20"/>
  <c r="A175" i="38"/>
  <c r="B175" i="38" s="1"/>
  <c r="K175" i="38" s="1"/>
  <c r="AA175" i="20"/>
  <c r="AE175" i="20"/>
  <c r="AC175" i="20"/>
  <c r="U175" i="20"/>
  <c r="W175" i="20"/>
  <c r="Y175" i="20"/>
  <c r="M174" i="20"/>
  <c r="AG174" i="20"/>
  <c r="O174" i="20" s="1"/>
  <c r="AI174" i="20"/>
  <c r="Q174" i="20" s="1"/>
  <c r="AK174" i="20"/>
  <c r="S174" i="20" s="1"/>
  <c r="A177" i="20"/>
  <c r="F181" i="15"/>
  <c r="G181" i="15"/>
  <c r="F180" i="8"/>
  <c r="G180" i="8"/>
  <c r="B181" i="8"/>
  <c r="C181" i="8"/>
  <c r="H180" i="15"/>
  <c r="K176" i="20" s="1"/>
  <c r="B182" i="15"/>
  <c r="C182" i="15"/>
  <c r="G181" i="14"/>
  <c r="F181" i="14"/>
  <c r="C182" i="14"/>
  <c r="B182" i="14"/>
  <c r="P181" i="15"/>
  <c r="F177" i="20" s="1"/>
  <c r="O182" i="15"/>
  <c r="A183" i="15"/>
  <c r="N182" i="15"/>
  <c r="D181" i="15"/>
  <c r="L175" i="20"/>
  <c r="J176" i="20"/>
  <c r="B178" i="20"/>
  <c r="P180" i="8"/>
  <c r="G176" i="20" s="1"/>
  <c r="D180" i="8"/>
  <c r="H180" i="8" s="1"/>
  <c r="A182" i="8"/>
  <c r="N181" i="8"/>
  <c r="O181" i="8"/>
  <c r="P181" i="14"/>
  <c r="E177" i="20" s="1"/>
  <c r="O182" i="14"/>
  <c r="A183" i="14"/>
  <c r="B198" i="37" s="1"/>
  <c r="A198" i="37" s="1"/>
  <c r="N182" i="14"/>
  <c r="D181" i="14"/>
  <c r="H181" i="14" s="1"/>
  <c r="H174" i="38" l="1"/>
  <c r="M174" i="38"/>
  <c r="G174" i="38"/>
  <c r="O174" i="38" s="1"/>
  <c r="L174" i="38"/>
  <c r="H176" i="20"/>
  <c r="Q174" i="38"/>
  <c r="E175" i="38"/>
  <c r="I175" i="38" s="1"/>
  <c r="D175" i="38"/>
  <c r="C175" i="38"/>
  <c r="C178" i="20"/>
  <c r="A176" i="38"/>
  <c r="B176" i="38" s="1"/>
  <c r="K176" i="38" s="1"/>
  <c r="AE176" i="20"/>
  <c r="AA176" i="20"/>
  <c r="AC176" i="20"/>
  <c r="M175" i="20"/>
  <c r="AG175" i="20"/>
  <c r="O175" i="20" s="1"/>
  <c r="AK175" i="20"/>
  <c r="S175" i="20" s="1"/>
  <c r="AI175" i="20"/>
  <c r="Q175" i="20" s="1"/>
  <c r="Y176" i="20"/>
  <c r="U176" i="20"/>
  <c r="W176" i="20"/>
  <c r="A178" i="20"/>
  <c r="G182" i="15"/>
  <c r="F182" i="15"/>
  <c r="G181" i="8"/>
  <c r="H181" i="15"/>
  <c r="K177" i="20" s="1"/>
  <c r="B182" i="8"/>
  <c r="C182" i="8"/>
  <c r="F181" i="8"/>
  <c r="C183" i="15"/>
  <c r="B183" i="15"/>
  <c r="G182" i="14"/>
  <c r="F182" i="14"/>
  <c r="B183" i="14"/>
  <c r="C183" i="14"/>
  <c r="P182" i="15"/>
  <c r="F178" i="20" s="1"/>
  <c r="N183" i="15"/>
  <c r="A184" i="15"/>
  <c r="O183" i="15"/>
  <c r="D182" i="15"/>
  <c r="J177" i="20"/>
  <c r="B179" i="20"/>
  <c r="L176" i="20"/>
  <c r="P182" i="14"/>
  <c r="E178" i="20" s="1"/>
  <c r="P181" i="8"/>
  <c r="G177" i="20" s="1"/>
  <c r="N182" i="8"/>
  <c r="O182" i="8"/>
  <c r="A183" i="8"/>
  <c r="D181" i="8"/>
  <c r="H181" i="8" s="1"/>
  <c r="N183" i="14"/>
  <c r="A184" i="14"/>
  <c r="B199" i="37" s="1"/>
  <c r="A199" i="37" s="1"/>
  <c r="O183" i="14"/>
  <c r="D182" i="14"/>
  <c r="H182" i="14" s="1"/>
  <c r="G175" i="38" l="1"/>
  <c r="O175" i="38" s="1"/>
  <c r="L175" i="38"/>
  <c r="H175" i="38"/>
  <c r="M175" i="38"/>
  <c r="P174" i="38"/>
  <c r="H177" i="20"/>
  <c r="Q175" i="38"/>
  <c r="E176" i="38"/>
  <c r="I176" i="38" s="1"/>
  <c r="D176" i="38"/>
  <c r="C176" i="38"/>
  <c r="C179" i="20"/>
  <c r="A177" i="38"/>
  <c r="B177" i="38" s="1"/>
  <c r="K177" i="38" s="1"/>
  <c r="U177" i="20"/>
  <c r="W177" i="20"/>
  <c r="Y177" i="20"/>
  <c r="M176" i="20"/>
  <c r="AK176" i="20"/>
  <c r="S176" i="20" s="1"/>
  <c r="AI176" i="20"/>
  <c r="Q176" i="20" s="1"/>
  <c r="AG176" i="20"/>
  <c r="O176" i="20" s="1"/>
  <c r="AC177" i="20"/>
  <c r="AA177" i="20"/>
  <c r="AE177" i="20"/>
  <c r="A179" i="20"/>
  <c r="F183" i="15"/>
  <c r="G183" i="15"/>
  <c r="F182" i="8"/>
  <c r="H182" i="15"/>
  <c r="K178" i="20" s="1"/>
  <c r="C183" i="8"/>
  <c r="B183" i="8"/>
  <c r="C184" i="15"/>
  <c r="B184" i="15"/>
  <c r="G182" i="8"/>
  <c r="G183" i="14"/>
  <c r="F183" i="14"/>
  <c r="C184" i="14"/>
  <c r="B184" i="14"/>
  <c r="N184" i="15"/>
  <c r="O184" i="15"/>
  <c r="A185" i="15"/>
  <c r="D183" i="15"/>
  <c r="P183" i="15"/>
  <c r="F179" i="20" s="1"/>
  <c r="L177" i="20"/>
  <c r="J178" i="20"/>
  <c r="B180" i="20"/>
  <c r="P182" i="8"/>
  <c r="G178" i="20" s="1"/>
  <c r="D182" i="8"/>
  <c r="H182" i="8" s="1"/>
  <c r="O183" i="8"/>
  <c r="A184" i="8"/>
  <c r="N183" i="8"/>
  <c r="N184" i="14"/>
  <c r="A185" i="14"/>
  <c r="B200" i="37" s="1"/>
  <c r="A200" i="37" s="1"/>
  <c r="O184" i="14"/>
  <c r="P183" i="14"/>
  <c r="E179" i="20" s="1"/>
  <c r="D183" i="14"/>
  <c r="H183" i="14" s="1"/>
  <c r="G176" i="38" l="1"/>
  <c r="O176" i="38" s="1"/>
  <c r="L176" i="38"/>
  <c r="H176" i="38"/>
  <c r="P176" i="38" s="1"/>
  <c r="M176" i="38"/>
  <c r="P175" i="38"/>
  <c r="H178" i="20"/>
  <c r="Q176" i="38"/>
  <c r="C177" i="38"/>
  <c r="E177" i="38"/>
  <c r="I177" i="38" s="1"/>
  <c r="D177" i="38"/>
  <c r="C180" i="20"/>
  <c r="A178" i="38"/>
  <c r="B178" i="38" s="1"/>
  <c r="K178" i="38" s="1"/>
  <c r="W178" i="20"/>
  <c r="U178" i="20"/>
  <c r="Y178" i="20"/>
  <c r="M177" i="20"/>
  <c r="AK177" i="20"/>
  <c r="S177" i="20" s="1"/>
  <c r="AI177" i="20"/>
  <c r="Q177" i="20" s="1"/>
  <c r="AG177" i="20"/>
  <c r="O177" i="20" s="1"/>
  <c r="AA178" i="20"/>
  <c r="AE178" i="20"/>
  <c r="AC178" i="20"/>
  <c r="A180" i="20"/>
  <c r="F184" i="15"/>
  <c r="G184" i="15"/>
  <c r="B184" i="8"/>
  <c r="C184" i="8"/>
  <c r="H183" i="15"/>
  <c r="K179" i="20" s="1"/>
  <c r="F183" i="8"/>
  <c r="C185" i="15"/>
  <c r="B185" i="15"/>
  <c r="G183" i="8"/>
  <c r="G184" i="14"/>
  <c r="F184" i="14"/>
  <c r="C185" i="14"/>
  <c r="B185" i="14"/>
  <c r="A186" i="15"/>
  <c r="N185" i="15"/>
  <c r="O185" i="15"/>
  <c r="D184" i="15"/>
  <c r="P184" i="15"/>
  <c r="F180" i="20" s="1"/>
  <c r="J179" i="20"/>
  <c r="B181" i="20"/>
  <c r="L178" i="20"/>
  <c r="P183" i="8"/>
  <c r="G179" i="20" s="1"/>
  <c r="D183" i="8"/>
  <c r="H183" i="8" s="1"/>
  <c r="N184" i="8"/>
  <c r="A185" i="8"/>
  <c r="O184" i="8"/>
  <c r="N185" i="14"/>
  <c r="A186" i="14"/>
  <c r="B201" i="37" s="1"/>
  <c r="A201" i="37" s="1"/>
  <c r="O185" i="14"/>
  <c r="P184" i="14"/>
  <c r="E180" i="20" s="1"/>
  <c r="D184" i="14"/>
  <c r="H184" i="14" s="1"/>
  <c r="G177" i="38" l="1"/>
  <c r="O177" i="38" s="1"/>
  <c r="L177" i="38"/>
  <c r="H177" i="38"/>
  <c r="P177" i="38" s="1"/>
  <c r="M177" i="38"/>
  <c r="H179" i="20"/>
  <c r="Q177" i="38"/>
  <c r="C178" i="38"/>
  <c r="E178" i="38"/>
  <c r="I178" i="38" s="1"/>
  <c r="D178" i="38"/>
  <c r="C181" i="20"/>
  <c r="A179" i="38"/>
  <c r="B179" i="38" s="1"/>
  <c r="K179" i="38" s="1"/>
  <c r="Y179" i="20"/>
  <c r="W179" i="20"/>
  <c r="U179" i="20"/>
  <c r="AE179" i="20"/>
  <c r="AC179" i="20"/>
  <c r="AA179" i="20"/>
  <c r="M178" i="20"/>
  <c r="AG178" i="20"/>
  <c r="O178" i="20" s="1"/>
  <c r="AK178" i="20"/>
  <c r="S178" i="20" s="1"/>
  <c r="AI178" i="20"/>
  <c r="Q178" i="20" s="1"/>
  <c r="A181" i="20"/>
  <c r="C186" i="15"/>
  <c r="B186" i="15"/>
  <c r="C185" i="8"/>
  <c r="B185" i="8"/>
  <c r="F185" i="15"/>
  <c r="G185" i="15"/>
  <c r="G184" i="8"/>
  <c r="F184" i="8"/>
  <c r="H184" i="15"/>
  <c r="K180" i="20" s="1"/>
  <c r="G185" i="14"/>
  <c r="F185" i="14"/>
  <c r="C186" i="14"/>
  <c r="B186" i="14"/>
  <c r="D185" i="15"/>
  <c r="P185" i="15"/>
  <c r="F181" i="20" s="1"/>
  <c r="N186" i="15"/>
  <c r="O186" i="15"/>
  <c r="A187" i="15"/>
  <c r="L179" i="20"/>
  <c r="J180" i="20"/>
  <c r="B182" i="20"/>
  <c r="D184" i="8"/>
  <c r="H184" i="8" s="1"/>
  <c r="A186" i="8"/>
  <c r="N185" i="8"/>
  <c r="O185" i="8"/>
  <c r="P184" i="8"/>
  <c r="G180" i="20" s="1"/>
  <c r="A187" i="14"/>
  <c r="B202" i="37" s="1"/>
  <c r="A202" i="37" s="1"/>
  <c r="O186" i="14"/>
  <c r="N186" i="14"/>
  <c r="P185" i="14"/>
  <c r="E181" i="20" s="1"/>
  <c r="D185" i="14"/>
  <c r="H185" i="14" s="1"/>
  <c r="G178" i="38" l="1"/>
  <c r="O178" i="38" s="1"/>
  <c r="L178" i="38"/>
  <c r="H178" i="38"/>
  <c r="P178" i="38" s="1"/>
  <c r="M178" i="38"/>
  <c r="H180" i="20"/>
  <c r="Q178" i="38"/>
  <c r="E179" i="38"/>
  <c r="I179" i="38" s="1"/>
  <c r="D179" i="38"/>
  <c r="C179" i="38"/>
  <c r="C182" i="20"/>
  <c r="A180" i="38"/>
  <c r="B180" i="38" s="1"/>
  <c r="K180" i="38" s="1"/>
  <c r="M179" i="20"/>
  <c r="AG179" i="20"/>
  <c r="O179" i="20" s="1"/>
  <c r="AK179" i="20"/>
  <c r="S179" i="20" s="1"/>
  <c r="AI179" i="20"/>
  <c r="Q179" i="20" s="1"/>
  <c r="AC180" i="20"/>
  <c r="AA180" i="20"/>
  <c r="AE180" i="20"/>
  <c r="U180" i="20"/>
  <c r="W180" i="20"/>
  <c r="Y180" i="20"/>
  <c r="A182" i="20"/>
  <c r="C186" i="8"/>
  <c r="B186" i="8"/>
  <c r="G185" i="8"/>
  <c r="F185" i="8"/>
  <c r="F186" i="15"/>
  <c r="B187" i="15"/>
  <c r="C187" i="15"/>
  <c r="G186" i="15"/>
  <c r="H185" i="15"/>
  <c r="K181" i="20" s="1"/>
  <c r="G186" i="14"/>
  <c r="F186" i="14"/>
  <c r="C187" i="14"/>
  <c r="B187" i="14"/>
  <c r="D186" i="15"/>
  <c r="N187" i="15"/>
  <c r="O187" i="15"/>
  <c r="A188" i="15"/>
  <c r="P186" i="15"/>
  <c r="F182" i="20" s="1"/>
  <c r="B183" i="20"/>
  <c r="J181" i="20"/>
  <c r="L180" i="20"/>
  <c r="A187" i="8"/>
  <c r="O186" i="8"/>
  <c r="N186" i="8"/>
  <c r="D185" i="8"/>
  <c r="H185" i="8" s="1"/>
  <c r="P185" i="8"/>
  <c r="G181" i="20" s="1"/>
  <c r="P186" i="14"/>
  <c r="E182" i="20" s="1"/>
  <c r="N187" i="14"/>
  <c r="O187" i="14"/>
  <c r="A188" i="14"/>
  <c r="B203" i="37" s="1"/>
  <c r="A203" i="37" s="1"/>
  <c r="D186" i="14"/>
  <c r="H186" i="14" s="1"/>
  <c r="H179" i="38" l="1"/>
  <c r="M179" i="38"/>
  <c r="G179" i="38"/>
  <c r="O179" i="38" s="1"/>
  <c r="L179" i="38"/>
  <c r="H181" i="20"/>
  <c r="Q179" i="38"/>
  <c r="C180" i="38"/>
  <c r="E180" i="38"/>
  <c r="I180" i="38" s="1"/>
  <c r="D180" i="38"/>
  <c r="C183" i="20"/>
  <c r="A181" i="38"/>
  <c r="B181" i="38" s="1"/>
  <c r="K181" i="38" s="1"/>
  <c r="Y181" i="20"/>
  <c r="U181" i="20"/>
  <c r="W181" i="20"/>
  <c r="M180" i="20"/>
  <c r="AI180" i="20"/>
  <c r="Q180" i="20" s="1"/>
  <c r="AG180" i="20"/>
  <c r="O180" i="20" s="1"/>
  <c r="AK180" i="20"/>
  <c r="S180" i="20" s="1"/>
  <c r="AC181" i="20"/>
  <c r="AA181" i="20"/>
  <c r="AE181" i="20"/>
  <c r="F187" i="15"/>
  <c r="A183" i="20"/>
  <c r="G187" i="15"/>
  <c r="C187" i="8"/>
  <c r="B187" i="8"/>
  <c r="C188" i="15"/>
  <c r="B188" i="15"/>
  <c r="F186" i="8"/>
  <c r="G186" i="8"/>
  <c r="H186" i="15"/>
  <c r="K182" i="20" s="1"/>
  <c r="G187" i="14"/>
  <c r="F187" i="14"/>
  <c r="C188" i="14"/>
  <c r="B188" i="14"/>
  <c r="D187" i="15"/>
  <c r="P187" i="15"/>
  <c r="F183" i="20" s="1"/>
  <c r="O188" i="15"/>
  <c r="N188" i="15"/>
  <c r="A189" i="15"/>
  <c r="J182" i="20"/>
  <c r="B184" i="20"/>
  <c r="L181" i="20"/>
  <c r="D186" i="8"/>
  <c r="H186" i="8" s="1"/>
  <c r="A188" i="8"/>
  <c r="N187" i="8"/>
  <c r="O187" i="8"/>
  <c r="P186" i="8"/>
  <c r="G182" i="20" s="1"/>
  <c r="N188" i="14"/>
  <c r="O188" i="14"/>
  <c r="A189" i="14"/>
  <c r="B204" i="37" s="1"/>
  <c r="A204" i="37" s="1"/>
  <c r="P187" i="14"/>
  <c r="E183" i="20" s="1"/>
  <c r="D187" i="14"/>
  <c r="H187" i="14" s="1"/>
  <c r="H180" i="38" l="1"/>
  <c r="M180" i="38"/>
  <c r="G180" i="38"/>
  <c r="O180" i="38" s="1"/>
  <c r="L180" i="38"/>
  <c r="P179" i="38"/>
  <c r="H182" i="20"/>
  <c r="Q180" i="38"/>
  <c r="E181" i="38"/>
  <c r="I181" i="38" s="1"/>
  <c r="C181" i="38"/>
  <c r="D181" i="38"/>
  <c r="C184" i="20"/>
  <c r="A182" i="38"/>
  <c r="B182" i="38" s="1"/>
  <c r="K182" i="38" s="1"/>
  <c r="M181" i="20"/>
  <c r="AI181" i="20"/>
  <c r="Q181" i="20" s="1"/>
  <c r="AG181" i="20"/>
  <c r="O181" i="20" s="1"/>
  <c r="AK181" i="20"/>
  <c r="S181" i="20" s="1"/>
  <c r="Y182" i="20"/>
  <c r="U182" i="20"/>
  <c r="W182" i="20"/>
  <c r="AE182" i="20"/>
  <c r="AA182" i="20"/>
  <c r="AC182" i="20"/>
  <c r="F188" i="15"/>
  <c r="A184" i="20"/>
  <c r="G188" i="15"/>
  <c r="H187" i="15"/>
  <c r="K183" i="20" s="1"/>
  <c r="C188" i="8"/>
  <c r="B188" i="8"/>
  <c r="F187" i="8"/>
  <c r="G187" i="8"/>
  <c r="B189" i="15"/>
  <c r="C189" i="15"/>
  <c r="G188" i="14"/>
  <c r="F188" i="14"/>
  <c r="C189" i="14"/>
  <c r="B189" i="14"/>
  <c r="P188" i="15"/>
  <c r="F184" i="20" s="1"/>
  <c r="D188" i="15"/>
  <c r="A190" i="15"/>
  <c r="N189" i="15"/>
  <c r="O189" i="15"/>
  <c r="J183" i="20"/>
  <c r="L182" i="20"/>
  <c r="B185" i="20"/>
  <c r="O188" i="8"/>
  <c r="A189" i="8"/>
  <c r="N188" i="8"/>
  <c r="D187" i="8"/>
  <c r="H187" i="8" s="1"/>
  <c r="P187" i="8"/>
  <c r="G183" i="20" s="1"/>
  <c r="P188" i="14"/>
  <c r="E184" i="20" s="1"/>
  <c r="D188" i="14"/>
  <c r="H188" i="14" s="1"/>
  <c r="A190" i="14"/>
  <c r="B205" i="37" s="1"/>
  <c r="A205" i="37" s="1"/>
  <c r="N189" i="14"/>
  <c r="O189" i="14"/>
  <c r="G181" i="38" l="1"/>
  <c r="O181" i="38" s="1"/>
  <c r="L181" i="38"/>
  <c r="H181" i="38"/>
  <c r="P181" i="38" s="1"/>
  <c r="M181" i="38"/>
  <c r="P180" i="38"/>
  <c r="H183" i="20"/>
  <c r="Q181" i="38"/>
  <c r="D182" i="38"/>
  <c r="C182" i="38"/>
  <c r="E182" i="38"/>
  <c r="I182" i="38" s="1"/>
  <c r="C185" i="20"/>
  <c r="A183" i="38"/>
  <c r="B183" i="38" s="1"/>
  <c r="K183" i="38" s="1"/>
  <c r="W183" i="20"/>
  <c r="U183" i="20"/>
  <c r="Y183" i="20"/>
  <c r="AA183" i="20"/>
  <c r="AC183" i="20"/>
  <c r="AE183" i="20"/>
  <c r="M182" i="20"/>
  <c r="AG182" i="20"/>
  <c r="O182" i="20" s="1"/>
  <c r="AK182" i="20"/>
  <c r="S182" i="20" s="1"/>
  <c r="AI182" i="20"/>
  <c r="Q182" i="20" s="1"/>
  <c r="A185" i="20"/>
  <c r="G189" i="15"/>
  <c r="F189" i="15"/>
  <c r="F188" i="8"/>
  <c r="C189" i="8"/>
  <c r="B189" i="8"/>
  <c r="G188" i="8"/>
  <c r="B190" i="15"/>
  <c r="C190" i="15"/>
  <c r="H188" i="15"/>
  <c r="K184" i="20" s="1"/>
  <c r="G189" i="14"/>
  <c r="F189" i="14"/>
  <c r="C190" i="14"/>
  <c r="B190" i="14"/>
  <c r="P189" i="15"/>
  <c r="F185" i="20" s="1"/>
  <c r="D189" i="15"/>
  <c r="N190" i="15"/>
  <c r="O190" i="15"/>
  <c r="A191" i="15"/>
  <c r="L183" i="20"/>
  <c r="J184" i="20"/>
  <c r="B186" i="20"/>
  <c r="D188" i="8"/>
  <c r="H188" i="8" s="1"/>
  <c r="P188" i="8"/>
  <c r="G184" i="20" s="1"/>
  <c r="O189" i="8"/>
  <c r="A190" i="8"/>
  <c r="N189" i="8"/>
  <c r="P189" i="14"/>
  <c r="E185" i="20" s="1"/>
  <c r="D189" i="14"/>
  <c r="H189" i="14" s="1"/>
  <c r="N190" i="14"/>
  <c r="A191" i="14"/>
  <c r="B206" i="37" s="1"/>
  <c r="A206" i="37" s="1"/>
  <c r="O190" i="14"/>
  <c r="H182" i="38" l="1"/>
  <c r="M182" i="38"/>
  <c r="G182" i="38"/>
  <c r="O182" i="38" s="1"/>
  <c r="L182" i="38"/>
  <c r="H184" i="20"/>
  <c r="Q182" i="38"/>
  <c r="E183" i="38"/>
  <c r="I183" i="38" s="1"/>
  <c r="D183" i="38"/>
  <c r="C183" i="38"/>
  <c r="C186" i="20"/>
  <c r="A184" i="38"/>
  <c r="B184" i="38" s="1"/>
  <c r="K184" i="38" s="1"/>
  <c r="AC184" i="20"/>
  <c r="AA184" i="20"/>
  <c r="AE184" i="20"/>
  <c r="Y184" i="20"/>
  <c r="U184" i="20"/>
  <c r="W184" i="20"/>
  <c r="M183" i="20"/>
  <c r="AK183" i="20"/>
  <c r="S183" i="20" s="1"/>
  <c r="AI183" i="20"/>
  <c r="Q183" i="20" s="1"/>
  <c r="AG183" i="20"/>
  <c r="O183" i="20" s="1"/>
  <c r="F190" i="15"/>
  <c r="A186" i="20"/>
  <c r="G190" i="15"/>
  <c r="F189" i="8"/>
  <c r="C190" i="8"/>
  <c r="B190" i="8"/>
  <c r="G189" i="8"/>
  <c r="C191" i="15"/>
  <c r="B191" i="15"/>
  <c r="H189" i="15"/>
  <c r="K185" i="20" s="1"/>
  <c r="G190" i="14"/>
  <c r="F190" i="14"/>
  <c r="B191" i="14"/>
  <c r="C191" i="14"/>
  <c r="O191" i="15"/>
  <c r="N191" i="15"/>
  <c r="A192" i="15"/>
  <c r="D190" i="15"/>
  <c r="P190" i="15"/>
  <c r="F186" i="20" s="1"/>
  <c r="J185" i="20"/>
  <c r="B187" i="20"/>
  <c r="L184" i="20"/>
  <c r="P189" i="8"/>
  <c r="G185" i="20" s="1"/>
  <c r="A191" i="8"/>
  <c r="N190" i="8"/>
  <c r="O190" i="8"/>
  <c r="D189" i="8"/>
  <c r="H189" i="8" s="1"/>
  <c r="N191" i="14"/>
  <c r="O191" i="14"/>
  <c r="A192" i="14"/>
  <c r="B207" i="37" s="1"/>
  <c r="A207" i="37" s="1"/>
  <c r="D190" i="14"/>
  <c r="H190" i="14" s="1"/>
  <c r="P190" i="14"/>
  <c r="E186" i="20" s="1"/>
  <c r="H183" i="38" l="1"/>
  <c r="M183" i="38"/>
  <c r="G183" i="38"/>
  <c r="O183" i="38" s="1"/>
  <c r="L183" i="38"/>
  <c r="P182" i="38"/>
  <c r="H185" i="20"/>
  <c r="Q183" i="38"/>
  <c r="C184" i="38"/>
  <c r="E184" i="38"/>
  <c r="I184" i="38" s="1"/>
  <c r="D184" i="38"/>
  <c r="C187" i="20"/>
  <c r="A185" i="38"/>
  <c r="B185" i="38" s="1"/>
  <c r="K185" i="38" s="1"/>
  <c r="W185" i="20"/>
  <c r="Y185" i="20"/>
  <c r="U185" i="20"/>
  <c r="AE185" i="20"/>
  <c r="AA185" i="20"/>
  <c r="AC185" i="20"/>
  <c r="M184" i="20"/>
  <c r="AG184" i="20"/>
  <c r="O184" i="20" s="1"/>
  <c r="AK184" i="20"/>
  <c r="S184" i="20" s="1"/>
  <c r="AI184" i="20"/>
  <c r="Q184" i="20" s="1"/>
  <c r="A187" i="20"/>
  <c r="G191" i="15"/>
  <c r="F191" i="15"/>
  <c r="G190" i="8"/>
  <c r="C192" i="15"/>
  <c r="B192" i="15"/>
  <c r="C191" i="8"/>
  <c r="B191" i="8"/>
  <c r="F190" i="8"/>
  <c r="H190" i="15"/>
  <c r="K186" i="20" s="1"/>
  <c r="G191" i="14"/>
  <c r="F191" i="14"/>
  <c r="C192" i="14"/>
  <c r="B192" i="14"/>
  <c r="P191" i="15"/>
  <c r="F187" i="20" s="1"/>
  <c r="N192" i="15"/>
  <c r="O192" i="15"/>
  <c r="A193" i="15"/>
  <c r="D191" i="15"/>
  <c r="L185" i="20"/>
  <c r="J186" i="20"/>
  <c r="B188" i="20"/>
  <c r="P190" i="8"/>
  <c r="G186" i="20" s="1"/>
  <c r="A192" i="8"/>
  <c r="N191" i="8"/>
  <c r="O191" i="8"/>
  <c r="D190" i="8"/>
  <c r="H190" i="8" s="1"/>
  <c r="N192" i="14"/>
  <c r="A193" i="14"/>
  <c r="B208" i="37" s="1"/>
  <c r="A208" i="37" s="1"/>
  <c r="O192" i="14"/>
  <c r="D191" i="14"/>
  <c r="H191" i="14" s="1"/>
  <c r="P191" i="14"/>
  <c r="E187" i="20" s="1"/>
  <c r="H184" i="38" l="1"/>
  <c r="M184" i="38"/>
  <c r="G184" i="38"/>
  <c r="O184" i="38" s="1"/>
  <c r="L184" i="38"/>
  <c r="P183" i="38"/>
  <c r="H186" i="20"/>
  <c r="Q184" i="38"/>
  <c r="C185" i="38"/>
  <c r="E185" i="38"/>
  <c r="I185" i="38" s="1"/>
  <c r="D185" i="38"/>
  <c r="C188" i="20"/>
  <c r="A186" i="38"/>
  <c r="B186" i="38" s="1"/>
  <c r="K186" i="38" s="1"/>
  <c r="M185" i="20"/>
  <c r="AK185" i="20"/>
  <c r="S185" i="20" s="1"/>
  <c r="AI185" i="20"/>
  <c r="Q185" i="20" s="1"/>
  <c r="AG185" i="20"/>
  <c r="O185" i="20" s="1"/>
  <c r="AE186" i="20"/>
  <c r="AC186" i="20"/>
  <c r="AA186" i="20"/>
  <c r="Y186" i="20"/>
  <c r="U186" i="20"/>
  <c r="W186" i="20"/>
  <c r="A188" i="20"/>
  <c r="F192" i="15"/>
  <c r="G192" i="15"/>
  <c r="F191" i="8"/>
  <c r="C193" i="15"/>
  <c r="B193" i="15"/>
  <c r="G191" i="8"/>
  <c r="H191" i="15"/>
  <c r="K187" i="20" s="1"/>
  <c r="C192" i="8"/>
  <c r="B192" i="8"/>
  <c r="G192" i="14"/>
  <c r="F192" i="14"/>
  <c r="C193" i="14"/>
  <c r="B193" i="14"/>
  <c r="O193" i="15"/>
  <c r="N193" i="15"/>
  <c r="A194" i="15"/>
  <c r="D192" i="15"/>
  <c r="P192" i="15"/>
  <c r="F188" i="20" s="1"/>
  <c r="J187" i="20"/>
  <c r="B189" i="20"/>
  <c r="L186" i="20"/>
  <c r="P191" i="8"/>
  <c r="G187" i="20" s="1"/>
  <c r="D191" i="8"/>
  <c r="H191" i="8" s="1"/>
  <c r="A193" i="8"/>
  <c r="N192" i="8"/>
  <c r="O192" i="8"/>
  <c r="D192" i="14"/>
  <c r="H192" i="14" s="1"/>
  <c r="N193" i="14"/>
  <c r="A194" i="14"/>
  <c r="B209" i="37" s="1"/>
  <c r="A209" i="37" s="1"/>
  <c r="O193" i="14"/>
  <c r="P192" i="14"/>
  <c r="E188" i="20" s="1"/>
  <c r="H185" i="38" l="1"/>
  <c r="M185" i="38"/>
  <c r="G185" i="38"/>
  <c r="O185" i="38" s="1"/>
  <c r="L185" i="38"/>
  <c r="P184" i="38"/>
  <c r="H187" i="20"/>
  <c r="Q185" i="38"/>
  <c r="C186" i="38"/>
  <c r="E186" i="38"/>
  <c r="I186" i="38" s="1"/>
  <c r="D186" i="38"/>
  <c r="C189" i="20"/>
  <c r="A187" i="38"/>
  <c r="B187" i="38" s="1"/>
  <c r="K187" i="38" s="1"/>
  <c r="AE187" i="20"/>
  <c r="AA187" i="20"/>
  <c r="AC187" i="20"/>
  <c r="M186" i="20"/>
  <c r="AK186" i="20"/>
  <c r="S186" i="20" s="1"/>
  <c r="AG186" i="20"/>
  <c r="O186" i="20" s="1"/>
  <c r="AI186" i="20"/>
  <c r="Q186" i="20" s="1"/>
  <c r="U187" i="20"/>
  <c r="W187" i="20"/>
  <c r="Y187" i="20"/>
  <c r="A189" i="20"/>
  <c r="F193" i="15"/>
  <c r="G192" i="8"/>
  <c r="F192" i="8"/>
  <c r="B193" i="8"/>
  <c r="C193" i="8"/>
  <c r="G193" i="15"/>
  <c r="C194" i="15"/>
  <c r="B194" i="15"/>
  <c r="H192" i="15"/>
  <c r="K188" i="20" s="1"/>
  <c r="G193" i="14"/>
  <c r="F193" i="14"/>
  <c r="C194" i="14"/>
  <c r="B194" i="14"/>
  <c r="P193" i="15"/>
  <c r="F189" i="20" s="1"/>
  <c r="N194" i="15"/>
  <c r="A195" i="15"/>
  <c r="O194" i="15"/>
  <c r="D193" i="15"/>
  <c r="L187" i="20"/>
  <c r="B190" i="20"/>
  <c r="J188" i="20"/>
  <c r="P192" i="8"/>
  <c r="G188" i="20" s="1"/>
  <c r="N193" i="8"/>
  <c r="O193" i="8"/>
  <c r="A194" i="8"/>
  <c r="D192" i="8"/>
  <c r="H192" i="8" s="1"/>
  <c r="O194" i="14"/>
  <c r="A195" i="14"/>
  <c r="B210" i="37" s="1"/>
  <c r="A210" i="37" s="1"/>
  <c r="N194" i="14"/>
  <c r="P193" i="14"/>
  <c r="E189" i="20" s="1"/>
  <c r="D193" i="14"/>
  <c r="H193" i="14" s="1"/>
  <c r="H186" i="38" l="1"/>
  <c r="M186" i="38"/>
  <c r="G186" i="38"/>
  <c r="O186" i="38" s="1"/>
  <c r="L186" i="38"/>
  <c r="P185" i="38"/>
  <c r="H188" i="20"/>
  <c r="Q186" i="38"/>
  <c r="E187" i="38"/>
  <c r="I187" i="38" s="1"/>
  <c r="D187" i="38"/>
  <c r="C187" i="38"/>
  <c r="C190" i="20"/>
  <c r="A188" i="38"/>
  <c r="B188" i="38" s="1"/>
  <c r="K188" i="38" s="1"/>
  <c r="U188" i="20"/>
  <c r="Y188" i="20"/>
  <c r="W188" i="20"/>
  <c r="M187" i="20"/>
  <c r="AI187" i="20"/>
  <c r="Q187" i="20" s="1"/>
  <c r="AK187" i="20"/>
  <c r="S187" i="20" s="1"/>
  <c r="AG187" i="20"/>
  <c r="O187" i="20" s="1"/>
  <c r="AA188" i="20"/>
  <c r="AE188" i="20"/>
  <c r="AC188" i="20"/>
  <c r="A190" i="20"/>
  <c r="G194" i="15"/>
  <c r="F194" i="15"/>
  <c r="C194" i="8"/>
  <c r="B194" i="8"/>
  <c r="H193" i="15"/>
  <c r="K189" i="20" s="1"/>
  <c r="G193" i="8"/>
  <c r="F193" i="8"/>
  <c r="B195" i="15"/>
  <c r="C195" i="15"/>
  <c r="G194" i="14"/>
  <c r="F194" i="14"/>
  <c r="C195" i="14"/>
  <c r="B195" i="14"/>
  <c r="N195" i="15"/>
  <c r="A196" i="15"/>
  <c r="O195" i="15"/>
  <c r="D194" i="15"/>
  <c r="P194" i="15"/>
  <c r="F190" i="20" s="1"/>
  <c r="L188" i="20"/>
  <c r="J189" i="20"/>
  <c r="B191" i="20"/>
  <c r="P194" i="14"/>
  <c r="E190" i="20" s="1"/>
  <c r="D193" i="8"/>
  <c r="H193" i="8" s="1"/>
  <c r="P193" i="8"/>
  <c r="G189" i="20" s="1"/>
  <c r="A195" i="8"/>
  <c r="O194" i="8"/>
  <c r="N194" i="8"/>
  <c r="N195" i="14"/>
  <c r="A196" i="14"/>
  <c r="B211" i="37" s="1"/>
  <c r="A211" i="37" s="1"/>
  <c r="O195" i="14"/>
  <c r="D194" i="14"/>
  <c r="H194" i="14" s="1"/>
  <c r="G187" i="38" l="1"/>
  <c r="O187" i="38" s="1"/>
  <c r="L187" i="38"/>
  <c r="H187" i="38"/>
  <c r="M187" i="38"/>
  <c r="P186" i="38"/>
  <c r="H189" i="20"/>
  <c r="Q187" i="38"/>
  <c r="E188" i="38"/>
  <c r="I188" i="38" s="1"/>
  <c r="C188" i="38"/>
  <c r="D188" i="38"/>
  <c r="C191" i="20"/>
  <c r="A189" i="38"/>
  <c r="B189" i="38" s="1"/>
  <c r="K189" i="38" s="1"/>
  <c r="M188" i="20"/>
  <c r="AI188" i="20"/>
  <c r="Q188" i="20" s="1"/>
  <c r="AK188" i="20"/>
  <c r="S188" i="20" s="1"/>
  <c r="AG188" i="20"/>
  <c r="O188" i="20" s="1"/>
  <c r="U189" i="20"/>
  <c r="Y189" i="20"/>
  <c r="W189" i="20"/>
  <c r="AE189" i="20"/>
  <c r="AC189" i="20"/>
  <c r="AA189" i="20"/>
  <c r="A191" i="20"/>
  <c r="G195" i="15"/>
  <c r="F195" i="15"/>
  <c r="F194" i="8"/>
  <c r="G194" i="8"/>
  <c r="C195" i="8"/>
  <c r="B195" i="8"/>
  <c r="H194" i="15"/>
  <c r="K190" i="20" s="1"/>
  <c r="C196" i="15"/>
  <c r="B196" i="15"/>
  <c r="G195" i="14"/>
  <c r="F195" i="14"/>
  <c r="C196" i="14"/>
  <c r="B196" i="14"/>
  <c r="A197" i="15"/>
  <c r="O196" i="15"/>
  <c r="N196" i="15"/>
  <c r="D195" i="15"/>
  <c r="P195" i="15"/>
  <c r="F191" i="20" s="1"/>
  <c r="L189" i="20"/>
  <c r="J190" i="20"/>
  <c r="B192" i="20"/>
  <c r="P194" i="8"/>
  <c r="G190" i="20" s="1"/>
  <c r="N195" i="8"/>
  <c r="A196" i="8"/>
  <c r="O195" i="8"/>
  <c r="D194" i="8"/>
  <c r="H194" i="8" s="1"/>
  <c r="D195" i="14"/>
  <c r="H195" i="14" s="1"/>
  <c r="P195" i="14"/>
  <c r="E191" i="20" s="1"/>
  <c r="N196" i="14"/>
  <c r="O196" i="14"/>
  <c r="A197" i="14"/>
  <c r="B212" i="37" s="1"/>
  <c r="A212" i="37" s="1"/>
  <c r="P187" i="38" l="1"/>
  <c r="H188" i="38"/>
  <c r="M188" i="38"/>
  <c r="G188" i="38"/>
  <c r="O188" i="38" s="1"/>
  <c r="L188" i="38"/>
  <c r="H190" i="20"/>
  <c r="Q188" i="38"/>
  <c r="E189" i="38"/>
  <c r="I189" i="38" s="1"/>
  <c r="C189" i="38"/>
  <c r="D189" i="38"/>
  <c r="C192" i="20"/>
  <c r="A190" i="38"/>
  <c r="B190" i="38" s="1"/>
  <c r="K190" i="38" s="1"/>
  <c r="AC190" i="20"/>
  <c r="AA190" i="20"/>
  <c r="AE190" i="20"/>
  <c r="M189" i="20"/>
  <c r="AG189" i="20"/>
  <c r="O189" i="20" s="1"/>
  <c r="AI189" i="20"/>
  <c r="Q189" i="20" s="1"/>
  <c r="AK189" i="20"/>
  <c r="S189" i="20" s="1"/>
  <c r="W190" i="20"/>
  <c r="U190" i="20"/>
  <c r="Y190" i="20"/>
  <c r="A192" i="20"/>
  <c r="B197" i="15"/>
  <c r="C197" i="15"/>
  <c r="H195" i="15"/>
  <c r="K191" i="20" s="1"/>
  <c r="F196" i="15"/>
  <c r="G196" i="15"/>
  <c r="C196" i="8"/>
  <c r="B196" i="8"/>
  <c r="F195" i="8"/>
  <c r="G195" i="8"/>
  <c r="G196" i="14"/>
  <c r="F196" i="14"/>
  <c r="C197" i="14"/>
  <c r="B197" i="14"/>
  <c r="P196" i="15"/>
  <c r="F192" i="20" s="1"/>
  <c r="D196" i="15"/>
  <c r="N197" i="15"/>
  <c r="O197" i="15"/>
  <c r="A198" i="15"/>
  <c r="J191" i="20"/>
  <c r="B193" i="20"/>
  <c r="L190" i="20"/>
  <c r="O196" i="8"/>
  <c r="A197" i="8"/>
  <c r="N196" i="8"/>
  <c r="D195" i="8"/>
  <c r="H195" i="8" s="1"/>
  <c r="P195" i="8"/>
  <c r="G191" i="20" s="1"/>
  <c r="A198" i="14"/>
  <c r="B213" i="37" s="1"/>
  <c r="A213" i="37" s="1"/>
  <c r="O197" i="14"/>
  <c r="N197" i="14"/>
  <c r="P196" i="14"/>
  <c r="E192" i="20" s="1"/>
  <c r="D196" i="14"/>
  <c r="H196" i="14" s="1"/>
  <c r="H189" i="38" l="1"/>
  <c r="M189" i="38"/>
  <c r="G189" i="38"/>
  <c r="O189" i="38" s="1"/>
  <c r="L189" i="38"/>
  <c r="P188" i="38"/>
  <c r="H191" i="20"/>
  <c r="Q189" i="38"/>
  <c r="E190" i="38"/>
  <c r="I190" i="38" s="1"/>
  <c r="C190" i="38"/>
  <c r="D190" i="38"/>
  <c r="C193" i="20"/>
  <c r="A191" i="38"/>
  <c r="B191" i="38" s="1"/>
  <c r="K191" i="38" s="1"/>
  <c r="M190" i="20"/>
  <c r="AG190" i="20"/>
  <c r="O190" i="20" s="1"/>
  <c r="AK190" i="20"/>
  <c r="S190" i="20" s="1"/>
  <c r="AI190" i="20"/>
  <c r="Q190" i="20" s="1"/>
  <c r="U191" i="20"/>
  <c r="W191" i="20"/>
  <c r="Y191" i="20"/>
  <c r="AA191" i="20"/>
  <c r="AC191" i="20"/>
  <c r="AE191" i="20"/>
  <c r="A193" i="20"/>
  <c r="G196" i="8"/>
  <c r="F196" i="8"/>
  <c r="B198" i="15"/>
  <c r="C198" i="15"/>
  <c r="H196" i="15"/>
  <c r="K192" i="20" s="1"/>
  <c r="G197" i="15"/>
  <c r="C197" i="8"/>
  <c r="B197" i="8"/>
  <c r="F197" i="15"/>
  <c r="G197" i="14"/>
  <c r="F197" i="14"/>
  <c r="C198" i="14"/>
  <c r="B198" i="14"/>
  <c r="O198" i="15"/>
  <c r="N198" i="15"/>
  <c r="A199" i="15"/>
  <c r="D197" i="15"/>
  <c r="P197" i="15"/>
  <c r="F193" i="20" s="1"/>
  <c r="B194" i="20"/>
  <c r="J192" i="20"/>
  <c r="L191" i="20"/>
  <c r="D196" i="8"/>
  <c r="H196" i="8" s="1"/>
  <c r="A198" i="8"/>
  <c r="O197" i="8"/>
  <c r="N197" i="8"/>
  <c r="P196" i="8"/>
  <c r="G192" i="20" s="1"/>
  <c r="P197" i="14"/>
  <c r="E193" i="20" s="1"/>
  <c r="D197" i="14"/>
  <c r="H197" i="14" s="1"/>
  <c r="N198" i="14"/>
  <c r="A199" i="14"/>
  <c r="B214" i="37" s="1"/>
  <c r="A214" i="37" s="1"/>
  <c r="O198" i="14"/>
  <c r="H190" i="38" l="1"/>
  <c r="M190" i="38"/>
  <c r="G190" i="38"/>
  <c r="O190" i="38" s="1"/>
  <c r="L190" i="38"/>
  <c r="P189" i="38"/>
  <c r="H192" i="20"/>
  <c r="Q190" i="38"/>
  <c r="D191" i="38"/>
  <c r="C191" i="38"/>
  <c r="E191" i="38"/>
  <c r="I191" i="38" s="1"/>
  <c r="C194" i="20"/>
  <c r="A192" i="38"/>
  <c r="B192" i="38" s="1"/>
  <c r="K192" i="38" s="1"/>
  <c r="M191" i="20"/>
  <c r="AG191" i="20"/>
  <c r="O191" i="20" s="1"/>
  <c r="AK191" i="20"/>
  <c r="S191" i="20" s="1"/>
  <c r="AI191" i="20"/>
  <c r="Q191" i="20" s="1"/>
  <c r="AE192" i="20"/>
  <c r="AA192" i="20"/>
  <c r="AC192" i="20"/>
  <c r="W192" i="20"/>
  <c r="Y192" i="20"/>
  <c r="U192" i="20"/>
  <c r="A194" i="20"/>
  <c r="F197" i="8"/>
  <c r="G198" i="15"/>
  <c r="F198" i="15"/>
  <c r="C198" i="8"/>
  <c r="B198" i="8"/>
  <c r="G197" i="8"/>
  <c r="H197" i="15"/>
  <c r="K193" i="20" s="1"/>
  <c r="C199" i="15"/>
  <c r="B199" i="15"/>
  <c r="G198" i="14"/>
  <c r="F198" i="14"/>
  <c r="C199" i="14"/>
  <c r="B199" i="14"/>
  <c r="P198" i="15"/>
  <c r="F194" i="20" s="1"/>
  <c r="N199" i="15"/>
  <c r="A200" i="15"/>
  <c r="O199" i="15"/>
  <c r="D198" i="15"/>
  <c r="L192" i="20"/>
  <c r="B195" i="20"/>
  <c r="J193" i="20"/>
  <c r="P197" i="8"/>
  <c r="G193" i="20" s="1"/>
  <c r="D197" i="8"/>
  <c r="H197" i="8" s="1"/>
  <c r="A199" i="8"/>
  <c r="O198" i="8"/>
  <c r="N198" i="8"/>
  <c r="N199" i="14"/>
  <c r="A200" i="14"/>
  <c r="B215" i="37" s="1"/>
  <c r="A215" i="37" s="1"/>
  <c r="O199" i="14"/>
  <c r="P198" i="14"/>
  <c r="E194" i="20" s="1"/>
  <c r="D198" i="14"/>
  <c r="H198" i="14" s="1"/>
  <c r="G191" i="38" l="1"/>
  <c r="O191" i="38" s="1"/>
  <c r="L191" i="38"/>
  <c r="H191" i="38"/>
  <c r="M191" i="38"/>
  <c r="P190" i="38"/>
  <c r="H193" i="20"/>
  <c r="Q191" i="38"/>
  <c r="E192" i="38"/>
  <c r="I192" i="38" s="1"/>
  <c r="D192" i="38"/>
  <c r="C192" i="38"/>
  <c r="C195" i="20"/>
  <c r="A193" i="38"/>
  <c r="B193" i="38" s="1"/>
  <c r="K193" i="38" s="1"/>
  <c r="AE193" i="20"/>
  <c r="AC193" i="20"/>
  <c r="AA193" i="20"/>
  <c r="M192" i="20"/>
  <c r="AI192" i="20"/>
  <c r="Q192" i="20" s="1"/>
  <c r="AG192" i="20"/>
  <c r="O192" i="20" s="1"/>
  <c r="AK192" i="20"/>
  <c r="S192" i="20" s="1"/>
  <c r="Y193" i="20"/>
  <c r="W193" i="20"/>
  <c r="U193" i="20"/>
  <c r="A195" i="20"/>
  <c r="F199" i="15"/>
  <c r="G199" i="15"/>
  <c r="B199" i="8"/>
  <c r="C199" i="8"/>
  <c r="H198" i="15"/>
  <c r="K194" i="20" s="1"/>
  <c r="F198" i="8"/>
  <c r="G198" i="8"/>
  <c r="B200" i="15"/>
  <c r="C200" i="15"/>
  <c r="G199" i="14"/>
  <c r="F199" i="14"/>
  <c r="C200" i="14"/>
  <c r="B200" i="14"/>
  <c r="N200" i="15"/>
  <c r="A201" i="15"/>
  <c r="O200" i="15"/>
  <c r="D199" i="15"/>
  <c r="P199" i="15"/>
  <c r="F195" i="20" s="1"/>
  <c r="J194" i="20"/>
  <c r="L193" i="20"/>
  <c r="B196" i="20"/>
  <c r="D198" i="8"/>
  <c r="H198" i="8" s="1"/>
  <c r="P198" i="8"/>
  <c r="G194" i="20" s="1"/>
  <c r="A200" i="8"/>
  <c r="N199" i="8"/>
  <c r="O199" i="8"/>
  <c r="N200" i="14"/>
  <c r="O200" i="14"/>
  <c r="A201" i="14"/>
  <c r="B216" i="37" s="1"/>
  <c r="A216" i="37" s="1"/>
  <c r="D199" i="14"/>
  <c r="H199" i="14" s="1"/>
  <c r="P199" i="14"/>
  <c r="E195" i="20" s="1"/>
  <c r="G192" i="38" l="1"/>
  <c r="O192" i="38" s="1"/>
  <c r="L192" i="38"/>
  <c r="H192" i="38"/>
  <c r="P192" i="38" s="1"/>
  <c r="M192" i="38"/>
  <c r="P191" i="38"/>
  <c r="H194" i="20"/>
  <c r="Q192" i="38"/>
  <c r="E193" i="38"/>
  <c r="I193" i="38" s="1"/>
  <c r="C193" i="38"/>
  <c r="D193" i="38"/>
  <c r="C196" i="20"/>
  <c r="A194" i="38"/>
  <c r="B194" i="38" s="1"/>
  <c r="K194" i="38" s="1"/>
  <c r="U194" i="20"/>
  <c r="Y194" i="20"/>
  <c r="W194" i="20"/>
  <c r="M193" i="20"/>
  <c r="AI193" i="20"/>
  <c r="Q193" i="20" s="1"/>
  <c r="AK193" i="20"/>
  <c r="S193" i="20" s="1"/>
  <c r="AG193" i="20"/>
  <c r="O193" i="20" s="1"/>
  <c r="AC194" i="20"/>
  <c r="AA194" i="20"/>
  <c r="AE194" i="20"/>
  <c r="A196" i="20"/>
  <c r="G200" i="15"/>
  <c r="F200" i="15"/>
  <c r="G199" i="8"/>
  <c r="F199" i="8"/>
  <c r="C200" i="8"/>
  <c r="B200" i="8"/>
  <c r="H199" i="15"/>
  <c r="K195" i="20" s="1"/>
  <c r="C201" i="15"/>
  <c r="B201" i="15"/>
  <c r="G200" i="14"/>
  <c r="F200" i="14"/>
  <c r="C201" i="14"/>
  <c r="B201" i="14"/>
  <c r="D200" i="15"/>
  <c r="N201" i="15"/>
  <c r="A202" i="15"/>
  <c r="O201" i="15"/>
  <c r="P200" i="15"/>
  <c r="F196" i="20" s="1"/>
  <c r="L194" i="20"/>
  <c r="J195" i="20"/>
  <c r="B197" i="20"/>
  <c r="D199" i="8"/>
  <c r="H199" i="8" s="1"/>
  <c r="A201" i="8"/>
  <c r="N200" i="8"/>
  <c r="O200" i="8"/>
  <c r="P199" i="8"/>
  <c r="G195" i="20" s="1"/>
  <c r="N201" i="14"/>
  <c r="O201" i="14"/>
  <c r="A202" i="14"/>
  <c r="B217" i="37" s="1"/>
  <c r="A217" i="37" s="1"/>
  <c r="D200" i="14"/>
  <c r="H200" i="14" s="1"/>
  <c r="P200" i="14"/>
  <c r="E196" i="20" s="1"/>
  <c r="H193" i="38" l="1"/>
  <c r="M193" i="38"/>
  <c r="G193" i="38"/>
  <c r="O193" i="38" s="1"/>
  <c r="L193" i="38"/>
  <c r="H195" i="20"/>
  <c r="Q193" i="38"/>
  <c r="D194" i="38"/>
  <c r="E194" i="38"/>
  <c r="I194" i="38" s="1"/>
  <c r="C194" i="38"/>
  <c r="C197" i="20"/>
  <c r="A195" i="38"/>
  <c r="B195" i="38" s="1"/>
  <c r="K195" i="38" s="1"/>
  <c r="M194" i="20"/>
  <c r="AK194" i="20"/>
  <c r="S194" i="20" s="1"/>
  <c r="AI194" i="20"/>
  <c r="Q194" i="20" s="1"/>
  <c r="AG194" i="20"/>
  <c r="O194" i="20" s="1"/>
  <c r="AA195" i="20"/>
  <c r="AE195" i="20"/>
  <c r="AC195" i="20"/>
  <c r="Y195" i="20"/>
  <c r="W195" i="20"/>
  <c r="U195" i="20"/>
  <c r="A197" i="20"/>
  <c r="F201" i="15"/>
  <c r="G201" i="15"/>
  <c r="F200" i="8"/>
  <c r="H200" i="15"/>
  <c r="K196" i="20" s="1"/>
  <c r="C202" i="15"/>
  <c r="B202" i="15"/>
  <c r="C201" i="8"/>
  <c r="B201" i="8"/>
  <c r="G200" i="8"/>
  <c r="G201" i="14"/>
  <c r="F201" i="14"/>
  <c r="C202" i="14"/>
  <c r="B202" i="14"/>
  <c r="A203" i="15"/>
  <c r="N202" i="15"/>
  <c r="O202" i="15"/>
  <c r="D201" i="15"/>
  <c r="P201" i="15"/>
  <c r="F197" i="20" s="1"/>
  <c r="J196" i="20"/>
  <c r="B198" i="20"/>
  <c r="L195" i="20"/>
  <c r="P200" i="8"/>
  <c r="G196" i="20" s="1"/>
  <c r="D200" i="8"/>
  <c r="H200" i="8" s="1"/>
  <c r="A202" i="8"/>
  <c r="N201" i="8"/>
  <c r="O201" i="8"/>
  <c r="A203" i="14"/>
  <c r="B218" i="37" s="1"/>
  <c r="A218" i="37" s="1"/>
  <c r="N202" i="14"/>
  <c r="O202" i="14"/>
  <c r="D201" i="14"/>
  <c r="H201" i="14" s="1"/>
  <c r="P201" i="14"/>
  <c r="E197" i="20" s="1"/>
  <c r="H194" i="38" l="1"/>
  <c r="M194" i="38"/>
  <c r="G194" i="38"/>
  <c r="O194" i="38" s="1"/>
  <c r="L194" i="38"/>
  <c r="P193" i="38"/>
  <c r="H196" i="20"/>
  <c r="Q194" i="38"/>
  <c r="C195" i="38"/>
  <c r="E195" i="38"/>
  <c r="I195" i="38" s="1"/>
  <c r="D195" i="38"/>
  <c r="C198" i="20"/>
  <c r="A196" i="38"/>
  <c r="B196" i="38" s="1"/>
  <c r="K196" i="38" s="1"/>
  <c r="M195" i="20"/>
  <c r="AK195" i="20"/>
  <c r="S195" i="20" s="1"/>
  <c r="AG195" i="20"/>
  <c r="O195" i="20" s="1"/>
  <c r="AI195" i="20"/>
  <c r="Q195" i="20" s="1"/>
  <c r="AA196" i="20"/>
  <c r="AE196" i="20"/>
  <c r="AC196" i="20"/>
  <c r="U196" i="20"/>
  <c r="W196" i="20"/>
  <c r="Y196" i="20"/>
  <c r="A198" i="20"/>
  <c r="F201" i="8"/>
  <c r="B202" i="8"/>
  <c r="C202" i="8"/>
  <c r="F202" i="15"/>
  <c r="G201" i="8"/>
  <c r="H201" i="15"/>
  <c r="K197" i="20" s="1"/>
  <c r="B203" i="15"/>
  <c r="C203" i="15"/>
  <c r="G202" i="15"/>
  <c r="G202" i="14"/>
  <c r="F202" i="14"/>
  <c r="C203" i="14"/>
  <c r="B203" i="14"/>
  <c r="P202" i="15"/>
  <c r="F198" i="20" s="1"/>
  <c r="D202" i="15"/>
  <c r="N203" i="15"/>
  <c r="A204" i="15"/>
  <c r="O203" i="15"/>
  <c r="B199" i="20"/>
  <c r="L196" i="20"/>
  <c r="J197" i="20"/>
  <c r="P201" i="8"/>
  <c r="G197" i="20" s="1"/>
  <c r="A203" i="8"/>
  <c r="N202" i="8"/>
  <c r="O202" i="8"/>
  <c r="D201" i="8"/>
  <c r="H201" i="8" s="1"/>
  <c r="P202" i="14"/>
  <c r="E198" i="20" s="1"/>
  <c r="D202" i="14"/>
  <c r="H202" i="14" s="1"/>
  <c r="O203" i="14"/>
  <c r="A204" i="14"/>
  <c r="B219" i="37" s="1"/>
  <c r="A219" i="37" s="1"/>
  <c r="N203" i="14"/>
  <c r="H195" i="38" l="1"/>
  <c r="M195" i="38"/>
  <c r="G195" i="38"/>
  <c r="O195" i="38" s="1"/>
  <c r="L195" i="38"/>
  <c r="P194" i="38"/>
  <c r="H197" i="20"/>
  <c r="Q195" i="38"/>
  <c r="C196" i="38"/>
  <c r="E196" i="38"/>
  <c r="I196" i="38" s="1"/>
  <c r="D196" i="38"/>
  <c r="C199" i="20"/>
  <c r="A197" i="38"/>
  <c r="B197" i="38" s="1"/>
  <c r="K197" i="38" s="1"/>
  <c r="W197" i="20"/>
  <c r="Y197" i="20"/>
  <c r="U197" i="20"/>
  <c r="M196" i="20"/>
  <c r="AG196" i="20"/>
  <c r="O196" i="20" s="1"/>
  <c r="AK196" i="20"/>
  <c r="S196" i="20" s="1"/>
  <c r="AI196" i="20"/>
  <c r="Q196" i="20" s="1"/>
  <c r="AC197" i="20"/>
  <c r="AE197" i="20"/>
  <c r="AA197" i="20"/>
  <c r="A199" i="20"/>
  <c r="F203" i="15"/>
  <c r="G203" i="15"/>
  <c r="C204" i="15"/>
  <c r="B204" i="15"/>
  <c r="H202" i="15"/>
  <c r="K198" i="20" s="1"/>
  <c r="G202" i="8"/>
  <c r="F202" i="8"/>
  <c r="B203" i="8"/>
  <c r="C203" i="8"/>
  <c r="G203" i="14"/>
  <c r="F203" i="14"/>
  <c r="C204" i="14"/>
  <c r="B204" i="14"/>
  <c r="N204" i="15"/>
  <c r="A205" i="15"/>
  <c r="O204" i="15"/>
  <c r="D203" i="15"/>
  <c r="P203" i="15"/>
  <c r="F199" i="20" s="1"/>
  <c r="J198" i="20"/>
  <c r="B200" i="20"/>
  <c r="L197" i="20"/>
  <c r="P203" i="14"/>
  <c r="E199" i="20" s="1"/>
  <c r="D202" i="8"/>
  <c r="H202" i="8" s="1"/>
  <c r="O203" i="8"/>
  <c r="N203" i="8"/>
  <c r="A204" i="8"/>
  <c r="P202" i="8"/>
  <c r="G198" i="20" s="1"/>
  <c r="D203" i="14"/>
  <c r="H203" i="14" s="1"/>
  <c r="N204" i="14"/>
  <c r="O204" i="14"/>
  <c r="A205" i="14"/>
  <c r="B220" i="37" s="1"/>
  <c r="A220" i="37" s="1"/>
  <c r="H196" i="38" l="1"/>
  <c r="M196" i="38"/>
  <c r="G196" i="38"/>
  <c r="O196" i="38" s="1"/>
  <c r="L196" i="38"/>
  <c r="P195" i="38"/>
  <c r="H198" i="20"/>
  <c r="Q196" i="38"/>
  <c r="E197" i="38"/>
  <c r="I197" i="38" s="1"/>
  <c r="D197" i="38"/>
  <c r="C197" i="38"/>
  <c r="C200" i="20"/>
  <c r="A198" i="38"/>
  <c r="B198" i="38" s="1"/>
  <c r="K198" i="38" s="1"/>
  <c r="AC198" i="20"/>
  <c r="AE198" i="20"/>
  <c r="AA198" i="20"/>
  <c r="U198" i="20"/>
  <c r="W198" i="20"/>
  <c r="Y198" i="20"/>
  <c r="M197" i="20"/>
  <c r="AI197" i="20"/>
  <c r="Q197" i="20" s="1"/>
  <c r="AK197" i="20"/>
  <c r="S197" i="20" s="1"/>
  <c r="AG197" i="20"/>
  <c r="O197" i="20" s="1"/>
  <c r="A200" i="20"/>
  <c r="G203" i="8"/>
  <c r="G204" i="15"/>
  <c r="F204" i="15"/>
  <c r="F203" i="8"/>
  <c r="C204" i="8"/>
  <c r="B204" i="8"/>
  <c r="H203" i="15"/>
  <c r="K199" i="20" s="1"/>
  <c r="B205" i="15"/>
  <c r="C205" i="15"/>
  <c r="G204" i="14"/>
  <c r="F204" i="14"/>
  <c r="C205" i="14"/>
  <c r="B205" i="14"/>
  <c r="N205" i="15"/>
  <c r="A206" i="15"/>
  <c r="O205" i="15"/>
  <c r="D204" i="15"/>
  <c r="P204" i="15"/>
  <c r="F200" i="20" s="1"/>
  <c r="L198" i="20"/>
  <c r="B201" i="20"/>
  <c r="J199" i="20"/>
  <c r="P203" i="8"/>
  <c r="G199" i="20" s="1"/>
  <c r="D203" i="8"/>
  <c r="H203" i="8" s="1"/>
  <c r="O204" i="8"/>
  <c r="A205" i="8"/>
  <c r="N204" i="8"/>
  <c r="P204" i="14"/>
  <c r="E200" i="20" s="1"/>
  <c r="D204" i="14"/>
  <c r="H204" i="14" s="1"/>
  <c r="A206" i="14"/>
  <c r="B221" i="37" s="1"/>
  <c r="A221" i="37" s="1"/>
  <c r="N205" i="14"/>
  <c r="O205" i="14"/>
  <c r="H197" i="38" l="1"/>
  <c r="M197" i="38"/>
  <c r="G197" i="38"/>
  <c r="O197" i="38" s="1"/>
  <c r="L197" i="38"/>
  <c r="P196" i="38"/>
  <c r="H199" i="20"/>
  <c r="Q197" i="38"/>
  <c r="E198" i="38"/>
  <c r="I198" i="38" s="1"/>
  <c r="D198" i="38"/>
  <c r="C198" i="38"/>
  <c r="C201" i="20"/>
  <c r="A199" i="38"/>
  <c r="B199" i="38" s="1"/>
  <c r="K199" i="38" s="1"/>
  <c r="U199" i="20"/>
  <c r="Y199" i="20"/>
  <c r="W199" i="20"/>
  <c r="AA199" i="20"/>
  <c r="AE199" i="20"/>
  <c r="AC199" i="20"/>
  <c r="M198" i="20"/>
  <c r="AK198" i="20"/>
  <c r="S198" i="20" s="1"/>
  <c r="AI198" i="20"/>
  <c r="Q198" i="20" s="1"/>
  <c r="AG198" i="20"/>
  <c r="O198" i="20" s="1"/>
  <c r="A201" i="20"/>
  <c r="F205" i="15"/>
  <c r="G205" i="15"/>
  <c r="G204" i="8"/>
  <c r="F204" i="8"/>
  <c r="C205" i="8"/>
  <c r="B205" i="8"/>
  <c r="H204" i="15"/>
  <c r="K200" i="20" s="1"/>
  <c r="B206" i="15"/>
  <c r="C206" i="15"/>
  <c r="G205" i="14"/>
  <c r="F205" i="14"/>
  <c r="C206" i="14"/>
  <c r="B206" i="14"/>
  <c r="A207" i="15"/>
  <c r="O206" i="15"/>
  <c r="N206" i="15"/>
  <c r="D205" i="15"/>
  <c r="P205" i="15"/>
  <c r="F201" i="20" s="1"/>
  <c r="L199" i="20"/>
  <c r="J200" i="20"/>
  <c r="B202" i="20"/>
  <c r="P204" i="8"/>
  <c r="G200" i="20" s="1"/>
  <c r="N205" i="8"/>
  <c r="A206" i="8"/>
  <c r="O205" i="8"/>
  <c r="D204" i="8"/>
  <c r="H204" i="8" s="1"/>
  <c r="P205" i="14"/>
  <c r="E201" i="20" s="1"/>
  <c r="D205" i="14"/>
  <c r="H205" i="14" s="1"/>
  <c r="O206" i="14"/>
  <c r="N206" i="14"/>
  <c r="A207" i="14"/>
  <c r="B222" i="37" s="1"/>
  <c r="A222" i="37" s="1"/>
  <c r="H198" i="38" l="1"/>
  <c r="M198" i="38"/>
  <c r="G198" i="38"/>
  <c r="O198" i="38" s="1"/>
  <c r="L198" i="38"/>
  <c r="P197" i="38"/>
  <c r="H200" i="20"/>
  <c r="Q198" i="38"/>
  <c r="C199" i="38"/>
  <c r="E199" i="38"/>
  <c r="I199" i="38" s="1"/>
  <c r="D199" i="38"/>
  <c r="C202" i="20"/>
  <c r="A200" i="38"/>
  <c r="B200" i="38" s="1"/>
  <c r="K200" i="38" s="1"/>
  <c r="AC200" i="20"/>
  <c r="AA200" i="20"/>
  <c r="AE200" i="20"/>
  <c r="M199" i="20"/>
  <c r="AI199" i="20"/>
  <c r="Q199" i="20" s="1"/>
  <c r="AG199" i="20"/>
  <c r="O199" i="20" s="1"/>
  <c r="AK199" i="20"/>
  <c r="S199" i="20" s="1"/>
  <c r="W200" i="20"/>
  <c r="U200" i="20"/>
  <c r="Y200" i="20"/>
  <c r="A202" i="20"/>
  <c r="G206" i="15"/>
  <c r="F206" i="15"/>
  <c r="C206" i="8"/>
  <c r="B206" i="8"/>
  <c r="G205" i="8"/>
  <c r="H205" i="15"/>
  <c r="K201" i="20" s="1"/>
  <c r="F205" i="8"/>
  <c r="C207" i="15"/>
  <c r="B207" i="15"/>
  <c r="G206" i="14"/>
  <c r="F206" i="14"/>
  <c r="B207" i="14"/>
  <c r="C207" i="14"/>
  <c r="D206" i="15"/>
  <c r="P206" i="15"/>
  <c r="F202" i="20" s="1"/>
  <c r="A208" i="15"/>
  <c r="N207" i="15"/>
  <c r="O207" i="15"/>
  <c r="P206" i="14"/>
  <c r="E202" i="20" s="1"/>
  <c r="J201" i="20"/>
  <c r="B203" i="20"/>
  <c r="L200" i="20"/>
  <c r="D205" i="8"/>
  <c r="H205" i="8" s="1"/>
  <c r="A207" i="8"/>
  <c r="N206" i="8"/>
  <c r="O206" i="8"/>
  <c r="P205" i="8"/>
  <c r="G201" i="20" s="1"/>
  <c r="D206" i="14"/>
  <c r="H206" i="14" s="1"/>
  <c r="O207" i="14"/>
  <c r="A208" i="14"/>
  <c r="B223" i="37" s="1"/>
  <c r="A223" i="37" s="1"/>
  <c r="N207" i="14"/>
  <c r="H199" i="38" l="1"/>
  <c r="M199" i="38"/>
  <c r="G199" i="38"/>
  <c r="O199" i="38" s="1"/>
  <c r="L199" i="38"/>
  <c r="P198" i="38"/>
  <c r="H201" i="20"/>
  <c r="Q199" i="38"/>
  <c r="C200" i="38"/>
  <c r="E200" i="38"/>
  <c r="I200" i="38" s="1"/>
  <c r="D200" i="38"/>
  <c r="C203" i="20"/>
  <c r="A201" i="38"/>
  <c r="B201" i="38" s="1"/>
  <c r="K201" i="38" s="1"/>
  <c r="M200" i="20"/>
  <c r="AG200" i="20"/>
  <c r="O200" i="20" s="1"/>
  <c r="AK200" i="20"/>
  <c r="S200" i="20" s="1"/>
  <c r="AI200" i="20"/>
  <c r="Q200" i="20" s="1"/>
  <c r="AE201" i="20"/>
  <c r="AC201" i="20"/>
  <c r="AA201" i="20"/>
  <c r="W201" i="20"/>
  <c r="U201" i="20"/>
  <c r="Y201" i="20"/>
  <c r="A203" i="20"/>
  <c r="F207" i="15"/>
  <c r="G207" i="15"/>
  <c r="H206" i="15"/>
  <c r="K202" i="20" s="1"/>
  <c r="B207" i="8"/>
  <c r="C207" i="8"/>
  <c r="F206" i="8"/>
  <c r="G206" i="8"/>
  <c r="C208" i="15"/>
  <c r="B208" i="15"/>
  <c r="G207" i="14"/>
  <c r="F207" i="14"/>
  <c r="C208" i="14"/>
  <c r="B208" i="14"/>
  <c r="P207" i="15"/>
  <c r="F203" i="20" s="1"/>
  <c r="D207" i="15"/>
  <c r="A209" i="15"/>
  <c r="O208" i="15"/>
  <c r="N208" i="15"/>
  <c r="J202" i="20"/>
  <c r="L201" i="20"/>
  <c r="B204" i="20"/>
  <c r="P206" i="8"/>
  <c r="G202" i="20" s="1"/>
  <c r="A208" i="8"/>
  <c r="N207" i="8"/>
  <c r="O207" i="8"/>
  <c r="D206" i="8"/>
  <c r="H206" i="8" s="1"/>
  <c r="P207" i="14"/>
  <c r="E203" i="20" s="1"/>
  <c r="D207" i="14"/>
  <c r="H207" i="14" s="1"/>
  <c r="O208" i="14"/>
  <c r="N208" i="14"/>
  <c r="A209" i="14"/>
  <c r="B224" i="37" s="1"/>
  <c r="A224" i="37" s="1"/>
  <c r="H200" i="38" l="1"/>
  <c r="M200" i="38"/>
  <c r="G200" i="38"/>
  <c r="O200" i="38" s="1"/>
  <c r="L200" i="38"/>
  <c r="P199" i="38"/>
  <c r="H202" i="20"/>
  <c r="Q200" i="38"/>
  <c r="E201" i="38"/>
  <c r="I201" i="38" s="1"/>
  <c r="D201" i="38"/>
  <c r="C201" i="38"/>
  <c r="C204" i="20"/>
  <c r="A202" i="38"/>
  <c r="B202" i="38" s="1"/>
  <c r="K202" i="38" s="1"/>
  <c r="Y202" i="20"/>
  <c r="U202" i="20"/>
  <c r="W202" i="20"/>
  <c r="AE202" i="20"/>
  <c r="AC202" i="20"/>
  <c r="AA202" i="20"/>
  <c r="M201" i="20"/>
  <c r="AK201" i="20"/>
  <c r="S201" i="20" s="1"/>
  <c r="AG201" i="20"/>
  <c r="O201" i="20" s="1"/>
  <c r="AI201" i="20"/>
  <c r="Q201" i="20" s="1"/>
  <c r="A204" i="20"/>
  <c r="F208" i="15"/>
  <c r="G208" i="15"/>
  <c r="B208" i="8"/>
  <c r="C208" i="8"/>
  <c r="G207" i="8"/>
  <c r="F207" i="8"/>
  <c r="B209" i="15"/>
  <c r="C209" i="15"/>
  <c r="H207" i="15"/>
  <c r="K203" i="20" s="1"/>
  <c r="G208" i="14"/>
  <c r="F208" i="14"/>
  <c r="C209" i="14"/>
  <c r="B209" i="14"/>
  <c r="P208" i="15"/>
  <c r="F204" i="20" s="1"/>
  <c r="D208" i="15"/>
  <c r="O209" i="15"/>
  <c r="N209" i="15"/>
  <c r="A210" i="15"/>
  <c r="B205" i="20"/>
  <c r="L202" i="20"/>
  <c r="J203" i="20"/>
  <c r="P208" i="14"/>
  <c r="E204" i="20" s="1"/>
  <c r="P207" i="8"/>
  <c r="G203" i="20" s="1"/>
  <c r="A209" i="8"/>
  <c r="O208" i="8"/>
  <c r="N208" i="8"/>
  <c r="D207" i="8"/>
  <c r="H207" i="8" s="1"/>
  <c r="D208" i="14"/>
  <c r="H208" i="14" s="1"/>
  <c r="N209" i="14"/>
  <c r="A210" i="14"/>
  <c r="B225" i="37" s="1"/>
  <c r="A225" i="37" s="1"/>
  <c r="O209" i="14"/>
  <c r="G201" i="38" l="1"/>
  <c r="O201" i="38" s="1"/>
  <c r="L201" i="38"/>
  <c r="H201" i="38"/>
  <c r="M201" i="38"/>
  <c r="P200" i="38"/>
  <c r="H203" i="20"/>
  <c r="Q201" i="38"/>
  <c r="E202" i="38"/>
  <c r="I202" i="38" s="1"/>
  <c r="D202" i="38"/>
  <c r="C202" i="38"/>
  <c r="C205" i="20"/>
  <c r="A203" i="38"/>
  <c r="B203" i="38" s="1"/>
  <c r="K203" i="38" s="1"/>
  <c r="AA203" i="20"/>
  <c r="AE203" i="20"/>
  <c r="AC203" i="20"/>
  <c r="W203" i="20"/>
  <c r="Y203" i="20"/>
  <c r="U203" i="20"/>
  <c r="M202" i="20"/>
  <c r="AK202" i="20"/>
  <c r="S202" i="20" s="1"/>
  <c r="AG202" i="20"/>
  <c r="O202" i="20" s="1"/>
  <c r="AI202" i="20"/>
  <c r="Q202" i="20" s="1"/>
  <c r="A205" i="20"/>
  <c r="F209" i="15"/>
  <c r="G209" i="15"/>
  <c r="C209" i="8"/>
  <c r="B209" i="8"/>
  <c r="C210" i="15"/>
  <c r="B210" i="15"/>
  <c r="G208" i="8"/>
  <c r="F208" i="8"/>
  <c r="H208" i="15"/>
  <c r="K204" i="20" s="1"/>
  <c r="G209" i="14"/>
  <c r="F209" i="14"/>
  <c r="C210" i="14"/>
  <c r="B210" i="14"/>
  <c r="P209" i="15"/>
  <c r="F205" i="20" s="1"/>
  <c r="N210" i="15"/>
  <c r="A211" i="15"/>
  <c r="O210" i="15"/>
  <c r="D209" i="15"/>
  <c r="J204" i="20"/>
  <c r="B206" i="20"/>
  <c r="L203" i="20"/>
  <c r="D208" i="8"/>
  <c r="H208" i="8" s="1"/>
  <c r="N209" i="8"/>
  <c r="A210" i="8"/>
  <c r="O209" i="8"/>
  <c r="P208" i="8"/>
  <c r="G204" i="20" s="1"/>
  <c r="D209" i="14"/>
  <c r="H209" i="14" s="1"/>
  <c r="A211" i="14"/>
  <c r="B226" i="37" s="1"/>
  <c r="A226" i="37" s="1"/>
  <c r="N210" i="14"/>
  <c r="O210" i="14"/>
  <c r="P209" i="14"/>
  <c r="E205" i="20" s="1"/>
  <c r="P201" i="38" l="1"/>
  <c r="H202" i="38"/>
  <c r="M202" i="38"/>
  <c r="G202" i="38"/>
  <c r="O202" i="38" s="1"/>
  <c r="L202" i="38"/>
  <c r="H204" i="20"/>
  <c r="Q202" i="38"/>
  <c r="C203" i="38"/>
  <c r="D203" i="38"/>
  <c r="E203" i="38"/>
  <c r="I203" i="38" s="1"/>
  <c r="C206" i="20"/>
  <c r="A204" i="38"/>
  <c r="B204" i="38" s="1"/>
  <c r="K204" i="38" s="1"/>
  <c r="M203" i="20"/>
  <c r="AG203" i="20"/>
  <c r="O203" i="20" s="1"/>
  <c r="AI203" i="20"/>
  <c r="Q203" i="20" s="1"/>
  <c r="AK203" i="20"/>
  <c r="S203" i="20" s="1"/>
  <c r="AC204" i="20"/>
  <c r="AA204" i="20"/>
  <c r="AE204" i="20"/>
  <c r="Y204" i="20"/>
  <c r="W204" i="20"/>
  <c r="U204" i="20"/>
  <c r="A206" i="20"/>
  <c r="F210" i="15"/>
  <c r="G210" i="15"/>
  <c r="C210" i="8"/>
  <c r="B210" i="8"/>
  <c r="H209" i="15"/>
  <c r="K205" i="20" s="1"/>
  <c r="F209" i="8"/>
  <c r="B211" i="15"/>
  <c r="C211" i="15"/>
  <c r="G209" i="8"/>
  <c r="G210" i="14"/>
  <c r="F210" i="14"/>
  <c r="C211" i="14"/>
  <c r="B211" i="14"/>
  <c r="D210" i="15"/>
  <c r="O211" i="15"/>
  <c r="N211" i="15"/>
  <c r="A212" i="15"/>
  <c r="P210" i="15"/>
  <c r="F206" i="20" s="1"/>
  <c r="J205" i="20"/>
  <c r="B207" i="20"/>
  <c r="L204" i="20"/>
  <c r="N210" i="8"/>
  <c r="A211" i="8"/>
  <c r="O210" i="8"/>
  <c r="P209" i="8"/>
  <c r="G205" i="20" s="1"/>
  <c r="D209" i="8"/>
  <c r="H209" i="8" s="1"/>
  <c r="P210" i="14"/>
  <c r="E206" i="20" s="1"/>
  <c r="D210" i="14"/>
  <c r="H210" i="14" s="1"/>
  <c r="O211" i="14"/>
  <c r="A212" i="14"/>
  <c r="B227" i="37" s="1"/>
  <c r="A227" i="37" s="1"/>
  <c r="N211" i="14"/>
  <c r="H203" i="38" l="1"/>
  <c r="M203" i="38"/>
  <c r="G203" i="38"/>
  <c r="O203" i="38" s="1"/>
  <c r="L203" i="38"/>
  <c r="P202" i="38"/>
  <c r="H205" i="20"/>
  <c r="Q203" i="38"/>
  <c r="C204" i="38"/>
  <c r="D204" i="38"/>
  <c r="E204" i="38"/>
  <c r="I204" i="38" s="1"/>
  <c r="C207" i="20"/>
  <c r="A205" i="38"/>
  <c r="B205" i="38" s="1"/>
  <c r="K205" i="38" s="1"/>
  <c r="U205" i="20"/>
  <c r="W205" i="20"/>
  <c r="Y205" i="20"/>
  <c r="AC205" i="20"/>
  <c r="AA205" i="20"/>
  <c r="AE205" i="20"/>
  <c r="M204" i="20"/>
  <c r="AK204" i="20"/>
  <c r="S204" i="20" s="1"/>
  <c r="AI204" i="20"/>
  <c r="Q204" i="20" s="1"/>
  <c r="AG204" i="20"/>
  <c r="O204" i="20" s="1"/>
  <c r="A207" i="20"/>
  <c r="G211" i="15"/>
  <c r="F211" i="15"/>
  <c r="H210" i="15"/>
  <c r="K206" i="20" s="1"/>
  <c r="B211" i="8"/>
  <c r="C211" i="8"/>
  <c r="C212" i="15"/>
  <c r="B212" i="15"/>
  <c r="F210" i="8"/>
  <c r="G210" i="8"/>
  <c r="G211" i="14"/>
  <c r="F211" i="14"/>
  <c r="C212" i="14"/>
  <c r="B212" i="14"/>
  <c r="P211" i="15"/>
  <c r="F207" i="20" s="1"/>
  <c r="O212" i="15"/>
  <c r="N212" i="15"/>
  <c r="A213" i="15"/>
  <c r="D211" i="15"/>
  <c r="J206" i="20"/>
  <c r="B208" i="20"/>
  <c r="L205" i="20"/>
  <c r="D210" i="8"/>
  <c r="H210" i="8" s="1"/>
  <c r="A212" i="8"/>
  <c r="N211" i="8"/>
  <c r="O211" i="8"/>
  <c r="P210" i="8"/>
  <c r="G206" i="20" s="1"/>
  <c r="D211" i="14"/>
  <c r="H211" i="14" s="1"/>
  <c r="A213" i="14"/>
  <c r="B228" i="37" s="1"/>
  <c r="A228" i="37" s="1"/>
  <c r="O212" i="14"/>
  <c r="N212" i="14"/>
  <c r="P211" i="14"/>
  <c r="E207" i="20" s="1"/>
  <c r="G204" i="38" l="1"/>
  <c r="O204" i="38" s="1"/>
  <c r="L204" i="38"/>
  <c r="H204" i="38"/>
  <c r="P204" i="38" s="1"/>
  <c r="M204" i="38"/>
  <c r="P203" i="38"/>
  <c r="H206" i="20"/>
  <c r="Q204" i="38"/>
  <c r="C205" i="38"/>
  <c r="E205" i="38"/>
  <c r="I205" i="38" s="1"/>
  <c r="D205" i="38"/>
  <c r="C208" i="20"/>
  <c r="A206" i="38"/>
  <c r="B206" i="38" s="1"/>
  <c r="K206" i="38" s="1"/>
  <c r="M205" i="20"/>
  <c r="AK205" i="20"/>
  <c r="S205" i="20" s="1"/>
  <c r="AI205" i="20"/>
  <c r="Q205" i="20" s="1"/>
  <c r="AG205" i="20"/>
  <c r="O205" i="20" s="1"/>
  <c r="AE206" i="20"/>
  <c r="AA206" i="20"/>
  <c r="AC206" i="20"/>
  <c r="Y206" i="20"/>
  <c r="U206" i="20"/>
  <c r="W206" i="20"/>
  <c r="A208" i="20"/>
  <c r="F212" i="15"/>
  <c r="G212" i="15"/>
  <c r="G211" i="8"/>
  <c r="F211" i="8"/>
  <c r="B213" i="15"/>
  <c r="C213" i="15"/>
  <c r="C212" i="8"/>
  <c r="B212" i="8"/>
  <c r="H211" i="15"/>
  <c r="K207" i="20" s="1"/>
  <c r="G212" i="14"/>
  <c r="F212" i="14"/>
  <c r="C213" i="14"/>
  <c r="B213" i="14"/>
  <c r="P212" i="15"/>
  <c r="F208" i="20" s="1"/>
  <c r="N213" i="15"/>
  <c r="O213" i="15"/>
  <c r="A214" i="15"/>
  <c r="D212" i="15"/>
  <c r="L206" i="20"/>
  <c r="B209" i="20"/>
  <c r="J207" i="20"/>
  <c r="P211" i="8"/>
  <c r="G207" i="20" s="1"/>
  <c r="N212" i="8"/>
  <c r="A213" i="8"/>
  <c r="O212" i="8"/>
  <c r="D211" i="8"/>
  <c r="H211" i="8" s="1"/>
  <c r="P212" i="14"/>
  <c r="E208" i="20" s="1"/>
  <c r="D212" i="14"/>
  <c r="H212" i="14" s="1"/>
  <c r="A214" i="14"/>
  <c r="B229" i="37" s="1"/>
  <c r="A229" i="37" s="1"/>
  <c r="N213" i="14"/>
  <c r="O213" i="14"/>
  <c r="G205" i="38" l="1"/>
  <c r="O205" i="38" s="1"/>
  <c r="L205" i="38"/>
  <c r="H205" i="38"/>
  <c r="P205" i="38" s="1"/>
  <c r="M205" i="38"/>
  <c r="H207" i="20"/>
  <c r="Q205" i="38"/>
  <c r="C206" i="38"/>
  <c r="E206" i="38"/>
  <c r="I206" i="38" s="1"/>
  <c r="D206" i="38"/>
  <c r="C209" i="20"/>
  <c r="A207" i="38"/>
  <c r="B207" i="38" s="1"/>
  <c r="K207" i="38" s="1"/>
  <c r="W207" i="20"/>
  <c r="Y207" i="20"/>
  <c r="U207" i="20"/>
  <c r="M206" i="20"/>
  <c r="AI206" i="20"/>
  <c r="Q206" i="20" s="1"/>
  <c r="AK206" i="20"/>
  <c r="S206" i="20" s="1"/>
  <c r="AG206" i="20"/>
  <c r="O206" i="20" s="1"/>
  <c r="AE207" i="20"/>
  <c r="AA207" i="20"/>
  <c r="AC207" i="20"/>
  <c r="A209" i="20"/>
  <c r="F213" i="15"/>
  <c r="G213" i="15"/>
  <c r="F212" i="8"/>
  <c r="C213" i="8"/>
  <c r="B213" i="8"/>
  <c r="G212" i="8"/>
  <c r="B214" i="15"/>
  <c r="C214" i="15"/>
  <c r="H212" i="15"/>
  <c r="K208" i="20" s="1"/>
  <c r="G213" i="14"/>
  <c r="F213" i="14"/>
  <c r="C214" i="14"/>
  <c r="B214" i="14"/>
  <c r="D213" i="15"/>
  <c r="A215" i="15"/>
  <c r="N214" i="15"/>
  <c r="O214" i="15"/>
  <c r="P213" i="15"/>
  <c r="F209" i="20" s="1"/>
  <c r="L207" i="20"/>
  <c r="J208" i="20"/>
  <c r="B210" i="20"/>
  <c r="N213" i="8"/>
  <c r="A214" i="8"/>
  <c r="O213" i="8"/>
  <c r="P212" i="8"/>
  <c r="G208" i="20" s="1"/>
  <c r="D212" i="8"/>
  <c r="H212" i="8" s="1"/>
  <c r="P213" i="14"/>
  <c r="E209" i="20" s="1"/>
  <c r="D213" i="14"/>
  <c r="H213" i="14" s="1"/>
  <c r="A215" i="14"/>
  <c r="B230" i="37" s="1"/>
  <c r="A230" i="37" s="1"/>
  <c r="O214" i="14"/>
  <c r="N214" i="14"/>
  <c r="H206" i="38" l="1"/>
  <c r="M206" i="38"/>
  <c r="G206" i="38"/>
  <c r="O206" i="38" s="1"/>
  <c r="L206" i="38"/>
  <c r="H208" i="20"/>
  <c r="Q206" i="38"/>
  <c r="C207" i="38"/>
  <c r="E207" i="38"/>
  <c r="I207" i="38" s="1"/>
  <c r="D207" i="38"/>
  <c r="C210" i="20"/>
  <c r="A208" i="38"/>
  <c r="B208" i="38" s="1"/>
  <c r="K208" i="38" s="1"/>
  <c r="AE208" i="20"/>
  <c r="AA208" i="20"/>
  <c r="AC208" i="20"/>
  <c r="W208" i="20"/>
  <c r="Y208" i="20"/>
  <c r="U208" i="20"/>
  <c r="M207" i="20"/>
  <c r="AG207" i="20"/>
  <c r="O207" i="20" s="1"/>
  <c r="AI207" i="20"/>
  <c r="Q207" i="20" s="1"/>
  <c r="AK207" i="20"/>
  <c r="S207" i="20" s="1"/>
  <c r="A210" i="20"/>
  <c r="G214" i="15"/>
  <c r="F214" i="15"/>
  <c r="C215" i="15"/>
  <c r="B215" i="15"/>
  <c r="C214" i="8"/>
  <c r="B214" i="8"/>
  <c r="F213" i="8"/>
  <c r="H213" i="15"/>
  <c r="K209" i="20" s="1"/>
  <c r="G213" i="8"/>
  <c r="G214" i="14"/>
  <c r="F214" i="14"/>
  <c r="C215" i="14"/>
  <c r="B215" i="14"/>
  <c r="O215" i="15"/>
  <c r="A216" i="15"/>
  <c r="N215" i="15"/>
  <c r="P214" i="15"/>
  <c r="F210" i="20" s="1"/>
  <c r="D214" i="15"/>
  <c r="J209" i="20"/>
  <c r="B211" i="20"/>
  <c r="L208" i="20"/>
  <c r="O214" i="8"/>
  <c r="A215" i="8"/>
  <c r="N214" i="8"/>
  <c r="P213" i="8"/>
  <c r="G209" i="20" s="1"/>
  <c r="D213" i="8"/>
  <c r="H213" i="8" s="1"/>
  <c r="N215" i="14"/>
  <c r="O215" i="14"/>
  <c r="A216" i="14"/>
  <c r="B231" i="37" s="1"/>
  <c r="A231" i="37" s="1"/>
  <c r="D214" i="14"/>
  <c r="H214" i="14" s="1"/>
  <c r="P214" i="14"/>
  <c r="E210" i="20" s="1"/>
  <c r="H207" i="38" l="1"/>
  <c r="M207" i="38"/>
  <c r="G207" i="38"/>
  <c r="O207" i="38" s="1"/>
  <c r="L207" i="38"/>
  <c r="P206" i="38"/>
  <c r="H209" i="20"/>
  <c r="Q207" i="38"/>
  <c r="E208" i="38"/>
  <c r="I208" i="38" s="1"/>
  <c r="C208" i="38"/>
  <c r="D208" i="38"/>
  <c r="C211" i="20"/>
  <c r="A209" i="38"/>
  <c r="B209" i="38" s="1"/>
  <c r="K209" i="38" s="1"/>
  <c r="M208" i="20"/>
  <c r="AI208" i="20"/>
  <c r="Q208" i="20" s="1"/>
  <c r="AK208" i="20"/>
  <c r="S208" i="20" s="1"/>
  <c r="AG208" i="20"/>
  <c r="O208" i="20" s="1"/>
  <c r="W209" i="20"/>
  <c r="U209" i="20"/>
  <c r="Y209" i="20"/>
  <c r="AA209" i="20"/>
  <c r="AE209" i="20"/>
  <c r="AC209" i="20"/>
  <c r="A211" i="20"/>
  <c r="F215" i="15"/>
  <c r="G215" i="15"/>
  <c r="C215" i="8"/>
  <c r="B215" i="8"/>
  <c r="H214" i="15"/>
  <c r="K210" i="20" s="1"/>
  <c r="G214" i="8"/>
  <c r="C216" i="15"/>
  <c r="B216" i="15"/>
  <c r="F214" i="8"/>
  <c r="G215" i="14"/>
  <c r="F215" i="14"/>
  <c r="C216" i="14"/>
  <c r="B216" i="14"/>
  <c r="P215" i="15"/>
  <c r="F211" i="20" s="1"/>
  <c r="D215" i="15"/>
  <c r="N216" i="15"/>
  <c r="A217" i="15"/>
  <c r="O216" i="15"/>
  <c r="B212" i="20"/>
  <c r="J210" i="20"/>
  <c r="L209" i="20"/>
  <c r="O215" i="8"/>
  <c r="N215" i="8"/>
  <c r="A216" i="8"/>
  <c r="P214" i="8"/>
  <c r="G210" i="20" s="1"/>
  <c r="D214" i="8"/>
  <c r="H214" i="8" s="1"/>
  <c r="N216" i="14"/>
  <c r="A217" i="14"/>
  <c r="B232" i="37" s="1"/>
  <c r="A232" i="37" s="1"/>
  <c r="O216" i="14"/>
  <c r="D215" i="14"/>
  <c r="H215" i="14" s="1"/>
  <c r="P215" i="14"/>
  <c r="E211" i="20" s="1"/>
  <c r="H208" i="38" l="1"/>
  <c r="M208" i="38"/>
  <c r="G208" i="38"/>
  <c r="O208" i="38" s="1"/>
  <c r="L208" i="38"/>
  <c r="P207" i="38"/>
  <c r="H210" i="20"/>
  <c r="Q208" i="38"/>
  <c r="D209" i="38"/>
  <c r="E209" i="38"/>
  <c r="I209" i="38" s="1"/>
  <c r="C209" i="38"/>
  <c r="C212" i="20"/>
  <c r="A210" i="38"/>
  <c r="B210" i="38" s="1"/>
  <c r="K210" i="38" s="1"/>
  <c r="U210" i="20"/>
  <c r="W210" i="20"/>
  <c r="Y210" i="20"/>
  <c r="AE210" i="20"/>
  <c r="AA210" i="20"/>
  <c r="AC210" i="20"/>
  <c r="M209" i="20"/>
  <c r="AK209" i="20"/>
  <c r="S209" i="20" s="1"/>
  <c r="AG209" i="20"/>
  <c r="O209" i="20" s="1"/>
  <c r="AI209" i="20"/>
  <c r="Q209" i="20" s="1"/>
  <c r="A212" i="20"/>
  <c r="G216" i="15"/>
  <c r="F216" i="15"/>
  <c r="B216" i="8"/>
  <c r="C216" i="8"/>
  <c r="C217" i="15"/>
  <c r="B217" i="15"/>
  <c r="F215" i="8"/>
  <c r="H215" i="15"/>
  <c r="K211" i="20" s="1"/>
  <c r="G215" i="8"/>
  <c r="G216" i="14"/>
  <c r="F216" i="14"/>
  <c r="C217" i="14"/>
  <c r="B217" i="14"/>
  <c r="P216" i="15"/>
  <c r="F212" i="20" s="1"/>
  <c r="D216" i="15"/>
  <c r="O217" i="15"/>
  <c r="N217" i="15"/>
  <c r="A218" i="15"/>
  <c r="L210" i="20"/>
  <c r="J211" i="20"/>
  <c r="B213" i="20"/>
  <c r="D215" i="8"/>
  <c r="H215" i="8" s="1"/>
  <c r="A217" i="8"/>
  <c r="O216" i="8"/>
  <c r="N216" i="8"/>
  <c r="P215" i="8"/>
  <c r="G211" i="20" s="1"/>
  <c r="N217" i="14"/>
  <c r="A218" i="14"/>
  <c r="B233" i="37" s="1"/>
  <c r="A233" i="37" s="1"/>
  <c r="O217" i="14"/>
  <c r="D216" i="14"/>
  <c r="H216" i="14" s="1"/>
  <c r="P216" i="14"/>
  <c r="E212" i="20" s="1"/>
  <c r="H209" i="38" l="1"/>
  <c r="M209" i="38"/>
  <c r="G209" i="38"/>
  <c r="O209" i="38" s="1"/>
  <c r="L209" i="38"/>
  <c r="P208" i="38"/>
  <c r="H211" i="20"/>
  <c r="Q209" i="38"/>
  <c r="D210" i="38"/>
  <c r="E210" i="38"/>
  <c r="I210" i="38" s="1"/>
  <c r="C210" i="38"/>
  <c r="C213" i="20"/>
  <c r="A211" i="38"/>
  <c r="B211" i="38" s="1"/>
  <c r="K211" i="38" s="1"/>
  <c r="AA211" i="20"/>
  <c r="AE211" i="20"/>
  <c r="AC211" i="20"/>
  <c r="Y211" i="20"/>
  <c r="U211" i="20"/>
  <c r="W211" i="20"/>
  <c r="M210" i="20"/>
  <c r="AK210" i="20"/>
  <c r="S210" i="20" s="1"/>
  <c r="AG210" i="20"/>
  <c r="O210" i="20" s="1"/>
  <c r="AI210" i="20"/>
  <c r="Q210" i="20" s="1"/>
  <c r="A213" i="20"/>
  <c r="F217" i="15"/>
  <c r="G217" i="15"/>
  <c r="C218" i="15"/>
  <c r="B218" i="15"/>
  <c r="G216" i="8"/>
  <c r="B217" i="8"/>
  <c r="C217" i="8"/>
  <c r="F216" i="8"/>
  <c r="H216" i="15"/>
  <c r="K212" i="20" s="1"/>
  <c r="G217" i="14"/>
  <c r="F217" i="14"/>
  <c r="C218" i="14"/>
  <c r="B218" i="14"/>
  <c r="P217" i="15"/>
  <c r="F213" i="20" s="1"/>
  <c r="N218" i="15"/>
  <c r="A219" i="15"/>
  <c r="O218" i="15"/>
  <c r="D217" i="15"/>
  <c r="L211" i="20"/>
  <c r="J212" i="20"/>
  <c r="B214" i="20"/>
  <c r="P216" i="8"/>
  <c r="G212" i="20" s="1"/>
  <c r="N217" i="8"/>
  <c r="O217" i="8"/>
  <c r="A218" i="8"/>
  <c r="D216" i="8"/>
  <c r="H216" i="8" s="1"/>
  <c r="N218" i="14"/>
  <c r="O218" i="14"/>
  <c r="A219" i="14"/>
  <c r="B234" i="37" s="1"/>
  <c r="A234" i="37" s="1"/>
  <c r="P217" i="14"/>
  <c r="E213" i="20" s="1"/>
  <c r="D217" i="14"/>
  <c r="H217" i="14" s="1"/>
  <c r="G210" i="38" l="1"/>
  <c r="O210" i="38" s="1"/>
  <c r="L210" i="38"/>
  <c r="H210" i="38"/>
  <c r="M210" i="38"/>
  <c r="P209" i="38"/>
  <c r="H212" i="20"/>
  <c r="Q210" i="38"/>
  <c r="C211" i="38"/>
  <c r="E211" i="38"/>
  <c r="I211" i="38" s="1"/>
  <c r="D211" i="38"/>
  <c r="C214" i="20"/>
  <c r="A212" i="38"/>
  <c r="B212" i="38" s="1"/>
  <c r="K212" i="38" s="1"/>
  <c r="AE212" i="20"/>
  <c r="AC212" i="20"/>
  <c r="AA212" i="20"/>
  <c r="Y212" i="20"/>
  <c r="U212" i="20"/>
  <c r="W212" i="20"/>
  <c r="M211" i="20"/>
  <c r="AK211" i="20"/>
  <c r="S211" i="20" s="1"/>
  <c r="AI211" i="20"/>
  <c r="Q211" i="20" s="1"/>
  <c r="AG211" i="20"/>
  <c r="O211" i="20" s="1"/>
  <c r="A214" i="20"/>
  <c r="F218" i="15"/>
  <c r="G218" i="15"/>
  <c r="C218" i="8"/>
  <c r="B218" i="8"/>
  <c r="G217" i="8"/>
  <c r="H217" i="15"/>
  <c r="K213" i="20" s="1"/>
  <c r="B219" i="15"/>
  <c r="C219" i="15"/>
  <c r="F217" i="8"/>
  <c r="G218" i="14"/>
  <c r="F218" i="14"/>
  <c r="C219" i="14"/>
  <c r="B219" i="14"/>
  <c r="O219" i="15"/>
  <c r="A220" i="15"/>
  <c r="N219" i="15"/>
  <c r="D218" i="15"/>
  <c r="P218" i="15"/>
  <c r="F214" i="20" s="1"/>
  <c r="J213" i="20"/>
  <c r="B215" i="20"/>
  <c r="L212" i="20"/>
  <c r="N218" i="8"/>
  <c r="A219" i="8"/>
  <c r="O218" i="8"/>
  <c r="P217" i="8"/>
  <c r="G213" i="20" s="1"/>
  <c r="D217" i="8"/>
  <c r="H217" i="8" s="1"/>
  <c r="N219" i="14"/>
  <c r="O219" i="14"/>
  <c r="A220" i="14"/>
  <c r="B235" i="37" s="1"/>
  <c r="A235" i="37" s="1"/>
  <c r="P218" i="14"/>
  <c r="E214" i="20" s="1"/>
  <c r="D218" i="14"/>
  <c r="H218" i="14" s="1"/>
  <c r="P210" i="38" l="1"/>
  <c r="H211" i="38"/>
  <c r="M211" i="38"/>
  <c r="G211" i="38"/>
  <c r="O211" i="38" s="1"/>
  <c r="L211" i="38"/>
  <c r="H213" i="20"/>
  <c r="Q211" i="38"/>
  <c r="E212" i="38"/>
  <c r="I212" i="38" s="1"/>
  <c r="D212" i="38"/>
  <c r="C212" i="38"/>
  <c r="C215" i="20"/>
  <c r="A213" i="38"/>
  <c r="B213" i="38" s="1"/>
  <c r="K213" i="38" s="1"/>
  <c r="U213" i="20"/>
  <c r="W213" i="20"/>
  <c r="Y213" i="20"/>
  <c r="AE213" i="20"/>
  <c r="AA213" i="20"/>
  <c r="AC213" i="20"/>
  <c r="M212" i="20"/>
  <c r="AI212" i="20"/>
  <c r="Q212" i="20" s="1"/>
  <c r="AK212" i="20"/>
  <c r="S212" i="20" s="1"/>
  <c r="AG212" i="20"/>
  <c r="O212" i="20" s="1"/>
  <c r="A215" i="20"/>
  <c r="F219" i="15"/>
  <c r="G219" i="15"/>
  <c r="C219" i="8"/>
  <c r="B219" i="8"/>
  <c r="F218" i="8"/>
  <c r="H218" i="15"/>
  <c r="K214" i="20" s="1"/>
  <c r="G218" i="8"/>
  <c r="C220" i="15"/>
  <c r="B220" i="15"/>
  <c r="G219" i="14"/>
  <c r="F219" i="14"/>
  <c r="C220" i="14"/>
  <c r="B220" i="14"/>
  <c r="P219" i="15"/>
  <c r="F215" i="20" s="1"/>
  <c r="D219" i="15"/>
  <c r="A221" i="15"/>
  <c r="O220" i="15"/>
  <c r="N220" i="15"/>
  <c r="J214" i="20"/>
  <c r="B216" i="20"/>
  <c r="L213" i="20"/>
  <c r="P218" i="8"/>
  <c r="G214" i="20" s="1"/>
  <c r="D218" i="8"/>
  <c r="H218" i="8" s="1"/>
  <c r="O219" i="8"/>
  <c r="A220" i="8"/>
  <c r="N219" i="8"/>
  <c r="N220" i="14"/>
  <c r="O220" i="14"/>
  <c r="A221" i="14"/>
  <c r="B236" i="37" s="1"/>
  <c r="A236" i="37" s="1"/>
  <c r="P219" i="14"/>
  <c r="E215" i="20" s="1"/>
  <c r="D219" i="14"/>
  <c r="H219" i="14" s="1"/>
  <c r="H212" i="38" l="1"/>
  <c r="M212" i="38"/>
  <c r="G212" i="38"/>
  <c r="O212" i="38" s="1"/>
  <c r="L212" i="38"/>
  <c r="P211" i="38"/>
  <c r="H214" i="20"/>
  <c r="Q212" i="38"/>
  <c r="D213" i="38"/>
  <c r="E213" i="38"/>
  <c r="I213" i="38" s="1"/>
  <c r="C213" i="38"/>
  <c r="C216" i="20"/>
  <c r="A214" i="38"/>
  <c r="B214" i="38" s="1"/>
  <c r="K214" i="38" s="1"/>
  <c r="U214" i="20"/>
  <c r="W214" i="20"/>
  <c r="Y214" i="20"/>
  <c r="AE214" i="20"/>
  <c r="AA214" i="20"/>
  <c r="AC214" i="20"/>
  <c r="M213" i="20"/>
  <c r="AI213" i="20"/>
  <c r="Q213" i="20" s="1"/>
  <c r="AK213" i="20"/>
  <c r="S213" i="20" s="1"/>
  <c r="AG213" i="20"/>
  <c r="O213" i="20" s="1"/>
  <c r="A216" i="20"/>
  <c r="G220" i="15"/>
  <c r="F220" i="15"/>
  <c r="C220" i="8"/>
  <c r="B220" i="8"/>
  <c r="F219" i="8"/>
  <c r="B221" i="15"/>
  <c r="C221" i="15"/>
  <c r="H219" i="15"/>
  <c r="K215" i="20" s="1"/>
  <c r="G219" i="8"/>
  <c r="G220" i="14"/>
  <c r="F220" i="14"/>
  <c r="C221" i="14"/>
  <c r="B221" i="14"/>
  <c r="P220" i="15"/>
  <c r="F216" i="20" s="1"/>
  <c r="D220" i="15"/>
  <c r="O221" i="15"/>
  <c r="N221" i="15"/>
  <c r="A222" i="15"/>
  <c r="L214" i="20"/>
  <c r="J215" i="20"/>
  <c r="B217" i="20"/>
  <c r="D219" i="8"/>
  <c r="H219" i="8" s="1"/>
  <c r="O220" i="8"/>
  <c r="A221" i="8"/>
  <c r="N220" i="8"/>
  <c r="P219" i="8"/>
  <c r="G215" i="20" s="1"/>
  <c r="N221" i="14"/>
  <c r="A222" i="14"/>
  <c r="B237" i="37" s="1"/>
  <c r="A237" i="37" s="1"/>
  <c r="O221" i="14"/>
  <c r="P220" i="14"/>
  <c r="E216" i="20" s="1"/>
  <c r="D220" i="14"/>
  <c r="H220" i="14" s="1"/>
  <c r="G213" i="38" l="1"/>
  <c r="O213" i="38" s="1"/>
  <c r="L213" i="38"/>
  <c r="H213" i="38"/>
  <c r="P213" i="38" s="1"/>
  <c r="M213" i="38"/>
  <c r="P212" i="38"/>
  <c r="H215" i="20"/>
  <c r="Q213" i="38"/>
  <c r="E214" i="38"/>
  <c r="I214" i="38" s="1"/>
  <c r="D214" i="38"/>
  <c r="C214" i="38"/>
  <c r="C217" i="20"/>
  <c r="A215" i="38"/>
  <c r="B215" i="38" s="1"/>
  <c r="K215" i="38" s="1"/>
  <c r="W215" i="20"/>
  <c r="U215" i="20"/>
  <c r="Y215" i="20"/>
  <c r="AC215" i="20"/>
  <c r="AE215" i="20"/>
  <c r="AA215" i="20"/>
  <c r="M214" i="20"/>
  <c r="AI214" i="20"/>
  <c r="Q214" i="20" s="1"/>
  <c r="AK214" i="20"/>
  <c r="S214" i="20" s="1"/>
  <c r="AG214" i="20"/>
  <c r="O214" i="20" s="1"/>
  <c r="A217" i="20"/>
  <c r="F221" i="15"/>
  <c r="G221" i="15"/>
  <c r="B222" i="15"/>
  <c r="C222" i="15"/>
  <c r="F220" i="8"/>
  <c r="C221" i="8"/>
  <c r="B221" i="8"/>
  <c r="G220" i="8"/>
  <c r="H220" i="15"/>
  <c r="K216" i="20" s="1"/>
  <c r="G221" i="14"/>
  <c r="F221" i="14"/>
  <c r="C222" i="14"/>
  <c r="B222" i="14"/>
  <c r="P221" i="15"/>
  <c r="F217" i="20" s="1"/>
  <c r="N222" i="15"/>
  <c r="A223" i="15"/>
  <c r="O222" i="15"/>
  <c r="D221" i="15"/>
  <c r="P220" i="8"/>
  <c r="G216" i="20" s="1"/>
  <c r="B218" i="20"/>
  <c r="L215" i="20"/>
  <c r="J216" i="20"/>
  <c r="D220" i="8"/>
  <c r="H220" i="8" s="1"/>
  <c r="A222" i="8"/>
  <c r="O221" i="8"/>
  <c r="N221" i="8"/>
  <c r="O222" i="14"/>
  <c r="N222" i="14"/>
  <c r="A223" i="14"/>
  <c r="B238" i="37" s="1"/>
  <c r="A238" i="37" s="1"/>
  <c r="P221" i="14"/>
  <c r="E217" i="20" s="1"/>
  <c r="D221" i="14"/>
  <c r="H221" i="14" s="1"/>
  <c r="G214" i="38" l="1"/>
  <c r="O214" i="38" s="1"/>
  <c r="L214" i="38"/>
  <c r="H214" i="38"/>
  <c r="M214" i="38"/>
  <c r="H216" i="20"/>
  <c r="Q214" i="38"/>
  <c r="E215" i="38"/>
  <c r="I215" i="38" s="1"/>
  <c r="D215" i="38"/>
  <c r="C215" i="38"/>
  <c r="C218" i="20"/>
  <c r="A216" i="38"/>
  <c r="B216" i="38" s="1"/>
  <c r="K216" i="38" s="1"/>
  <c r="M215" i="20"/>
  <c r="AI215" i="20"/>
  <c r="Q215" i="20" s="1"/>
  <c r="AK215" i="20"/>
  <c r="S215" i="20" s="1"/>
  <c r="AG215" i="20"/>
  <c r="O215" i="20" s="1"/>
  <c r="AE216" i="20"/>
  <c r="AA216" i="20"/>
  <c r="AC216" i="20"/>
  <c r="U216" i="20"/>
  <c r="W216" i="20"/>
  <c r="Y216" i="20"/>
  <c r="A218" i="20"/>
  <c r="F222" i="15"/>
  <c r="G222" i="15"/>
  <c r="F221" i="8"/>
  <c r="C222" i="8"/>
  <c r="B222" i="8"/>
  <c r="G221" i="8"/>
  <c r="H221" i="15"/>
  <c r="K217" i="20" s="1"/>
  <c r="C223" i="15"/>
  <c r="B223" i="15"/>
  <c r="G222" i="14"/>
  <c r="F222" i="14"/>
  <c r="B223" i="14"/>
  <c r="C223" i="14"/>
  <c r="O223" i="15"/>
  <c r="A224" i="15"/>
  <c r="N223" i="15"/>
  <c r="P222" i="15"/>
  <c r="F218" i="20" s="1"/>
  <c r="D222" i="15"/>
  <c r="L216" i="20"/>
  <c r="J217" i="20"/>
  <c r="B219" i="20"/>
  <c r="P222" i="14"/>
  <c r="E218" i="20" s="1"/>
  <c r="P221" i="8"/>
  <c r="G217" i="20" s="1"/>
  <c r="O222" i="8"/>
  <c r="N222" i="8"/>
  <c r="A223" i="8"/>
  <c r="D221" i="8"/>
  <c r="H221" i="8" s="1"/>
  <c r="N223" i="14"/>
  <c r="A224" i="14"/>
  <c r="B239" i="37" s="1"/>
  <c r="A239" i="37" s="1"/>
  <c r="O223" i="14"/>
  <c r="D222" i="14"/>
  <c r="H222" i="14" s="1"/>
  <c r="P214" i="38" l="1"/>
  <c r="H215" i="38"/>
  <c r="M215" i="38"/>
  <c r="G215" i="38"/>
  <c r="O215" i="38" s="1"/>
  <c r="L215" i="38"/>
  <c r="H217" i="20"/>
  <c r="Q215" i="38"/>
  <c r="E216" i="38"/>
  <c r="I216" i="38" s="1"/>
  <c r="D216" i="38"/>
  <c r="C216" i="38"/>
  <c r="C219" i="20"/>
  <c r="A217" i="38"/>
  <c r="B217" i="38" s="1"/>
  <c r="K217" i="38" s="1"/>
  <c r="U217" i="20"/>
  <c r="W217" i="20"/>
  <c r="Y217" i="20"/>
  <c r="M216" i="20"/>
  <c r="AK216" i="20"/>
  <c r="S216" i="20" s="1"/>
  <c r="AG216" i="20"/>
  <c r="O216" i="20" s="1"/>
  <c r="AI216" i="20"/>
  <c r="Q216" i="20" s="1"/>
  <c r="AC217" i="20"/>
  <c r="AA217" i="20"/>
  <c r="AE217" i="20"/>
  <c r="A219" i="20"/>
  <c r="F223" i="15"/>
  <c r="G223" i="15"/>
  <c r="B223" i="8"/>
  <c r="C223" i="8"/>
  <c r="H222" i="15"/>
  <c r="K218" i="20" s="1"/>
  <c r="G222" i="8"/>
  <c r="F222" i="8"/>
  <c r="C224" i="15"/>
  <c r="B224" i="15"/>
  <c r="G223" i="14"/>
  <c r="F223" i="14"/>
  <c r="C224" i="14"/>
  <c r="B224" i="14"/>
  <c r="P223" i="15"/>
  <c r="F219" i="20" s="1"/>
  <c r="D223" i="15"/>
  <c r="O224" i="15"/>
  <c r="N224" i="15"/>
  <c r="A225" i="15"/>
  <c r="J218" i="20"/>
  <c r="B220" i="20"/>
  <c r="L217" i="20"/>
  <c r="P222" i="8"/>
  <c r="G218" i="20" s="1"/>
  <c r="N223" i="8"/>
  <c r="O223" i="8"/>
  <c r="A224" i="8"/>
  <c r="D222" i="8"/>
  <c r="H222" i="8" s="1"/>
  <c r="N224" i="14"/>
  <c r="O224" i="14"/>
  <c r="A225" i="14"/>
  <c r="B240" i="37" s="1"/>
  <c r="A240" i="37" s="1"/>
  <c r="D223" i="14"/>
  <c r="H223" i="14" s="1"/>
  <c r="P223" i="14"/>
  <c r="E219" i="20" s="1"/>
  <c r="H216" i="38" l="1"/>
  <c r="M216" i="38"/>
  <c r="Q216" i="38" s="1"/>
  <c r="G216" i="38"/>
  <c r="O216" i="38" s="1"/>
  <c r="L216" i="38"/>
  <c r="P215" i="38"/>
  <c r="H218" i="20"/>
  <c r="C217" i="38"/>
  <c r="D217" i="38"/>
  <c r="E217" i="38"/>
  <c r="I217" i="38" s="1"/>
  <c r="C220" i="20"/>
  <c r="A218" i="38"/>
  <c r="B218" i="38" s="1"/>
  <c r="K218" i="38" s="1"/>
  <c r="M217" i="20"/>
  <c r="AG217" i="20"/>
  <c r="O217" i="20" s="1"/>
  <c r="AK217" i="20"/>
  <c r="S217" i="20" s="1"/>
  <c r="AI217" i="20"/>
  <c r="Q217" i="20" s="1"/>
  <c r="AA218" i="20"/>
  <c r="AE218" i="20"/>
  <c r="AC218" i="20"/>
  <c r="U218" i="20"/>
  <c r="W218" i="20"/>
  <c r="Y218" i="20"/>
  <c r="A220" i="20"/>
  <c r="F224" i="15"/>
  <c r="G224" i="15"/>
  <c r="C225" i="15"/>
  <c r="B225" i="15"/>
  <c r="G223" i="8"/>
  <c r="C224" i="8"/>
  <c r="B224" i="8"/>
  <c r="H223" i="15"/>
  <c r="K219" i="20" s="1"/>
  <c r="F223" i="8"/>
  <c r="G224" i="14"/>
  <c r="F224" i="14"/>
  <c r="C225" i="14"/>
  <c r="B225" i="14"/>
  <c r="P224" i="15"/>
  <c r="F220" i="20" s="1"/>
  <c r="O225" i="15"/>
  <c r="A226" i="15"/>
  <c r="N225" i="15"/>
  <c r="D224" i="15"/>
  <c r="L218" i="20"/>
  <c r="J219" i="20"/>
  <c r="B221" i="20"/>
  <c r="P223" i="8"/>
  <c r="G219" i="20" s="1"/>
  <c r="D223" i="8"/>
  <c r="H223" i="8" s="1"/>
  <c r="A225" i="8"/>
  <c r="N224" i="8"/>
  <c r="O224" i="8"/>
  <c r="P224" i="14"/>
  <c r="E220" i="20" s="1"/>
  <c r="N225" i="14"/>
  <c r="O225" i="14"/>
  <c r="A226" i="14"/>
  <c r="B241" i="37" s="1"/>
  <c r="A241" i="37" s="1"/>
  <c r="D224" i="14"/>
  <c r="H224" i="14" s="1"/>
  <c r="H217" i="38" l="1"/>
  <c r="M217" i="38"/>
  <c r="G217" i="38"/>
  <c r="O217" i="38" s="1"/>
  <c r="L217" i="38"/>
  <c r="P216" i="38"/>
  <c r="H219" i="20"/>
  <c r="Q217" i="38"/>
  <c r="C218" i="38"/>
  <c r="E218" i="38"/>
  <c r="I218" i="38" s="1"/>
  <c r="D218" i="38"/>
  <c r="C221" i="20"/>
  <c r="A219" i="38"/>
  <c r="B219" i="38" s="1"/>
  <c r="K219" i="38" s="1"/>
  <c r="AE219" i="20"/>
  <c r="AC219" i="20"/>
  <c r="AA219" i="20"/>
  <c r="M218" i="20"/>
  <c r="AI218" i="20"/>
  <c r="Q218" i="20" s="1"/>
  <c r="AG218" i="20"/>
  <c r="O218" i="20" s="1"/>
  <c r="AK218" i="20"/>
  <c r="S218" i="20" s="1"/>
  <c r="Y219" i="20"/>
  <c r="U219" i="20"/>
  <c r="W219" i="20"/>
  <c r="A221" i="20"/>
  <c r="F225" i="15"/>
  <c r="B225" i="8"/>
  <c r="C225" i="8"/>
  <c r="F224" i="8"/>
  <c r="G224" i="8"/>
  <c r="H224" i="15"/>
  <c r="K220" i="20" s="1"/>
  <c r="C226" i="15"/>
  <c r="B226" i="15"/>
  <c r="G225" i="15"/>
  <c r="G225" i="14"/>
  <c r="F225" i="14"/>
  <c r="C226" i="14"/>
  <c r="B226" i="14"/>
  <c r="P225" i="15"/>
  <c r="F221" i="20" s="1"/>
  <c r="N226" i="15"/>
  <c r="O226" i="15"/>
  <c r="A227" i="15"/>
  <c r="D225" i="15"/>
  <c r="L219" i="20"/>
  <c r="J220" i="20"/>
  <c r="B222" i="20"/>
  <c r="P225" i="14"/>
  <c r="E221" i="20" s="1"/>
  <c r="A226" i="8"/>
  <c r="N225" i="8"/>
  <c r="O225" i="8"/>
  <c r="D224" i="8"/>
  <c r="H224" i="8" s="1"/>
  <c r="P224" i="8"/>
  <c r="G220" i="20" s="1"/>
  <c r="N226" i="14"/>
  <c r="A227" i="14"/>
  <c r="B242" i="37" s="1"/>
  <c r="A242" i="37" s="1"/>
  <c r="O226" i="14"/>
  <c r="D225" i="14"/>
  <c r="H225" i="14" s="1"/>
  <c r="G218" i="38" l="1"/>
  <c r="O218" i="38" s="1"/>
  <c r="L218" i="38"/>
  <c r="H218" i="38"/>
  <c r="M218" i="38"/>
  <c r="P217" i="38"/>
  <c r="H220" i="20"/>
  <c r="Q218" i="38"/>
  <c r="D219" i="38"/>
  <c r="C219" i="38"/>
  <c r="E219" i="38"/>
  <c r="I219" i="38" s="1"/>
  <c r="C222" i="20"/>
  <c r="A220" i="38"/>
  <c r="B220" i="38" s="1"/>
  <c r="K220" i="38" s="1"/>
  <c r="AC220" i="20"/>
  <c r="AE220" i="20"/>
  <c r="AA220" i="20"/>
  <c r="U220" i="20"/>
  <c r="Y220" i="20"/>
  <c r="W220" i="20"/>
  <c r="M219" i="20"/>
  <c r="AI219" i="20"/>
  <c r="Q219" i="20" s="1"/>
  <c r="AK219" i="20"/>
  <c r="S219" i="20" s="1"/>
  <c r="AG219" i="20"/>
  <c r="O219" i="20" s="1"/>
  <c r="A222" i="20"/>
  <c r="G226" i="15"/>
  <c r="F226" i="15"/>
  <c r="H225" i="15"/>
  <c r="K221" i="20" s="1"/>
  <c r="B227" i="15"/>
  <c r="C227" i="15"/>
  <c r="G225" i="8"/>
  <c r="B226" i="8"/>
  <c r="C226" i="8"/>
  <c r="F225" i="8"/>
  <c r="G226" i="14"/>
  <c r="F226" i="14"/>
  <c r="C227" i="14"/>
  <c r="B227" i="14"/>
  <c r="P226" i="15"/>
  <c r="F222" i="20" s="1"/>
  <c r="N227" i="15"/>
  <c r="O227" i="15"/>
  <c r="A228" i="15"/>
  <c r="D226" i="15"/>
  <c r="P225" i="8"/>
  <c r="G221" i="20" s="1"/>
  <c r="B223" i="20"/>
  <c r="L220" i="20"/>
  <c r="J221" i="20"/>
  <c r="N226" i="8"/>
  <c r="O226" i="8"/>
  <c r="A227" i="8"/>
  <c r="D225" i="8"/>
  <c r="H225" i="8" s="1"/>
  <c r="N227" i="14"/>
  <c r="A228" i="14"/>
  <c r="B243" i="37" s="1"/>
  <c r="A243" i="37" s="1"/>
  <c r="O227" i="14"/>
  <c r="P226" i="14"/>
  <c r="E222" i="20" s="1"/>
  <c r="D226" i="14"/>
  <c r="H226" i="14" s="1"/>
  <c r="P218" i="38" l="1"/>
  <c r="G219" i="38"/>
  <c r="O219" i="38" s="1"/>
  <c r="L219" i="38"/>
  <c r="H219" i="38"/>
  <c r="P219" i="38" s="1"/>
  <c r="M219" i="38"/>
  <c r="H221" i="20"/>
  <c r="Q219" i="38"/>
  <c r="E220" i="38"/>
  <c r="I220" i="38" s="1"/>
  <c r="D220" i="38"/>
  <c r="C220" i="38"/>
  <c r="C223" i="20"/>
  <c r="A221" i="38"/>
  <c r="B221" i="38" s="1"/>
  <c r="K221" i="38" s="1"/>
  <c r="AC221" i="20"/>
  <c r="AE221" i="20"/>
  <c r="AA221" i="20"/>
  <c r="U221" i="20"/>
  <c r="Y221" i="20"/>
  <c r="W221" i="20"/>
  <c r="M220" i="20"/>
  <c r="AK220" i="20"/>
  <c r="S220" i="20" s="1"/>
  <c r="AI220" i="20"/>
  <c r="Q220" i="20" s="1"/>
  <c r="AG220" i="20"/>
  <c r="O220" i="20" s="1"/>
  <c r="A223" i="20"/>
  <c r="F227" i="15"/>
  <c r="G227" i="15"/>
  <c r="G226" i="8"/>
  <c r="C228" i="15"/>
  <c r="B228" i="15"/>
  <c r="C227" i="8"/>
  <c r="B227" i="8"/>
  <c r="F226" i="8"/>
  <c r="H226" i="15"/>
  <c r="K222" i="20" s="1"/>
  <c r="G227" i="14"/>
  <c r="F227" i="14"/>
  <c r="C228" i="14"/>
  <c r="B228" i="14"/>
  <c r="D227" i="15"/>
  <c r="A229" i="15"/>
  <c r="O228" i="15"/>
  <c r="N228" i="15"/>
  <c r="P227" i="15"/>
  <c r="F223" i="20" s="1"/>
  <c r="J222" i="20"/>
  <c r="L221" i="20"/>
  <c r="B224" i="20"/>
  <c r="D226" i="8"/>
  <c r="H226" i="8" s="1"/>
  <c r="P226" i="8"/>
  <c r="G222" i="20" s="1"/>
  <c r="N227" i="8"/>
  <c r="O227" i="8"/>
  <c r="A228" i="8"/>
  <c r="A229" i="14"/>
  <c r="B244" i="37" s="1"/>
  <c r="A244" i="37" s="1"/>
  <c r="N228" i="14"/>
  <c r="O228" i="14"/>
  <c r="P227" i="14"/>
  <c r="E223" i="20" s="1"/>
  <c r="D227" i="14"/>
  <c r="H227" i="14" s="1"/>
  <c r="H220" i="38" l="1"/>
  <c r="M220" i="38"/>
  <c r="G220" i="38"/>
  <c r="O220" i="38" s="1"/>
  <c r="L220" i="38"/>
  <c r="H222" i="20"/>
  <c r="Q220" i="38"/>
  <c r="C221" i="38"/>
  <c r="E221" i="38"/>
  <c r="I221" i="38" s="1"/>
  <c r="D221" i="38"/>
  <c r="C224" i="20"/>
  <c r="A222" i="38"/>
  <c r="B222" i="38" s="1"/>
  <c r="K222" i="38" s="1"/>
  <c r="AC222" i="20"/>
  <c r="AA222" i="20"/>
  <c r="AE222" i="20"/>
  <c r="M221" i="20"/>
  <c r="AI221" i="20"/>
  <c r="Q221" i="20" s="1"/>
  <c r="AG221" i="20"/>
  <c r="O221" i="20" s="1"/>
  <c r="AK221" i="20"/>
  <c r="S221" i="20" s="1"/>
  <c r="U222" i="20"/>
  <c r="W222" i="20"/>
  <c r="Y222" i="20"/>
  <c r="A224" i="20"/>
  <c r="H227" i="15"/>
  <c r="K223" i="20" s="1"/>
  <c r="G227" i="8"/>
  <c r="B229" i="15"/>
  <c r="C229" i="15"/>
  <c r="F228" i="15"/>
  <c r="F227" i="8"/>
  <c r="G228" i="15"/>
  <c r="C228" i="8"/>
  <c r="B228" i="8"/>
  <c r="G228" i="14"/>
  <c r="F228" i="14"/>
  <c r="C229" i="14"/>
  <c r="B229" i="14"/>
  <c r="P228" i="15"/>
  <c r="F224" i="20" s="1"/>
  <c r="D228" i="15"/>
  <c r="A230" i="15"/>
  <c r="N229" i="15"/>
  <c r="O229" i="15"/>
  <c r="B225" i="20"/>
  <c r="J223" i="20"/>
  <c r="L222" i="20"/>
  <c r="P227" i="8"/>
  <c r="G223" i="20" s="1"/>
  <c r="D227" i="8"/>
  <c r="H227" i="8" s="1"/>
  <c r="N228" i="8"/>
  <c r="A229" i="8"/>
  <c r="O228" i="8"/>
  <c r="P228" i="14"/>
  <c r="E224" i="20" s="1"/>
  <c r="N229" i="14"/>
  <c r="O229" i="14"/>
  <c r="A230" i="14"/>
  <c r="B245" i="37" s="1"/>
  <c r="A245" i="37" s="1"/>
  <c r="D228" i="14"/>
  <c r="H228" i="14" s="1"/>
  <c r="H221" i="38" l="1"/>
  <c r="M221" i="38"/>
  <c r="G221" i="38"/>
  <c r="O221" i="38" s="1"/>
  <c r="L221" i="38"/>
  <c r="P220" i="38"/>
  <c r="H223" i="20"/>
  <c r="Q221" i="38"/>
  <c r="C222" i="38"/>
  <c r="E222" i="38"/>
  <c r="I222" i="38" s="1"/>
  <c r="D222" i="38"/>
  <c r="C225" i="20"/>
  <c r="A223" i="38"/>
  <c r="B223" i="38" s="1"/>
  <c r="K223" i="38" s="1"/>
  <c r="Y223" i="20"/>
  <c r="W223" i="20"/>
  <c r="U223" i="20"/>
  <c r="AE223" i="20"/>
  <c r="AC223" i="20"/>
  <c r="AA223" i="20"/>
  <c r="M222" i="20"/>
  <c r="AG222" i="20"/>
  <c r="O222" i="20" s="1"/>
  <c r="AK222" i="20"/>
  <c r="S222" i="20" s="1"/>
  <c r="AI222" i="20"/>
  <c r="Q222" i="20" s="1"/>
  <c r="A225" i="20"/>
  <c r="G229" i="15"/>
  <c r="F229" i="15"/>
  <c r="F228" i="8"/>
  <c r="G228" i="8"/>
  <c r="C229" i="8"/>
  <c r="B229" i="8"/>
  <c r="B230" i="15"/>
  <c r="C230" i="15"/>
  <c r="H228" i="15"/>
  <c r="K224" i="20" s="1"/>
  <c r="G229" i="14"/>
  <c r="F229" i="14"/>
  <c r="C230" i="14"/>
  <c r="B230" i="14"/>
  <c r="P229" i="15"/>
  <c r="F225" i="20" s="1"/>
  <c r="D229" i="15"/>
  <c r="N230" i="15"/>
  <c r="A231" i="15"/>
  <c r="O230" i="15"/>
  <c r="B226" i="20"/>
  <c r="L223" i="20"/>
  <c r="J224" i="20"/>
  <c r="P228" i="8"/>
  <c r="G224" i="20" s="1"/>
  <c r="A230" i="8"/>
  <c r="N229" i="8"/>
  <c r="O229" i="8"/>
  <c r="D228" i="8"/>
  <c r="H228" i="8" s="1"/>
  <c r="N230" i="14"/>
  <c r="A231" i="14"/>
  <c r="B246" i="37" s="1"/>
  <c r="A246" i="37" s="1"/>
  <c r="O230" i="14"/>
  <c r="P229" i="14"/>
  <c r="E225" i="20" s="1"/>
  <c r="D229" i="14"/>
  <c r="H229" i="14" s="1"/>
  <c r="G222" i="38" l="1"/>
  <c r="O222" i="38" s="1"/>
  <c r="L222" i="38"/>
  <c r="H222" i="38"/>
  <c r="M222" i="38"/>
  <c r="P221" i="38"/>
  <c r="H224" i="20"/>
  <c r="Q222" i="38"/>
  <c r="E223" i="38"/>
  <c r="I223" i="38" s="1"/>
  <c r="C223" i="38"/>
  <c r="D223" i="38"/>
  <c r="C226" i="20"/>
  <c r="A224" i="38"/>
  <c r="B224" i="38" s="1"/>
  <c r="K224" i="38" s="1"/>
  <c r="M223" i="20"/>
  <c r="AG223" i="20"/>
  <c r="O223" i="20" s="1"/>
  <c r="AI223" i="20"/>
  <c r="Q223" i="20" s="1"/>
  <c r="AK223" i="20"/>
  <c r="S223" i="20" s="1"/>
  <c r="AE224" i="20"/>
  <c r="AC224" i="20"/>
  <c r="AA224" i="20"/>
  <c r="U224" i="20"/>
  <c r="W224" i="20"/>
  <c r="Y224" i="20"/>
  <c r="G230" i="15"/>
  <c r="F230" i="15"/>
  <c r="A226" i="20"/>
  <c r="C230" i="8"/>
  <c r="B230" i="8"/>
  <c r="H229" i="15"/>
  <c r="K225" i="20" s="1"/>
  <c r="F229" i="8"/>
  <c r="G229" i="8"/>
  <c r="C231" i="15"/>
  <c r="B231" i="15"/>
  <c r="G230" i="14"/>
  <c r="F230" i="14"/>
  <c r="C231" i="14"/>
  <c r="B231" i="14"/>
  <c r="A232" i="15"/>
  <c r="N231" i="15"/>
  <c r="O231" i="15"/>
  <c r="P230" i="15"/>
  <c r="F226" i="20" s="1"/>
  <c r="D230" i="15"/>
  <c r="B227" i="20"/>
  <c r="J225" i="20"/>
  <c r="L224" i="20"/>
  <c r="P229" i="8"/>
  <c r="G225" i="20" s="1"/>
  <c r="D229" i="8"/>
  <c r="H229" i="8" s="1"/>
  <c r="O230" i="8"/>
  <c r="N230" i="8"/>
  <c r="A231" i="8"/>
  <c r="N231" i="14"/>
  <c r="O231" i="14"/>
  <c r="A232" i="14"/>
  <c r="B247" i="37" s="1"/>
  <c r="A247" i="37" s="1"/>
  <c r="P230" i="14"/>
  <c r="E226" i="20" s="1"/>
  <c r="D230" i="14"/>
  <c r="H230" i="14" s="1"/>
  <c r="P222" i="38" l="1"/>
  <c r="H223" i="38"/>
  <c r="M223" i="38"/>
  <c r="G223" i="38"/>
  <c r="O223" i="38" s="1"/>
  <c r="L223" i="38"/>
  <c r="H225" i="20"/>
  <c r="Q223" i="38"/>
  <c r="D224" i="38"/>
  <c r="E224" i="38"/>
  <c r="I224" i="38" s="1"/>
  <c r="C224" i="38"/>
  <c r="C227" i="20"/>
  <c r="A225" i="38"/>
  <c r="B225" i="38" s="1"/>
  <c r="K225" i="38" s="1"/>
  <c r="M224" i="20"/>
  <c r="AG224" i="20"/>
  <c r="O224" i="20" s="1"/>
  <c r="AI224" i="20"/>
  <c r="Q224" i="20" s="1"/>
  <c r="AK224" i="20"/>
  <c r="S224" i="20" s="1"/>
  <c r="AC225" i="20"/>
  <c r="AE225" i="20"/>
  <c r="AA225" i="20"/>
  <c r="U225" i="20"/>
  <c r="W225" i="20"/>
  <c r="Y225" i="20"/>
  <c r="A227" i="20"/>
  <c r="C231" i="8"/>
  <c r="B231" i="8"/>
  <c r="C232" i="15"/>
  <c r="B232" i="15"/>
  <c r="F231" i="15"/>
  <c r="H230" i="15"/>
  <c r="K226" i="20" s="1"/>
  <c r="G231" i="15"/>
  <c r="F230" i="8"/>
  <c r="G230" i="8"/>
  <c r="G231" i="14"/>
  <c r="F231" i="14"/>
  <c r="C232" i="14"/>
  <c r="B232" i="14"/>
  <c r="P231" i="15"/>
  <c r="F227" i="20" s="1"/>
  <c r="D231" i="15"/>
  <c r="O232" i="15"/>
  <c r="N232" i="15"/>
  <c r="A233" i="15"/>
  <c r="J226" i="20"/>
  <c r="B228" i="20"/>
  <c r="L225" i="20"/>
  <c r="P230" i="8"/>
  <c r="G226" i="20" s="1"/>
  <c r="N231" i="8"/>
  <c r="A232" i="8"/>
  <c r="O231" i="8"/>
  <c r="D230" i="8"/>
  <c r="H230" i="8" s="1"/>
  <c r="P231" i="14"/>
  <c r="E227" i="20" s="1"/>
  <c r="N232" i="14"/>
  <c r="O232" i="14"/>
  <c r="A233" i="14"/>
  <c r="B248" i="37" s="1"/>
  <c r="A248" i="37" s="1"/>
  <c r="D231" i="14"/>
  <c r="H231" i="14" s="1"/>
  <c r="G224" i="38" l="1"/>
  <c r="O224" i="38" s="1"/>
  <c r="L224" i="38"/>
  <c r="H224" i="38"/>
  <c r="P224" i="38" s="1"/>
  <c r="M224" i="38"/>
  <c r="P223" i="38"/>
  <c r="H226" i="20"/>
  <c r="Q224" i="38"/>
  <c r="E225" i="38"/>
  <c r="I225" i="38" s="1"/>
  <c r="C225" i="38"/>
  <c r="D225" i="38"/>
  <c r="C228" i="20"/>
  <c r="A226" i="38"/>
  <c r="B226" i="38" s="1"/>
  <c r="K226" i="38" s="1"/>
  <c r="Y226" i="20"/>
  <c r="U226" i="20"/>
  <c r="W226" i="20"/>
  <c r="M225" i="20"/>
  <c r="AK225" i="20"/>
  <c r="S225" i="20" s="1"/>
  <c r="AG225" i="20"/>
  <c r="O225" i="20" s="1"/>
  <c r="AI225" i="20"/>
  <c r="Q225" i="20" s="1"/>
  <c r="AE226" i="20"/>
  <c r="AC226" i="20"/>
  <c r="AA226" i="20"/>
  <c r="A228" i="20"/>
  <c r="F232" i="15"/>
  <c r="G232" i="15"/>
  <c r="H231" i="15"/>
  <c r="K227" i="20" s="1"/>
  <c r="C232" i="8"/>
  <c r="B232" i="8"/>
  <c r="C233" i="15"/>
  <c r="B233" i="15"/>
  <c r="F231" i="8"/>
  <c r="G231" i="8"/>
  <c r="G232" i="14"/>
  <c r="F232" i="14"/>
  <c r="C233" i="14"/>
  <c r="B233" i="14"/>
  <c r="P232" i="15"/>
  <c r="F228" i="20" s="1"/>
  <c r="N233" i="15"/>
  <c r="A234" i="15"/>
  <c r="O233" i="15"/>
  <c r="D232" i="15"/>
  <c r="J227" i="20"/>
  <c r="L226" i="20"/>
  <c r="B229" i="20"/>
  <c r="D231" i="8"/>
  <c r="H231" i="8" s="1"/>
  <c r="N232" i="8"/>
  <c r="A233" i="8"/>
  <c r="O232" i="8"/>
  <c r="P231" i="8"/>
  <c r="G227" i="20" s="1"/>
  <c r="P232" i="14"/>
  <c r="E228" i="20" s="1"/>
  <c r="N233" i="14"/>
  <c r="O233" i="14"/>
  <c r="A234" i="14"/>
  <c r="B249" i="37" s="1"/>
  <c r="A249" i="37" s="1"/>
  <c r="D232" i="14"/>
  <c r="H232" i="14" s="1"/>
  <c r="H225" i="38" l="1"/>
  <c r="M225" i="38"/>
  <c r="G225" i="38"/>
  <c r="O225" i="38" s="1"/>
  <c r="L225" i="38"/>
  <c r="H227" i="20"/>
  <c r="Q225" i="38"/>
  <c r="D226" i="38"/>
  <c r="E226" i="38"/>
  <c r="I226" i="38" s="1"/>
  <c r="C226" i="38"/>
  <c r="C229" i="20"/>
  <c r="A227" i="38"/>
  <c r="B227" i="38" s="1"/>
  <c r="K227" i="38" s="1"/>
  <c r="M226" i="20"/>
  <c r="AG226" i="20"/>
  <c r="O226" i="20" s="1"/>
  <c r="AI226" i="20"/>
  <c r="Q226" i="20" s="1"/>
  <c r="AK226" i="20"/>
  <c r="S226" i="20" s="1"/>
  <c r="W227" i="20"/>
  <c r="Y227" i="20"/>
  <c r="U227" i="20"/>
  <c r="AC227" i="20"/>
  <c r="AA227" i="20"/>
  <c r="AE227" i="20"/>
  <c r="A229" i="20"/>
  <c r="F233" i="15"/>
  <c r="G233" i="15"/>
  <c r="H232" i="15"/>
  <c r="K228" i="20" s="1"/>
  <c r="C234" i="15"/>
  <c r="B234" i="15"/>
  <c r="C233" i="8"/>
  <c r="B233" i="8"/>
  <c r="F232" i="8"/>
  <c r="G232" i="8"/>
  <c r="G233" i="14"/>
  <c r="F233" i="14"/>
  <c r="C234" i="14"/>
  <c r="B234" i="14"/>
  <c r="A235" i="15"/>
  <c r="O234" i="15"/>
  <c r="N234" i="15"/>
  <c r="P233" i="15"/>
  <c r="F229" i="20" s="1"/>
  <c r="D233" i="15"/>
  <c r="B230" i="20"/>
  <c r="L227" i="20"/>
  <c r="J228" i="20"/>
  <c r="P232" i="8"/>
  <c r="G228" i="20" s="1"/>
  <c r="O233" i="8"/>
  <c r="A234" i="8"/>
  <c r="N233" i="8"/>
  <c r="D232" i="8"/>
  <c r="H232" i="8" s="1"/>
  <c r="P233" i="14"/>
  <c r="E229" i="20" s="1"/>
  <c r="N234" i="14"/>
  <c r="A235" i="14"/>
  <c r="B250" i="37" s="1"/>
  <c r="A250" i="37" s="1"/>
  <c r="O234" i="14"/>
  <c r="D233" i="14"/>
  <c r="H233" i="14" s="1"/>
  <c r="H226" i="38" l="1"/>
  <c r="M226" i="38"/>
  <c r="G226" i="38"/>
  <c r="O226" i="38" s="1"/>
  <c r="L226" i="38"/>
  <c r="P225" i="38"/>
  <c r="H228" i="20"/>
  <c r="Q226" i="38"/>
  <c r="D227" i="38"/>
  <c r="C227" i="38"/>
  <c r="E227" i="38"/>
  <c r="I227" i="38" s="1"/>
  <c r="C230" i="20"/>
  <c r="A228" i="38"/>
  <c r="B228" i="38" s="1"/>
  <c r="K228" i="38" s="1"/>
  <c r="Y228" i="20"/>
  <c r="W228" i="20"/>
  <c r="U228" i="20"/>
  <c r="M227" i="20"/>
  <c r="AG227" i="20"/>
  <c r="O227" i="20" s="1"/>
  <c r="AK227" i="20"/>
  <c r="S227" i="20" s="1"/>
  <c r="AI227" i="20"/>
  <c r="Q227" i="20" s="1"/>
  <c r="AA228" i="20"/>
  <c r="AE228" i="20"/>
  <c r="AC228" i="20"/>
  <c r="A230" i="20"/>
  <c r="B235" i="15"/>
  <c r="C235" i="15"/>
  <c r="B234" i="8"/>
  <c r="C234" i="8"/>
  <c r="F233" i="8"/>
  <c r="F234" i="15"/>
  <c r="G233" i="8"/>
  <c r="G234" i="15"/>
  <c r="H233" i="15"/>
  <c r="K229" i="20" s="1"/>
  <c r="G234" i="14"/>
  <c r="F234" i="14"/>
  <c r="C235" i="14"/>
  <c r="B235" i="14"/>
  <c r="P234" i="15"/>
  <c r="F230" i="20" s="1"/>
  <c r="D234" i="15"/>
  <c r="N235" i="15"/>
  <c r="O235" i="15"/>
  <c r="A236" i="15"/>
  <c r="L228" i="20"/>
  <c r="J229" i="20"/>
  <c r="B231" i="20"/>
  <c r="D233" i="8"/>
  <c r="H233" i="8" s="1"/>
  <c r="A235" i="8"/>
  <c r="N234" i="8"/>
  <c r="O234" i="8"/>
  <c r="P233" i="8"/>
  <c r="G229" i="20" s="1"/>
  <c r="N235" i="14"/>
  <c r="A236" i="14"/>
  <c r="B251" i="37" s="1"/>
  <c r="A251" i="37" s="1"/>
  <c r="O235" i="14"/>
  <c r="D234" i="14"/>
  <c r="H234" i="14" s="1"/>
  <c r="P234" i="14"/>
  <c r="E230" i="20" s="1"/>
  <c r="G227" i="38" l="1"/>
  <c r="O227" i="38" s="1"/>
  <c r="L227" i="38"/>
  <c r="H227" i="38"/>
  <c r="M227" i="38"/>
  <c r="P226" i="38"/>
  <c r="H229" i="20"/>
  <c r="Q227" i="38"/>
  <c r="C228" i="38"/>
  <c r="E228" i="38"/>
  <c r="I228" i="38" s="1"/>
  <c r="D228" i="38"/>
  <c r="C231" i="20"/>
  <c r="A229" i="38"/>
  <c r="B229" i="38" s="1"/>
  <c r="K229" i="38" s="1"/>
  <c r="M228" i="20"/>
  <c r="AK228" i="20"/>
  <c r="S228" i="20" s="1"/>
  <c r="AG228" i="20"/>
  <c r="O228" i="20" s="1"/>
  <c r="AI228" i="20"/>
  <c r="Q228" i="20" s="1"/>
  <c r="AC229" i="20"/>
  <c r="AE229" i="20"/>
  <c r="AA229" i="20"/>
  <c r="Y229" i="20"/>
  <c r="W229" i="20"/>
  <c r="U229" i="20"/>
  <c r="A231" i="20"/>
  <c r="G234" i="8"/>
  <c r="H234" i="15"/>
  <c r="K230" i="20" s="1"/>
  <c r="F234" i="8"/>
  <c r="G235" i="15"/>
  <c r="B235" i="8"/>
  <c r="C235" i="8"/>
  <c r="C236" i="15"/>
  <c r="B236" i="15"/>
  <c r="F235" i="15"/>
  <c r="G235" i="14"/>
  <c r="F235" i="14"/>
  <c r="C236" i="14"/>
  <c r="B236" i="14"/>
  <c r="A237" i="15"/>
  <c r="N236" i="15"/>
  <c r="O236" i="15"/>
  <c r="P235" i="15"/>
  <c r="F231" i="20" s="1"/>
  <c r="D235" i="15"/>
  <c r="J230" i="20"/>
  <c r="L229" i="20"/>
  <c r="B232" i="20"/>
  <c r="D234" i="8"/>
  <c r="H234" i="8" s="1"/>
  <c r="P234" i="8"/>
  <c r="G230" i="20" s="1"/>
  <c r="O235" i="8"/>
  <c r="N235" i="8"/>
  <c r="A236" i="8"/>
  <c r="N236" i="14"/>
  <c r="O236" i="14"/>
  <c r="A237" i="14"/>
  <c r="B252" i="37" s="1"/>
  <c r="A252" i="37" s="1"/>
  <c r="D235" i="14"/>
  <c r="H235" i="14" s="1"/>
  <c r="P235" i="14"/>
  <c r="E231" i="20" s="1"/>
  <c r="P227" i="38" l="1"/>
  <c r="H228" i="38"/>
  <c r="M228" i="38"/>
  <c r="G228" i="38"/>
  <c r="O228" i="38" s="1"/>
  <c r="L228" i="38"/>
  <c r="D229" i="38"/>
  <c r="M229" i="38" s="1"/>
  <c r="E229" i="38"/>
  <c r="C229" i="38"/>
  <c r="H230" i="20"/>
  <c r="Q228" i="38"/>
  <c r="I229" i="38"/>
  <c r="H229" i="38"/>
  <c r="C232" i="20"/>
  <c r="A230" i="38"/>
  <c r="B230" i="38" s="1"/>
  <c r="M229" i="20"/>
  <c r="AG229" i="20"/>
  <c r="O229" i="20" s="1"/>
  <c r="AK229" i="20"/>
  <c r="S229" i="20" s="1"/>
  <c r="AI229" i="20"/>
  <c r="Q229" i="20" s="1"/>
  <c r="W230" i="20"/>
  <c r="Y230" i="20"/>
  <c r="U230" i="20"/>
  <c r="AA230" i="20"/>
  <c r="AC230" i="20"/>
  <c r="AE230" i="20"/>
  <c r="A232" i="20"/>
  <c r="F236" i="15"/>
  <c r="G236" i="15"/>
  <c r="G235" i="8"/>
  <c r="C236" i="8"/>
  <c r="B236" i="8"/>
  <c r="F235" i="8"/>
  <c r="H235" i="15"/>
  <c r="K231" i="20" s="1"/>
  <c r="B237" i="15"/>
  <c r="C237" i="15"/>
  <c r="G236" i="14"/>
  <c r="F236" i="14"/>
  <c r="C237" i="14"/>
  <c r="B237" i="14"/>
  <c r="P236" i="15"/>
  <c r="F232" i="20" s="1"/>
  <c r="D236" i="15"/>
  <c r="N237" i="15"/>
  <c r="A238" i="15"/>
  <c r="O237" i="15"/>
  <c r="L230" i="20"/>
  <c r="B233" i="20"/>
  <c r="J231" i="20"/>
  <c r="D235" i="8"/>
  <c r="H235" i="8" s="1"/>
  <c r="O236" i="8"/>
  <c r="A237" i="8"/>
  <c r="N236" i="8"/>
  <c r="P235" i="8"/>
  <c r="G231" i="20" s="1"/>
  <c r="N237" i="14"/>
  <c r="O237" i="14"/>
  <c r="A238" i="14"/>
  <c r="B253" i="37" s="1"/>
  <c r="A253" i="37" s="1"/>
  <c r="P236" i="14"/>
  <c r="E232" i="20" s="1"/>
  <c r="D236" i="14"/>
  <c r="H236" i="14" s="1"/>
  <c r="K230" i="38" l="1"/>
  <c r="G229" i="38"/>
  <c r="O229" i="38" s="1"/>
  <c r="L229" i="38"/>
  <c r="P229" i="38" s="1"/>
  <c r="P228" i="38"/>
  <c r="H231" i="20"/>
  <c r="Q229" i="38"/>
  <c r="D230" i="38"/>
  <c r="C230" i="38"/>
  <c r="E230" i="38"/>
  <c r="I230" i="38" s="1"/>
  <c r="C233" i="20"/>
  <c r="A231" i="38"/>
  <c r="B231" i="38" s="1"/>
  <c r="M230" i="20"/>
  <c r="AI230" i="20"/>
  <c r="Q230" i="20" s="1"/>
  <c r="AK230" i="20"/>
  <c r="S230" i="20" s="1"/>
  <c r="AG230" i="20"/>
  <c r="O230" i="20" s="1"/>
  <c r="AC231" i="20"/>
  <c r="AA231" i="20"/>
  <c r="AE231" i="20"/>
  <c r="Y231" i="20"/>
  <c r="U231" i="20"/>
  <c r="W231" i="20"/>
  <c r="A233" i="20"/>
  <c r="G237" i="15"/>
  <c r="F237" i="15"/>
  <c r="C237" i="8"/>
  <c r="B237" i="8"/>
  <c r="F236" i="8"/>
  <c r="G236" i="8"/>
  <c r="B238" i="15"/>
  <c r="C238" i="15"/>
  <c r="H236" i="15"/>
  <c r="K232" i="20" s="1"/>
  <c r="G237" i="14"/>
  <c r="F237" i="14"/>
  <c r="C238" i="14"/>
  <c r="B238" i="14"/>
  <c r="A239" i="15"/>
  <c r="O238" i="15"/>
  <c r="N238" i="15"/>
  <c r="P237" i="15"/>
  <c r="F233" i="20" s="1"/>
  <c r="D237" i="15"/>
  <c r="B234" i="20"/>
  <c r="J232" i="20"/>
  <c r="L231" i="20"/>
  <c r="P236" i="8"/>
  <c r="G232" i="20" s="1"/>
  <c r="D236" i="8"/>
  <c r="H236" i="8" s="1"/>
  <c r="O237" i="8"/>
  <c r="N237" i="8"/>
  <c r="A238" i="8"/>
  <c r="D237" i="14"/>
  <c r="H237" i="14" s="1"/>
  <c r="N238" i="14"/>
  <c r="O238" i="14"/>
  <c r="A239" i="14"/>
  <c r="B254" i="37" s="1"/>
  <c r="A254" i="37" s="1"/>
  <c r="P237" i="14"/>
  <c r="E233" i="20" s="1"/>
  <c r="G230" i="38" l="1"/>
  <c r="O230" i="38" s="1"/>
  <c r="L230" i="38"/>
  <c r="K231" i="38"/>
  <c r="H230" i="38"/>
  <c r="M230" i="38"/>
  <c r="H232" i="20"/>
  <c r="E231" i="38"/>
  <c r="I231" i="38" s="1"/>
  <c r="D231" i="38"/>
  <c r="C231" i="38"/>
  <c r="C234" i="20"/>
  <c r="A232" i="38"/>
  <c r="B232" i="38" s="1"/>
  <c r="M231" i="20"/>
  <c r="AG231" i="20"/>
  <c r="O231" i="20" s="1"/>
  <c r="AI231" i="20"/>
  <c r="Q231" i="20" s="1"/>
  <c r="AK231" i="20"/>
  <c r="S231" i="20" s="1"/>
  <c r="AE232" i="20"/>
  <c r="AC232" i="20"/>
  <c r="AA232" i="20"/>
  <c r="U232" i="20"/>
  <c r="Y232" i="20"/>
  <c r="W232" i="20"/>
  <c r="A234" i="20"/>
  <c r="C238" i="8"/>
  <c r="B238" i="8"/>
  <c r="G238" i="15"/>
  <c r="H237" i="15"/>
  <c r="K233" i="20" s="1"/>
  <c r="F238" i="15"/>
  <c r="B239" i="15"/>
  <c r="C239" i="15"/>
  <c r="F237" i="8"/>
  <c r="G237" i="8"/>
  <c r="G238" i="14"/>
  <c r="F238" i="14"/>
  <c r="B239" i="14"/>
  <c r="C239" i="14"/>
  <c r="P238" i="15"/>
  <c r="F234" i="20" s="1"/>
  <c r="D238" i="15"/>
  <c r="O239" i="15"/>
  <c r="A240" i="15"/>
  <c r="N239" i="15"/>
  <c r="L232" i="20"/>
  <c r="J233" i="20"/>
  <c r="B235" i="20"/>
  <c r="A239" i="8"/>
  <c r="N238" i="8"/>
  <c r="O238" i="8"/>
  <c r="P237" i="8"/>
  <c r="G233" i="20" s="1"/>
  <c r="D237" i="8"/>
  <c r="H237" i="8" s="1"/>
  <c r="D238" i="14"/>
  <c r="H238" i="14" s="1"/>
  <c r="P238" i="14"/>
  <c r="E234" i="20" s="1"/>
  <c r="N239" i="14"/>
  <c r="O239" i="14"/>
  <c r="A240" i="14"/>
  <c r="B255" i="37" s="1"/>
  <c r="A255" i="37" s="1"/>
  <c r="P230" i="38" l="1"/>
  <c r="K232" i="38"/>
  <c r="G231" i="38"/>
  <c r="O231" i="38" s="1"/>
  <c r="L231" i="38"/>
  <c r="H231" i="38"/>
  <c r="M231" i="38"/>
  <c r="Q230" i="38"/>
  <c r="H233" i="20"/>
  <c r="Q231" i="38"/>
  <c r="E232" i="38"/>
  <c r="I232" i="38" s="1"/>
  <c r="D232" i="38"/>
  <c r="C232" i="38"/>
  <c r="C235" i="20"/>
  <c r="A233" i="38"/>
  <c r="B233" i="38" s="1"/>
  <c r="W233" i="20"/>
  <c r="U233" i="20"/>
  <c r="Y233" i="20"/>
  <c r="M232" i="20"/>
  <c r="AK232" i="20"/>
  <c r="S232" i="20" s="1"/>
  <c r="AG232" i="20"/>
  <c r="O232" i="20" s="1"/>
  <c r="AI232" i="20"/>
  <c r="Q232" i="20" s="1"/>
  <c r="AC233" i="20"/>
  <c r="AA233" i="20"/>
  <c r="AE233" i="20"/>
  <c r="A235" i="20"/>
  <c r="F239" i="15"/>
  <c r="G239" i="15"/>
  <c r="B239" i="8"/>
  <c r="C239" i="8"/>
  <c r="F238" i="8"/>
  <c r="G238" i="8"/>
  <c r="C240" i="15"/>
  <c r="B240" i="15"/>
  <c r="H238" i="15"/>
  <c r="K234" i="20" s="1"/>
  <c r="G239" i="14"/>
  <c r="F239" i="14"/>
  <c r="C240" i="14"/>
  <c r="B240" i="14"/>
  <c r="P239" i="15"/>
  <c r="F235" i="20" s="1"/>
  <c r="D239" i="15"/>
  <c r="A241" i="15"/>
  <c r="N240" i="15"/>
  <c r="O240" i="15"/>
  <c r="P238" i="8"/>
  <c r="G234" i="20" s="1"/>
  <c r="J234" i="20"/>
  <c r="B236" i="20"/>
  <c r="L233" i="20"/>
  <c r="O239" i="8"/>
  <c r="N239" i="8"/>
  <c r="A240" i="8"/>
  <c r="D238" i="8"/>
  <c r="H238" i="8" s="1"/>
  <c r="N240" i="14"/>
  <c r="O240" i="14"/>
  <c r="A241" i="14"/>
  <c r="B256" i="37" s="1"/>
  <c r="A256" i="37" s="1"/>
  <c r="D239" i="14"/>
  <c r="H239" i="14" s="1"/>
  <c r="P239" i="14"/>
  <c r="E235" i="20" s="1"/>
  <c r="K233" i="38" l="1"/>
  <c r="H232" i="38"/>
  <c r="M232" i="38"/>
  <c r="G232" i="38"/>
  <c r="O232" i="38" s="1"/>
  <c r="L232" i="38"/>
  <c r="P231" i="38"/>
  <c r="H234" i="20"/>
  <c r="Q232" i="38"/>
  <c r="E233" i="38"/>
  <c r="I233" i="38" s="1"/>
  <c r="C233" i="38"/>
  <c r="D233" i="38"/>
  <c r="C236" i="20"/>
  <c r="A234" i="38"/>
  <c r="B234" i="38" s="1"/>
  <c r="M233" i="20"/>
  <c r="AK233" i="20"/>
  <c r="S233" i="20" s="1"/>
  <c r="AI233" i="20"/>
  <c r="Q233" i="20" s="1"/>
  <c r="AG233" i="20"/>
  <c r="O233" i="20" s="1"/>
  <c r="W234" i="20"/>
  <c r="Y234" i="20"/>
  <c r="U234" i="20"/>
  <c r="AA234" i="20"/>
  <c r="AE234" i="20"/>
  <c r="AC234" i="20"/>
  <c r="A236" i="20"/>
  <c r="G240" i="15"/>
  <c r="F240" i="15"/>
  <c r="G239" i="8"/>
  <c r="C240" i="8"/>
  <c r="B240" i="8"/>
  <c r="F239" i="8"/>
  <c r="C241" i="15"/>
  <c r="B241" i="15"/>
  <c r="H239" i="15"/>
  <c r="K235" i="20" s="1"/>
  <c r="G240" i="14"/>
  <c r="F240" i="14"/>
  <c r="C241" i="14"/>
  <c r="B241" i="14"/>
  <c r="P240" i="15"/>
  <c r="F236" i="20" s="1"/>
  <c r="O241" i="15"/>
  <c r="N241" i="15"/>
  <c r="A242" i="15"/>
  <c r="D240" i="15"/>
  <c r="B237" i="20"/>
  <c r="J235" i="20"/>
  <c r="L234" i="20"/>
  <c r="P239" i="8"/>
  <c r="G235" i="20" s="1"/>
  <c r="N240" i="8"/>
  <c r="O240" i="8"/>
  <c r="A241" i="8"/>
  <c r="D239" i="8"/>
  <c r="H239" i="8" s="1"/>
  <c r="N241" i="14"/>
  <c r="O241" i="14"/>
  <c r="A242" i="14"/>
  <c r="B257" i="37" s="1"/>
  <c r="A257" i="37" s="1"/>
  <c r="P240" i="14"/>
  <c r="E236" i="20" s="1"/>
  <c r="D240" i="14"/>
  <c r="H240" i="14" s="1"/>
  <c r="G233" i="38" l="1"/>
  <c r="O233" i="38" s="1"/>
  <c r="L233" i="38"/>
  <c r="H233" i="38"/>
  <c r="M233" i="38"/>
  <c r="P232" i="38"/>
  <c r="K234" i="38"/>
  <c r="H235" i="20"/>
  <c r="Q233" i="38"/>
  <c r="D234" i="38"/>
  <c r="E234" i="38"/>
  <c r="I234" i="38" s="1"/>
  <c r="C234" i="38"/>
  <c r="C237" i="20"/>
  <c r="A235" i="38"/>
  <c r="B235" i="38" s="1"/>
  <c r="AC235" i="20"/>
  <c r="AA235" i="20"/>
  <c r="AE235" i="20"/>
  <c r="M234" i="20"/>
  <c r="AI234" i="20"/>
  <c r="Q234" i="20" s="1"/>
  <c r="AK234" i="20"/>
  <c r="S234" i="20" s="1"/>
  <c r="AG234" i="20"/>
  <c r="O234" i="20" s="1"/>
  <c r="Y235" i="20"/>
  <c r="W235" i="20"/>
  <c r="U235" i="20"/>
  <c r="A237" i="20"/>
  <c r="C241" i="8"/>
  <c r="B241" i="8"/>
  <c r="F241" i="15"/>
  <c r="G241" i="15"/>
  <c r="F240" i="8"/>
  <c r="C242" i="15"/>
  <c r="B242" i="15"/>
  <c r="G240" i="8"/>
  <c r="H240" i="15"/>
  <c r="K236" i="20" s="1"/>
  <c r="G241" i="14"/>
  <c r="F241" i="14"/>
  <c r="C242" i="14"/>
  <c r="B242" i="14"/>
  <c r="D241" i="15"/>
  <c r="A243" i="15"/>
  <c r="N242" i="15"/>
  <c r="O242" i="15"/>
  <c r="P241" i="15"/>
  <c r="F237" i="20" s="1"/>
  <c r="L235" i="20"/>
  <c r="J236" i="20"/>
  <c r="B238" i="20"/>
  <c r="P240" i="8"/>
  <c r="G236" i="20" s="1"/>
  <c r="D240" i="8"/>
  <c r="H240" i="8" s="1"/>
  <c r="A242" i="8"/>
  <c r="O241" i="8"/>
  <c r="N241" i="8"/>
  <c r="N242" i="14"/>
  <c r="A243" i="14"/>
  <c r="B258" i="37" s="1"/>
  <c r="A258" i="37" s="1"/>
  <c r="O242" i="14"/>
  <c r="D241" i="14"/>
  <c r="H241" i="14" s="1"/>
  <c r="P241" i="14"/>
  <c r="E237" i="20" s="1"/>
  <c r="P233" i="38" l="1"/>
  <c r="G234" i="38"/>
  <c r="O234" i="38" s="1"/>
  <c r="L234" i="38"/>
  <c r="K235" i="38"/>
  <c r="H234" i="38"/>
  <c r="P234" i="38" s="1"/>
  <c r="M234" i="38"/>
  <c r="H236" i="20"/>
  <c r="Q234" i="38"/>
  <c r="C235" i="38"/>
  <c r="E235" i="38"/>
  <c r="I235" i="38" s="1"/>
  <c r="D235" i="38"/>
  <c r="C238" i="20"/>
  <c r="A236" i="38"/>
  <c r="B236" i="38" s="1"/>
  <c r="AE236" i="20"/>
  <c r="AA236" i="20"/>
  <c r="AC236" i="20"/>
  <c r="W236" i="20"/>
  <c r="Y236" i="20"/>
  <c r="U236" i="20"/>
  <c r="M235" i="20"/>
  <c r="AG235" i="20"/>
  <c r="O235" i="20" s="1"/>
  <c r="AK235" i="20"/>
  <c r="S235" i="20" s="1"/>
  <c r="AI235" i="20"/>
  <c r="Q235" i="20" s="1"/>
  <c r="A238" i="20"/>
  <c r="G242" i="15"/>
  <c r="F242" i="15"/>
  <c r="F241" i="8"/>
  <c r="C242" i="8"/>
  <c r="B242" i="8"/>
  <c r="G241" i="8"/>
  <c r="B243" i="15"/>
  <c r="C243" i="15"/>
  <c r="H241" i="15"/>
  <c r="K237" i="20" s="1"/>
  <c r="G242" i="14"/>
  <c r="F242" i="14"/>
  <c r="C243" i="14"/>
  <c r="B243" i="14"/>
  <c r="P242" i="15"/>
  <c r="F238" i="20" s="1"/>
  <c r="D242" i="15"/>
  <c r="N243" i="15"/>
  <c r="O243" i="15"/>
  <c r="A244" i="15"/>
  <c r="L236" i="20"/>
  <c r="J237" i="20"/>
  <c r="B239" i="20"/>
  <c r="P241" i="8"/>
  <c r="G237" i="20" s="1"/>
  <c r="D241" i="8"/>
  <c r="H241" i="8" s="1"/>
  <c r="O242" i="8"/>
  <c r="A243" i="8"/>
  <c r="N242" i="8"/>
  <c r="O243" i="14"/>
  <c r="A244" i="14"/>
  <c r="B259" i="37" s="1"/>
  <c r="A259" i="37" s="1"/>
  <c r="N243" i="14"/>
  <c r="D242" i="14"/>
  <c r="H242" i="14" s="1"/>
  <c r="P242" i="14"/>
  <c r="E238" i="20" s="1"/>
  <c r="H235" i="38" l="1"/>
  <c r="M235" i="38"/>
  <c r="K236" i="38"/>
  <c r="G235" i="38"/>
  <c r="O235" i="38" s="1"/>
  <c r="L235" i="38"/>
  <c r="H237" i="20"/>
  <c r="Q235" i="38"/>
  <c r="C236" i="38"/>
  <c r="E236" i="38"/>
  <c r="I236" i="38" s="1"/>
  <c r="D236" i="38"/>
  <c r="C239" i="20"/>
  <c r="A237" i="38"/>
  <c r="B237" i="38" s="1"/>
  <c r="AE237" i="20"/>
  <c r="AC237" i="20"/>
  <c r="AA237" i="20"/>
  <c r="Y237" i="20"/>
  <c r="W237" i="20"/>
  <c r="U237" i="20"/>
  <c r="M236" i="20"/>
  <c r="AG236" i="20"/>
  <c r="O236" i="20" s="1"/>
  <c r="AI236" i="20"/>
  <c r="Q236" i="20" s="1"/>
  <c r="AK236" i="20"/>
  <c r="S236" i="20" s="1"/>
  <c r="A239" i="20"/>
  <c r="F243" i="15"/>
  <c r="G243" i="15"/>
  <c r="F242" i="8"/>
  <c r="G242" i="8"/>
  <c r="B243" i="8"/>
  <c r="C243" i="8"/>
  <c r="C244" i="15"/>
  <c r="B244" i="15"/>
  <c r="H242" i="15"/>
  <c r="K238" i="20" s="1"/>
  <c r="G243" i="14"/>
  <c r="F243" i="14"/>
  <c r="C244" i="14"/>
  <c r="B244" i="14"/>
  <c r="D243" i="15"/>
  <c r="P243" i="15"/>
  <c r="F239" i="20" s="1"/>
  <c r="N244" i="15"/>
  <c r="A245" i="15"/>
  <c r="O244" i="15"/>
  <c r="L237" i="20"/>
  <c r="J238" i="20"/>
  <c r="B240" i="20"/>
  <c r="P242" i="8"/>
  <c r="G238" i="20" s="1"/>
  <c r="P243" i="14"/>
  <c r="E239" i="20" s="1"/>
  <c r="A244" i="8"/>
  <c r="N243" i="8"/>
  <c r="O243" i="8"/>
  <c r="D242" i="8"/>
  <c r="H242" i="8" s="1"/>
  <c r="N244" i="14"/>
  <c r="O244" i="14"/>
  <c r="A245" i="14"/>
  <c r="B260" i="37" s="1"/>
  <c r="A260" i="37" s="1"/>
  <c r="D243" i="14"/>
  <c r="H243" i="14" s="1"/>
  <c r="G236" i="38" l="1"/>
  <c r="O236" i="38" s="1"/>
  <c r="L236" i="38"/>
  <c r="K237" i="38"/>
  <c r="H236" i="38"/>
  <c r="P236" i="38" s="1"/>
  <c r="M236" i="38"/>
  <c r="P235" i="38"/>
  <c r="H238" i="20"/>
  <c r="Q236" i="38"/>
  <c r="C237" i="38"/>
  <c r="E237" i="38"/>
  <c r="I237" i="38" s="1"/>
  <c r="D237" i="38"/>
  <c r="C240" i="20"/>
  <c r="A238" i="38"/>
  <c r="B238" i="38" s="1"/>
  <c r="AC238" i="20"/>
  <c r="AE238" i="20"/>
  <c r="AA238" i="20"/>
  <c r="U238" i="20"/>
  <c r="W238" i="20"/>
  <c r="Y238" i="20"/>
  <c r="M237" i="20"/>
  <c r="AG237" i="20"/>
  <c r="O237" i="20" s="1"/>
  <c r="AI237" i="20"/>
  <c r="Q237" i="20" s="1"/>
  <c r="AK237" i="20"/>
  <c r="S237" i="20" s="1"/>
  <c r="A240" i="20"/>
  <c r="F244" i="15"/>
  <c r="G244" i="15"/>
  <c r="G243" i="8"/>
  <c r="F243" i="8"/>
  <c r="C244" i="8"/>
  <c r="B244" i="8"/>
  <c r="B245" i="15"/>
  <c r="C245" i="15"/>
  <c r="H243" i="15"/>
  <c r="K239" i="20" s="1"/>
  <c r="G244" i="14"/>
  <c r="F244" i="14"/>
  <c r="C245" i="14"/>
  <c r="B245" i="14"/>
  <c r="O245" i="15"/>
  <c r="A246" i="15"/>
  <c r="N245" i="15"/>
  <c r="D244" i="15"/>
  <c r="P244" i="15"/>
  <c r="F240" i="20" s="1"/>
  <c r="L238" i="20"/>
  <c r="J239" i="20"/>
  <c r="B241" i="20"/>
  <c r="P243" i="8"/>
  <c r="G239" i="20" s="1"/>
  <c r="O244" i="8"/>
  <c r="N244" i="8"/>
  <c r="A245" i="8"/>
  <c r="D243" i="8"/>
  <c r="H243" i="8" s="1"/>
  <c r="N245" i="14"/>
  <c r="A246" i="14"/>
  <c r="B261" i="37" s="1"/>
  <c r="A261" i="37" s="1"/>
  <c r="O245" i="14"/>
  <c r="D244" i="14"/>
  <c r="H244" i="14" s="1"/>
  <c r="P244" i="14"/>
  <c r="E240" i="20" s="1"/>
  <c r="K238" i="38" l="1"/>
  <c r="H237" i="38"/>
  <c r="M237" i="38"/>
  <c r="G237" i="38"/>
  <c r="O237" i="38" s="1"/>
  <c r="L237" i="38"/>
  <c r="H239" i="20"/>
  <c r="Q237" i="38"/>
  <c r="D238" i="38"/>
  <c r="C238" i="38"/>
  <c r="E238" i="38"/>
  <c r="I238" i="38" s="1"/>
  <c r="C241" i="20"/>
  <c r="A239" i="38"/>
  <c r="B239" i="38" s="1"/>
  <c r="M238" i="20"/>
  <c r="AG238" i="20"/>
  <c r="O238" i="20" s="1"/>
  <c r="AI238" i="20"/>
  <c r="Q238" i="20" s="1"/>
  <c r="AK238" i="20"/>
  <c r="S238" i="20" s="1"/>
  <c r="AE239" i="20"/>
  <c r="AC239" i="20"/>
  <c r="AA239" i="20"/>
  <c r="U239" i="20"/>
  <c r="W239" i="20"/>
  <c r="Y239" i="20"/>
  <c r="A241" i="20"/>
  <c r="F245" i="15"/>
  <c r="G245" i="15"/>
  <c r="C245" i="8"/>
  <c r="B245" i="8"/>
  <c r="G244" i="8"/>
  <c r="H244" i="15"/>
  <c r="K240" i="20" s="1"/>
  <c r="F244" i="8"/>
  <c r="B246" i="15"/>
  <c r="C246" i="15"/>
  <c r="G245" i="14"/>
  <c r="F245" i="14"/>
  <c r="C246" i="14"/>
  <c r="B246" i="14"/>
  <c r="P245" i="15"/>
  <c r="F241" i="20" s="1"/>
  <c r="D245" i="15"/>
  <c r="A247" i="15"/>
  <c r="O246" i="15"/>
  <c r="N246" i="15"/>
  <c r="J240" i="20"/>
  <c r="B242" i="20"/>
  <c r="L239" i="20"/>
  <c r="O245" i="8"/>
  <c r="A246" i="8"/>
  <c r="N245" i="8"/>
  <c r="P244" i="8"/>
  <c r="G240" i="20" s="1"/>
  <c r="D244" i="8"/>
  <c r="H244" i="8" s="1"/>
  <c r="N246" i="14"/>
  <c r="O246" i="14"/>
  <c r="A247" i="14"/>
  <c r="B262" i="37" s="1"/>
  <c r="A262" i="37" s="1"/>
  <c r="D245" i="14"/>
  <c r="H245" i="14" s="1"/>
  <c r="P245" i="14"/>
  <c r="E241" i="20" s="1"/>
  <c r="K239" i="38" l="1"/>
  <c r="H238" i="38"/>
  <c r="M238" i="38"/>
  <c r="P237" i="38"/>
  <c r="G238" i="38"/>
  <c r="O238" i="38" s="1"/>
  <c r="L238" i="38"/>
  <c r="H240" i="20"/>
  <c r="Q238" i="38"/>
  <c r="C239" i="38"/>
  <c r="D239" i="38"/>
  <c r="E239" i="38"/>
  <c r="I239" i="38" s="1"/>
  <c r="C242" i="20"/>
  <c r="A240" i="38"/>
  <c r="B240" i="38" s="1"/>
  <c r="W240" i="20"/>
  <c r="U240" i="20"/>
  <c r="Y240" i="20"/>
  <c r="M239" i="20"/>
  <c r="AK239" i="20"/>
  <c r="S239" i="20" s="1"/>
  <c r="AI239" i="20"/>
  <c r="Q239" i="20" s="1"/>
  <c r="AG239" i="20"/>
  <c r="O239" i="20" s="1"/>
  <c r="AA240" i="20"/>
  <c r="AC240" i="20"/>
  <c r="AE240" i="20"/>
  <c r="A242" i="20"/>
  <c r="G246" i="15"/>
  <c r="F246" i="15"/>
  <c r="C246" i="8"/>
  <c r="B246" i="8"/>
  <c r="C247" i="15"/>
  <c r="B247" i="15"/>
  <c r="F245" i="8"/>
  <c r="H245" i="15"/>
  <c r="K241" i="20" s="1"/>
  <c r="G245" i="8"/>
  <c r="G246" i="14"/>
  <c r="F246" i="14"/>
  <c r="B247" i="14"/>
  <c r="C247" i="14"/>
  <c r="P246" i="15"/>
  <c r="F242" i="20" s="1"/>
  <c r="D246" i="15"/>
  <c r="N247" i="15"/>
  <c r="A248" i="15"/>
  <c r="O247" i="15"/>
  <c r="J241" i="20"/>
  <c r="L240" i="20"/>
  <c r="B243" i="20"/>
  <c r="P245" i="8"/>
  <c r="G241" i="20" s="1"/>
  <c r="A247" i="8"/>
  <c r="N246" i="8"/>
  <c r="O246" i="8"/>
  <c r="D245" i="8"/>
  <c r="H245" i="8" s="1"/>
  <c r="D246" i="14"/>
  <c r="H246" i="14" s="1"/>
  <c r="N247" i="14"/>
  <c r="A248" i="14"/>
  <c r="B263" i="37" s="1"/>
  <c r="A263" i="37" s="1"/>
  <c r="O247" i="14"/>
  <c r="P246" i="14"/>
  <c r="E242" i="20" s="1"/>
  <c r="G239" i="38" l="1"/>
  <c r="O239" i="38" s="1"/>
  <c r="L239" i="38"/>
  <c r="P238" i="38"/>
  <c r="K240" i="38"/>
  <c r="H239" i="38"/>
  <c r="P239" i="38" s="1"/>
  <c r="M239" i="38"/>
  <c r="H241" i="20"/>
  <c r="Q239" i="38"/>
  <c r="C240" i="38"/>
  <c r="E240" i="38"/>
  <c r="I240" i="38" s="1"/>
  <c r="D240" i="38"/>
  <c r="C243" i="20"/>
  <c r="A241" i="38"/>
  <c r="B241" i="38" s="1"/>
  <c r="M240" i="20"/>
  <c r="AI240" i="20"/>
  <c r="Q240" i="20" s="1"/>
  <c r="AK240" i="20"/>
  <c r="S240" i="20" s="1"/>
  <c r="AG240" i="20"/>
  <c r="O240" i="20" s="1"/>
  <c r="AE241" i="20"/>
  <c r="AA241" i="20"/>
  <c r="AC241" i="20"/>
  <c r="Y241" i="20"/>
  <c r="U241" i="20"/>
  <c r="W241" i="20"/>
  <c r="A243" i="20"/>
  <c r="G247" i="15"/>
  <c r="F247" i="15"/>
  <c r="C247" i="8"/>
  <c r="B247" i="8"/>
  <c r="C248" i="15"/>
  <c r="B248" i="15"/>
  <c r="F246" i="8"/>
  <c r="G246" i="8"/>
  <c r="H246" i="15"/>
  <c r="K242" i="20" s="1"/>
  <c r="G247" i="14"/>
  <c r="F247" i="14"/>
  <c r="C248" i="14"/>
  <c r="B248" i="14"/>
  <c r="O248" i="15"/>
  <c r="N248" i="15"/>
  <c r="A249" i="15"/>
  <c r="D247" i="15"/>
  <c r="P247" i="15"/>
  <c r="F243" i="20" s="1"/>
  <c r="J242" i="20"/>
  <c r="L241" i="20"/>
  <c r="B244" i="20"/>
  <c r="P246" i="8"/>
  <c r="G242" i="20" s="1"/>
  <c r="D246" i="8"/>
  <c r="H246" i="8" s="1"/>
  <c r="N247" i="8"/>
  <c r="A248" i="8"/>
  <c r="O247" i="8"/>
  <c r="D247" i="14"/>
  <c r="H247" i="14" s="1"/>
  <c r="N248" i="14"/>
  <c r="O248" i="14"/>
  <c r="A249" i="14"/>
  <c r="B264" i="37" s="1"/>
  <c r="A264" i="37" s="1"/>
  <c r="P247" i="14"/>
  <c r="E243" i="20" s="1"/>
  <c r="K241" i="38" l="1"/>
  <c r="H240" i="38"/>
  <c r="M240" i="38"/>
  <c r="G240" i="38"/>
  <c r="O240" i="38" s="1"/>
  <c r="L240" i="38"/>
  <c r="H242" i="20"/>
  <c r="Q240" i="38"/>
  <c r="D241" i="38"/>
  <c r="E241" i="38"/>
  <c r="I241" i="38" s="1"/>
  <c r="C241" i="38"/>
  <c r="C244" i="20"/>
  <c r="A242" i="38"/>
  <c r="B242" i="38" s="1"/>
  <c r="M241" i="20"/>
  <c r="AG241" i="20"/>
  <c r="O241" i="20" s="1"/>
  <c r="AI241" i="20"/>
  <c r="Q241" i="20" s="1"/>
  <c r="AK241" i="20"/>
  <c r="S241" i="20" s="1"/>
  <c r="W242" i="20"/>
  <c r="U242" i="20"/>
  <c r="Y242" i="20"/>
  <c r="AC242" i="20"/>
  <c r="AA242" i="20"/>
  <c r="AE242" i="20"/>
  <c r="A244" i="20"/>
  <c r="G248" i="15"/>
  <c r="F248" i="15"/>
  <c r="F247" i="8"/>
  <c r="G247" i="8"/>
  <c r="B249" i="15"/>
  <c r="C249" i="15"/>
  <c r="B248" i="8"/>
  <c r="C248" i="8"/>
  <c r="H247" i="15"/>
  <c r="K243" i="20" s="1"/>
  <c r="G248" i="14"/>
  <c r="F248" i="14"/>
  <c r="C249" i="14"/>
  <c r="B249" i="14"/>
  <c r="P248" i="15"/>
  <c r="F244" i="20" s="1"/>
  <c r="N249" i="15"/>
  <c r="O249" i="15"/>
  <c r="A250" i="15"/>
  <c r="D248" i="15"/>
  <c r="J243" i="20"/>
  <c r="B245" i="20"/>
  <c r="L242" i="20"/>
  <c r="A249" i="8"/>
  <c r="O248" i="8"/>
  <c r="N248" i="8"/>
  <c r="P247" i="8"/>
  <c r="G243" i="20" s="1"/>
  <c r="D247" i="8"/>
  <c r="H247" i="8" s="1"/>
  <c r="A250" i="14"/>
  <c r="B265" i="37" s="1"/>
  <c r="A265" i="37" s="1"/>
  <c r="N249" i="14"/>
  <c r="O249" i="14"/>
  <c r="P248" i="14"/>
  <c r="E244" i="20" s="1"/>
  <c r="D248" i="14"/>
  <c r="H248" i="14" s="1"/>
  <c r="G241" i="38" l="1"/>
  <c r="O241" i="38" s="1"/>
  <c r="L241" i="38"/>
  <c r="P240" i="38"/>
  <c r="K242" i="38"/>
  <c r="H241" i="38"/>
  <c r="P241" i="38" s="1"/>
  <c r="M241" i="38"/>
  <c r="Q241" i="38" s="1"/>
  <c r="H243" i="20"/>
  <c r="E242" i="38"/>
  <c r="I242" i="38" s="1"/>
  <c r="D242" i="38"/>
  <c r="C242" i="38"/>
  <c r="C245" i="20"/>
  <c r="A243" i="38"/>
  <c r="B243" i="38" s="1"/>
  <c r="W243" i="20"/>
  <c r="U243" i="20"/>
  <c r="Y243" i="20"/>
  <c r="AA243" i="20"/>
  <c r="AE243" i="20"/>
  <c r="AC243" i="20"/>
  <c r="M242" i="20"/>
  <c r="AG242" i="20"/>
  <c r="O242" i="20" s="1"/>
  <c r="AI242" i="20"/>
  <c r="Q242" i="20" s="1"/>
  <c r="AK242" i="20"/>
  <c r="S242" i="20" s="1"/>
  <c r="A245" i="20"/>
  <c r="F249" i="15"/>
  <c r="G249" i="15"/>
  <c r="F248" i="8"/>
  <c r="G248" i="8"/>
  <c r="C249" i="8"/>
  <c r="B249" i="8"/>
  <c r="C250" i="15"/>
  <c r="B250" i="15"/>
  <c r="H248" i="15"/>
  <c r="K244" i="20" s="1"/>
  <c r="G249" i="14"/>
  <c r="F249" i="14"/>
  <c r="C250" i="14"/>
  <c r="B250" i="14"/>
  <c r="O250" i="15"/>
  <c r="N250" i="15"/>
  <c r="A251" i="15"/>
  <c r="D249" i="15"/>
  <c r="P249" i="15"/>
  <c r="F245" i="20" s="1"/>
  <c r="B246" i="20"/>
  <c r="J244" i="20"/>
  <c r="L243" i="20"/>
  <c r="D248" i="8"/>
  <c r="H248" i="8" s="1"/>
  <c r="A250" i="8"/>
  <c r="N249" i="8"/>
  <c r="O249" i="8"/>
  <c r="P248" i="8"/>
  <c r="G244" i="20" s="1"/>
  <c r="P249" i="14"/>
  <c r="E245" i="20" s="1"/>
  <c r="N250" i="14"/>
  <c r="O250" i="14"/>
  <c r="A251" i="14"/>
  <c r="B266" i="37" s="1"/>
  <c r="A266" i="37" s="1"/>
  <c r="D249" i="14"/>
  <c r="H249" i="14" s="1"/>
  <c r="H242" i="38" l="1"/>
  <c r="M242" i="38"/>
  <c r="K243" i="38"/>
  <c r="G242" i="38"/>
  <c r="O242" i="38" s="1"/>
  <c r="L242" i="38"/>
  <c r="H244" i="20"/>
  <c r="Q242" i="38"/>
  <c r="C243" i="38"/>
  <c r="E243" i="38"/>
  <c r="I243" i="38" s="1"/>
  <c r="D243" i="38"/>
  <c r="C246" i="20"/>
  <c r="A244" i="38"/>
  <c r="B244" i="38" s="1"/>
  <c r="AC244" i="20"/>
  <c r="AA244" i="20"/>
  <c r="AE244" i="20"/>
  <c r="M243" i="20"/>
  <c r="AI243" i="20"/>
  <c r="Q243" i="20" s="1"/>
  <c r="AG243" i="20"/>
  <c r="O243" i="20" s="1"/>
  <c r="AK243" i="20"/>
  <c r="S243" i="20" s="1"/>
  <c r="Y244" i="20"/>
  <c r="W244" i="20"/>
  <c r="U244" i="20"/>
  <c r="A246" i="20"/>
  <c r="B251" i="15"/>
  <c r="C251" i="15"/>
  <c r="F250" i="15"/>
  <c r="G250" i="15"/>
  <c r="C250" i="8"/>
  <c r="B250" i="8"/>
  <c r="G249" i="8"/>
  <c r="F249" i="8"/>
  <c r="H249" i="15"/>
  <c r="K245" i="20" s="1"/>
  <c r="G250" i="14"/>
  <c r="F250" i="14"/>
  <c r="C251" i="14"/>
  <c r="B251" i="14"/>
  <c r="P250" i="15"/>
  <c r="F246" i="20" s="1"/>
  <c r="N251" i="15"/>
  <c r="O251" i="15"/>
  <c r="A252" i="15"/>
  <c r="D250" i="15"/>
  <c r="L244" i="20"/>
  <c r="J245" i="20"/>
  <c r="B247" i="20"/>
  <c r="D249" i="8"/>
  <c r="H249" i="8" s="1"/>
  <c r="P249" i="8"/>
  <c r="G245" i="20" s="1"/>
  <c r="N250" i="8"/>
  <c r="A251" i="8"/>
  <c r="O250" i="8"/>
  <c r="P250" i="14"/>
  <c r="E246" i="20" s="1"/>
  <c r="O251" i="14"/>
  <c r="A252" i="14"/>
  <c r="B267" i="37" s="1"/>
  <c r="A267" i="37" s="1"/>
  <c r="N251" i="14"/>
  <c r="D250" i="14"/>
  <c r="H250" i="14" s="1"/>
  <c r="H243" i="38" l="1"/>
  <c r="M243" i="38"/>
  <c r="G243" i="38"/>
  <c r="O243" i="38" s="1"/>
  <c r="L243" i="38"/>
  <c r="K244" i="38"/>
  <c r="P242" i="38"/>
  <c r="H245" i="20"/>
  <c r="Q243" i="38"/>
  <c r="D244" i="38"/>
  <c r="E244" i="38"/>
  <c r="I244" i="38" s="1"/>
  <c r="C244" i="38"/>
  <c r="C247" i="20"/>
  <c r="A245" i="38"/>
  <c r="B245" i="38" s="1"/>
  <c r="M244" i="20"/>
  <c r="AG244" i="20"/>
  <c r="O244" i="20" s="1"/>
  <c r="AI244" i="20"/>
  <c r="Q244" i="20" s="1"/>
  <c r="AK244" i="20"/>
  <c r="S244" i="20" s="1"/>
  <c r="AE245" i="20"/>
  <c r="AC245" i="20"/>
  <c r="AA245" i="20"/>
  <c r="W245" i="20"/>
  <c r="Y245" i="20"/>
  <c r="U245" i="20"/>
  <c r="A247" i="20"/>
  <c r="H250" i="15"/>
  <c r="K246" i="20" s="1"/>
  <c r="C252" i="15"/>
  <c r="B252" i="15"/>
  <c r="C251" i="8"/>
  <c r="B251" i="8"/>
  <c r="F250" i="8"/>
  <c r="G250" i="8"/>
  <c r="G251" i="15"/>
  <c r="F251" i="15"/>
  <c r="G251" i="14"/>
  <c r="F251" i="14"/>
  <c r="C252" i="14"/>
  <c r="B252" i="14"/>
  <c r="D251" i="15"/>
  <c r="A253" i="15"/>
  <c r="O252" i="15"/>
  <c r="N252" i="15"/>
  <c r="P251" i="15"/>
  <c r="F247" i="20" s="1"/>
  <c r="J246" i="20"/>
  <c r="B248" i="20"/>
  <c r="L245" i="20"/>
  <c r="P251" i="14"/>
  <c r="E247" i="20" s="1"/>
  <c r="D250" i="8"/>
  <c r="H250" i="8" s="1"/>
  <c r="A252" i="8"/>
  <c r="O251" i="8"/>
  <c r="N251" i="8"/>
  <c r="P250" i="8"/>
  <c r="G246" i="20" s="1"/>
  <c r="D251" i="14"/>
  <c r="H251" i="14" s="1"/>
  <c r="N252" i="14"/>
  <c r="O252" i="14"/>
  <c r="A253" i="14"/>
  <c r="B268" i="37" s="1"/>
  <c r="A268" i="37" s="1"/>
  <c r="K245" i="38" l="1"/>
  <c r="G244" i="38"/>
  <c r="O244" i="38" s="1"/>
  <c r="L244" i="38"/>
  <c r="H244" i="38"/>
  <c r="P244" i="38" s="1"/>
  <c r="M244" i="38"/>
  <c r="P243" i="38"/>
  <c r="H246" i="20"/>
  <c r="Q244" i="38"/>
  <c r="D245" i="38"/>
  <c r="E245" i="38"/>
  <c r="I245" i="38" s="1"/>
  <c r="C245" i="38"/>
  <c r="C248" i="20"/>
  <c r="A246" i="38"/>
  <c r="B246" i="38" s="1"/>
  <c r="Y246" i="20"/>
  <c r="W246" i="20"/>
  <c r="U246" i="20"/>
  <c r="M245" i="20"/>
  <c r="AI245" i="20"/>
  <c r="Q245" i="20" s="1"/>
  <c r="AK245" i="20"/>
  <c r="S245" i="20" s="1"/>
  <c r="AG245" i="20"/>
  <c r="O245" i="20" s="1"/>
  <c r="AE246" i="20"/>
  <c r="AA246" i="20"/>
  <c r="AC246" i="20"/>
  <c r="A248" i="20"/>
  <c r="C252" i="8"/>
  <c r="B252" i="8"/>
  <c r="G251" i="8"/>
  <c r="F252" i="15"/>
  <c r="B253" i="15"/>
  <c r="C253" i="15"/>
  <c r="G252" i="15"/>
  <c r="F251" i="8"/>
  <c r="H251" i="15"/>
  <c r="K247" i="20" s="1"/>
  <c r="G252" i="14"/>
  <c r="F252" i="14"/>
  <c r="C253" i="14"/>
  <c r="B253" i="14"/>
  <c r="P252" i="15"/>
  <c r="F248" i="20" s="1"/>
  <c r="N253" i="15"/>
  <c r="O253" i="15"/>
  <c r="A254" i="15"/>
  <c r="D252" i="15"/>
  <c r="B249" i="20"/>
  <c r="J247" i="20"/>
  <c r="L246" i="20"/>
  <c r="O252" i="8"/>
  <c r="A253" i="8"/>
  <c r="N252" i="8"/>
  <c r="P251" i="8"/>
  <c r="G247" i="20" s="1"/>
  <c r="D251" i="8"/>
  <c r="H251" i="8" s="1"/>
  <c r="N253" i="14"/>
  <c r="A254" i="14"/>
  <c r="B269" i="37" s="1"/>
  <c r="A269" i="37" s="1"/>
  <c r="O253" i="14"/>
  <c r="D252" i="14"/>
  <c r="H252" i="14" s="1"/>
  <c r="P252" i="14"/>
  <c r="E248" i="20" s="1"/>
  <c r="K246" i="38" l="1"/>
  <c r="H245" i="38"/>
  <c r="M245" i="38"/>
  <c r="Q245" i="38" s="1"/>
  <c r="G245" i="38"/>
  <c r="O245" i="38" s="1"/>
  <c r="L245" i="38"/>
  <c r="H247" i="20"/>
  <c r="E246" i="38"/>
  <c r="I246" i="38" s="1"/>
  <c r="D246" i="38"/>
  <c r="C246" i="38"/>
  <c r="C249" i="20"/>
  <c r="A247" i="38"/>
  <c r="B247" i="38" s="1"/>
  <c r="M246" i="20"/>
  <c r="AG246" i="20"/>
  <c r="O246" i="20" s="1"/>
  <c r="AI246" i="20"/>
  <c r="Q246" i="20" s="1"/>
  <c r="AK246" i="20"/>
  <c r="S246" i="20" s="1"/>
  <c r="W247" i="20"/>
  <c r="U247" i="20"/>
  <c r="Y247" i="20"/>
  <c r="AA247" i="20"/>
  <c r="AE247" i="20"/>
  <c r="AC247" i="20"/>
  <c r="A249" i="20"/>
  <c r="F253" i="15"/>
  <c r="G253" i="15"/>
  <c r="B254" i="15"/>
  <c r="C254" i="15"/>
  <c r="C253" i="8"/>
  <c r="B253" i="8"/>
  <c r="H252" i="15"/>
  <c r="K248" i="20" s="1"/>
  <c r="F252" i="8"/>
  <c r="G252" i="8"/>
  <c r="G253" i="14"/>
  <c r="F253" i="14"/>
  <c r="C254" i="14"/>
  <c r="B254" i="14"/>
  <c r="P253" i="15"/>
  <c r="F249" i="20" s="1"/>
  <c r="A255" i="15"/>
  <c r="O254" i="15"/>
  <c r="N254" i="15"/>
  <c r="D253" i="15"/>
  <c r="J248" i="20"/>
  <c r="L247" i="20"/>
  <c r="B250" i="20"/>
  <c r="P252" i="8"/>
  <c r="G248" i="20" s="1"/>
  <c r="N253" i="8"/>
  <c r="O253" i="8"/>
  <c r="A254" i="8"/>
  <c r="D252" i="8"/>
  <c r="H252" i="8" s="1"/>
  <c r="N254" i="14"/>
  <c r="A255" i="14"/>
  <c r="B270" i="37" s="1"/>
  <c r="A270" i="37" s="1"/>
  <c r="O254" i="14"/>
  <c r="P253" i="14"/>
  <c r="E249" i="20" s="1"/>
  <c r="D253" i="14"/>
  <c r="H253" i="14" s="1"/>
  <c r="K247" i="38" l="1"/>
  <c r="G246" i="38"/>
  <c r="O246" i="38" s="1"/>
  <c r="L246" i="38"/>
  <c r="H246" i="38"/>
  <c r="M246" i="38"/>
  <c r="P245" i="38"/>
  <c r="H248" i="20"/>
  <c r="Q246" i="38"/>
  <c r="E247" i="38"/>
  <c r="I247" i="38" s="1"/>
  <c r="D247" i="38"/>
  <c r="C247" i="38"/>
  <c r="C250" i="20"/>
  <c r="A248" i="38"/>
  <c r="B248" i="38" s="1"/>
  <c r="AE248" i="20"/>
  <c r="AC248" i="20"/>
  <c r="AA248" i="20"/>
  <c r="U248" i="20"/>
  <c r="Y248" i="20"/>
  <c r="W248" i="20"/>
  <c r="M247" i="20"/>
  <c r="AI247" i="20"/>
  <c r="Q247" i="20" s="1"/>
  <c r="AK247" i="20"/>
  <c r="S247" i="20" s="1"/>
  <c r="AG247" i="20"/>
  <c r="O247" i="20" s="1"/>
  <c r="A250" i="20"/>
  <c r="G254" i="15"/>
  <c r="F254" i="15"/>
  <c r="C254" i="8"/>
  <c r="B254" i="8"/>
  <c r="F253" i="8"/>
  <c r="G253" i="8"/>
  <c r="H253" i="15"/>
  <c r="K249" i="20" s="1"/>
  <c r="C255" i="15"/>
  <c r="B255" i="15"/>
  <c r="G254" i="14"/>
  <c r="F254" i="14"/>
  <c r="C255" i="14"/>
  <c r="B255" i="14"/>
  <c r="P254" i="15"/>
  <c r="F250" i="20" s="1"/>
  <c r="D254" i="15"/>
  <c r="N255" i="15"/>
  <c r="O255" i="15"/>
  <c r="A256" i="15"/>
  <c r="L248" i="20"/>
  <c r="B251" i="20"/>
  <c r="J249" i="20"/>
  <c r="D253" i="8"/>
  <c r="H253" i="8" s="1"/>
  <c r="N254" i="8"/>
  <c r="O254" i="8"/>
  <c r="A255" i="8"/>
  <c r="P253" i="8"/>
  <c r="G249" i="20" s="1"/>
  <c r="N255" i="14"/>
  <c r="O255" i="14"/>
  <c r="A256" i="14"/>
  <c r="B271" i="37" s="1"/>
  <c r="A271" i="37" s="1"/>
  <c r="P254" i="14"/>
  <c r="E250" i="20" s="1"/>
  <c r="D254" i="14"/>
  <c r="H254" i="14" s="1"/>
  <c r="P246" i="38" l="1"/>
  <c r="K248" i="38"/>
  <c r="H247" i="38"/>
  <c r="M247" i="38"/>
  <c r="G247" i="38"/>
  <c r="O247" i="38" s="1"/>
  <c r="L247" i="38"/>
  <c r="H249" i="20"/>
  <c r="Q247" i="38"/>
  <c r="D248" i="38"/>
  <c r="C248" i="38"/>
  <c r="E248" i="38"/>
  <c r="I248" i="38" s="1"/>
  <c r="C251" i="20"/>
  <c r="A249" i="38"/>
  <c r="B249" i="38" s="1"/>
  <c r="AE249" i="20"/>
  <c r="AC249" i="20"/>
  <c r="AA249" i="20"/>
  <c r="W249" i="20"/>
  <c r="U249" i="20"/>
  <c r="Y249" i="20"/>
  <c r="M248" i="20"/>
  <c r="AK248" i="20"/>
  <c r="S248" i="20" s="1"/>
  <c r="AG248" i="20"/>
  <c r="O248" i="20" s="1"/>
  <c r="AI248" i="20"/>
  <c r="Q248" i="20" s="1"/>
  <c r="A251" i="20"/>
  <c r="F255" i="15"/>
  <c r="G255" i="15"/>
  <c r="C255" i="8"/>
  <c r="B255" i="8"/>
  <c r="C256" i="15"/>
  <c r="B256" i="15"/>
  <c r="F254" i="8"/>
  <c r="H254" i="15"/>
  <c r="K250" i="20" s="1"/>
  <c r="G254" i="8"/>
  <c r="G255" i="14"/>
  <c r="F255" i="14"/>
  <c r="C256" i="14"/>
  <c r="B256" i="14"/>
  <c r="N256" i="15"/>
  <c r="A257" i="15"/>
  <c r="O256" i="15"/>
  <c r="D255" i="15"/>
  <c r="P255" i="15"/>
  <c r="F251" i="20" s="1"/>
  <c r="L249" i="20"/>
  <c r="J250" i="20"/>
  <c r="B252" i="20"/>
  <c r="P254" i="8"/>
  <c r="G250" i="20" s="1"/>
  <c r="D254" i="8"/>
  <c r="H254" i="8" s="1"/>
  <c r="N255" i="8"/>
  <c r="O255" i="8"/>
  <c r="A256" i="8"/>
  <c r="P255" i="14"/>
  <c r="E251" i="20" s="1"/>
  <c r="A257" i="14"/>
  <c r="B272" i="37" s="1"/>
  <c r="A272" i="37" s="1"/>
  <c r="O256" i="14"/>
  <c r="N256" i="14"/>
  <c r="D255" i="14"/>
  <c r="H255" i="14" s="1"/>
  <c r="K249" i="38" l="1"/>
  <c r="G248" i="38"/>
  <c r="O248" i="38" s="1"/>
  <c r="L248" i="38"/>
  <c r="P247" i="38"/>
  <c r="H248" i="38"/>
  <c r="P248" i="38" s="1"/>
  <c r="M248" i="38"/>
  <c r="H250" i="20"/>
  <c r="Q248" i="38"/>
  <c r="E249" i="38"/>
  <c r="I249" i="38" s="1"/>
  <c r="D249" i="38"/>
  <c r="C249" i="38"/>
  <c r="C252" i="20"/>
  <c r="A250" i="38"/>
  <c r="B250" i="38" s="1"/>
  <c r="AC250" i="20"/>
  <c r="AE250" i="20"/>
  <c r="AA250" i="20"/>
  <c r="Y250" i="20"/>
  <c r="W250" i="20"/>
  <c r="U250" i="20"/>
  <c r="M249" i="20"/>
  <c r="AI249" i="20"/>
  <c r="Q249" i="20" s="1"/>
  <c r="AK249" i="20"/>
  <c r="S249" i="20" s="1"/>
  <c r="AG249" i="20"/>
  <c r="O249" i="20" s="1"/>
  <c r="A252" i="20"/>
  <c r="F256" i="15"/>
  <c r="G256" i="15"/>
  <c r="C256" i="8"/>
  <c r="B256" i="8"/>
  <c r="H255" i="15"/>
  <c r="K251" i="20" s="1"/>
  <c r="F255" i="8"/>
  <c r="C257" i="15"/>
  <c r="B257" i="15"/>
  <c r="G255" i="8"/>
  <c r="G256" i="14"/>
  <c r="F256" i="14"/>
  <c r="C257" i="14"/>
  <c r="B257" i="14"/>
  <c r="A258" i="15"/>
  <c r="O257" i="15"/>
  <c r="N257" i="15"/>
  <c r="D256" i="15"/>
  <c r="P256" i="15"/>
  <c r="F252" i="20" s="1"/>
  <c r="P255" i="8"/>
  <c r="G251" i="20" s="1"/>
  <c r="L250" i="20"/>
  <c r="B253" i="20"/>
  <c r="J251" i="20"/>
  <c r="P256" i="14"/>
  <c r="E252" i="20" s="1"/>
  <c r="A257" i="8"/>
  <c r="N256" i="8"/>
  <c r="O256" i="8"/>
  <c r="D255" i="8"/>
  <c r="H255" i="8" s="1"/>
  <c r="D256" i="14"/>
  <c r="H256" i="14" s="1"/>
  <c r="N257" i="14"/>
  <c r="O257" i="14"/>
  <c r="A258" i="14"/>
  <c r="B273" i="37" s="1"/>
  <c r="A273" i="37" s="1"/>
  <c r="K250" i="38" l="1"/>
  <c r="G249" i="38"/>
  <c r="O249" i="38" s="1"/>
  <c r="L249" i="38"/>
  <c r="H249" i="38"/>
  <c r="P249" i="38" s="1"/>
  <c r="M249" i="38"/>
  <c r="Q249" i="38" s="1"/>
  <c r="H251" i="20"/>
  <c r="C250" i="38"/>
  <c r="D250" i="38"/>
  <c r="E250" i="38"/>
  <c r="I250" i="38" s="1"/>
  <c r="C253" i="20"/>
  <c r="A251" i="38"/>
  <c r="B251" i="38" s="1"/>
  <c r="M250" i="20"/>
  <c r="AK250" i="20"/>
  <c r="S250" i="20" s="1"/>
  <c r="AG250" i="20"/>
  <c r="O250" i="20" s="1"/>
  <c r="AI250" i="20"/>
  <c r="Q250" i="20" s="1"/>
  <c r="AE251" i="20"/>
  <c r="AA251" i="20"/>
  <c r="AC251" i="20"/>
  <c r="Y251" i="20"/>
  <c r="W251" i="20"/>
  <c r="U251" i="20"/>
  <c r="A253" i="20"/>
  <c r="F257" i="15"/>
  <c r="B258" i="15"/>
  <c r="C258" i="15"/>
  <c r="G257" i="15"/>
  <c r="H256" i="15"/>
  <c r="K252" i="20" s="1"/>
  <c r="F256" i="8"/>
  <c r="B257" i="8"/>
  <c r="C257" i="8"/>
  <c r="G256" i="8"/>
  <c r="G257" i="14"/>
  <c r="F257" i="14"/>
  <c r="C258" i="14"/>
  <c r="B258" i="14"/>
  <c r="P257" i="15"/>
  <c r="F253" i="20" s="1"/>
  <c r="D257" i="15"/>
  <c r="N258" i="15"/>
  <c r="O258" i="15"/>
  <c r="A259" i="15"/>
  <c r="J252" i="20"/>
  <c r="L251" i="20"/>
  <c r="B254" i="20"/>
  <c r="O257" i="8"/>
  <c r="A258" i="8"/>
  <c r="N257" i="8"/>
  <c r="D256" i="8"/>
  <c r="H256" i="8" s="1"/>
  <c r="P256" i="8"/>
  <c r="G252" i="20" s="1"/>
  <c r="A259" i="14"/>
  <c r="B274" i="37" s="1"/>
  <c r="A274" i="37" s="1"/>
  <c r="N258" i="14"/>
  <c r="O258" i="14"/>
  <c r="D257" i="14"/>
  <c r="H257" i="14" s="1"/>
  <c r="P257" i="14"/>
  <c r="E253" i="20" s="1"/>
  <c r="K251" i="38" l="1"/>
  <c r="G250" i="38"/>
  <c r="O250" i="38" s="1"/>
  <c r="L250" i="38"/>
  <c r="H250" i="38"/>
  <c r="P250" i="38" s="1"/>
  <c r="M250" i="38"/>
  <c r="H252" i="20"/>
  <c r="Q250" i="38"/>
  <c r="C251" i="38"/>
  <c r="E251" i="38"/>
  <c r="I251" i="38" s="1"/>
  <c r="D251" i="38"/>
  <c r="C254" i="20"/>
  <c r="A252" i="38"/>
  <c r="B252" i="38" s="1"/>
  <c r="AC252" i="20"/>
  <c r="AE252" i="20"/>
  <c r="AA252" i="20"/>
  <c r="M251" i="20"/>
  <c r="AI251" i="20"/>
  <c r="Q251" i="20" s="1"/>
  <c r="AK251" i="20"/>
  <c r="S251" i="20" s="1"/>
  <c r="AG251" i="20"/>
  <c r="O251" i="20" s="1"/>
  <c r="W252" i="20"/>
  <c r="U252" i="20"/>
  <c r="Y252" i="20"/>
  <c r="A254" i="20"/>
  <c r="G257" i="8"/>
  <c r="F257" i="8"/>
  <c r="C258" i="8"/>
  <c r="B258" i="8"/>
  <c r="B259" i="15"/>
  <c r="C259" i="15"/>
  <c r="H257" i="15"/>
  <c r="K253" i="20" s="1"/>
  <c r="G258" i="15"/>
  <c r="F258" i="15"/>
  <c r="G258" i="14"/>
  <c r="F258" i="14"/>
  <c r="C259" i="14"/>
  <c r="B259" i="14"/>
  <c r="D258" i="15"/>
  <c r="N259" i="15"/>
  <c r="A260" i="15"/>
  <c r="O259" i="15"/>
  <c r="P258" i="15"/>
  <c r="F254" i="20" s="1"/>
  <c r="J253" i="20"/>
  <c r="L252" i="20"/>
  <c r="B255" i="20"/>
  <c r="P257" i="8"/>
  <c r="G253" i="20" s="1"/>
  <c r="D257" i="8"/>
  <c r="H257" i="8" s="1"/>
  <c r="A259" i="8"/>
  <c r="O258" i="8"/>
  <c r="N258" i="8"/>
  <c r="P258" i="14"/>
  <c r="E254" i="20" s="1"/>
  <c r="N259" i="14"/>
  <c r="O259" i="14"/>
  <c r="A260" i="14"/>
  <c r="B275" i="37" s="1"/>
  <c r="A275" i="37" s="1"/>
  <c r="D258" i="14"/>
  <c r="H258" i="14" s="1"/>
  <c r="G251" i="38" l="1"/>
  <c r="O251" i="38" s="1"/>
  <c r="L251" i="38"/>
  <c r="K252" i="38"/>
  <c r="H251" i="38"/>
  <c r="P251" i="38" s="1"/>
  <c r="M251" i="38"/>
  <c r="H253" i="20"/>
  <c r="Q251" i="38"/>
  <c r="E252" i="38"/>
  <c r="I252" i="38" s="1"/>
  <c r="C252" i="38"/>
  <c r="D252" i="38"/>
  <c r="C255" i="20"/>
  <c r="A253" i="38"/>
  <c r="B253" i="38" s="1"/>
  <c r="AE253" i="20"/>
  <c r="AC253" i="20"/>
  <c r="AA253" i="20"/>
  <c r="M252" i="20"/>
  <c r="AG252" i="20"/>
  <c r="O252" i="20" s="1"/>
  <c r="AI252" i="20"/>
  <c r="Q252" i="20" s="1"/>
  <c r="AK252" i="20"/>
  <c r="S252" i="20" s="1"/>
  <c r="U253" i="20"/>
  <c r="Y253" i="20"/>
  <c r="W253" i="20"/>
  <c r="A255" i="20"/>
  <c r="G259" i="15"/>
  <c r="F259" i="15"/>
  <c r="H258" i="15"/>
  <c r="K254" i="20" s="1"/>
  <c r="C259" i="8"/>
  <c r="B259" i="8"/>
  <c r="F258" i="8"/>
  <c r="G258" i="8"/>
  <c r="C260" i="15"/>
  <c r="B260" i="15"/>
  <c r="G259" i="14"/>
  <c r="F259" i="14"/>
  <c r="C260" i="14"/>
  <c r="B260" i="14"/>
  <c r="D259" i="15"/>
  <c r="A261" i="15"/>
  <c r="O260" i="15"/>
  <c r="N260" i="15"/>
  <c r="P259" i="15"/>
  <c r="F255" i="20" s="1"/>
  <c r="B256" i="20"/>
  <c r="L253" i="20"/>
  <c r="J254" i="20"/>
  <c r="A260" i="8"/>
  <c r="N259" i="8"/>
  <c r="O259" i="8"/>
  <c r="P258" i="8"/>
  <c r="G254" i="20" s="1"/>
  <c r="D258" i="8"/>
  <c r="H258" i="8" s="1"/>
  <c r="O260" i="14"/>
  <c r="A261" i="14"/>
  <c r="B276" i="37" s="1"/>
  <c r="A276" i="37" s="1"/>
  <c r="N260" i="14"/>
  <c r="D259" i="14"/>
  <c r="H259" i="14" s="1"/>
  <c r="P259" i="14"/>
  <c r="E255" i="20" s="1"/>
  <c r="H252" i="38" l="1"/>
  <c r="M252" i="38"/>
  <c r="K253" i="38"/>
  <c r="G252" i="38"/>
  <c r="O252" i="38" s="1"/>
  <c r="L252" i="38"/>
  <c r="H254" i="20"/>
  <c r="Q252" i="38"/>
  <c r="D253" i="38"/>
  <c r="C253" i="38"/>
  <c r="E253" i="38"/>
  <c r="I253" i="38" s="1"/>
  <c r="C256" i="20"/>
  <c r="A254" i="38"/>
  <c r="B254" i="38" s="1"/>
  <c r="M253" i="20"/>
  <c r="AG253" i="20"/>
  <c r="O253" i="20" s="1"/>
  <c r="AI253" i="20"/>
  <c r="Q253" i="20" s="1"/>
  <c r="AK253" i="20"/>
  <c r="S253" i="20" s="1"/>
  <c r="Y254" i="20"/>
  <c r="W254" i="20"/>
  <c r="U254" i="20"/>
  <c r="AA254" i="20"/>
  <c r="AC254" i="20"/>
  <c r="AE254" i="20"/>
  <c r="A256" i="20"/>
  <c r="F260" i="15"/>
  <c r="G260" i="15"/>
  <c r="H259" i="15"/>
  <c r="K255" i="20" s="1"/>
  <c r="C260" i="8"/>
  <c r="B260" i="8"/>
  <c r="F259" i="8"/>
  <c r="G259" i="8"/>
  <c r="B261" i="15"/>
  <c r="C261" i="15"/>
  <c r="G260" i="14"/>
  <c r="F260" i="14"/>
  <c r="C261" i="14"/>
  <c r="B261" i="14"/>
  <c r="P260" i="15"/>
  <c r="F256" i="20" s="1"/>
  <c r="N261" i="15"/>
  <c r="O261" i="15"/>
  <c r="A262" i="15"/>
  <c r="D260" i="15"/>
  <c r="P260" i="14"/>
  <c r="E256" i="20" s="1"/>
  <c r="B257" i="20"/>
  <c r="L254" i="20"/>
  <c r="J255" i="20"/>
  <c r="D259" i="8"/>
  <c r="H259" i="8" s="1"/>
  <c r="P259" i="8"/>
  <c r="G255" i="20" s="1"/>
  <c r="O260" i="8"/>
  <c r="N260" i="8"/>
  <c r="A261" i="8"/>
  <c r="N261" i="14"/>
  <c r="A262" i="14"/>
  <c r="B277" i="37" s="1"/>
  <c r="A277" i="37" s="1"/>
  <c r="O261" i="14"/>
  <c r="D260" i="14"/>
  <c r="H260" i="14" s="1"/>
  <c r="K254" i="38" l="1"/>
  <c r="H253" i="38"/>
  <c r="M253" i="38"/>
  <c r="G253" i="38"/>
  <c r="O253" i="38" s="1"/>
  <c r="L253" i="38"/>
  <c r="P252" i="38"/>
  <c r="H255" i="20"/>
  <c r="Q253" i="38"/>
  <c r="E254" i="38"/>
  <c r="I254" i="38" s="1"/>
  <c r="D254" i="38"/>
  <c r="C254" i="38"/>
  <c r="C257" i="20"/>
  <c r="A255" i="38"/>
  <c r="B255" i="38" s="1"/>
  <c r="U255" i="20"/>
  <c r="Y255" i="20"/>
  <c r="W255" i="20"/>
  <c r="M254" i="20"/>
  <c r="AK254" i="20"/>
  <c r="S254" i="20" s="1"/>
  <c r="AG254" i="20"/>
  <c r="O254" i="20" s="1"/>
  <c r="AI254" i="20"/>
  <c r="Q254" i="20" s="1"/>
  <c r="AC255" i="20"/>
  <c r="AE255" i="20"/>
  <c r="AA255" i="20"/>
  <c r="A257" i="20"/>
  <c r="G261" i="15"/>
  <c r="F261" i="15"/>
  <c r="F260" i="8"/>
  <c r="G260" i="8"/>
  <c r="B262" i="15"/>
  <c r="C262" i="15"/>
  <c r="C261" i="8"/>
  <c r="B261" i="8"/>
  <c r="H260" i="15"/>
  <c r="K256" i="20" s="1"/>
  <c r="G261" i="14"/>
  <c r="F261" i="14"/>
  <c r="C262" i="14"/>
  <c r="B262" i="14"/>
  <c r="A263" i="15"/>
  <c r="N262" i="15"/>
  <c r="O262" i="15"/>
  <c r="D261" i="15"/>
  <c r="P261" i="15"/>
  <c r="F257" i="20" s="1"/>
  <c r="L255" i="20"/>
  <c r="B258" i="20"/>
  <c r="J256" i="20"/>
  <c r="O261" i="8"/>
  <c r="N261" i="8"/>
  <c r="A262" i="8"/>
  <c r="P260" i="8"/>
  <c r="G256" i="20" s="1"/>
  <c r="D260" i="8"/>
  <c r="H260" i="8" s="1"/>
  <c r="O262" i="14"/>
  <c r="N262" i="14"/>
  <c r="A263" i="14"/>
  <c r="B278" i="37" s="1"/>
  <c r="A278" i="37" s="1"/>
  <c r="D261" i="14"/>
  <c r="H261" i="14" s="1"/>
  <c r="P261" i="14"/>
  <c r="E257" i="20" s="1"/>
  <c r="G254" i="38" l="1"/>
  <c r="O254" i="38" s="1"/>
  <c r="L254" i="38"/>
  <c r="K255" i="38"/>
  <c r="H254" i="38"/>
  <c r="P254" i="38" s="1"/>
  <c r="M254" i="38"/>
  <c r="Q254" i="38" s="1"/>
  <c r="P253" i="38"/>
  <c r="H256" i="20"/>
  <c r="E255" i="38"/>
  <c r="I255" i="38" s="1"/>
  <c r="D255" i="38"/>
  <c r="C255" i="38"/>
  <c r="C258" i="20"/>
  <c r="A256" i="38"/>
  <c r="B256" i="38" s="1"/>
  <c r="AE256" i="20"/>
  <c r="AC256" i="20"/>
  <c r="AA256" i="20"/>
  <c r="W256" i="20"/>
  <c r="U256" i="20"/>
  <c r="Y256" i="20"/>
  <c r="M255" i="20"/>
  <c r="AG255" i="20"/>
  <c r="O255" i="20" s="1"/>
  <c r="AK255" i="20"/>
  <c r="S255" i="20" s="1"/>
  <c r="AI255" i="20"/>
  <c r="Q255" i="20" s="1"/>
  <c r="A258" i="20"/>
  <c r="C262" i="8"/>
  <c r="B262" i="8"/>
  <c r="F262" i="15"/>
  <c r="H261" i="15"/>
  <c r="K257" i="20" s="1"/>
  <c r="G261" i="8"/>
  <c r="C263" i="15"/>
  <c r="B263" i="15"/>
  <c r="F261" i="8"/>
  <c r="G262" i="15"/>
  <c r="G262" i="14"/>
  <c r="F262" i="14"/>
  <c r="B263" i="14"/>
  <c r="C263" i="14"/>
  <c r="P262" i="15"/>
  <c r="F258" i="20" s="1"/>
  <c r="D262" i="15"/>
  <c r="A264" i="15"/>
  <c r="N263" i="15"/>
  <c r="O263" i="15"/>
  <c r="B259" i="20"/>
  <c r="L256" i="20"/>
  <c r="J257" i="20"/>
  <c r="P262" i="14"/>
  <c r="E258" i="20" s="1"/>
  <c r="P261" i="8"/>
  <c r="G257" i="20" s="1"/>
  <c r="D261" i="8"/>
  <c r="H261" i="8" s="1"/>
  <c r="N262" i="8"/>
  <c r="O262" i="8"/>
  <c r="A263" i="8"/>
  <c r="N263" i="14"/>
  <c r="O263" i="14"/>
  <c r="A264" i="14"/>
  <c r="B279" i="37" s="1"/>
  <c r="A279" i="37" s="1"/>
  <c r="D262" i="14"/>
  <c r="H262" i="14" s="1"/>
  <c r="K256" i="38" l="1"/>
  <c r="G255" i="38"/>
  <c r="O255" i="38" s="1"/>
  <c r="L255" i="38"/>
  <c r="H255" i="38"/>
  <c r="P255" i="38" s="1"/>
  <c r="M255" i="38"/>
  <c r="H257" i="20"/>
  <c r="Q255" i="38"/>
  <c r="C256" i="38"/>
  <c r="E256" i="38"/>
  <c r="I256" i="38" s="1"/>
  <c r="D256" i="38"/>
  <c r="C259" i="20"/>
  <c r="A257" i="38"/>
  <c r="B257" i="38" s="1"/>
  <c r="AE257" i="20"/>
  <c r="AA257" i="20"/>
  <c r="AC257" i="20"/>
  <c r="M256" i="20"/>
  <c r="AG256" i="20"/>
  <c r="O256" i="20" s="1"/>
  <c r="AI256" i="20"/>
  <c r="Q256" i="20" s="1"/>
  <c r="AK256" i="20"/>
  <c r="S256" i="20" s="1"/>
  <c r="W257" i="20"/>
  <c r="U257" i="20"/>
  <c r="Y257" i="20"/>
  <c r="A259" i="20"/>
  <c r="F263" i="15"/>
  <c r="G263" i="15"/>
  <c r="B263" i="8"/>
  <c r="C263" i="8"/>
  <c r="G262" i="8"/>
  <c r="H262" i="15"/>
  <c r="K258" i="20" s="1"/>
  <c r="C264" i="15"/>
  <c r="B264" i="15"/>
  <c r="F262" i="8"/>
  <c r="G263" i="14"/>
  <c r="F263" i="14"/>
  <c r="C264" i="14"/>
  <c r="B264" i="14"/>
  <c r="P263" i="15"/>
  <c r="F259" i="20" s="1"/>
  <c r="A265" i="15"/>
  <c r="O264" i="15"/>
  <c r="N264" i="15"/>
  <c r="D263" i="15"/>
  <c r="J258" i="20"/>
  <c r="L257" i="20"/>
  <c r="B260" i="20"/>
  <c r="P262" i="8"/>
  <c r="G258" i="20" s="1"/>
  <c r="A264" i="8"/>
  <c r="N263" i="8"/>
  <c r="O263" i="8"/>
  <c r="D262" i="8"/>
  <c r="H262" i="8" s="1"/>
  <c r="D263" i="14"/>
  <c r="H263" i="14" s="1"/>
  <c r="N264" i="14"/>
  <c r="A265" i="14"/>
  <c r="B280" i="37" s="1"/>
  <c r="A280" i="37" s="1"/>
  <c r="O264" i="14"/>
  <c r="P263" i="14"/>
  <c r="E259" i="20" s="1"/>
  <c r="K257" i="38" l="1"/>
  <c r="H256" i="38"/>
  <c r="M256" i="38"/>
  <c r="G256" i="38"/>
  <c r="O256" i="38" s="1"/>
  <c r="L256" i="38"/>
  <c r="H258" i="20"/>
  <c r="Q256" i="38"/>
  <c r="D257" i="38"/>
  <c r="C257" i="38"/>
  <c r="E257" i="38"/>
  <c r="I257" i="38" s="1"/>
  <c r="C260" i="20"/>
  <c r="A258" i="38"/>
  <c r="B258" i="38" s="1"/>
  <c r="AE258" i="20"/>
  <c r="AC258" i="20"/>
  <c r="AA258" i="20"/>
  <c r="M257" i="20"/>
  <c r="AG257" i="20"/>
  <c r="O257" i="20" s="1"/>
  <c r="AI257" i="20"/>
  <c r="Q257" i="20" s="1"/>
  <c r="AK257" i="20"/>
  <c r="S257" i="20" s="1"/>
  <c r="W258" i="20"/>
  <c r="Y258" i="20"/>
  <c r="U258" i="20"/>
  <c r="A260" i="20"/>
  <c r="F264" i="15"/>
  <c r="G264" i="15"/>
  <c r="H263" i="15"/>
  <c r="K259" i="20" s="1"/>
  <c r="G263" i="8"/>
  <c r="F263" i="8"/>
  <c r="C264" i="8"/>
  <c r="B264" i="8"/>
  <c r="C265" i="15"/>
  <c r="B265" i="15"/>
  <c r="G264" i="14"/>
  <c r="F264" i="14"/>
  <c r="C265" i="14"/>
  <c r="B265" i="14"/>
  <c r="P264" i="15"/>
  <c r="F260" i="20" s="1"/>
  <c r="N265" i="15"/>
  <c r="O265" i="15"/>
  <c r="A266" i="15"/>
  <c r="D264" i="15"/>
  <c r="L258" i="20"/>
  <c r="J259" i="20"/>
  <c r="B261" i="20"/>
  <c r="D263" i="8"/>
  <c r="H263" i="8" s="1"/>
  <c r="N264" i="8"/>
  <c r="A265" i="8"/>
  <c r="O264" i="8"/>
  <c r="P263" i="8"/>
  <c r="G259" i="20" s="1"/>
  <c r="D264" i="14"/>
  <c r="H264" i="14" s="1"/>
  <c r="P264" i="14"/>
  <c r="E260" i="20" s="1"/>
  <c r="N265" i="14"/>
  <c r="A266" i="14"/>
  <c r="B281" i="37" s="1"/>
  <c r="A281" i="37" s="1"/>
  <c r="O265" i="14"/>
  <c r="K258" i="38" l="1"/>
  <c r="G257" i="38"/>
  <c r="O257" i="38" s="1"/>
  <c r="L257" i="38"/>
  <c r="H257" i="38"/>
  <c r="P257" i="38" s="1"/>
  <c r="M257" i="38"/>
  <c r="P256" i="38"/>
  <c r="H259" i="20"/>
  <c r="Q257" i="38"/>
  <c r="D258" i="38"/>
  <c r="C258" i="38"/>
  <c r="E258" i="38"/>
  <c r="I258" i="38" s="1"/>
  <c r="C261" i="20"/>
  <c r="A259" i="38"/>
  <c r="B259" i="38" s="1"/>
  <c r="M258" i="20"/>
  <c r="AG258" i="20"/>
  <c r="O258" i="20" s="1"/>
  <c r="AI258" i="20"/>
  <c r="Q258" i="20" s="1"/>
  <c r="AK258" i="20"/>
  <c r="S258" i="20" s="1"/>
  <c r="U259" i="20"/>
  <c r="Y259" i="20"/>
  <c r="W259" i="20"/>
  <c r="AC259" i="20"/>
  <c r="AA259" i="20"/>
  <c r="AE259" i="20"/>
  <c r="A261" i="20"/>
  <c r="F265" i="15"/>
  <c r="G265" i="15"/>
  <c r="C265" i="8"/>
  <c r="B265" i="8"/>
  <c r="F264" i="8"/>
  <c r="H264" i="15"/>
  <c r="K260" i="20" s="1"/>
  <c r="G264" i="8"/>
  <c r="C266" i="15"/>
  <c r="B266" i="15"/>
  <c r="G265" i="14"/>
  <c r="F265" i="14"/>
  <c r="C266" i="14"/>
  <c r="B266" i="14"/>
  <c r="D265" i="15"/>
  <c r="N266" i="15"/>
  <c r="A267" i="15"/>
  <c r="O266" i="15"/>
  <c r="P265" i="15"/>
  <c r="F261" i="20" s="1"/>
  <c r="J260" i="20"/>
  <c r="L259" i="20"/>
  <c r="B262" i="20"/>
  <c r="P265" i="14"/>
  <c r="E261" i="20" s="1"/>
  <c r="D264" i="8"/>
  <c r="H264" i="8" s="1"/>
  <c r="N265" i="8"/>
  <c r="A266" i="8"/>
  <c r="O265" i="8"/>
  <c r="P264" i="8"/>
  <c r="G260" i="20" s="1"/>
  <c r="D265" i="14"/>
  <c r="H265" i="14" s="1"/>
  <c r="N266" i="14"/>
  <c r="O266" i="14"/>
  <c r="A267" i="14"/>
  <c r="B282" i="37" s="1"/>
  <c r="A282" i="37" s="1"/>
  <c r="K259" i="38" l="1"/>
  <c r="H258" i="38"/>
  <c r="M258" i="38"/>
  <c r="G258" i="38"/>
  <c r="O258" i="38" s="1"/>
  <c r="L258" i="38"/>
  <c r="H260" i="20"/>
  <c r="Q258" i="38"/>
  <c r="D259" i="38"/>
  <c r="C259" i="38"/>
  <c r="E259" i="38"/>
  <c r="I259" i="38" s="1"/>
  <c r="C262" i="20"/>
  <c r="A260" i="38"/>
  <c r="B260" i="38" s="1"/>
  <c r="AA260" i="20"/>
  <c r="AE260" i="20"/>
  <c r="AC260" i="20"/>
  <c r="M259" i="20"/>
  <c r="AG259" i="20"/>
  <c r="O259" i="20" s="1"/>
  <c r="AI259" i="20"/>
  <c r="Q259" i="20" s="1"/>
  <c r="AK259" i="20"/>
  <c r="S259" i="20" s="1"/>
  <c r="Y260" i="20"/>
  <c r="W260" i="20"/>
  <c r="U260" i="20"/>
  <c r="A262" i="20"/>
  <c r="F266" i="15"/>
  <c r="G266" i="15"/>
  <c r="H265" i="15"/>
  <c r="K261" i="20" s="1"/>
  <c r="B266" i="8"/>
  <c r="C266" i="8"/>
  <c r="F265" i="8"/>
  <c r="B267" i="15"/>
  <c r="C267" i="15"/>
  <c r="G265" i="8"/>
  <c r="G266" i="14"/>
  <c r="F266" i="14"/>
  <c r="C267" i="14"/>
  <c r="B267" i="14"/>
  <c r="O267" i="15"/>
  <c r="A268" i="15"/>
  <c r="N267" i="15"/>
  <c r="D266" i="15"/>
  <c r="P266" i="15"/>
  <c r="F262" i="20" s="1"/>
  <c r="J261" i="20"/>
  <c r="B263" i="20"/>
  <c r="L260" i="20"/>
  <c r="N266" i="8"/>
  <c r="A267" i="8"/>
  <c r="O266" i="8"/>
  <c r="D265" i="8"/>
  <c r="H265" i="8" s="1"/>
  <c r="P265" i="8"/>
  <c r="G261" i="20" s="1"/>
  <c r="P266" i="14"/>
  <c r="E262" i="20" s="1"/>
  <c r="D266" i="14"/>
  <c r="H266" i="14" s="1"/>
  <c r="N267" i="14"/>
  <c r="O267" i="14"/>
  <c r="A268" i="14"/>
  <c r="B283" i="37" s="1"/>
  <c r="A283" i="37" s="1"/>
  <c r="K260" i="38" l="1"/>
  <c r="G259" i="38"/>
  <c r="O259" i="38" s="1"/>
  <c r="L259" i="38"/>
  <c r="P258" i="38"/>
  <c r="H259" i="38"/>
  <c r="M259" i="38"/>
  <c r="H261" i="20"/>
  <c r="Q259" i="38"/>
  <c r="D260" i="38"/>
  <c r="E260" i="38"/>
  <c r="I260" i="38" s="1"/>
  <c r="C260" i="38"/>
  <c r="C263" i="20"/>
  <c r="A261" i="38"/>
  <c r="B261" i="38" s="1"/>
  <c r="M260" i="20"/>
  <c r="AG260" i="20"/>
  <c r="O260" i="20" s="1"/>
  <c r="AI260" i="20"/>
  <c r="Q260" i="20" s="1"/>
  <c r="AK260" i="20"/>
  <c r="S260" i="20" s="1"/>
  <c r="AE261" i="20"/>
  <c r="AC261" i="20"/>
  <c r="AA261" i="20"/>
  <c r="U261" i="20"/>
  <c r="Y261" i="20"/>
  <c r="W261" i="20"/>
  <c r="A263" i="20"/>
  <c r="G267" i="15"/>
  <c r="F267" i="15"/>
  <c r="B267" i="8"/>
  <c r="C267" i="8"/>
  <c r="F266" i="8"/>
  <c r="B268" i="15"/>
  <c r="C268" i="15"/>
  <c r="G266" i="8"/>
  <c r="H266" i="15"/>
  <c r="K262" i="20" s="1"/>
  <c r="G267" i="14"/>
  <c r="F267" i="14"/>
  <c r="C268" i="14"/>
  <c r="B268" i="14"/>
  <c r="P267" i="15"/>
  <c r="F263" i="20" s="1"/>
  <c r="O268" i="15"/>
  <c r="N268" i="15"/>
  <c r="A269" i="15"/>
  <c r="D267" i="15"/>
  <c r="L261" i="20"/>
  <c r="B264" i="20"/>
  <c r="J262" i="20"/>
  <c r="P266" i="8"/>
  <c r="G262" i="20" s="1"/>
  <c r="N267" i="8"/>
  <c r="O267" i="8"/>
  <c r="A268" i="8"/>
  <c r="D266" i="8"/>
  <c r="H266" i="8" s="1"/>
  <c r="P267" i="14"/>
  <c r="E263" i="20" s="1"/>
  <c r="D267" i="14"/>
  <c r="H267" i="14" s="1"/>
  <c r="O268" i="14"/>
  <c r="N268" i="14"/>
  <c r="A269" i="14"/>
  <c r="B284" i="37" s="1"/>
  <c r="A284" i="37" s="1"/>
  <c r="P259" i="38" l="1"/>
  <c r="K261" i="38"/>
  <c r="G260" i="38"/>
  <c r="O260" i="38" s="1"/>
  <c r="L260" i="38"/>
  <c r="H260" i="38"/>
  <c r="M260" i="38"/>
  <c r="Q260" i="38" s="1"/>
  <c r="H262" i="20"/>
  <c r="C261" i="38"/>
  <c r="E261" i="38"/>
  <c r="I261" i="38" s="1"/>
  <c r="D261" i="38"/>
  <c r="C264" i="20"/>
  <c r="A262" i="38"/>
  <c r="B262" i="38" s="1"/>
  <c r="AE262" i="20"/>
  <c r="AA262" i="20"/>
  <c r="AC262" i="20"/>
  <c r="Y262" i="20"/>
  <c r="U262" i="20"/>
  <c r="W262" i="20"/>
  <c r="M261" i="20"/>
  <c r="AK261" i="20"/>
  <c r="S261" i="20" s="1"/>
  <c r="AG261" i="20"/>
  <c r="O261" i="20" s="1"/>
  <c r="AI261" i="20"/>
  <c r="Q261" i="20" s="1"/>
  <c r="G268" i="15"/>
  <c r="A264" i="20"/>
  <c r="F268" i="15"/>
  <c r="H267" i="15"/>
  <c r="K263" i="20" s="1"/>
  <c r="B269" i="15"/>
  <c r="C269" i="15"/>
  <c r="G267" i="8"/>
  <c r="C268" i="8"/>
  <c r="B268" i="8"/>
  <c r="F267" i="8"/>
  <c r="G268" i="14"/>
  <c r="F268" i="14"/>
  <c r="C269" i="14"/>
  <c r="B269" i="14"/>
  <c r="P268" i="15"/>
  <c r="F264" i="20" s="1"/>
  <c r="D268" i="15"/>
  <c r="A270" i="15"/>
  <c r="N269" i="15"/>
  <c r="O269" i="15"/>
  <c r="J263" i="20"/>
  <c r="L262" i="20"/>
  <c r="B265" i="20"/>
  <c r="D267" i="8"/>
  <c r="H267" i="8" s="1"/>
  <c r="P267" i="8"/>
  <c r="G263" i="20" s="1"/>
  <c r="N268" i="8"/>
  <c r="A269" i="8"/>
  <c r="O268" i="8"/>
  <c r="N269" i="14"/>
  <c r="A270" i="14"/>
  <c r="B285" i="37" s="1"/>
  <c r="A285" i="37" s="1"/>
  <c r="O269" i="14"/>
  <c r="D268" i="14"/>
  <c r="H268" i="14" s="1"/>
  <c r="P268" i="14"/>
  <c r="E264" i="20" s="1"/>
  <c r="P260" i="38" l="1"/>
  <c r="H261" i="38"/>
  <c r="M261" i="38"/>
  <c r="G261" i="38"/>
  <c r="O261" i="38" s="1"/>
  <c r="L261" i="38"/>
  <c r="K262" i="38"/>
  <c r="H263" i="20"/>
  <c r="Q261" i="38"/>
  <c r="C262" i="38"/>
  <c r="D262" i="38"/>
  <c r="E262" i="38"/>
  <c r="I262" i="38" s="1"/>
  <c r="C265" i="20"/>
  <c r="A263" i="38"/>
  <c r="B263" i="38" s="1"/>
  <c r="M262" i="20"/>
  <c r="AG262" i="20"/>
  <c r="O262" i="20" s="1"/>
  <c r="AI262" i="20"/>
  <c r="Q262" i="20" s="1"/>
  <c r="AK262" i="20"/>
  <c r="S262" i="20" s="1"/>
  <c r="Y263" i="20"/>
  <c r="W263" i="20"/>
  <c r="U263" i="20"/>
  <c r="AC263" i="20"/>
  <c r="AE263" i="20"/>
  <c r="AA263" i="20"/>
  <c r="A265" i="20"/>
  <c r="G269" i="15"/>
  <c r="C269" i="8"/>
  <c r="B269" i="8"/>
  <c r="G268" i="8"/>
  <c r="F268" i="8"/>
  <c r="F269" i="15"/>
  <c r="B270" i="15"/>
  <c r="C270" i="15"/>
  <c r="H268" i="15"/>
  <c r="K264" i="20" s="1"/>
  <c r="G269" i="14"/>
  <c r="F269" i="14"/>
  <c r="C270" i="14"/>
  <c r="B270" i="14"/>
  <c r="D269" i="15"/>
  <c r="P269" i="15"/>
  <c r="F265" i="20" s="1"/>
  <c r="A271" i="15"/>
  <c r="N270" i="15"/>
  <c r="O270" i="15"/>
  <c r="L263" i="20"/>
  <c r="B266" i="20"/>
  <c r="J264" i="20"/>
  <c r="P268" i="8"/>
  <c r="G264" i="20" s="1"/>
  <c r="D268" i="8"/>
  <c r="H268" i="8" s="1"/>
  <c r="N269" i="8"/>
  <c r="A270" i="8"/>
  <c r="O269" i="8"/>
  <c r="D269" i="14"/>
  <c r="H269" i="14" s="1"/>
  <c r="N270" i="14"/>
  <c r="A271" i="14"/>
  <c r="B286" i="37" s="1"/>
  <c r="A286" i="37" s="1"/>
  <c r="O270" i="14"/>
  <c r="P269" i="14"/>
  <c r="E265" i="20" s="1"/>
  <c r="H262" i="38" l="1"/>
  <c r="M262" i="38"/>
  <c r="K263" i="38"/>
  <c r="G262" i="38"/>
  <c r="O262" i="38" s="1"/>
  <c r="L262" i="38"/>
  <c r="P261" i="38"/>
  <c r="H264" i="20"/>
  <c r="Q262" i="38"/>
  <c r="D263" i="38"/>
  <c r="E263" i="38"/>
  <c r="I263" i="38" s="1"/>
  <c r="C263" i="38"/>
  <c r="C266" i="20"/>
  <c r="A264" i="38"/>
  <c r="B264" i="38" s="1"/>
  <c r="AA264" i="20"/>
  <c r="AE264" i="20"/>
  <c r="AC264" i="20"/>
  <c r="U264" i="20"/>
  <c r="Y264" i="20"/>
  <c r="W264" i="20"/>
  <c r="M263" i="20"/>
  <c r="AI263" i="20"/>
  <c r="Q263" i="20" s="1"/>
  <c r="AK263" i="20"/>
  <c r="S263" i="20" s="1"/>
  <c r="AG263" i="20"/>
  <c r="O263" i="20" s="1"/>
  <c r="A266" i="20"/>
  <c r="G270" i="15"/>
  <c r="F270" i="15"/>
  <c r="C270" i="8"/>
  <c r="B270" i="8"/>
  <c r="C271" i="15"/>
  <c r="B271" i="15"/>
  <c r="F269" i="8"/>
  <c r="H269" i="15"/>
  <c r="K265" i="20" s="1"/>
  <c r="G269" i="8"/>
  <c r="G270" i="14"/>
  <c r="F270" i="14"/>
  <c r="B271" i="14"/>
  <c r="C271" i="14"/>
  <c r="D270" i="15"/>
  <c r="P270" i="15"/>
  <c r="F266" i="20" s="1"/>
  <c r="N271" i="15"/>
  <c r="O271" i="15"/>
  <c r="A272" i="15"/>
  <c r="J265" i="20"/>
  <c r="L264" i="20"/>
  <c r="B267" i="20"/>
  <c r="P269" i="8"/>
  <c r="G265" i="20" s="1"/>
  <c r="A271" i="8"/>
  <c r="N270" i="8"/>
  <c r="O270" i="8"/>
  <c r="D269" i="8"/>
  <c r="H269" i="8" s="1"/>
  <c r="D270" i="14"/>
  <c r="H270" i="14" s="1"/>
  <c r="A272" i="14"/>
  <c r="B287" i="37" s="1"/>
  <c r="A287" i="37" s="1"/>
  <c r="N271" i="14"/>
  <c r="O271" i="14"/>
  <c r="P270" i="14"/>
  <c r="E266" i="20" s="1"/>
  <c r="K264" i="38" l="1"/>
  <c r="H263" i="38"/>
  <c r="M263" i="38"/>
  <c r="G263" i="38"/>
  <c r="O263" i="38" s="1"/>
  <c r="L263" i="38"/>
  <c r="P262" i="38"/>
  <c r="H265" i="20"/>
  <c r="Q263" i="38"/>
  <c r="D264" i="38"/>
  <c r="C264" i="38"/>
  <c r="E264" i="38"/>
  <c r="I264" i="38" s="1"/>
  <c r="C267" i="20"/>
  <c r="A265" i="38"/>
  <c r="B265" i="38" s="1"/>
  <c r="AE265" i="20"/>
  <c r="AA265" i="20"/>
  <c r="AC265" i="20"/>
  <c r="M264" i="20"/>
  <c r="AK264" i="20"/>
  <c r="S264" i="20" s="1"/>
  <c r="AG264" i="20"/>
  <c r="O264" i="20" s="1"/>
  <c r="AI264" i="20"/>
  <c r="Q264" i="20" s="1"/>
  <c r="W265" i="20"/>
  <c r="U265" i="20"/>
  <c r="Y265" i="20"/>
  <c r="A267" i="20"/>
  <c r="F271" i="15"/>
  <c r="G271" i="15"/>
  <c r="H270" i="15"/>
  <c r="K266" i="20" s="1"/>
  <c r="B271" i="8"/>
  <c r="C271" i="8"/>
  <c r="F270" i="8"/>
  <c r="G270" i="8"/>
  <c r="C272" i="15"/>
  <c r="B272" i="15"/>
  <c r="G271" i="14"/>
  <c r="F271" i="14"/>
  <c r="C272" i="14"/>
  <c r="B272" i="14"/>
  <c r="O272" i="15"/>
  <c r="N272" i="15"/>
  <c r="A273" i="15"/>
  <c r="D271" i="15"/>
  <c r="P271" i="15"/>
  <c r="F267" i="20" s="1"/>
  <c r="B268" i="20"/>
  <c r="L265" i="20"/>
  <c r="J266" i="20"/>
  <c r="P270" i="8"/>
  <c r="G266" i="20" s="1"/>
  <c r="N271" i="8"/>
  <c r="O271" i="8"/>
  <c r="A272" i="8"/>
  <c r="D270" i="8"/>
  <c r="H270" i="8" s="1"/>
  <c r="P271" i="14"/>
  <c r="E267" i="20" s="1"/>
  <c r="D271" i="14"/>
  <c r="H271" i="14" s="1"/>
  <c r="N272" i="14"/>
  <c r="O272" i="14"/>
  <c r="A273" i="14"/>
  <c r="B288" i="37" s="1"/>
  <c r="A288" i="37" s="1"/>
  <c r="H264" i="38" l="1"/>
  <c r="M264" i="38"/>
  <c r="G264" i="38"/>
  <c r="O264" i="38" s="1"/>
  <c r="L264" i="38"/>
  <c r="P263" i="38"/>
  <c r="K265" i="38"/>
  <c r="H266" i="20"/>
  <c r="Q264" i="38"/>
  <c r="C265" i="38"/>
  <c r="E265" i="38"/>
  <c r="I265" i="38" s="1"/>
  <c r="D265" i="38"/>
  <c r="C268" i="20"/>
  <c r="A266" i="38"/>
  <c r="B266" i="38" s="1"/>
  <c r="M265" i="20"/>
  <c r="AK265" i="20"/>
  <c r="S265" i="20" s="1"/>
  <c r="AG265" i="20"/>
  <c r="O265" i="20" s="1"/>
  <c r="AI265" i="20"/>
  <c r="Q265" i="20" s="1"/>
  <c r="U266" i="20"/>
  <c r="W266" i="20"/>
  <c r="Y266" i="20"/>
  <c r="AA266" i="20"/>
  <c r="AE266" i="20"/>
  <c r="AC266" i="20"/>
  <c r="A268" i="20"/>
  <c r="F272" i="15"/>
  <c r="G272" i="15"/>
  <c r="B272" i="8"/>
  <c r="C272" i="8"/>
  <c r="H271" i="15"/>
  <c r="K267" i="20" s="1"/>
  <c r="G271" i="8"/>
  <c r="C273" i="15"/>
  <c r="B273" i="15"/>
  <c r="F271" i="8"/>
  <c r="G272" i="14"/>
  <c r="F272" i="14"/>
  <c r="C273" i="14"/>
  <c r="B273" i="14"/>
  <c r="P272" i="15"/>
  <c r="F268" i="20" s="1"/>
  <c r="A274" i="15"/>
  <c r="O273" i="15"/>
  <c r="N273" i="15"/>
  <c r="D272" i="15"/>
  <c r="L266" i="20"/>
  <c r="J267" i="20"/>
  <c r="B269" i="20"/>
  <c r="P271" i="8"/>
  <c r="G267" i="20" s="1"/>
  <c r="A273" i="8"/>
  <c r="O272" i="8"/>
  <c r="N272" i="8"/>
  <c r="D271" i="8"/>
  <c r="H271" i="8" s="1"/>
  <c r="P272" i="14"/>
  <c r="E268" i="20" s="1"/>
  <c r="D272" i="14"/>
  <c r="H272" i="14" s="1"/>
  <c r="N273" i="14"/>
  <c r="A274" i="14"/>
  <c r="B289" i="37" s="1"/>
  <c r="A289" i="37" s="1"/>
  <c r="O273" i="14"/>
  <c r="K266" i="38" l="1"/>
  <c r="G265" i="38"/>
  <c r="O265" i="38" s="1"/>
  <c r="L265" i="38"/>
  <c r="H265" i="38"/>
  <c r="M265" i="38"/>
  <c r="P264" i="38"/>
  <c r="H267" i="20"/>
  <c r="Q265" i="38"/>
  <c r="E266" i="38"/>
  <c r="I266" i="38" s="1"/>
  <c r="D266" i="38"/>
  <c r="C266" i="38"/>
  <c r="C269" i="20"/>
  <c r="A267" i="38"/>
  <c r="B267" i="38" s="1"/>
  <c r="M266" i="20"/>
  <c r="AG266" i="20"/>
  <c r="O266" i="20" s="1"/>
  <c r="AI266" i="20"/>
  <c r="Q266" i="20" s="1"/>
  <c r="AK266" i="20"/>
  <c r="S266" i="20" s="1"/>
  <c r="U267" i="20"/>
  <c r="Y267" i="20"/>
  <c r="W267" i="20"/>
  <c r="AC267" i="20"/>
  <c r="AA267" i="20"/>
  <c r="AE267" i="20"/>
  <c r="A269" i="20"/>
  <c r="G273" i="15"/>
  <c r="F273" i="15"/>
  <c r="C273" i="8"/>
  <c r="B273" i="8"/>
  <c r="H272" i="15"/>
  <c r="K268" i="20" s="1"/>
  <c r="G272" i="8"/>
  <c r="C274" i="15"/>
  <c r="B274" i="15"/>
  <c r="F272" i="8"/>
  <c r="G273" i="14"/>
  <c r="F273" i="14"/>
  <c r="C274" i="14"/>
  <c r="B274" i="14"/>
  <c r="P273" i="15"/>
  <c r="F269" i="20" s="1"/>
  <c r="D273" i="15"/>
  <c r="A275" i="15"/>
  <c r="N274" i="15"/>
  <c r="O274" i="15"/>
  <c r="P272" i="8"/>
  <c r="G268" i="20" s="1"/>
  <c r="B270" i="20"/>
  <c r="J268" i="20"/>
  <c r="L267" i="20"/>
  <c r="A274" i="8"/>
  <c r="O273" i="8"/>
  <c r="N273" i="8"/>
  <c r="D272" i="8"/>
  <c r="H272" i="8" s="1"/>
  <c r="P273" i="14"/>
  <c r="E269" i="20" s="1"/>
  <c r="N274" i="14"/>
  <c r="A275" i="14"/>
  <c r="B290" i="37" s="1"/>
  <c r="A290" i="37" s="1"/>
  <c r="O274" i="14"/>
  <c r="D273" i="14"/>
  <c r="H273" i="14" s="1"/>
  <c r="P265" i="38" l="1"/>
  <c r="K267" i="38"/>
  <c r="G266" i="38"/>
  <c r="O266" i="38" s="1"/>
  <c r="L266" i="38"/>
  <c r="H266" i="38"/>
  <c r="M266" i="38"/>
  <c r="H268" i="20"/>
  <c r="Q266" i="38"/>
  <c r="E267" i="38"/>
  <c r="I267" i="38" s="1"/>
  <c r="D267" i="38"/>
  <c r="C267" i="38"/>
  <c r="C270" i="20"/>
  <c r="A268" i="38"/>
  <c r="B268" i="38" s="1"/>
  <c r="W268" i="20"/>
  <c r="Y268" i="20"/>
  <c r="U268" i="20"/>
  <c r="M267" i="20"/>
  <c r="AI267" i="20"/>
  <c r="Q267" i="20" s="1"/>
  <c r="AK267" i="20"/>
  <c r="S267" i="20" s="1"/>
  <c r="AG267" i="20"/>
  <c r="O267" i="20" s="1"/>
  <c r="AE268" i="20"/>
  <c r="AA268" i="20"/>
  <c r="AC268" i="20"/>
  <c r="A270" i="20"/>
  <c r="F274" i="15"/>
  <c r="G274" i="15"/>
  <c r="C274" i="8"/>
  <c r="B274" i="8"/>
  <c r="F273" i="8"/>
  <c r="B275" i="15"/>
  <c r="C275" i="15"/>
  <c r="H273" i="15"/>
  <c r="K269" i="20" s="1"/>
  <c r="G273" i="8"/>
  <c r="G274" i="14"/>
  <c r="F274" i="14"/>
  <c r="C275" i="14"/>
  <c r="B275" i="14"/>
  <c r="P274" i="15"/>
  <c r="F270" i="20" s="1"/>
  <c r="D274" i="15"/>
  <c r="N275" i="15"/>
  <c r="O275" i="15"/>
  <c r="A276" i="15"/>
  <c r="P273" i="8"/>
  <c r="G269" i="20" s="1"/>
  <c r="B271" i="20"/>
  <c r="L268" i="20"/>
  <c r="J269" i="20"/>
  <c r="A275" i="8"/>
  <c r="N274" i="8"/>
  <c r="O274" i="8"/>
  <c r="D273" i="8"/>
  <c r="H273" i="8" s="1"/>
  <c r="D274" i="14"/>
  <c r="H274" i="14" s="1"/>
  <c r="N275" i="14"/>
  <c r="A276" i="14"/>
  <c r="B291" i="37" s="1"/>
  <c r="A291" i="37" s="1"/>
  <c r="O275" i="14"/>
  <c r="P274" i="14"/>
  <c r="E270" i="20" s="1"/>
  <c r="P266" i="38" l="1"/>
  <c r="H267" i="38"/>
  <c r="M267" i="38"/>
  <c r="K268" i="38"/>
  <c r="G267" i="38"/>
  <c r="O267" i="38" s="1"/>
  <c r="L267" i="38"/>
  <c r="H269" i="20"/>
  <c r="Q267" i="38"/>
  <c r="C268" i="38"/>
  <c r="E268" i="38"/>
  <c r="I268" i="38" s="1"/>
  <c r="D268" i="38"/>
  <c r="C271" i="20"/>
  <c r="A269" i="38"/>
  <c r="B269" i="38" s="1"/>
  <c r="M268" i="20"/>
  <c r="AG268" i="20"/>
  <c r="O268" i="20" s="1"/>
  <c r="AI268" i="20"/>
  <c r="Q268" i="20" s="1"/>
  <c r="AK268" i="20"/>
  <c r="S268" i="20" s="1"/>
  <c r="AE269" i="20"/>
  <c r="AA269" i="20"/>
  <c r="AC269" i="20"/>
  <c r="U269" i="20"/>
  <c r="W269" i="20"/>
  <c r="Y269" i="20"/>
  <c r="A271" i="20"/>
  <c r="G275" i="15"/>
  <c r="F275" i="15"/>
  <c r="B275" i="8"/>
  <c r="C275" i="8"/>
  <c r="C276" i="15"/>
  <c r="B276" i="15"/>
  <c r="F274" i="8"/>
  <c r="G274" i="8"/>
  <c r="H274" i="15"/>
  <c r="K270" i="20" s="1"/>
  <c r="G275" i="14"/>
  <c r="F275" i="14"/>
  <c r="C276" i="14"/>
  <c r="B276" i="14"/>
  <c r="P275" i="15"/>
  <c r="F271" i="20" s="1"/>
  <c r="O276" i="15"/>
  <c r="N276" i="15"/>
  <c r="A277" i="15"/>
  <c r="D275" i="15"/>
  <c r="B272" i="20"/>
  <c r="L269" i="20"/>
  <c r="J270" i="20"/>
  <c r="P274" i="8"/>
  <c r="G270" i="20" s="1"/>
  <c r="D274" i="8"/>
  <c r="H274" i="8" s="1"/>
  <c r="N275" i="8"/>
  <c r="A276" i="8"/>
  <c r="O275" i="8"/>
  <c r="P275" i="14"/>
  <c r="E271" i="20" s="1"/>
  <c r="N276" i="14"/>
  <c r="A277" i="14"/>
  <c r="B292" i="37" s="1"/>
  <c r="A292" i="37" s="1"/>
  <c r="O276" i="14"/>
  <c r="D275" i="14"/>
  <c r="H275" i="14" s="1"/>
  <c r="K269" i="38" l="1"/>
  <c r="G268" i="38"/>
  <c r="O268" i="38" s="1"/>
  <c r="L268" i="38"/>
  <c r="H268" i="38"/>
  <c r="P268" i="38" s="1"/>
  <c r="M268" i="38"/>
  <c r="P267" i="38"/>
  <c r="H270" i="20"/>
  <c r="Q268" i="38"/>
  <c r="C269" i="38"/>
  <c r="D269" i="38"/>
  <c r="E269" i="38"/>
  <c r="I269" i="38" s="1"/>
  <c r="C272" i="20"/>
  <c r="A270" i="38"/>
  <c r="B270" i="38" s="1"/>
  <c r="AC270" i="20"/>
  <c r="AA270" i="20"/>
  <c r="AE270" i="20"/>
  <c r="U270" i="20"/>
  <c r="W270" i="20"/>
  <c r="Y270" i="20"/>
  <c r="M269" i="20"/>
  <c r="AG269" i="20"/>
  <c r="O269" i="20" s="1"/>
  <c r="AI269" i="20"/>
  <c r="Q269" i="20" s="1"/>
  <c r="AK269" i="20"/>
  <c r="S269" i="20" s="1"/>
  <c r="G276" i="15"/>
  <c r="A272" i="20"/>
  <c r="F276" i="15"/>
  <c r="G275" i="8"/>
  <c r="B277" i="15"/>
  <c r="C277" i="15"/>
  <c r="F275" i="8"/>
  <c r="C276" i="8"/>
  <c r="B276" i="8"/>
  <c r="H275" i="15"/>
  <c r="K271" i="20" s="1"/>
  <c r="G276" i="14"/>
  <c r="F276" i="14"/>
  <c r="C277" i="14"/>
  <c r="B277" i="14"/>
  <c r="P276" i="15"/>
  <c r="F272" i="20" s="1"/>
  <c r="D276" i="15"/>
  <c r="N277" i="15"/>
  <c r="O277" i="15"/>
  <c r="A278" i="15"/>
  <c r="L270" i="20"/>
  <c r="B273" i="20"/>
  <c r="J271" i="20"/>
  <c r="P275" i="8"/>
  <c r="G271" i="20" s="1"/>
  <c r="D275" i="8"/>
  <c r="H275" i="8" s="1"/>
  <c r="A277" i="8"/>
  <c r="N276" i="8"/>
  <c r="O276" i="8"/>
  <c r="N277" i="14"/>
  <c r="O277" i="14"/>
  <c r="A278" i="14"/>
  <c r="B293" i="37" s="1"/>
  <c r="A293" i="37" s="1"/>
  <c r="D276" i="14"/>
  <c r="H276" i="14" s="1"/>
  <c r="P276" i="14"/>
  <c r="E272" i="20" s="1"/>
  <c r="K270" i="38" l="1"/>
  <c r="H269" i="38"/>
  <c r="M269" i="38"/>
  <c r="G269" i="38"/>
  <c r="O269" i="38" s="1"/>
  <c r="L269" i="38"/>
  <c r="H271" i="20"/>
  <c r="Q269" i="38"/>
  <c r="E270" i="38"/>
  <c r="I270" i="38" s="1"/>
  <c r="D270" i="38"/>
  <c r="C270" i="38"/>
  <c r="C273" i="20"/>
  <c r="A271" i="38"/>
  <c r="B271" i="38" s="1"/>
  <c r="AA271" i="20"/>
  <c r="AC271" i="20"/>
  <c r="AE271" i="20"/>
  <c r="M270" i="20"/>
  <c r="AG270" i="20"/>
  <c r="O270" i="20" s="1"/>
  <c r="AI270" i="20"/>
  <c r="Q270" i="20" s="1"/>
  <c r="AK270" i="20"/>
  <c r="S270" i="20" s="1"/>
  <c r="Y271" i="20"/>
  <c r="U271" i="20"/>
  <c r="W271" i="20"/>
  <c r="A273" i="20"/>
  <c r="G277" i="15"/>
  <c r="F277" i="15"/>
  <c r="F276" i="8"/>
  <c r="C277" i="8"/>
  <c r="B277" i="8"/>
  <c r="G276" i="8"/>
  <c r="B278" i="15"/>
  <c r="C278" i="15"/>
  <c r="H276" i="15"/>
  <c r="K272" i="20" s="1"/>
  <c r="G277" i="14"/>
  <c r="F277" i="14"/>
  <c r="C278" i="14"/>
  <c r="B278" i="14"/>
  <c r="A279" i="15"/>
  <c r="N278" i="15"/>
  <c r="O278" i="15"/>
  <c r="D277" i="15"/>
  <c r="P277" i="15"/>
  <c r="F273" i="20" s="1"/>
  <c r="J272" i="20"/>
  <c r="B274" i="20"/>
  <c r="L271" i="20"/>
  <c r="P276" i="8"/>
  <c r="G272" i="20" s="1"/>
  <c r="D276" i="8"/>
  <c r="H276" i="8" s="1"/>
  <c r="O277" i="8"/>
  <c r="A278" i="8"/>
  <c r="N277" i="8"/>
  <c r="P277" i="14"/>
  <c r="E273" i="20" s="1"/>
  <c r="N278" i="14"/>
  <c r="A279" i="14"/>
  <c r="B294" i="37" s="1"/>
  <c r="A294" i="37" s="1"/>
  <c r="O278" i="14"/>
  <c r="D277" i="14"/>
  <c r="H277" i="14" s="1"/>
  <c r="K271" i="38" l="1"/>
  <c r="G270" i="38"/>
  <c r="O270" i="38" s="1"/>
  <c r="L270" i="38"/>
  <c r="H270" i="38"/>
  <c r="P270" i="38" s="1"/>
  <c r="M270" i="38"/>
  <c r="P269" i="38"/>
  <c r="H272" i="20"/>
  <c r="Q270" i="38"/>
  <c r="E271" i="38"/>
  <c r="I271" i="38" s="1"/>
  <c r="D271" i="38"/>
  <c r="C271" i="38"/>
  <c r="C274" i="20"/>
  <c r="A272" i="38"/>
  <c r="B272" i="38" s="1"/>
  <c r="AA272" i="20"/>
  <c r="AC272" i="20"/>
  <c r="AE272" i="20"/>
  <c r="M271" i="20"/>
  <c r="AK271" i="20"/>
  <c r="S271" i="20" s="1"/>
  <c r="AI271" i="20"/>
  <c r="Q271" i="20" s="1"/>
  <c r="AG271" i="20"/>
  <c r="O271" i="20" s="1"/>
  <c r="W272" i="20"/>
  <c r="U272" i="20"/>
  <c r="Y272" i="20"/>
  <c r="A274" i="20"/>
  <c r="F278" i="15"/>
  <c r="C278" i="8"/>
  <c r="B278" i="8"/>
  <c r="G278" i="15"/>
  <c r="F277" i="8"/>
  <c r="G277" i="8"/>
  <c r="C279" i="15"/>
  <c r="B279" i="15"/>
  <c r="H277" i="15"/>
  <c r="K273" i="20" s="1"/>
  <c r="G278" i="14"/>
  <c r="F278" i="14"/>
  <c r="C279" i="14"/>
  <c r="B279" i="14"/>
  <c r="D278" i="15"/>
  <c r="P278" i="15"/>
  <c r="F274" i="20" s="1"/>
  <c r="N279" i="15"/>
  <c r="A280" i="15"/>
  <c r="O279" i="15"/>
  <c r="B275" i="20"/>
  <c r="J273" i="20"/>
  <c r="L272" i="20"/>
  <c r="P277" i="8"/>
  <c r="G273" i="20" s="1"/>
  <c r="O278" i="8"/>
  <c r="A279" i="8"/>
  <c r="N278" i="8"/>
  <c r="D277" i="8"/>
  <c r="H277" i="8" s="1"/>
  <c r="D278" i="14"/>
  <c r="H278" i="14" s="1"/>
  <c r="N279" i="14"/>
  <c r="O279" i="14"/>
  <c r="A280" i="14"/>
  <c r="B295" i="37" s="1"/>
  <c r="A295" i="37" s="1"/>
  <c r="P278" i="14"/>
  <c r="E274" i="20" s="1"/>
  <c r="K272" i="38" l="1"/>
  <c r="H271" i="38"/>
  <c r="M271" i="38"/>
  <c r="Q271" i="38" s="1"/>
  <c r="G271" i="38"/>
  <c r="O271" i="38" s="1"/>
  <c r="L271" i="38"/>
  <c r="H273" i="20"/>
  <c r="C272" i="38"/>
  <c r="E272" i="38"/>
  <c r="I272" i="38" s="1"/>
  <c r="D272" i="38"/>
  <c r="C275" i="20"/>
  <c r="A273" i="38"/>
  <c r="B273" i="38" s="1"/>
  <c r="AC273" i="20"/>
  <c r="AA273" i="20"/>
  <c r="AE273" i="20"/>
  <c r="W273" i="20"/>
  <c r="Y273" i="20"/>
  <c r="U273" i="20"/>
  <c r="M272" i="20"/>
  <c r="AG272" i="20"/>
  <c r="O272" i="20" s="1"/>
  <c r="AI272" i="20"/>
  <c r="Q272" i="20" s="1"/>
  <c r="AK272" i="20"/>
  <c r="S272" i="20" s="1"/>
  <c r="A275" i="20"/>
  <c r="F279" i="15"/>
  <c r="G279" i="15"/>
  <c r="C279" i="8"/>
  <c r="B279" i="8"/>
  <c r="F278" i="8"/>
  <c r="G278" i="8"/>
  <c r="C280" i="15"/>
  <c r="B280" i="15"/>
  <c r="H278" i="15"/>
  <c r="K274" i="20" s="1"/>
  <c r="G279" i="14"/>
  <c r="F279" i="14"/>
  <c r="C280" i="14"/>
  <c r="B280" i="14"/>
  <c r="O280" i="15"/>
  <c r="N280" i="15"/>
  <c r="A281" i="15"/>
  <c r="P279" i="15"/>
  <c r="F275" i="20" s="1"/>
  <c r="D279" i="15"/>
  <c r="L273" i="20"/>
  <c r="J274" i="20"/>
  <c r="P278" i="8"/>
  <c r="G274" i="20" s="1"/>
  <c r="B276" i="20"/>
  <c r="D278" i="8"/>
  <c r="H278" i="8" s="1"/>
  <c r="O279" i="8"/>
  <c r="N279" i="8"/>
  <c r="A280" i="8"/>
  <c r="N280" i="14"/>
  <c r="O280" i="14"/>
  <c r="A281" i="14"/>
  <c r="B296" i="37" s="1"/>
  <c r="A296" i="37" s="1"/>
  <c r="D279" i="14"/>
  <c r="H279" i="14" s="1"/>
  <c r="P279" i="14"/>
  <c r="E275" i="20" s="1"/>
  <c r="K273" i="38" l="1"/>
  <c r="H272" i="38"/>
  <c r="M272" i="38"/>
  <c r="G272" i="38"/>
  <c r="O272" i="38" s="1"/>
  <c r="L272" i="38"/>
  <c r="P271" i="38"/>
  <c r="H274" i="20"/>
  <c r="Q272" i="38"/>
  <c r="C273" i="38"/>
  <c r="E273" i="38"/>
  <c r="I273" i="38" s="1"/>
  <c r="D273" i="38"/>
  <c r="C276" i="20"/>
  <c r="A274" i="38"/>
  <c r="B274" i="38" s="1"/>
  <c r="M273" i="20"/>
  <c r="AK273" i="20"/>
  <c r="S273" i="20" s="1"/>
  <c r="AG273" i="20"/>
  <c r="O273" i="20" s="1"/>
  <c r="AI273" i="20"/>
  <c r="Q273" i="20" s="1"/>
  <c r="U274" i="20"/>
  <c r="W274" i="20"/>
  <c r="Y274" i="20"/>
  <c r="AC274" i="20"/>
  <c r="AE274" i="20"/>
  <c r="AA274" i="20"/>
  <c r="A276" i="20"/>
  <c r="G280" i="15"/>
  <c r="F280" i="15"/>
  <c r="B280" i="8"/>
  <c r="C280" i="8"/>
  <c r="H279" i="15"/>
  <c r="K275" i="20" s="1"/>
  <c r="C281" i="15"/>
  <c r="B281" i="15"/>
  <c r="F279" i="8"/>
  <c r="G279" i="8"/>
  <c r="G280" i="14"/>
  <c r="F280" i="14"/>
  <c r="C281" i="14"/>
  <c r="B281" i="14"/>
  <c r="P280" i="15"/>
  <c r="F276" i="20" s="1"/>
  <c r="N281" i="15"/>
  <c r="O281" i="15"/>
  <c r="A282" i="15"/>
  <c r="D280" i="15"/>
  <c r="B277" i="20"/>
  <c r="L274" i="20"/>
  <c r="P279" i="8"/>
  <c r="G275" i="20" s="1"/>
  <c r="J275" i="20"/>
  <c r="N280" i="8"/>
  <c r="A281" i="8"/>
  <c r="O280" i="8"/>
  <c r="D279" i="8"/>
  <c r="H279" i="8" s="1"/>
  <c r="P280" i="14"/>
  <c r="E276" i="20" s="1"/>
  <c r="N281" i="14"/>
  <c r="A282" i="14"/>
  <c r="B297" i="37" s="1"/>
  <c r="A297" i="37" s="1"/>
  <c r="O281" i="14"/>
  <c r="D280" i="14"/>
  <c r="H280" i="14" s="1"/>
  <c r="K274" i="38" l="1"/>
  <c r="G273" i="38"/>
  <c r="O273" i="38" s="1"/>
  <c r="L273" i="38"/>
  <c r="P272" i="38"/>
  <c r="H273" i="38"/>
  <c r="P273" i="38" s="1"/>
  <c r="M273" i="38"/>
  <c r="Q273" i="38" s="1"/>
  <c r="H275" i="20"/>
  <c r="C274" i="38"/>
  <c r="E274" i="38"/>
  <c r="I274" i="38" s="1"/>
  <c r="D274" i="38"/>
  <c r="C277" i="20"/>
  <c r="A275" i="38"/>
  <c r="B275" i="38" s="1"/>
  <c r="Y275" i="20"/>
  <c r="W275" i="20"/>
  <c r="U275" i="20"/>
  <c r="M274" i="20"/>
  <c r="AI274" i="20"/>
  <c r="Q274" i="20" s="1"/>
  <c r="AG274" i="20"/>
  <c r="O274" i="20" s="1"/>
  <c r="AK274" i="20"/>
  <c r="S274" i="20" s="1"/>
  <c r="AC275" i="20"/>
  <c r="AE275" i="20"/>
  <c r="AA275" i="20"/>
  <c r="A277" i="20"/>
  <c r="F281" i="15"/>
  <c r="G281" i="15"/>
  <c r="B281" i="8"/>
  <c r="C281" i="8"/>
  <c r="H280" i="15"/>
  <c r="K276" i="20" s="1"/>
  <c r="C282" i="15"/>
  <c r="B282" i="15"/>
  <c r="G280" i="8"/>
  <c r="F280" i="8"/>
  <c r="G281" i="14"/>
  <c r="F281" i="14"/>
  <c r="C282" i="14"/>
  <c r="B282" i="14"/>
  <c r="P281" i="15"/>
  <c r="F277" i="20" s="1"/>
  <c r="N282" i="15"/>
  <c r="A283" i="15"/>
  <c r="O282" i="15"/>
  <c r="D281" i="15"/>
  <c r="B278" i="20"/>
  <c r="J276" i="20"/>
  <c r="L275" i="20"/>
  <c r="A282" i="8"/>
  <c r="N281" i="8"/>
  <c r="O281" i="8"/>
  <c r="P280" i="8"/>
  <c r="G276" i="20" s="1"/>
  <c r="D280" i="8"/>
  <c r="H280" i="8" s="1"/>
  <c r="N282" i="14"/>
  <c r="A283" i="14"/>
  <c r="B298" i="37" s="1"/>
  <c r="A298" i="37" s="1"/>
  <c r="O282" i="14"/>
  <c r="P281" i="14"/>
  <c r="E277" i="20" s="1"/>
  <c r="D281" i="14"/>
  <c r="H281" i="14" s="1"/>
  <c r="H274" i="38" l="1"/>
  <c r="M274" i="38"/>
  <c r="K275" i="38"/>
  <c r="G274" i="38"/>
  <c r="O274" i="38" s="1"/>
  <c r="L274" i="38"/>
  <c r="H276" i="20"/>
  <c r="Q274" i="38"/>
  <c r="E275" i="38"/>
  <c r="I275" i="38" s="1"/>
  <c r="D275" i="38"/>
  <c r="C275" i="38"/>
  <c r="C278" i="20"/>
  <c r="A276" i="38"/>
  <c r="B276" i="38" s="1"/>
  <c r="Y276" i="20"/>
  <c r="U276" i="20"/>
  <c r="W276" i="20"/>
  <c r="M275" i="20"/>
  <c r="AG275" i="20"/>
  <c r="O275" i="20" s="1"/>
  <c r="AI275" i="20"/>
  <c r="Q275" i="20" s="1"/>
  <c r="AK275" i="20"/>
  <c r="S275" i="20" s="1"/>
  <c r="AE276" i="20"/>
  <c r="AA276" i="20"/>
  <c r="AC276" i="20"/>
  <c r="A278" i="20"/>
  <c r="F282" i="15"/>
  <c r="G282" i="15"/>
  <c r="G281" i="8"/>
  <c r="F281" i="8"/>
  <c r="C282" i="8"/>
  <c r="B282" i="8"/>
  <c r="B283" i="15"/>
  <c r="C283" i="15"/>
  <c r="H281" i="15"/>
  <c r="K277" i="20" s="1"/>
  <c r="G282" i="14"/>
  <c r="F282" i="14"/>
  <c r="C283" i="14"/>
  <c r="B283" i="14"/>
  <c r="O283" i="15"/>
  <c r="A284" i="15"/>
  <c r="N283" i="15"/>
  <c r="D282" i="15"/>
  <c r="P282" i="15"/>
  <c r="F278" i="20" s="1"/>
  <c r="B279" i="20"/>
  <c r="J277" i="20"/>
  <c r="L276" i="20"/>
  <c r="P281" i="8"/>
  <c r="G277" i="20" s="1"/>
  <c r="A283" i="8"/>
  <c r="N282" i="8"/>
  <c r="O282" i="8"/>
  <c r="D281" i="8"/>
  <c r="H281" i="8" s="1"/>
  <c r="O283" i="14"/>
  <c r="A284" i="14"/>
  <c r="B299" i="37" s="1"/>
  <c r="A299" i="37" s="1"/>
  <c r="N283" i="14"/>
  <c r="P282" i="14"/>
  <c r="E278" i="20" s="1"/>
  <c r="D282" i="14"/>
  <c r="H282" i="14" s="1"/>
  <c r="G275" i="38" l="1"/>
  <c r="O275" i="38" s="1"/>
  <c r="L275" i="38"/>
  <c r="K276" i="38"/>
  <c r="H275" i="38"/>
  <c r="P275" i="38" s="1"/>
  <c r="M275" i="38"/>
  <c r="P274" i="38"/>
  <c r="H277" i="20"/>
  <c r="Q275" i="38"/>
  <c r="C276" i="38"/>
  <c r="D276" i="38"/>
  <c r="E276" i="38"/>
  <c r="I276" i="38" s="1"/>
  <c r="C279" i="20"/>
  <c r="A277" i="38"/>
  <c r="B277" i="38" s="1"/>
  <c r="K277" i="38" s="1"/>
  <c r="M276" i="20"/>
  <c r="AG276" i="20"/>
  <c r="O276" i="20" s="1"/>
  <c r="AK276" i="20"/>
  <c r="S276" i="20" s="1"/>
  <c r="AI276" i="20"/>
  <c r="Q276" i="20" s="1"/>
  <c r="AC277" i="20"/>
  <c r="AA277" i="20"/>
  <c r="AE277" i="20"/>
  <c r="Y277" i="20"/>
  <c r="W277" i="20"/>
  <c r="U277" i="20"/>
  <c r="A279" i="20"/>
  <c r="F283" i="15"/>
  <c r="G283" i="15"/>
  <c r="C283" i="8"/>
  <c r="B283" i="8"/>
  <c r="G282" i="8"/>
  <c r="F282" i="8"/>
  <c r="H282" i="15"/>
  <c r="K278" i="20" s="1"/>
  <c r="C284" i="15"/>
  <c r="B284" i="15"/>
  <c r="G283" i="14"/>
  <c r="F283" i="14"/>
  <c r="C284" i="14"/>
  <c r="B284" i="14"/>
  <c r="D283" i="15"/>
  <c r="P283" i="15"/>
  <c r="F279" i="20" s="1"/>
  <c r="A285" i="15"/>
  <c r="N284" i="15"/>
  <c r="O284" i="15"/>
  <c r="P283" i="14"/>
  <c r="E279" i="20" s="1"/>
  <c r="B280" i="20"/>
  <c r="J278" i="20"/>
  <c r="L277" i="20"/>
  <c r="A284" i="8"/>
  <c r="O283" i="8"/>
  <c r="N283" i="8"/>
  <c r="D282" i="8"/>
  <c r="H282" i="8" s="1"/>
  <c r="P282" i="8"/>
  <c r="G278" i="20" s="1"/>
  <c r="N284" i="14"/>
  <c r="O284" i="14"/>
  <c r="A285" i="14"/>
  <c r="B300" i="37" s="1"/>
  <c r="A300" i="37" s="1"/>
  <c r="D283" i="14"/>
  <c r="H283" i="14" s="1"/>
  <c r="G276" i="38" l="1"/>
  <c r="O276" i="38" s="1"/>
  <c r="L276" i="38"/>
  <c r="H276" i="38"/>
  <c r="M276" i="38"/>
  <c r="H278" i="20"/>
  <c r="Q276" i="38"/>
  <c r="E277" i="38"/>
  <c r="I277" i="38" s="1"/>
  <c r="D277" i="38"/>
  <c r="C277" i="38"/>
  <c r="C280" i="20"/>
  <c r="A278" i="38"/>
  <c r="B278" i="38" s="1"/>
  <c r="Y278" i="20"/>
  <c r="W278" i="20"/>
  <c r="U278" i="20"/>
  <c r="M277" i="20"/>
  <c r="AG277" i="20"/>
  <c r="O277" i="20" s="1"/>
  <c r="AI277" i="20"/>
  <c r="Q277" i="20" s="1"/>
  <c r="AK277" i="20"/>
  <c r="S277" i="20" s="1"/>
  <c r="AC278" i="20"/>
  <c r="AE278" i="20"/>
  <c r="AA278" i="20"/>
  <c r="A280" i="20"/>
  <c r="F284" i="15"/>
  <c r="G284" i="15"/>
  <c r="H283" i="15"/>
  <c r="K279" i="20" s="1"/>
  <c r="F283" i="8"/>
  <c r="G283" i="8"/>
  <c r="C284" i="8"/>
  <c r="B284" i="8"/>
  <c r="B285" i="15"/>
  <c r="C285" i="15"/>
  <c r="G284" i="14"/>
  <c r="F284" i="14"/>
  <c r="C285" i="14"/>
  <c r="B285" i="14"/>
  <c r="P284" i="15"/>
  <c r="F280" i="20" s="1"/>
  <c r="A286" i="15"/>
  <c r="N285" i="15"/>
  <c r="O285" i="15"/>
  <c r="D284" i="15"/>
  <c r="B281" i="20"/>
  <c r="J279" i="20"/>
  <c r="L278" i="20"/>
  <c r="P283" i="8"/>
  <c r="G279" i="20" s="1"/>
  <c r="D283" i="8"/>
  <c r="H283" i="8" s="1"/>
  <c r="A285" i="8"/>
  <c r="O284" i="8"/>
  <c r="N284" i="8"/>
  <c r="N285" i="14"/>
  <c r="O285" i="14"/>
  <c r="A286" i="14"/>
  <c r="B301" i="37" s="1"/>
  <c r="A301" i="37" s="1"/>
  <c r="P284" i="14"/>
  <c r="E280" i="20" s="1"/>
  <c r="D284" i="14"/>
  <c r="H284" i="14" s="1"/>
  <c r="P276" i="38" l="1"/>
  <c r="K278" i="38"/>
  <c r="H277" i="38"/>
  <c r="M277" i="38"/>
  <c r="G277" i="38"/>
  <c r="O277" i="38" s="1"/>
  <c r="L277" i="38"/>
  <c r="H279" i="20"/>
  <c r="Q277" i="38"/>
  <c r="D278" i="38"/>
  <c r="E278" i="38"/>
  <c r="I278" i="38" s="1"/>
  <c r="C278" i="38"/>
  <c r="C281" i="20"/>
  <c r="A279" i="38"/>
  <c r="B279" i="38" s="1"/>
  <c r="U279" i="20"/>
  <c r="W279" i="20"/>
  <c r="Y279" i="20"/>
  <c r="AE279" i="20"/>
  <c r="AC279" i="20"/>
  <c r="AA279" i="20"/>
  <c r="M278" i="20"/>
  <c r="AK278" i="20"/>
  <c r="S278" i="20" s="1"/>
  <c r="AI278" i="20"/>
  <c r="Q278" i="20" s="1"/>
  <c r="AG278" i="20"/>
  <c r="O278" i="20" s="1"/>
  <c r="A281" i="20"/>
  <c r="F285" i="15"/>
  <c r="G285" i="15"/>
  <c r="G284" i="8"/>
  <c r="C285" i="8"/>
  <c r="B285" i="8"/>
  <c r="F284" i="8"/>
  <c r="H284" i="15"/>
  <c r="K280" i="20" s="1"/>
  <c r="B286" i="15"/>
  <c r="C286" i="15"/>
  <c r="G285" i="14"/>
  <c r="F285" i="14"/>
  <c r="C286" i="14"/>
  <c r="B286" i="14"/>
  <c r="D285" i="15"/>
  <c r="P285" i="15"/>
  <c r="F281" i="20" s="1"/>
  <c r="N286" i="15"/>
  <c r="A287" i="15"/>
  <c r="O286" i="15"/>
  <c r="B282" i="20"/>
  <c r="L279" i="20"/>
  <c r="J280" i="20"/>
  <c r="D284" i="8"/>
  <c r="H284" i="8" s="1"/>
  <c r="P284" i="8"/>
  <c r="G280" i="20" s="1"/>
  <c r="O285" i="8"/>
  <c r="N285" i="8"/>
  <c r="A286" i="8"/>
  <c r="N286" i="14"/>
  <c r="O286" i="14"/>
  <c r="A287" i="14"/>
  <c r="B302" i="37" s="1"/>
  <c r="A302" i="37" s="1"/>
  <c r="D285" i="14"/>
  <c r="H285" i="14" s="1"/>
  <c r="P285" i="14"/>
  <c r="E281" i="20" s="1"/>
  <c r="K279" i="38" l="1"/>
  <c r="G278" i="38"/>
  <c r="O278" i="38" s="1"/>
  <c r="L278" i="38"/>
  <c r="H278" i="38"/>
  <c r="M278" i="38"/>
  <c r="P277" i="38"/>
  <c r="H280" i="20"/>
  <c r="Q278" i="38"/>
  <c r="E279" i="38"/>
  <c r="I279" i="38" s="1"/>
  <c r="D279" i="38"/>
  <c r="C279" i="38"/>
  <c r="C282" i="20"/>
  <c r="A280" i="38"/>
  <c r="B280" i="38" s="1"/>
  <c r="AC280" i="20"/>
  <c r="AE280" i="20"/>
  <c r="AA280" i="20"/>
  <c r="U280" i="20"/>
  <c r="Y280" i="20"/>
  <c r="W280" i="20"/>
  <c r="M279" i="20"/>
  <c r="AG279" i="20"/>
  <c r="O279" i="20" s="1"/>
  <c r="AK279" i="20"/>
  <c r="S279" i="20" s="1"/>
  <c r="AI279" i="20"/>
  <c r="Q279" i="20" s="1"/>
  <c r="A282" i="20"/>
  <c r="G286" i="15"/>
  <c r="F286" i="15"/>
  <c r="H285" i="15"/>
  <c r="K281" i="20" s="1"/>
  <c r="F285" i="8"/>
  <c r="C287" i="15"/>
  <c r="B287" i="15"/>
  <c r="C286" i="8"/>
  <c r="B286" i="8"/>
  <c r="G285" i="8"/>
  <c r="G286" i="14"/>
  <c r="F286" i="14"/>
  <c r="B287" i="14"/>
  <c r="C287" i="14"/>
  <c r="P286" i="15"/>
  <c r="F282" i="20" s="1"/>
  <c r="A288" i="15"/>
  <c r="O287" i="15"/>
  <c r="N287" i="15"/>
  <c r="D286" i="15"/>
  <c r="P285" i="8"/>
  <c r="G281" i="20" s="1"/>
  <c r="L280" i="20"/>
  <c r="J281" i="20"/>
  <c r="B283" i="20"/>
  <c r="D285" i="8"/>
  <c r="H285" i="8" s="1"/>
  <c r="O286" i="8"/>
  <c r="N286" i="8"/>
  <c r="A287" i="8"/>
  <c r="O287" i="14"/>
  <c r="N287" i="14"/>
  <c r="A288" i="14"/>
  <c r="B303" i="37" s="1"/>
  <c r="A303" i="37" s="1"/>
  <c r="D286" i="14"/>
  <c r="H286" i="14" s="1"/>
  <c r="P286" i="14"/>
  <c r="E282" i="20" s="1"/>
  <c r="P278" i="38" l="1"/>
  <c r="G279" i="38"/>
  <c r="O279" i="38" s="1"/>
  <c r="L279" i="38"/>
  <c r="K280" i="38"/>
  <c r="H279" i="38"/>
  <c r="P279" i="38" s="1"/>
  <c r="M279" i="38"/>
  <c r="H281" i="20"/>
  <c r="Q279" i="38"/>
  <c r="D280" i="38"/>
  <c r="C280" i="38"/>
  <c r="E280" i="38"/>
  <c r="I280" i="38" s="1"/>
  <c r="C283" i="20"/>
  <c r="A281" i="38"/>
  <c r="B281" i="38" s="1"/>
  <c r="K281" i="38" s="1"/>
  <c r="W281" i="20"/>
  <c r="Y281" i="20"/>
  <c r="U281" i="20"/>
  <c r="AE281" i="20"/>
  <c r="AC281" i="20"/>
  <c r="AA281" i="20"/>
  <c r="M280" i="20"/>
  <c r="AG280" i="20"/>
  <c r="O280" i="20" s="1"/>
  <c r="AI280" i="20"/>
  <c r="Q280" i="20" s="1"/>
  <c r="AK280" i="20"/>
  <c r="S280" i="20" s="1"/>
  <c r="A283" i="20"/>
  <c r="G287" i="15"/>
  <c r="F287" i="15"/>
  <c r="G286" i="8"/>
  <c r="H286" i="15"/>
  <c r="K282" i="20" s="1"/>
  <c r="C287" i="8"/>
  <c r="B287" i="8"/>
  <c r="F286" i="8"/>
  <c r="B288" i="15"/>
  <c r="C288" i="15"/>
  <c r="G287" i="14"/>
  <c r="F287" i="14"/>
  <c r="C288" i="14"/>
  <c r="B288" i="14"/>
  <c r="P287" i="15"/>
  <c r="F283" i="20" s="1"/>
  <c r="A289" i="15"/>
  <c r="N288" i="15"/>
  <c r="O288" i="15"/>
  <c r="D287" i="15"/>
  <c r="L281" i="20"/>
  <c r="B284" i="20"/>
  <c r="J282" i="20"/>
  <c r="P287" i="14"/>
  <c r="E283" i="20" s="1"/>
  <c r="A288" i="8"/>
  <c r="N287" i="8"/>
  <c r="O287" i="8"/>
  <c r="P286" i="8"/>
  <c r="G282" i="20" s="1"/>
  <c r="D286" i="8"/>
  <c r="H286" i="8" s="1"/>
  <c r="D287" i="14"/>
  <c r="H287" i="14" s="1"/>
  <c r="N288" i="14"/>
  <c r="O288" i="14"/>
  <c r="A289" i="14"/>
  <c r="B304" i="37" s="1"/>
  <c r="A304" i="37" s="1"/>
  <c r="G280" i="38" l="1"/>
  <c r="O280" i="38" s="1"/>
  <c r="L280" i="38"/>
  <c r="H280" i="38"/>
  <c r="P280" i="38" s="1"/>
  <c r="M280" i="38"/>
  <c r="H282" i="20"/>
  <c r="Q280" i="38"/>
  <c r="D281" i="38"/>
  <c r="C281" i="38"/>
  <c r="E281" i="38"/>
  <c r="I281" i="38" s="1"/>
  <c r="C284" i="20"/>
  <c r="A282" i="38"/>
  <c r="B282" i="38" s="1"/>
  <c r="M281" i="20"/>
  <c r="AI281" i="20"/>
  <c r="Q281" i="20" s="1"/>
  <c r="AK281" i="20"/>
  <c r="S281" i="20" s="1"/>
  <c r="AG281" i="20"/>
  <c r="O281" i="20" s="1"/>
  <c r="AC282" i="20"/>
  <c r="AE282" i="20"/>
  <c r="AA282" i="20"/>
  <c r="U282" i="20"/>
  <c r="W282" i="20"/>
  <c r="Y282" i="20"/>
  <c r="A284" i="20"/>
  <c r="G288" i="15"/>
  <c r="F288" i="15"/>
  <c r="G287" i="8"/>
  <c r="C288" i="8"/>
  <c r="B288" i="8"/>
  <c r="F287" i="8"/>
  <c r="H287" i="15"/>
  <c r="K283" i="20" s="1"/>
  <c r="C289" i="15"/>
  <c r="B289" i="15"/>
  <c r="G288" i="14"/>
  <c r="F288" i="14"/>
  <c r="C289" i="14"/>
  <c r="B289" i="14"/>
  <c r="P288" i="15"/>
  <c r="F284" i="20" s="1"/>
  <c r="A290" i="15"/>
  <c r="N289" i="15"/>
  <c r="O289" i="15"/>
  <c r="D288" i="15"/>
  <c r="L282" i="20"/>
  <c r="B285" i="20"/>
  <c r="J283" i="20"/>
  <c r="N288" i="8"/>
  <c r="A289" i="8"/>
  <c r="O288" i="8"/>
  <c r="D287" i="8"/>
  <c r="H287" i="8" s="1"/>
  <c r="P287" i="8"/>
  <c r="G283" i="20" s="1"/>
  <c r="D288" i="14"/>
  <c r="H288" i="14" s="1"/>
  <c r="N289" i="14"/>
  <c r="O289" i="14"/>
  <c r="A290" i="14"/>
  <c r="B305" i="37" s="1"/>
  <c r="A305" i="37" s="1"/>
  <c r="P288" i="14"/>
  <c r="E284" i="20" s="1"/>
  <c r="K282" i="38" l="1"/>
  <c r="H281" i="38"/>
  <c r="M281" i="38"/>
  <c r="G281" i="38"/>
  <c r="O281" i="38" s="1"/>
  <c r="L281" i="38"/>
  <c r="H283" i="20"/>
  <c r="Q281" i="38"/>
  <c r="E282" i="38"/>
  <c r="I282" i="38" s="1"/>
  <c r="C282" i="38"/>
  <c r="D282" i="38"/>
  <c r="C285" i="20"/>
  <c r="A283" i="38"/>
  <c r="B283" i="38" s="1"/>
  <c r="Y283" i="20"/>
  <c r="W283" i="20"/>
  <c r="U283" i="20"/>
  <c r="AE283" i="20"/>
  <c r="AA283" i="20"/>
  <c r="AC283" i="20"/>
  <c r="M282" i="20"/>
  <c r="AK282" i="20"/>
  <c r="S282" i="20" s="1"/>
  <c r="AG282" i="20"/>
  <c r="O282" i="20" s="1"/>
  <c r="AI282" i="20"/>
  <c r="Q282" i="20" s="1"/>
  <c r="A285" i="20"/>
  <c r="G289" i="15"/>
  <c r="F289" i="15"/>
  <c r="B289" i="8"/>
  <c r="C289" i="8"/>
  <c r="F288" i="8"/>
  <c r="G288" i="8"/>
  <c r="H288" i="15"/>
  <c r="K284" i="20" s="1"/>
  <c r="C290" i="15"/>
  <c r="B290" i="15"/>
  <c r="G289" i="14"/>
  <c r="F289" i="14"/>
  <c r="C290" i="14"/>
  <c r="B290" i="14"/>
  <c r="D289" i="15"/>
  <c r="P289" i="15"/>
  <c r="F285" i="20" s="1"/>
  <c r="A291" i="15"/>
  <c r="O290" i="15"/>
  <c r="N290" i="15"/>
  <c r="L283" i="20"/>
  <c r="J284" i="20"/>
  <c r="B286" i="20"/>
  <c r="D288" i="8"/>
  <c r="H288" i="8" s="1"/>
  <c r="A290" i="8"/>
  <c r="O289" i="8"/>
  <c r="N289" i="8"/>
  <c r="P288" i="8"/>
  <c r="G284" i="20" s="1"/>
  <c r="P289" i="14"/>
  <c r="E285" i="20" s="1"/>
  <c r="D289" i="14"/>
  <c r="H289" i="14" s="1"/>
  <c r="N290" i="14"/>
  <c r="A291" i="14"/>
  <c r="B306" i="37" s="1"/>
  <c r="A306" i="37" s="1"/>
  <c r="O290" i="14"/>
  <c r="G282" i="38" l="1"/>
  <c r="O282" i="38" s="1"/>
  <c r="L282" i="38"/>
  <c r="P281" i="38"/>
  <c r="K283" i="38"/>
  <c r="H282" i="38"/>
  <c r="P282" i="38" s="1"/>
  <c r="M282" i="38"/>
  <c r="Q282" i="38" s="1"/>
  <c r="H284" i="20"/>
  <c r="C283" i="38"/>
  <c r="D283" i="38"/>
  <c r="E283" i="38"/>
  <c r="I283" i="38" s="1"/>
  <c r="C286" i="20"/>
  <c r="A284" i="38"/>
  <c r="B284" i="38" s="1"/>
  <c r="U284" i="20"/>
  <c r="W284" i="20"/>
  <c r="Y284" i="20"/>
  <c r="M283" i="20"/>
  <c r="AG283" i="20"/>
  <c r="O283" i="20" s="1"/>
  <c r="AI283" i="20"/>
  <c r="Q283" i="20" s="1"/>
  <c r="AK283" i="20"/>
  <c r="S283" i="20" s="1"/>
  <c r="AC284" i="20"/>
  <c r="AE284" i="20"/>
  <c r="AA284" i="20"/>
  <c r="A286" i="20"/>
  <c r="G290" i="15"/>
  <c r="F290" i="15"/>
  <c r="B290" i="8"/>
  <c r="C290" i="8"/>
  <c r="H289" i="15"/>
  <c r="K285" i="20" s="1"/>
  <c r="G289" i="8"/>
  <c r="F289" i="8"/>
  <c r="B291" i="15"/>
  <c r="C291" i="15"/>
  <c r="G290" i="14"/>
  <c r="F290" i="14"/>
  <c r="C291" i="14"/>
  <c r="B291" i="14"/>
  <c r="P290" i="15"/>
  <c r="F286" i="20" s="1"/>
  <c r="D290" i="15"/>
  <c r="N291" i="15"/>
  <c r="A292" i="15"/>
  <c r="O291" i="15"/>
  <c r="L284" i="20"/>
  <c r="J285" i="20"/>
  <c r="B287" i="20"/>
  <c r="P289" i="8"/>
  <c r="G285" i="20" s="1"/>
  <c r="O290" i="8"/>
  <c r="A291" i="8"/>
  <c r="N290" i="8"/>
  <c r="D289" i="8"/>
  <c r="H289" i="8" s="1"/>
  <c r="P290" i="14"/>
  <c r="E286" i="20" s="1"/>
  <c r="N291" i="14"/>
  <c r="O291" i="14"/>
  <c r="A292" i="14"/>
  <c r="B307" i="37" s="1"/>
  <c r="A307" i="37" s="1"/>
  <c r="D290" i="14"/>
  <c r="H290" i="14" s="1"/>
  <c r="K284" i="38" l="1"/>
  <c r="H283" i="38"/>
  <c r="M283" i="38"/>
  <c r="G283" i="38"/>
  <c r="O283" i="38" s="1"/>
  <c r="L283" i="38"/>
  <c r="H285" i="20"/>
  <c r="Q283" i="38"/>
  <c r="C284" i="38"/>
  <c r="E284" i="38"/>
  <c r="I284" i="38" s="1"/>
  <c r="D284" i="38"/>
  <c r="C287" i="20"/>
  <c r="A285" i="38"/>
  <c r="B285" i="38" s="1"/>
  <c r="U285" i="20"/>
  <c r="Y285" i="20"/>
  <c r="W285" i="20"/>
  <c r="M284" i="20"/>
  <c r="AK284" i="20"/>
  <c r="S284" i="20" s="1"/>
  <c r="AG284" i="20"/>
  <c r="O284" i="20" s="1"/>
  <c r="AI284" i="20"/>
  <c r="Q284" i="20" s="1"/>
  <c r="AE285" i="20"/>
  <c r="AA285" i="20"/>
  <c r="AC285" i="20"/>
  <c r="A287" i="20"/>
  <c r="F291" i="15"/>
  <c r="G291" i="15"/>
  <c r="C291" i="8"/>
  <c r="B291" i="8"/>
  <c r="C292" i="15"/>
  <c r="B292" i="15"/>
  <c r="G290" i="8"/>
  <c r="H290" i="15"/>
  <c r="K286" i="20" s="1"/>
  <c r="F290" i="8"/>
  <c r="G291" i="14"/>
  <c r="F291" i="14"/>
  <c r="C292" i="14"/>
  <c r="B292" i="14"/>
  <c r="N292" i="15"/>
  <c r="O292" i="15"/>
  <c r="A293" i="15"/>
  <c r="D291" i="15"/>
  <c r="P291" i="15"/>
  <c r="F287" i="20" s="1"/>
  <c r="P290" i="8"/>
  <c r="G286" i="20" s="1"/>
  <c r="J286" i="20"/>
  <c r="B288" i="20"/>
  <c r="L285" i="20"/>
  <c r="D290" i="8"/>
  <c r="H290" i="8" s="1"/>
  <c r="O291" i="8"/>
  <c r="N291" i="8"/>
  <c r="A292" i="8"/>
  <c r="A293" i="14"/>
  <c r="B308" i="37" s="1"/>
  <c r="A308" i="37" s="1"/>
  <c r="N292" i="14"/>
  <c r="O292" i="14"/>
  <c r="D291" i="14"/>
  <c r="H291" i="14" s="1"/>
  <c r="P291" i="14"/>
  <c r="E287" i="20" s="1"/>
  <c r="K285" i="38" l="1"/>
  <c r="H284" i="38"/>
  <c r="M284" i="38"/>
  <c r="G284" i="38"/>
  <c r="O284" i="38" s="1"/>
  <c r="L284" i="38"/>
  <c r="P283" i="38"/>
  <c r="H286" i="20"/>
  <c r="Q284" i="38"/>
  <c r="E285" i="38"/>
  <c r="I285" i="38" s="1"/>
  <c r="D285" i="38"/>
  <c r="C285" i="38"/>
  <c r="C288" i="20"/>
  <c r="A286" i="38"/>
  <c r="B286" i="38" s="1"/>
  <c r="M285" i="20"/>
  <c r="AG285" i="20"/>
  <c r="O285" i="20" s="1"/>
  <c r="AK285" i="20"/>
  <c r="S285" i="20" s="1"/>
  <c r="AI285" i="20"/>
  <c r="Q285" i="20" s="1"/>
  <c r="AE286" i="20"/>
  <c r="AA286" i="20"/>
  <c r="AC286" i="20"/>
  <c r="U286" i="20"/>
  <c r="Y286" i="20"/>
  <c r="W286" i="20"/>
  <c r="A288" i="20"/>
  <c r="F292" i="15"/>
  <c r="G292" i="15"/>
  <c r="C292" i="8"/>
  <c r="B292" i="8"/>
  <c r="F291" i="8"/>
  <c r="B293" i="15"/>
  <c r="C293" i="15"/>
  <c r="G291" i="8"/>
  <c r="H291" i="15"/>
  <c r="K287" i="20" s="1"/>
  <c r="G292" i="14"/>
  <c r="F292" i="14"/>
  <c r="C293" i="14"/>
  <c r="B293" i="14"/>
  <c r="A294" i="15"/>
  <c r="O293" i="15"/>
  <c r="N293" i="15"/>
  <c r="D292" i="15"/>
  <c r="P292" i="15"/>
  <c r="F288" i="20" s="1"/>
  <c r="P291" i="8"/>
  <c r="G287" i="20" s="1"/>
  <c r="L286" i="20"/>
  <c r="B289" i="20"/>
  <c r="J287" i="20"/>
  <c r="O292" i="8"/>
  <c r="N292" i="8"/>
  <c r="A293" i="8"/>
  <c r="D291" i="8"/>
  <c r="H291" i="8" s="1"/>
  <c r="P292" i="14"/>
  <c r="E288" i="20" s="1"/>
  <c r="D292" i="14"/>
  <c r="H292" i="14" s="1"/>
  <c r="N293" i="14"/>
  <c r="O293" i="14"/>
  <c r="A294" i="14"/>
  <c r="B309" i="37" s="1"/>
  <c r="A309" i="37" s="1"/>
  <c r="H285" i="38" l="1"/>
  <c r="M285" i="38"/>
  <c r="G285" i="38"/>
  <c r="O285" i="38" s="1"/>
  <c r="L285" i="38"/>
  <c r="P284" i="38"/>
  <c r="K286" i="38"/>
  <c r="H287" i="20"/>
  <c r="Q285" i="38"/>
  <c r="E286" i="38"/>
  <c r="I286" i="38" s="1"/>
  <c r="C286" i="38"/>
  <c r="D286" i="38"/>
  <c r="C289" i="20"/>
  <c r="A287" i="38"/>
  <c r="B287" i="38" s="1"/>
  <c r="AE287" i="20"/>
  <c r="AC287" i="20"/>
  <c r="AA287" i="20"/>
  <c r="Y287" i="20"/>
  <c r="U287" i="20"/>
  <c r="W287" i="20"/>
  <c r="M286" i="20"/>
  <c r="AI286" i="20"/>
  <c r="Q286" i="20" s="1"/>
  <c r="AG286" i="20"/>
  <c r="O286" i="20" s="1"/>
  <c r="AK286" i="20"/>
  <c r="S286" i="20" s="1"/>
  <c r="A289" i="20"/>
  <c r="C293" i="8"/>
  <c r="B293" i="8"/>
  <c r="G293" i="15"/>
  <c r="F292" i="8"/>
  <c r="G292" i="8"/>
  <c r="B294" i="15"/>
  <c r="C294" i="15"/>
  <c r="F293" i="15"/>
  <c r="H292" i="15"/>
  <c r="K288" i="20" s="1"/>
  <c r="G293" i="14"/>
  <c r="F293" i="14"/>
  <c r="C294" i="14"/>
  <c r="B294" i="14"/>
  <c r="P293" i="15"/>
  <c r="F289" i="20" s="1"/>
  <c r="D293" i="15"/>
  <c r="N294" i="15"/>
  <c r="A295" i="15"/>
  <c r="O294" i="15"/>
  <c r="J288" i="20"/>
  <c r="L287" i="20"/>
  <c r="P292" i="8"/>
  <c r="G288" i="20" s="1"/>
  <c r="B290" i="20"/>
  <c r="A294" i="8"/>
  <c r="N293" i="8"/>
  <c r="O293" i="8"/>
  <c r="D292" i="8"/>
  <c r="H292" i="8" s="1"/>
  <c r="P293" i="14"/>
  <c r="E289" i="20" s="1"/>
  <c r="D293" i="14"/>
  <c r="H293" i="14" s="1"/>
  <c r="A295" i="14"/>
  <c r="B310" i="37" s="1"/>
  <c r="A310" i="37" s="1"/>
  <c r="O294" i="14"/>
  <c r="N294" i="14"/>
  <c r="H286" i="38" l="1"/>
  <c r="M286" i="38"/>
  <c r="G286" i="38"/>
  <c r="O286" i="38" s="1"/>
  <c r="L286" i="38"/>
  <c r="K287" i="38"/>
  <c r="P285" i="38"/>
  <c r="H288" i="20"/>
  <c r="Q286" i="38"/>
  <c r="E287" i="38"/>
  <c r="I287" i="38" s="1"/>
  <c r="D287" i="38"/>
  <c r="C287" i="38"/>
  <c r="C290" i="20"/>
  <c r="A288" i="38"/>
  <c r="B288" i="38" s="1"/>
  <c r="M287" i="20"/>
  <c r="AG287" i="20"/>
  <c r="O287" i="20" s="1"/>
  <c r="AI287" i="20"/>
  <c r="Q287" i="20" s="1"/>
  <c r="AK287" i="20"/>
  <c r="S287" i="20" s="1"/>
  <c r="Y288" i="20"/>
  <c r="W288" i="20"/>
  <c r="U288" i="20"/>
  <c r="AA288" i="20"/>
  <c r="AE288" i="20"/>
  <c r="AC288" i="20"/>
  <c r="A290" i="20"/>
  <c r="G294" i="15"/>
  <c r="F294" i="15"/>
  <c r="C294" i="8"/>
  <c r="B294" i="8"/>
  <c r="F293" i="8"/>
  <c r="G293" i="8"/>
  <c r="C295" i="15"/>
  <c r="B295" i="15"/>
  <c r="H293" i="15"/>
  <c r="K289" i="20" s="1"/>
  <c r="G294" i="14"/>
  <c r="F294" i="14"/>
  <c r="B295" i="14"/>
  <c r="C295" i="14"/>
  <c r="D294" i="15"/>
  <c r="A296" i="15"/>
  <c r="O295" i="15"/>
  <c r="N295" i="15"/>
  <c r="P294" i="15"/>
  <c r="F290" i="20" s="1"/>
  <c r="L288" i="20"/>
  <c r="J289" i="20"/>
  <c r="B291" i="20"/>
  <c r="P293" i="8"/>
  <c r="G289" i="20" s="1"/>
  <c r="O294" i="8"/>
  <c r="N294" i="8"/>
  <c r="A295" i="8"/>
  <c r="D293" i="8"/>
  <c r="H293" i="8" s="1"/>
  <c r="D294" i="14"/>
  <c r="H294" i="14" s="1"/>
  <c r="P294" i="14"/>
  <c r="E290" i="20" s="1"/>
  <c r="N295" i="14"/>
  <c r="O295" i="14"/>
  <c r="A296" i="14"/>
  <c r="B311" i="37" s="1"/>
  <c r="A311" i="37" s="1"/>
  <c r="H287" i="38" l="1"/>
  <c r="M287" i="38"/>
  <c r="K288" i="38"/>
  <c r="G287" i="38"/>
  <c r="O287" i="38" s="1"/>
  <c r="L287" i="38"/>
  <c r="P286" i="38"/>
  <c r="H289" i="20"/>
  <c r="Q287" i="38"/>
  <c r="E288" i="38"/>
  <c r="I288" i="38" s="1"/>
  <c r="D288" i="38"/>
  <c r="C288" i="38"/>
  <c r="C291" i="20"/>
  <c r="A289" i="38"/>
  <c r="B289" i="38" s="1"/>
  <c r="AE289" i="20"/>
  <c r="AC289" i="20"/>
  <c r="AA289" i="20"/>
  <c r="Y289" i="20"/>
  <c r="W289" i="20"/>
  <c r="U289" i="20"/>
  <c r="M288" i="20"/>
  <c r="AG288" i="20"/>
  <c r="O288" i="20" s="1"/>
  <c r="AK288" i="20"/>
  <c r="S288" i="20" s="1"/>
  <c r="AI288" i="20"/>
  <c r="Q288" i="20" s="1"/>
  <c r="A291" i="20"/>
  <c r="G295" i="15"/>
  <c r="F295" i="15"/>
  <c r="C295" i="8"/>
  <c r="B295" i="8"/>
  <c r="H294" i="15"/>
  <c r="K290" i="20" s="1"/>
  <c r="F294" i="8"/>
  <c r="G294" i="8"/>
  <c r="C296" i="15"/>
  <c r="B296" i="15"/>
  <c r="G295" i="14"/>
  <c r="F295" i="14"/>
  <c r="C296" i="14"/>
  <c r="B296" i="14"/>
  <c r="P295" i="15"/>
  <c r="F291" i="20" s="1"/>
  <c r="N296" i="15"/>
  <c r="O296" i="15"/>
  <c r="A297" i="15"/>
  <c r="D295" i="15"/>
  <c r="J290" i="20"/>
  <c r="B292" i="20"/>
  <c r="L289" i="20"/>
  <c r="P294" i="8"/>
  <c r="G290" i="20" s="1"/>
  <c r="D294" i="8"/>
  <c r="H294" i="8" s="1"/>
  <c r="N295" i="8"/>
  <c r="O295" i="8"/>
  <c r="A296" i="8"/>
  <c r="P295" i="14"/>
  <c r="E291" i="20" s="1"/>
  <c r="O296" i="14"/>
  <c r="A297" i="14"/>
  <c r="B312" i="37" s="1"/>
  <c r="A312" i="37" s="1"/>
  <c r="N296" i="14"/>
  <c r="D295" i="14"/>
  <c r="H295" i="14" s="1"/>
  <c r="K289" i="38" l="1"/>
  <c r="G288" i="38"/>
  <c r="O288" i="38" s="1"/>
  <c r="L288" i="38"/>
  <c r="H288" i="38"/>
  <c r="P288" i="38" s="1"/>
  <c r="M288" i="38"/>
  <c r="Q288" i="38" s="1"/>
  <c r="P287" i="38"/>
  <c r="H290" i="20"/>
  <c r="D289" i="38"/>
  <c r="C289" i="38"/>
  <c r="E289" i="38"/>
  <c r="I289" i="38" s="1"/>
  <c r="C292" i="20"/>
  <c r="A290" i="38"/>
  <c r="B290" i="38" s="1"/>
  <c r="AA290" i="20"/>
  <c r="AE290" i="20"/>
  <c r="AC290" i="20"/>
  <c r="U290" i="20"/>
  <c r="W290" i="20"/>
  <c r="Y290" i="20"/>
  <c r="M289" i="20"/>
  <c r="AK289" i="20"/>
  <c r="S289" i="20" s="1"/>
  <c r="AI289" i="20"/>
  <c r="Q289" i="20" s="1"/>
  <c r="AG289" i="20"/>
  <c r="O289" i="20" s="1"/>
  <c r="A292" i="20"/>
  <c r="F296" i="15"/>
  <c r="G296" i="15"/>
  <c r="H295" i="15"/>
  <c r="K291" i="20" s="1"/>
  <c r="C297" i="15"/>
  <c r="B297" i="15"/>
  <c r="F295" i="8"/>
  <c r="C296" i="8"/>
  <c r="B296" i="8"/>
  <c r="G295" i="8"/>
  <c r="G296" i="14"/>
  <c r="F296" i="14"/>
  <c r="C297" i="14"/>
  <c r="B297" i="14"/>
  <c r="N297" i="15"/>
  <c r="O297" i="15"/>
  <c r="A298" i="15"/>
  <c r="D296" i="15"/>
  <c r="P296" i="15"/>
  <c r="F292" i="20" s="1"/>
  <c r="L290" i="20"/>
  <c r="B293" i="20"/>
  <c r="J291" i="20"/>
  <c r="P296" i="14"/>
  <c r="E292" i="20" s="1"/>
  <c r="P295" i="8"/>
  <c r="G291" i="20" s="1"/>
  <c r="N296" i="8"/>
  <c r="A297" i="8"/>
  <c r="O296" i="8"/>
  <c r="D295" i="8"/>
  <c r="H295" i="8" s="1"/>
  <c r="D296" i="14"/>
  <c r="H296" i="14" s="1"/>
  <c r="A298" i="14"/>
  <c r="B313" i="37" s="1"/>
  <c r="A313" i="37" s="1"/>
  <c r="N297" i="14"/>
  <c r="O297" i="14"/>
  <c r="H289" i="38" l="1"/>
  <c r="M289" i="38"/>
  <c r="G289" i="38"/>
  <c r="O289" i="38" s="1"/>
  <c r="L289" i="38"/>
  <c r="K290" i="38"/>
  <c r="H291" i="20"/>
  <c r="Q289" i="38"/>
  <c r="D290" i="38"/>
  <c r="C290" i="38"/>
  <c r="E290" i="38"/>
  <c r="I290" i="38" s="1"/>
  <c r="C293" i="20"/>
  <c r="A291" i="38"/>
  <c r="B291" i="38" s="1"/>
  <c r="M290" i="20"/>
  <c r="AK290" i="20"/>
  <c r="S290" i="20" s="1"/>
  <c r="AI290" i="20"/>
  <c r="Q290" i="20" s="1"/>
  <c r="AG290" i="20"/>
  <c r="O290" i="20" s="1"/>
  <c r="AC291" i="20"/>
  <c r="AA291" i="20"/>
  <c r="AE291" i="20"/>
  <c r="U291" i="20"/>
  <c r="Y291" i="20"/>
  <c r="W291" i="20"/>
  <c r="A293" i="20"/>
  <c r="F297" i="15"/>
  <c r="G297" i="15"/>
  <c r="F296" i="8"/>
  <c r="C297" i="8"/>
  <c r="B297" i="8"/>
  <c r="G296" i="8"/>
  <c r="H296" i="15"/>
  <c r="K292" i="20" s="1"/>
  <c r="B298" i="15"/>
  <c r="C298" i="15"/>
  <c r="G297" i="14"/>
  <c r="F297" i="14"/>
  <c r="C298" i="14"/>
  <c r="B298" i="14"/>
  <c r="O298" i="15"/>
  <c r="A299" i="15"/>
  <c r="N298" i="15"/>
  <c r="D297" i="15"/>
  <c r="P297" i="15"/>
  <c r="F293" i="20" s="1"/>
  <c r="J292" i="20"/>
  <c r="B294" i="20"/>
  <c r="L291" i="20"/>
  <c r="P296" i="8"/>
  <c r="G292" i="20" s="1"/>
  <c r="N297" i="8"/>
  <c r="O297" i="8"/>
  <c r="A298" i="8"/>
  <c r="D296" i="8"/>
  <c r="H296" i="8" s="1"/>
  <c r="P297" i="14"/>
  <c r="E293" i="20" s="1"/>
  <c r="N298" i="14"/>
  <c r="O298" i="14"/>
  <c r="A299" i="14"/>
  <c r="B314" i="37" s="1"/>
  <c r="A314" i="37" s="1"/>
  <c r="D297" i="14"/>
  <c r="H297" i="14" s="1"/>
  <c r="K291" i="38" l="1"/>
  <c r="H290" i="38"/>
  <c r="M290" i="38"/>
  <c r="G290" i="38"/>
  <c r="O290" i="38" s="1"/>
  <c r="L290" i="38"/>
  <c r="P289" i="38"/>
  <c r="H292" i="20"/>
  <c r="Q290" i="38"/>
  <c r="D291" i="38"/>
  <c r="E291" i="38"/>
  <c r="I291" i="38" s="1"/>
  <c r="C291" i="38"/>
  <c r="C294" i="20"/>
  <c r="A292" i="38"/>
  <c r="B292" i="38" s="1"/>
  <c r="AC292" i="20"/>
  <c r="AA292" i="20"/>
  <c r="AE292" i="20"/>
  <c r="M291" i="20"/>
  <c r="AK291" i="20"/>
  <c r="S291" i="20" s="1"/>
  <c r="AI291" i="20"/>
  <c r="Q291" i="20" s="1"/>
  <c r="AG291" i="20"/>
  <c r="O291" i="20" s="1"/>
  <c r="U292" i="20"/>
  <c r="W292" i="20"/>
  <c r="Y292" i="20"/>
  <c r="A294" i="20"/>
  <c r="B298" i="8"/>
  <c r="C298" i="8"/>
  <c r="F298" i="15"/>
  <c r="G298" i="15"/>
  <c r="F297" i="8"/>
  <c r="G297" i="8"/>
  <c r="H297" i="15"/>
  <c r="K293" i="20" s="1"/>
  <c r="B299" i="15"/>
  <c r="C299" i="15"/>
  <c r="G298" i="14"/>
  <c r="F298" i="14"/>
  <c r="C299" i="14"/>
  <c r="B299" i="14"/>
  <c r="P298" i="15"/>
  <c r="F294" i="20" s="1"/>
  <c r="O299" i="15"/>
  <c r="A300" i="15"/>
  <c r="N299" i="15"/>
  <c r="D298" i="15"/>
  <c r="J293" i="20"/>
  <c r="B295" i="20"/>
  <c r="L292" i="20"/>
  <c r="P297" i="8"/>
  <c r="G293" i="20" s="1"/>
  <c r="O298" i="8"/>
  <c r="N298" i="8"/>
  <c r="A299" i="8"/>
  <c r="D297" i="8"/>
  <c r="H297" i="8" s="1"/>
  <c r="N299" i="14"/>
  <c r="O299" i="14"/>
  <c r="A300" i="14"/>
  <c r="B315" i="37" s="1"/>
  <c r="A315" i="37" s="1"/>
  <c r="D298" i="14"/>
  <c r="H298" i="14" s="1"/>
  <c r="P298" i="14"/>
  <c r="E294" i="20" s="1"/>
  <c r="G291" i="38" l="1"/>
  <c r="O291" i="38" s="1"/>
  <c r="L291" i="38"/>
  <c r="K292" i="38"/>
  <c r="H291" i="38"/>
  <c r="P291" i="38" s="1"/>
  <c r="M291" i="38"/>
  <c r="P290" i="38"/>
  <c r="H293" i="20"/>
  <c r="Q291" i="38"/>
  <c r="E292" i="38"/>
  <c r="I292" i="38" s="1"/>
  <c r="C292" i="38"/>
  <c r="D292" i="38"/>
  <c r="C295" i="20"/>
  <c r="A293" i="38"/>
  <c r="B293" i="38" s="1"/>
  <c r="AA293" i="20"/>
  <c r="AC293" i="20"/>
  <c r="AE293" i="20"/>
  <c r="Y293" i="20"/>
  <c r="U293" i="20"/>
  <c r="W293" i="20"/>
  <c r="M292" i="20"/>
  <c r="AG292" i="20"/>
  <c r="O292" i="20" s="1"/>
  <c r="AI292" i="20"/>
  <c r="Q292" i="20" s="1"/>
  <c r="AK292" i="20"/>
  <c r="S292" i="20" s="1"/>
  <c r="A295" i="20"/>
  <c r="G299" i="15"/>
  <c r="F299" i="15"/>
  <c r="B299" i="8"/>
  <c r="C299" i="8"/>
  <c r="C300" i="15"/>
  <c r="B300" i="15"/>
  <c r="H298" i="15"/>
  <c r="K294" i="20" s="1"/>
  <c r="G298" i="8"/>
  <c r="F298" i="8"/>
  <c r="G299" i="14"/>
  <c r="F299" i="14"/>
  <c r="C300" i="14"/>
  <c r="B300" i="14"/>
  <c r="P299" i="15"/>
  <c r="F295" i="20" s="1"/>
  <c r="N300" i="15"/>
  <c r="A301" i="15"/>
  <c r="O300" i="15"/>
  <c r="D299" i="15"/>
  <c r="P298" i="8"/>
  <c r="G294" i="20" s="1"/>
  <c r="B296" i="20"/>
  <c r="L293" i="20"/>
  <c r="J294" i="20"/>
  <c r="O299" i="8"/>
  <c r="A300" i="8"/>
  <c r="N299" i="8"/>
  <c r="D298" i="8"/>
  <c r="H298" i="8" s="1"/>
  <c r="N300" i="14"/>
  <c r="O300" i="14"/>
  <c r="A301" i="14"/>
  <c r="B316" i="37" s="1"/>
  <c r="A316" i="37" s="1"/>
  <c r="P299" i="14"/>
  <c r="E295" i="20" s="1"/>
  <c r="D299" i="14"/>
  <c r="H299" i="14" s="1"/>
  <c r="K293" i="38" l="1"/>
  <c r="G292" i="38"/>
  <c r="O292" i="38" s="1"/>
  <c r="L292" i="38"/>
  <c r="H292" i="38"/>
  <c r="M292" i="38"/>
  <c r="H294" i="20"/>
  <c r="Q292" i="38"/>
  <c r="E293" i="38"/>
  <c r="I293" i="38" s="1"/>
  <c r="C293" i="38"/>
  <c r="D293" i="38"/>
  <c r="C296" i="20"/>
  <c r="A294" i="38"/>
  <c r="B294" i="38" s="1"/>
  <c r="AA294" i="20"/>
  <c r="AC294" i="20"/>
  <c r="AE294" i="20"/>
  <c r="U294" i="20"/>
  <c r="W294" i="20"/>
  <c r="Y294" i="20"/>
  <c r="M293" i="20"/>
  <c r="AI293" i="20"/>
  <c r="Q293" i="20" s="1"/>
  <c r="AK293" i="20"/>
  <c r="S293" i="20" s="1"/>
  <c r="AG293" i="20"/>
  <c r="O293" i="20" s="1"/>
  <c r="F300" i="15"/>
  <c r="G300" i="15"/>
  <c r="A296" i="20"/>
  <c r="C300" i="8"/>
  <c r="B300" i="8"/>
  <c r="G299" i="8"/>
  <c r="F299" i="8"/>
  <c r="H299" i="15"/>
  <c r="K295" i="20" s="1"/>
  <c r="B301" i="15"/>
  <c r="C301" i="15"/>
  <c r="G300" i="14"/>
  <c r="F300" i="14"/>
  <c r="C301" i="14"/>
  <c r="B301" i="14"/>
  <c r="O301" i="15"/>
  <c r="A302" i="15"/>
  <c r="N301" i="15"/>
  <c r="P300" i="15"/>
  <c r="F296" i="20" s="1"/>
  <c r="D300" i="15"/>
  <c r="B297" i="20"/>
  <c r="L294" i="20"/>
  <c r="P299" i="8"/>
  <c r="G295" i="20" s="1"/>
  <c r="J295" i="20"/>
  <c r="O300" i="8"/>
  <c r="A301" i="8"/>
  <c r="N300" i="8"/>
  <c r="D299" i="8"/>
  <c r="H299" i="8" s="1"/>
  <c r="D300" i="14"/>
  <c r="H300" i="14" s="1"/>
  <c r="O301" i="14"/>
  <c r="A302" i="14"/>
  <c r="B317" i="37" s="1"/>
  <c r="A317" i="37" s="1"/>
  <c r="N301" i="14"/>
  <c r="P300" i="14"/>
  <c r="E296" i="20" s="1"/>
  <c r="P292" i="38" l="1"/>
  <c r="K294" i="38"/>
  <c r="G293" i="38"/>
  <c r="O293" i="38" s="1"/>
  <c r="L293" i="38"/>
  <c r="H293" i="38"/>
  <c r="P293" i="38" s="1"/>
  <c r="M293" i="38"/>
  <c r="H295" i="20"/>
  <c r="Q293" i="38"/>
  <c r="C294" i="38"/>
  <c r="E294" i="38"/>
  <c r="I294" i="38" s="1"/>
  <c r="D294" i="38"/>
  <c r="C297" i="20"/>
  <c r="A295" i="38"/>
  <c r="B295" i="38" s="1"/>
  <c r="W295" i="20"/>
  <c r="Y295" i="20"/>
  <c r="U295" i="20"/>
  <c r="AE295" i="20"/>
  <c r="AC295" i="20"/>
  <c r="AA295" i="20"/>
  <c r="M294" i="20"/>
  <c r="AI294" i="20"/>
  <c r="Q294" i="20" s="1"/>
  <c r="AK294" i="20"/>
  <c r="S294" i="20" s="1"/>
  <c r="AG294" i="20"/>
  <c r="O294" i="20" s="1"/>
  <c r="A297" i="20"/>
  <c r="G301" i="15"/>
  <c r="F301" i="15"/>
  <c r="H300" i="15"/>
  <c r="K296" i="20" s="1"/>
  <c r="C301" i="8"/>
  <c r="B301" i="8"/>
  <c r="F300" i="8"/>
  <c r="B302" i="15"/>
  <c r="C302" i="15"/>
  <c r="G300" i="8"/>
  <c r="G301" i="14"/>
  <c r="F301" i="14"/>
  <c r="C302" i="14"/>
  <c r="B302" i="14"/>
  <c r="P301" i="15"/>
  <c r="F297" i="20" s="1"/>
  <c r="D301" i="15"/>
  <c r="N302" i="15"/>
  <c r="O302" i="15"/>
  <c r="A303" i="15"/>
  <c r="J296" i="20"/>
  <c r="L295" i="20"/>
  <c r="B298" i="20"/>
  <c r="P301" i="14"/>
  <c r="E297" i="20" s="1"/>
  <c r="O301" i="8"/>
  <c r="N301" i="8"/>
  <c r="A302" i="8"/>
  <c r="D300" i="8"/>
  <c r="H300" i="8" s="1"/>
  <c r="P300" i="8"/>
  <c r="G296" i="20" s="1"/>
  <c r="N302" i="14"/>
  <c r="O302" i="14"/>
  <c r="A303" i="14"/>
  <c r="B318" i="37" s="1"/>
  <c r="A318" i="37" s="1"/>
  <c r="D301" i="14"/>
  <c r="H301" i="14" s="1"/>
  <c r="K295" i="38" l="1"/>
  <c r="G294" i="38"/>
  <c r="O294" i="38" s="1"/>
  <c r="L294" i="38"/>
  <c r="H294" i="38"/>
  <c r="P294" i="38" s="1"/>
  <c r="M294" i="38"/>
  <c r="Q294" i="38" s="1"/>
  <c r="H296" i="20"/>
  <c r="C295" i="38"/>
  <c r="E295" i="38"/>
  <c r="I295" i="38" s="1"/>
  <c r="D295" i="38"/>
  <c r="C298" i="20"/>
  <c r="A296" i="38"/>
  <c r="B296" i="38" s="1"/>
  <c r="U296" i="20"/>
  <c r="W296" i="20"/>
  <c r="Y296" i="20"/>
  <c r="AE296" i="20"/>
  <c r="AC296" i="20"/>
  <c r="AA296" i="20"/>
  <c r="M295" i="20"/>
  <c r="AI295" i="20"/>
  <c r="Q295" i="20" s="1"/>
  <c r="AK295" i="20"/>
  <c r="S295" i="20" s="1"/>
  <c r="AG295" i="20"/>
  <c r="O295" i="20" s="1"/>
  <c r="A298" i="20"/>
  <c r="F302" i="15"/>
  <c r="G302" i="15"/>
  <c r="C302" i="8"/>
  <c r="B302" i="8"/>
  <c r="G301" i="8"/>
  <c r="F301" i="8"/>
  <c r="C303" i="15"/>
  <c r="B303" i="15"/>
  <c r="H301" i="15"/>
  <c r="K297" i="20" s="1"/>
  <c r="G302" i="14"/>
  <c r="F302" i="14"/>
  <c r="C303" i="14"/>
  <c r="B303" i="14"/>
  <c r="N303" i="15"/>
  <c r="A304" i="15"/>
  <c r="O303" i="15"/>
  <c r="D302" i="15"/>
  <c r="P302" i="15"/>
  <c r="F298" i="20" s="1"/>
  <c r="P301" i="8"/>
  <c r="G297" i="20" s="1"/>
  <c r="L296" i="20"/>
  <c r="J297" i="20"/>
  <c r="B299" i="20"/>
  <c r="A303" i="8"/>
  <c r="O302" i="8"/>
  <c r="N302" i="8"/>
  <c r="D301" i="8"/>
  <c r="H301" i="8" s="1"/>
  <c r="N303" i="14"/>
  <c r="O303" i="14"/>
  <c r="A304" i="14"/>
  <c r="B319" i="37" s="1"/>
  <c r="A319" i="37" s="1"/>
  <c r="D302" i="14"/>
  <c r="H302" i="14" s="1"/>
  <c r="P302" i="14"/>
  <c r="E298" i="20" s="1"/>
  <c r="K296" i="38" l="1"/>
  <c r="H295" i="38"/>
  <c r="M295" i="38"/>
  <c r="G295" i="38"/>
  <c r="O295" i="38" s="1"/>
  <c r="L295" i="38"/>
  <c r="H297" i="20"/>
  <c r="Q295" i="38"/>
  <c r="E296" i="38"/>
  <c r="I296" i="38" s="1"/>
  <c r="D296" i="38"/>
  <c r="C296" i="38"/>
  <c r="C299" i="20"/>
  <c r="A297" i="38"/>
  <c r="B297" i="38" s="1"/>
  <c r="AA297" i="20"/>
  <c r="AE297" i="20"/>
  <c r="AC297" i="20"/>
  <c r="Y297" i="20"/>
  <c r="U297" i="20"/>
  <c r="W297" i="20"/>
  <c r="M296" i="20"/>
  <c r="AK296" i="20"/>
  <c r="S296" i="20" s="1"/>
  <c r="AG296" i="20"/>
  <c r="O296" i="20" s="1"/>
  <c r="AI296" i="20"/>
  <c r="Q296" i="20" s="1"/>
  <c r="A299" i="20"/>
  <c r="G303" i="15"/>
  <c r="F303" i="15"/>
  <c r="H302" i="15"/>
  <c r="K298" i="20" s="1"/>
  <c r="F302" i="8"/>
  <c r="G302" i="8"/>
  <c r="B303" i="8"/>
  <c r="C303" i="8"/>
  <c r="C304" i="15"/>
  <c r="B304" i="15"/>
  <c r="G303" i="14"/>
  <c r="F303" i="14"/>
  <c r="C304" i="14"/>
  <c r="B304" i="14"/>
  <c r="A305" i="15"/>
  <c r="N304" i="15"/>
  <c r="O304" i="15"/>
  <c r="D303" i="15"/>
  <c r="P303" i="15"/>
  <c r="F299" i="20" s="1"/>
  <c r="J298" i="20"/>
  <c r="L297" i="20"/>
  <c r="B300" i="20"/>
  <c r="P302" i="8"/>
  <c r="G298" i="20" s="1"/>
  <c r="D302" i="8"/>
  <c r="H302" i="8" s="1"/>
  <c r="N303" i="8"/>
  <c r="A304" i="8"/>
  <c r="O303" i="8"/>
  <c r="D303" i="14"/>
  <c r="H303" i="14" s="1"/>
  <c r="N304" i="14"/>
  <c r="O304" i="14"/>
  <c r="A305" i="14"/>
  <c r="B320" i="37" s="1"/>
  <c r="A320" i="37" s="1"/>
  <c r="P303" i="14"/>
  <c r="E299" i="20" s="1"/>
  <c r="G296" i="38" l="1"/>
  <c r="O296" i="38" s="1"/>
  <c r="L296" i="38"/>
  <c r="K297" i="38"/>
  <c r="H296" i="38"/>
  <c r="P296" i="38" s="1"/>
  <c r="M296" i="38"/>
  <c r="Q296" i="38" s="1"/>
  <c r="P295" i="38"/>
  <c r="H298" i="20"/>
  <c r="D297" i="38"/>
  <c r="C297" i="38"/>
  <c r="E297" i="38"/>
  <c r="I297" i="38" s="1"/>
  <c r="C300" i="20"/>
  <c r="A298" i="38"/>
  <c r="B298" i="38" s="1"/>
  <c r="M297" i="20"/>
  <c r="AI297" i="20"/>
  <c r="Q297" i="20" s="1"/>
  <c r="AK297" i="20"/>
  <c r="S297" i="20" s="1"/>
  <c r="AG297" i="20"/>
  <c r="O297" i="20" s="1"/>
  <c r="U298" i="20"/>
  <c r="Y298" i="20"/>
  <c r="W298" i="20"/>
  <c r="AC298" i="20"/>
  <c r="AA298" i="20"/>
  <c r="AE298" i="20"/>
  <c r="A300" i="20"/>
  <c r="G304" i="15"/>
  <c r="F304" i="15"/>
  <c r="C305" i="15"/>
  <c r="B305" i="15"/>
  <c r="C304" i="8"/>
  <c r="B304" i="8"/>
  <c r="F303" i="8"/>
  <c r="H303" i="15"/>
  <c r="K299" i="20" s="1"/>
  <c r="G303" i="8"/>
  <c r="G304" i="14"/>
  <c r="F304" i="14"/>
  <c r="C305" i="14"/>
  <c r="B305" i="14"/>
  <c r="P304" i="15"/>
  <c r="F300" i="20" s="1"/>
  <c r="N305" i="15"/>
  <c r="A306" i="15"/>
  <c r="O305" i="15"/>
  <c r="D304" i="15"/>
  <c r="L298" i="20"/>
  <c r="J299" i="20"/>
  <c r="B301" i="20"/>
  <c r="P303" i="8"/>
  <c r="G299" i="20" s="1"/>
  <c r="D303" i="8"/>
  <c r="H303" i="8" s="1"/>
  <c r="A305" i="8"/>
  <c r="N304" i="8"/>
  <c r="O304" i="8"/>
  <c r="D304" i="14"/>
  <c r="H304" i="14" s="1"/>
  <c r="N305" i="14"/>
  <c r="O305" i="14"/>
  <c r="A306" i="14"/>
  <c r="B321" i="37" s="1"/>
  <c r="A321" i="37" s="1"/>
  <c r="P304" i="14"/>
  <c r="E300" i="20" s="1"/>
  <c r="K298" i="38" l="1"/>
  <c r="H297" i="38"/>
  <c r="M297" i="38"/>
  <c r="Q297" i="38" s="1"/>
  <c r="G297" i="38"/>
  <c r="O297" i="38" s="1"/>
  <c r="L297" i="38"/>
  <c r="H299" i="20"/>
  <c r="E298" i="38"/>
  <c r="I298" i="38" s="1"/>
  <c r="D298" i="38"/>
  <c r="C298" i="38"/>
  <c r="C301" i="20"/>
  <c r="A299" i="38"/>
  <c r="B299" i="38" s="1"/>
  <c r="AE299" i="20"/>
  <c r="AA299" i="20"/>
  <c r="AC299" i="20"/>
  <c r="U299" i="20"/>
  <c r="W299" i="20"/>
  <c r="Y299" i="20"/>
  <c r="M298" i="20"/>
  <c r="AI298" i="20"/>
  <c r="Q298" i="20" s="1"/>
  <c r="AG298" i="20"/>
  <c r="O298" i="20" s="1"/>
  <c r="AK298" i="20"/>
  <c r="S298" i="20" s="1"/>
  <c r="A301" i="20"/>
  <c r="F305" i="15"/>
  <c r="G305" i="15"/>
  <c r="H304" i="15"/>
  <c r="K300" i="20" s="1"/>
  <c r="F304" i="8"/>
  <c r="C305" i="8"/>
  <c r="B305" i="8"/>
  <c r="G304" i="8"/>
  <c r="C306" i="15"/>
  <c r="B306" i="15"/>
  <c r="G305" i="14"/>
  <c r="F305" i="14"/>
  <c r="C306" i="14"/>
  <c r="B306" i="14"/>
  <c r="P305" i="15"/>
  <c r="F301" i="20" s="1"/>
  <c r="D305" i="15"/>
  <c r="N306" i="15"/>
  <c r="A307" i="15"/>
  <c r="O306" i="15"/>
  <c r="J300" i="20"/>
  <c r="L299" i="20"/>
  <c r="B302" i="20"/>
  <c r="D304" i="8"/>
  <c r="H304" i="8" s="1"/>
  <c r="P304" i="8"/>
  <c r="G300" i="20" s="1"/>
  <c r="A306" i="8"/>
  <c r="N305" i="8"/>
  <c r="O305" i="8"/>
  <c r="D305" i="14"/>
  <c r="H305" i="14" s="1"/>
  <c r="O306" i="14"/>
  <c r="A307" i="14"/>
  <c r="B322" i="37" s="1"/>
  <c r="A322" i="37" s="1"/>
  <c r="N306" i="14"/>
  <c r="P305" i="14"/>
  <c r="E301" i="20" s="1"/>
  <c r="H298" i="38" l="1"/>
  <c r="M298" i="38"/>
  <c r="K299" i="38"/>
  <c r="P297" i="38"/>
  <c r="G298" i="38"/>
  <c r="O298" i="38" s="1"/>
  <c r="L298" i="38"/>
  <c r="H300" i="20"/>
  <c r="Q298" i="38"/>
  <c r="D299" i="38"/>
  <c r="C299" i="38"/>
  <c r="E299" i="38"/>
  <c r="I299" i="38" s="1"/>
  <c r="C302" i="20"/>
  <c r="A300" i="38"/>
  <c r="B300" i="38" s="1"/>
  <c r="M299" i="20"/>
  <c r="AG299" i="20"/>
  <c r="O299" i="20" s="1"/>
  <c r="AK299" i="20"/>
  <c r="S299" i="20" s="1"/>
  <c r="AI299" i="20"/>
  <c r="Q299" i="20" s="1"/>
  <c r="U300" i="20"/>
  <c r="Y300" i="20"/>
  <c r="W300" i="20"/>
  <c r="AE300" i="20"/>
  <c r="AC300" i="20"/>
  <c r="AA300" i="20"/>
  <c r="A302" i="20"/>
  <c r="F306" i="15"/>
  <c r="G306" i="15"/>
  <c r="C306" i="8"/>
  <c r="B306" i="8"/>
  <c r="F305" i="8"/>
  <c r="B307" i="15"/>
  <c r="C307" i="15"/>
  <c r="G305" i="8"/>
  <c r="H305" i="15"/>
  <c r="K301" i="20" s="1"/>
  <c r="G306" i="14"/>
  <c r="F306" i="14"/>
  <c r="C307" i="14"/>
  <c r="B307" i="14"/>
  <c r="A308" i="15"/>
  <c r="N307" i="15"/>
  <c r="O307" i="15"/>
  <c r="D306" i="15"/>
  <c r="P306" i="15"/>
  <c r="F302" i="20" s="1"/>
  <c r="L300" i="20"/>
  <c r="J301" i="20"/>
  <c r="B303" i="20"/>
  <c r="P305" i="8"/>
  <c r="G301" i="20" s="1"/>
  <c r="N306" i="8"/>
  <c r="O306" i="8"/>
  <c r="A307" i="8"/>
  <c r="D305" i="8"/>
  <c r="H305" i="8" s="1"/>
  <c r="P306" i="14"/>
  <c r="E302" i="20" s="1"/>
  <c r="N307" i="14"/>
  <c r="O307" i="14"/>
  <c r="A308" i="14"/>
  <c r="B323" i="37" s="1"/>
  <c r="A323" i="37" s="1"/>
  <c r="D306" i="14"/>
  <c r="H306" i="14" s="1"/>
  <c r="K300" i="38" l="1"/>
  <c r="H299" i="38"/>
  <c r="M299" i="38"/>
  <c r="G299" i="38"/>
  <c r="O299" i="38" s="1"/>
  <c r="L299" i="38"/>
  <c r="P298" i="38"/>
  <c r="H301" i="20"/>
  <c r="Q299" i="38"/>
  <c r="D300" i="38"/>
  <c r="C300" i="38"/>
  <c r="E300" i="38"/>
  <c r="I300" i="38" s="1"/>
  <c r="C303" i="20"/>
  <c r="A301" i="38"/>
  <c r="B301" i="38" s="1"/>
  <c r="AE301" i="20"/>
  <c r="AC301" i="20"/>
  <c r="AA301" i="20"/>
  <c r="M300" i="20"/>
  <c r="AG300" i="20"/>
  <c r="O300" i="20" s="1"/>
  <c r="AI300" i="20"/>
  <c r="Q300" i="20" s="1"/>
  <c r="AK300" i="20"/>
  <c r="S300" i="20" s="1"/>
  <c r="U301" i="20"/>
  <c r="Y301" i="20"/>
  <c r="W301" i="20"/>
  <c r="A303" i="20"/>
  <c r="B307" i="8"/>
  <c r="C307" i="8"/>
  <c r="G307" i="15"/>
  <c r="F307" i="15"/>
  <c r="H306" i="15"/>
  <c r="K302" i="20" s="1"/>
  <c r="F306" i="8"/>
  <c r="C308" i="15"/>
  <c r="B308" i="15"/>
  <c r="G306" i="8"/>
  <c r="G307" i="14"/>
  <c r="F307" i="14"/>
  <c r="C308" i="14"/>
  <c r="B308" i="14"/>
  <c r="P307" i="15"/>
  <c r="F303" i="20" s="1"/>
  <c r="O308" i="15"/>
  <c r="A309" i="15"/>
  <c r="N308" i="15"/>
  <c r="D307" i="15"/>
  <c r="L301" i="20"/>
  <c r="B304" i="20"/>
  <c r="J302" i="20"/>
  <c r="P306" i="8"/>
  <c r="G302" i="20" s="1"/>
  <c r="N307" i="8"/>
  <c r="A308" i="8"/>
  <c r="O307" i="8"/>
  <c r="D306" i="8"/>
  <c r="H306" i="8" s="1"/>
  <c r="O308" i="14"/>
  <c r="N308" i="14"/>
  <c r="A309" i="14"/>
  <c r="B324" i="37" s="1"/>
  <c r="A324" i="37" s="1"/>
  <c r="D307" i="14"/>
  <c r="H307" i="14" s="1"/>
  <c r="P307" i="14"/>
  <c r="E303" i="20" s="1"/>
  <c r="K301" i="38" l="1"/>
  <c r="P299" i="38"/>
  <c r="G300" i="38"/>
  <c r="O300" i="38" s="1"/>
  <c r="L300" i="38"/>
  <c r="H300" i="38"/>
  <c r="P300" i="38" s="1"/>
  <c r="M300" i="38"/>
  <c r="Q300" i="38" s="1"/>
  <c r="H302" i="20"/>
  <c r="C301" i="38"/>
  <c r="E301" i="38"/>
  <c r="I301" i="38" s="1"/>
  <c r="D301" i="38"/>
  <c r="C304" i="20"/>
  <c r="A302" i="38"/>
  <c r="B302" i="38" s="1"/>
  <c r="U302" i="20"/>
  <c r="W302" i="20"/>
  <c r="Y302" i="20"/>
  <c r="AC302" i="20"/>
  <c r="AA302" i="20"/>
  <c r="AE302" i="20"/>
  <c r="M301" i="20"/>
  <c r="AI301" i="20"/>
  <c r="Q301" i="20" s="1"/>
  <c r="AG301" i="20"/>
  <c r="O301" i="20" s="1"/>
  <c r="AK301" i="20"/>
  <c r="S301" i="20" s="1"/>
  <c r="A304" i="20"/>
  <c r="F308" i="15"/>
  <c r="G308" i="15"/>
  <c r="C308" i="8"/>
  <c r="B308" i="8"/>
  <c r="B309" i="15"/>
  <c r="C309" i="15"/>
  <c r="G307" i="8"/>
  <c r="H307" i="15"/>
  <c r="K303" i="20" s="1"/>
  <c r="F307" i="8"/>
  <c r="G308" i="14"/>
  <c r="F308" i="14"/>
  <c r="C309" i="14"/>
  <c r="B309" i="14"/>
  <c r="P308" i="15"/>
  <c r="F304" i="20" s="1"/>
  <c r="O309" i="15"/>
  <c r="A310" i="15"/>
  <c r="N309" i="15"/>
  <c r="D308" i="15"/>
  <c r="L302" i="20"/>
  <c r="J303" i="20"/>
  <c r="P308" i="14"/>
  <c r="E304" i="20" s="1"/>
  <c r="B305" i="20"/>
  <c r="D307" i="8"/>
  <c r="H307" i="8" s="1"/>
  <c r="N308" i="8"/>
  <c r="A309" i="8"/>
  <c r="O308" i="8"/>
  <c r="P307" i="8"/>
  <c r="G303" i="20" s="1"/>
  <c r="N309" i="14"/>
  <c r="O309" i="14"/>
  <c r="A310" i="14"/>
  <c r="B325" i="37" s="1"/>
  <c r="A325" i="37" s="1"/>
  <c r="D308" i="14"/>
  <c r="H308" i="14" s="1"/>
  <c r="K302" i="38" l="1"/>
  <c r="G301" i="38"/>
  <c r="O301" i="38" s="1"/>
  <c r="L301" i="38"/>
  <c r="H301" i="38"/>
  <c r="P301" i="38" s="1"/>
  <c r="M301" i="38"/>
  <c r="Q301" i="38" s="1"/>
  <c r="H303" i="20"/>
  <c r="C302" i="38"/>
  <c r="E302" i="38"/>
  <c r="I302" i="38" s="1"/>
  <c r="D302" i="38"/>
  <c r="C305" i="20"/>
  <c r="A303" i="38"/>
  <c r="B303" i="38" s="1"/>
  <c r="AE303" i="20"/>
  <c r="AA303" i="20"/>
  <c r="AC303" i="20"/>
  <c r="M302" i="20"/>
  <c r="AK302" i="20"/>
  <c r="S302" i="20" s="1"/>
  <c r="AI302" i="20"/>
  <c r="Q302" i="20" s="1"/>
  <c r="AG302" i="20"/>
  <c r="O302" i="20" s="1"/>
  <c r="W303" i="20"/>
  <c r="U303" i="20"/>
  <c r="Y303" i="20"/>
  <c r="A305" i="20"/>
  <c r="G309" i="15"/>
  <c r="F309" i="15"/>
  <c r="C309" i="8"/>
  <c r="B309" i="8"/>
  <c r="H308" i="15"/>
  <c r="K304" i="20" s="1"/>
  <c r="B310" i="15"/>
  <c r="C310" i="15"/>
  <c r="F308" i="8"/>
  <c r="G308" i="8"/>
  <c r="G309" i="14"/>
  <c r="F309" i="14"/>
  <c r="C310" i="14"/>
  <c r="B310" i="14"/>
  <c r="P309" i="15"/>
  <c r="F305" i="20" s="1"/>
  <c r="D309" i="15"/>
  <c r="N310" i="15"/>
  <c r="A311" i="15"/>
  <c r="O310" i="15"/>
  <c r="L303" i="20"/>
  <c r="B306" i="20"/>
  <c r="J304" i="20"/>
  <c r="D308" i="8"/>
  <c r="H308" i="8" s="1"/>
  <c r="O309" i="8"/>
  <c r="N309" i="8"/>
  <c r="A310" i="8"/>
  <c r="P308" i="8"/>
  <c r="G304" i="20" s="1"/>
  <c r="N310" i="14"/>
  <c r="O310" i="14"/>
  <c r="A311" i="14"/>
  <c r="B326" i="37" s="1"/>
  <c r="A326" i="37" s="1"/>
  <c r="D309" i="14"/>
  <c r="H309" i="14" s="1"/>
  <c r="P309" i="14"/>
  <c r="E305" i="20" s="1"/>
  <c r="G302" i="38" l="1"/>
  <c r="O302" i="38" s="1"/>
  <c r="L302" i="38"/>
  <c r="H302" i="38"/>
  <c r="P302" i="38" s="1"/>
  <c r="M302" i="38"/>
  <c r="K303" i="38"/>
  <c r="H304" i="20"/>
  <c r="Q302" i="38"/>
  <c r="C303" i="38"/>
  <c r="E303" i="38"/>
  <c r="I303" i="38" s="1"/>
  <c r="D303" i="38"/>
  <c r="C306" i="20"/>
  <c r="A304" i="38"/>
  <c r="B304" i="38" s="1"/>
  <c r="AA304" i="20"/>
  <c r="AE304" i="20"/>
  <c r="AC304" i="20"/>
  <c r="W304" i="20"/>
  <c r="U304" i="20"/>
  <c r="Y304" i="20"/>
  <c r="M303" i="20"/>
  <c r="AI303" i="20"/>
  <c r="Q303" i="20" s="1"/>
  <c r="AG303" i="20"/>
  <c r="O303" i="20" s="1"/>
  <c r="AK303" i="20"/>
  <c r="S303" i="20" s="1"/>
  <c r="A306" i="20"/>
  <c r="G310" i="15"/>
  <c r="F310" i="15"/>
  <c r="C310" i="8"/>
  <c r="B310" i="8"/>
  <c r="C311" i="15"/>
  <c r="B311" i="15"/>
  <c r="F309" i="8"/>
  <c r="H309" i="15"/>
  <c r="K305" i="20" s="1"/>
  <c r="G309" i="8"/>
  <c r="G310" i="14"/>
  <c r="F310" i="14"/>
  <c r="B311" i="14"/>
  <c r="C311" i="14"/>
  <c r="P310" i="15"/>
  <c r="F306" i="20" s="1"/>
  <c r="N311" i="15"/>
  <c r="A312" i="15"/>
  <c r="O311" i="15"/>
  <c r="D310" i="15"/>
  <c r="J305" i="20"/>
  <c r="L304" i="20"/>
  <c r="B307" i="20"/>
  <c r="A311" i="8"/>
  <c r="N310" i="8"/>
  <c r="O310" i="8"/>
  <c r="P309" i="8"/>
  <c r="G305" i="20" s="1"/>
  <c r="D309" i="8"/>
  <c r="H309" i="8" s="1"/>
  <c r="D310" i="14"/>
  <c r="H310" i="14" s="1"/>
  <c r="A312" i="14"/>
  <c r="B327" i="37" s="1"/>
  <c r="A327" i="37" s="1"/>
  <c r="N311" i="14"/>
  <c r="O311" i="14"/>
  <c r="P310" i="14"/>
  <c r="E306" i="20" s="1"/>
  <c r="H303" i="38" l="1"/>
  <c r="M303" i="38"/>
  <c r="K304" i="38"/>
  <c r="G303" i="38"/>
  <c r="O303" i="38" s="1"/>
  <c r="L303" i="38"/>
  <c r="H305" i="20"/>
  <c r="Q303" i="38"/>
  <c r="E304" i="38"/>
  <c r="I304" i="38" s="1"/>
  <c r="D304" i="38"/>
  <c r="C304" i="38"/>
  <c r="C307" i="20"/>
  <c r="A305" i="38"/>
  <c r="B305" i="38" s="1"/>
  <c r="M304" i="20"/>
  <c r="AG304" i="20"/>
  <c r="O304" i="20" s="1"/>
  <c r="AI304" i="20"/>
  <c r="Q304" i="20" s="1"/>
  <c r="AK304" i="20"/>
  <c r="S304" i="20" s="1"/>
  <c r="AC305" i="20"/>
  <c r="AE305" i="20"/>
  <c r="AA305" i="20"/>
  <c r="W305" i="20"/>
  <c r="U305" i="20"/>
  <c r="Y305" i="20"/>
  <c r="A307" i="20"/>
  <c r="F311" i="15"/>
  <c r="G311" i="15"/>
  <c r="H310" i="15"/>
  <c r="K306" i="20" s="1"/>
  <c r="C311" i="8"/>
  <c r="B311" i="8"/>
  <c r="C312" i="15"/>
  <c r="B312" i="15"/>
  <c r="F310" i="8"/>
  <c r="G310" i="8"/>
  <c r="G311" i="14"/>
  <c r="F311" i="14"/>
  <c r="C312" i="14"/>
  <c r="B312" i="14"/>
  <c r="A313" i="15"/>
  <c r="O312" i="15"/>
  <c r="N312" i="15"/>
  <c r="D311" i="15"/>
  <c r="P311" i="15"/>
  <c r="F307" i="20" s="1"/>
  <c r="B308" i="20"/>
  <c r="J306" i="20"/>
  <c r="L305" i="20"/>
  <c r="O311" i="8"/>
  <c r="N311" i="8"/>
  <c r="A312" i="8"/>
  <c r="P310" i="8"/>
  <c r="G306" i="20" s="1"/>
  <c r="D310" i="8"/>
  <c r="H310" i="8" s="1"/>
  <c r="P311" i="14"/>
  <c r="E307" i="20" s="1"/>
  <c r="N312" i="14"/>
  <c r="O312" i="14"/>
  <c r="A313" i="14"/>
  <c r="B328" i="37" s="1"/>
  <c r="A328" i="37" s="1"/>
  <c r="D311" i="14"/>
  <c r="H311" i="14" s="1"/>
  <c r="K305" i="38" l="1"/>
  <c r="G304" i="38"/>
  <c r="O304" i="38" s="1"/>
  <c r="L304" i="38"/>
  <c r="H304" i="38"/>
  <c r="P304" i="38" s="1"/>
  <c r="M304" i="38"/>
  <c r="P303" i="38"/>
  <c r="H306" i="20"/>
  <c r="Q304" i="38"/>
  <c r="C305" i="38"/>
  <c r="E305" i="38"/>
  <c r="I305" i="38" s="1"/>
  <c r="D305" i="38"/>
  <c r="C308" i="20"/>
  <c r="A306" i="38"/>
  <c r="B306" i="38" s="1"/>
  <c r="M305" i="20"/>
  <c r="AG305" i="20"/>
  <c r="O305" i="20" s="1"/>
  <c r="AK305" i="20"/>
  <c r="S305" i="20" s="1"/>
  <c r="AI305" i="20"/>
  <c r="Q305" i="20" s="1"/>
  <c r="W306" i="20"/>
  <c r="U306" i="20"/>
  <c r="Y306" i="20"/>
  <c r="AC306" i="20"/>
  <c r="AA306" i="20"/>
  <c r="AE306" i="20"/>
  <c r="A308" i="20"/>
  <c r="C313" i="15"/>
  <c r="B313" i="15"/>
  <c r="F312" i="15"/>
  <c r="F311" i="8"/>
  <c r="H311" i="15"/>
  <c r="K307" i="20" s="1"/>
  <c r="B312" i="8"/>
  <c r="C312" i="8"/>
  <c r="G312" i="15"/>
  <c r="G311" i="8"/>
  <c r="G312" i="14"/>
  <c r="F312" i="14"/>
  <c r="C313" i="14"/>
  <c r="B313" i="14"/>
  <c r="P312" i="15"/>
  <c r="F308" i="20" s="1"/>
  <c r="D312" i="15"/>
  <c r="N313" i="15"/>
  <c r="A314" i="15"/>
  <c r="O313" i="15"/>
  <c r="B309" i="20"/>
  <c r="J307" i="20"/>
  <c r="L306" i="20"/>
  <c r="D311" i="8"/>
  <c r="H311" i="8" s="1"/>
  <c r="A313" i="8"/>
  <c r="N312" i="8"/>
  <c r="O312" i="8"/>
  <c r="P311" i="8"/>
  <c r="G307" i="20" s="1"/>
  <c r="N313" i="14"/>
  <c r="A314" i="14"/>
  <c r="B329" i="37" s="1"/>
  <c r="A329" i="37" s="1"/>
  <c r="O313" i="14"/>
  <c r="D312" i="14"/>
  <c r="H312" i="14" s="1"/>
  <c r="P312" i="14"/>
  <c r="E308" i="20" s="1"/>
  <c r="G305" i="38" l="1"/>
  <c r="O305" i="38" s="1"/>
  <c r="L305" i="38"/>
  <c r="H305" i="38"/>
  <c r="M305" i="38"/>
  <c r="K306" i="38"/>
  <c r="H307" i="20"/>
  <c r="Q305" i="38"/>
  <c r="C306" i="38"/>
  <c r="D306" i="38"/>
  <c r="E306" i="38"/>
  <c r="I306" i="38" s="1"/>
  <c r="C309" i="20"/>
  <c r="A307" i="38"/>
  <c r="B307" i="38" s="1"/>
  <c r="AE307" i="20"/>
  <c r="AA307" i="20"/>
  <c r="AC307" i="20"/>
  <c r="M306" i="20"/>
  <c r="AI306" i="20"/>
  <c r="Q306" i="20" s="1"/>
  <c r="AG306" i="20"/>
  <c r="O306" i="20" s="1"/>
  <c r="AK306" i="20"/>
  <c r="S306" i="20" s="1"/>
  <c r="Y307" i="20"/>
  <c r="U307" i="20"/>
  <c r="W307" i="20"/>
  <c r="A309" i="20"/>
  <c r="C313" i="8"/>
  <c r="B313" i="8"/>
  <c r="F312" i="8"/>
  <c r="H312" i="15"/>
  <c r="K308" i="20" s="1"/>
  <c r="G312" i="8"/>
  <c r="F313" i="15"/>
  <c r="C314" i="15"/>
  <c r="B314" i="15"/>
  <c r="G313" i="15"/>
  <c r="G313" i="14"/>
  <c r="F313" i="14"/>
  <c r="C314" i="14"/>
  <c r="B314" i="14"/>
  <c r="P313" i="15"/>
  <c r="F309" i="20" s="1"/>
  <c r="A315" i="15"/>
  <c r="O314" i="15"/>
  <c r="N314" i="15"/>
  <c r="D313" i="15"/>
  <c r="L307" i="20"/>
  <c r="J308" i="20"/>
  <c r="B310" i="20"/>
  <c r="P312" i="8"/>
  <c r="G308" i="20" s="1"/>
  <c r="D312" i="8"/>
  <c r="H312" i="8" s="1"/>
  <c r="N313" i="8"/>
  <c r="A314" i="8"/>
  <c r="O313" i="8"/>
  <c r="P313" i="14"/>
  <c r="E309" i="20" s="1"/>
  <c r="O314" i="14"/>
  <c r="N314" i="14"/>
  <c r="A315" i="14"/>
  <c r="B330" i="37" s="1"/>
  <c r="A330" i="37" s="1"/>
  <c r="D313" i="14"/>
  <c r="H313" i="14" s="1"/>
  <c r="P305" i="38" l="1"/>
  <c r="K307" i="38"/>
  <c r="G306" i="38"/>
  <c r="O306" i="38" s="1"/>
  <c r="L306" i="38"/>
  <c r="H306" i="38"/>
  <c r="P306" i="38" s="1"/>
  <c r="M306" i="38"/>
  <c r="H308" i="20"/>
  <c r="Q306" i="38"/>
  <c r="C307" i="38"/>
  <c r="E307" i="38"/>
  <c r="I307" i="38" s="1"/>
  <c r="D307" i="38"/>
  <c r="C310" i="20"/>
  <c r="A308" i="38"/>
  <c r="B308" i="38" s="1"/>
  <c r="M307" i="20"/>
  <c r="AI307" i="20"/>
  <c r="Q307" i="20" s="1"/>
  <c r="AK307" i="20"/>
  <c r="S307" i="20" s="1"/>
  <c r="AG307" i="20"/>
  <c r="O307" i="20" s="1"/>
  <c r="AE308" i="20"/>
  <c r="AA308" i="20"/>
  <c r="AC308" i="20"/>
  <c r="U308" i="20"/>
  <c r="Y308" i="20"/>
  <c r="W308" i="20"/>
  <c r="G314" i="15"/>
  <c r="A310" i="20"/>
  <c r="F314" i="15"/>
  <c r="C314" i="8"/>
  <c r="B314" i="8"/>
  <c r="F313" i="8"/>
  <c r="H313" i="15"/>
  <c r="K309" i="20" s="1"/>
  <c r="G313" i="8"/>
  <c r="B315" i="15"/>
  <c r="C315" i="15"/>
  <c r="G314" i="14"/>
  <c r="F314" i="14"/>
  <c r="C315" i="14"/>
  <c r="B315" i="14"/>
  <c r="P314" i="15"/>
  <c r="F310" i="20" s="1"/>
  <c r="N315" i="15"/>
  <c r="A316" i="15"/>
  <c r="O315" i="15"/>
  <c r="D314" i="15"/>
  <c r="P314" i="14"/>
  <c r="E310" i="20" s="1"/>
  <c r="J309" i="20"/>
  <c r="L308" i="20"/>
  <c r="B311" i="20"/>
  <c r="O314" i="8"/>
  <c r="A315" i="8"/>
  <c r="N314" i="8"/>
  <c r="D313" i="8"/>
  <c r="H313" i="8" s="1"/>
  <c r="P313" i="8"/>
  <c r="G309" i="20" s="1"/>
  <c r="N315" i="14"/>
  <c r="O315" i="14"/>
  <c r="A316" i="14"/>
  <c r="B331" i="37" s="1"/>
  <c r="A331" i="37" s="1"/>
  <c r="D314" i="14"/>
  <c r="H314" i="14" s="1"/>
  <c r="K308" i="38" l="1"/>
  <c r="H307" i="38"/>
  <c r="M307" i="38"/>
  <c r="Q307" i="38" s="1"/>
  <c r="G307" i="38"/>
  <c r="O307" i="38" s="1"/>
  <c r="L307" i="38"/>
  <c r="H309" i="20"/>
  <c r="E308" i="38"/>
  <c r="I308" i="38" s="1"/>
  <c r="D308" i="38"/>
  <c r="C308" i="38"/>
  <c r="C311" i="20"/>
  <c r="A309" i="38"/>
  <c r="B309" i="38" s="1"/>
  <c r="AA309" i="20"/>
  <c r="AC309" i="20"/>
  <c r="AE309" i="20"/>
  <c r="U309" i="20"/>
  <c r="Y309" i="20"/>
  <c r="W309" i="20"/>
  <c r="M308" i="20"/>
  <c r="AI308" i="20"/>
  <c r="Q308" i="20" s="1"/>
  <c r="AG308" i="20"/>
  <c r="O308" i="20" s="1"/>
  <c r="AK308" i="20"/>
  <c r="S308" i="20" s="1"/>
  <c r="A311" i="20"/>
  <c r="G315" i="15"/>
  <c r="F315" i="15"/>
  <c r="C315" i="8"/>
  <c r="B315" i="8"/>
  <c r="F314" i="8"/>
  <c r="G314" i="8"/>
  <c r="H314" i="15"/>
  <c r="K310" i="20" s="1"/>
  <c r="C316" i="15"/>
  <c r="B316" i="15"/>
  <c r="G315" i="14"/>
  <c r="F315" i="14"/>
  <c r="C316" i="14"/>
  <c r="B316" i="14"/>
  <c r="D315" i="15"/>
  <c r="N316" i="15"/>
  <c r="O316" i="15"/>
  <c r="A317" i="15"/>
  <c r="P315" i="15"/>
  <c r="F311" i="20" s="1"/>
  <c r="J310" i="20"/>
  <c r="L309" i="20"/>
  <c r="P314" i="8"/>
  <c r="G310" i="20" s="1"/>
  <c r="B312" i="20"/>
  <c r="O315" i="8"/>
  <c r="A316" i="8"/>
  <c r="N315" i="8"/>
  <c r="D314" i="8"/>
  <c r="H314" i="8" s="1"/>
  <c r="O316" i="14"/>
  <c r="N316" i="14"/>
  <c r="A317" i="14"/>
  <c r="B332" i="37" s="1"/>
  <c r="A332" i="37" s="1"/>
  <c r="D315" i="14"/>
  <c r="H315" i="14" s="1"/>
  <c r="P315" i="14"/>
  <c r="E311" i="20" s="1"/>
  <c r="K309" i="38" l="1"/>
  <c r="G308" i="38"/>
  <c r="O308" i="38" s="1"/>
  <c r="L308" i="38"/>
  <c r="H308" i="38"/>
  <c r="P308" i="38" s="1"/>
  <c r="M308" i="38"/>
  <c r="Q308" i="38" s="1"/>
  <c r="P307" i="38"/>
  <c r="H310" i="20"/>
  <c r="C309" i="38"/>
  <c r="E309" i="38"/>
  <c r="I309" i="38" s="1"/>
  <c r="D309" i="38"/>
  <c r="C312" i="20"/>
  <c r="A310" i="38"/>
  <c r="B310" i="38" s="1"/>
  <c r="M309" i="20"/>
  <c r="AI309" i="20"/>
  <c r="Q309" i="20" s="1"/>
  <c r="AK309" i="20"/>
  <c r="S309" i="20" s="1"/>
  <c r="AG309" i="20"/>
  <c r="O309" i="20" s="1"/>
  <c r="AA310" i="20"/>
  <c r="AC310" i="20"/>
  <c r="AE310" i="20"/>
  <c r="U310" i="20"/>
  <c r="W310" i="20"/>
  <c r="Y310" i="20"/>
  <c r="A312" i="20"/>
  <c r="F316" i="15"/>
  <c r="G316" i="15"/>
  <c r="C316" i="8"/>
  <c r="B316" i="8"/>
  <c r="H315" i="15"/>
  <c r="K311" i="20" s="1"/>
  <c r="F315" i="8"/>
  <c r="G315" i="8"/>
  <c r="B317" i="15"/>
  <c r="F317" i="15" s="1"/>
  <c r="C317" i="15"/>
  <c r="G317" i="15" s="1"/>
  <c r="G318" i="15" s="1"/>
  <c r="G316" i="14"/>
  <c r="F316" i="14"/>
  <c r="C317" i="14"/>
  <c r="G317" i="14" s="1"/>
  <c r="B317" i="14"/>
  <c r="F317" i="14" s="1"/>
  <c r="P316" i="15"/>
  <c r="F312" i="20" s="1"/>
  <c r="N317" i="15"/>
  <c r="N318" i="15"/>
  <c r="O317" i="15"/>
  <c r="O318" i="15"/>
  <c r="D316" i="15"/>
  <c r="J311" i="20"/>
  <c r="B313" i="20"/>
  <c r="L310" i="20"/>
  <c r="P315" i="8"/>
  <c r="G311" i="20" s="1"/>
  <c r="A317" i="8"/>
  <c r="N316" i="8"/>
  <c r="O316" i="8"/>
  <c r="D315" i="8"/>
  <c r="H315" i="8" s="1"/>
  <c r="N317" i="14"/>
  <c r="O317" i="14"/>
  <c r="N318" i="14"/>
  <c r="O318" i="14"/>
  <c r="P316" i="14"/>
  <c r="E312" i="20" s="1"/>
  <c r="D316" i="14"/>
  <c r="H316" i="14" s="1"/>
  <c r="K310" i="38" l="1"/>
  <c r="G309" i="38"/>
  <c r="O309" i="38" s="1"/>
  <c r="L309" i="38"/>
  <c r="H309" i="38"/>
  <c r="P309" i="38" s="1"/>
  <c r="M309" i="38"/>
  <c r="H311" i="20"/>
  <c r="Q309" i="38"/>
  <c r="E310" i="38"/>
  <c r="I310" i="38" s="1"/>
  <c r="C310" i="38"/>
  <c r="D310" i="38"/>
  <c r="C313" i="20"/>
  <c r="A311" i="38"/>
  <c r="B311" i="38" s="1"/>
  <c r="AE311" i="20"/>
  <c r="AA311" i="20"/>
  <c r="AC311" i="20"/>
  <c r="M310" i="20"/>
  <c r="AG310" i="20"/>
  <c r="O310" i="20" s="1"/>
  <c r="AK310" i="20"/>
  <c r="S310" i="20" s="1"/>
  <c r="AI310" i="20"/>
  <c r="Q310" i="20" s="1"/>
  <c r="U311" i="20"/>
  <c r="Y311" i="20"/>
  <c r="W311" i="20"/>
  <c r="A313" i="20"/>
  <c r="N320" i="15"/>
  <c r="Q316" i="15" s="1"/>
  <c r="F320" i="14"/>
  <c r="H316" i="15"/>
  <c r="K312" i="20" s="1"/>
  <c r="F316" i="8"/>
  <c r="C317" i="8"/>
  <c r="G317" i="8" s="1"/>
  <c r="G318" i="8" s="1"/>
  <c r="B317" i="8"/>
  <c r="F317" i="8" s="1"/>
  <c r="G316" i="8"/>
  <c r="G320" i="15"/>
  <c r="J312" i="15" s="1"/>
  <c r="N320" i="14"/>
  <c r="Q173" i="14" s="1"/>
  <c r="O320" i="15"/>
  <c r="R102" i="15" s="1"/>
  <c r="P318" i="15"/>
  <c r="F314" i="20" s="1"/>
  <c r="L312" i="38" s="1"/>
  <c r="D317" i="15"/>
  <c r="H317" i="15" s="1"/>
  <c r="F318" i="15"/>
  <c r="F320" i="15" s="1"/>
  <c r="P317" i="15"/>
  <c r="F313" i="20" s="1"/>
  <c r="L311" i="20"/>
  <c r="J312" i="20"/>
  <c r="O320" i="14"/>
  <c r="R280" i="14" s="1"/>
  <c r="G320" i="14"/>
  <c r="J305" i="14" s="1"/>
  <c r="O317" i="8"/>
  <c r="N318" i="8"/>
  <c r="N317" i="8"/>
  <c r="O318" i="8"/>
  <c r="D316" i="8"/>
  <c r="H316" i="8" s="1"/>
  <c r="P316" i="8"/>
  <c r="G312" i="20" s="1"/>
  <c r="P318" i="14"/>
  <c r="E314" i="20" s="1"/>
  <c r="K312" i="38" s="1"/>
  <c r="D317" i="14"/>
  <c r="P317" i="14"/>
  <c r="E313" i="20" s="1"/>
  <c r="H310" i="38" l="1"/>
  <c r="M310" i="38"/>
  <c r="G310" i="38"/>
  <c r="O310" i="38" s="1"/>
  <c r="L310" i="38"/>
  <c r="K311" i="38"/>
  <c r="K314" i="38" s="1"/>
  <c r="K316" i="38" s="1"/>
  <c r="O312" i="38"/>
  <c r="P312" i="38"/>
  <c r="H312" i="20"/>
  <c r="Q310" i="38"/>
  <c r="E311" i="38"/>
  <c r="I311" i="38" s="1"/>
  <c r="D311" i="38"/>
  <c r="C311" i="38"/>
  <c r="W312" i="20"/>
  <c r="Y312" i="20"/>
  <c r="U312" i="20"/>
  <c r="AA312" i="20"/>
  <c r="AC312" i="20"/>
  <c r="AE312" i="20"/>
  <c r="M311" i="20"/>
  <c r="AG311" i="20"/>
  <c r="O311" i="20" s="1"/>
  <c r="AI311" i="20"/>
  <c r="Q311" i="20" s="1"/>
  <c r="AK311" i="20"/>
  <c r="S311" i="20" s="1"/>
  <c r="Q167" i="15"/>
  <c r="Q152" i="15"/>
  <c r="Q282" i="15"/>
  <c r="Q86" i="15"/>
  <c r="Q252" i="15"/>
  <c r="Q315" i="15"/>
  <c r="Q130" i="15"/>
  <c r="Q112" i="15"/>
  <c r="Q192" i="15"/>
  <c r="Q274" i="15"/>
  <c r="Q223" i="15"/>
  <c r="Q175" i="15"/>
  <c r="Q126" i="15"/>
  <c r="Q310" i="15"/>
  <c r="Q165" i="15"/>
  <c r="Q136" i="15"/>
  <c r="Q110" i="15"/>
  <c r="Q91" i="15"/>
  <c r="Q28" i="15"/>
  <c r="Q50" i="15"/>
  <c r="Q317" i="15"/>
  <c r="Q307" i="15"/>
  <c r="Q295" i="15"/>
  <c r="Q241" i="15"/>
  <c r="Q226" i="15"/>
  <c r="Q25" i="15"/>
  <c r="Q257" i="15"/>
  <c r="Q183" i="15"/>
  <c r="Q154" i="15"/>
  <c r="Q132" i="15"/>
  <c r="Q299" i="15"/>
  <c r="Q255" i="15"/>
  <c r="Q47" i="15"/>
  <c r="Q296" i="15"/>
  <c r="Q238" i="15"/>
  <c r="Q302" i="15"/>
  <c r="Q211" i="15"/>
  <c r="Q105" i="15"/>
  <c r="Q153" i="15"/>
  <c r="Q195" i="15"/>
  <c r="Q245" i="15"/>
  <c r="Q78" i="15"/>
  <c r="Q62" i="15"/>
  <c r="Q292" i="15"/>
  <c r="Q51" i="15"/>
  <c r="Q279" i="15"/>
  <c r="Q313" i="15"/>
  <c r="Q108" i="15"/>
  <c r="Q64" i="15"/>
  <c r="Q242" i="15"/>
  <c r="Q289" i="15"/>
  <c r="Q134" i="15"/>
  <c r="Q262" i="15"/>
  <c r="Q204" i="15"/>
  <c r="Q237" i="15"/>
  <c r="Q76" i="15"/>
  <c r="Q293" i="15"/>
  <c r="Q139" i="15"/>
  <c r="Q104" i="15"/>
  <c r="Q258" i="15"/>
  <c r="Q275" i="15"/>
  <c r="Q122" i="15"/>
  <c r="Q39" i="15"/>
  <c r="Q200" i="15"/>
  <c r="Q173" i="15"/>
  <c r="Q240" i="15"/>
  <c r="Q287" i="15"/>
  <c r="Q80" i="15"/>
  <c r="Q149" i="15"/>
  <c r="Q288" i="15"/>
  <c r="Q270" i="15"/>
  <c r="Q103" i="15"/>
  <c r="Q228" i="15"/>
  <c r="Q284" i="15"/>
  <c r="Q145" i="15"/>
  <c r="Q222" i="15"/>
  <c r="Q123" i="15"/>
  <c r="Q79" i="15"/>
  <c r="Q148" i="15"/>
  <c r="Q268" i="15"/>
  <c r="Q312" i="15"/>
  <c r="Q190" i="15"/>
  <c r="Q27" i="15"/>
  <c r="Q63" i="15"/>
  <c r="Q34" i="15"/>
  <c r="Q170" i="15"/>
  <c r="Q72" i="15"/>
  <c r="Q81" i="15"/>
  <c r="Q48" i="15"/>
  <c r="Q45" i="15"/>
  <c r="Q56" i="15"/>
  <c r="Q179" i="15"/>
  <c r="Q176" i="15"/>
  <c r="Q188" i="15"/>
  <c r="Q272" i="15"/>
  <c r="Q301" i="15"/>
  <c r="Q261" i="15"/>
  <c r="Q221" i="15"/>
  <c r="Q162" i="15"/>
  <c r="Q159" i="15"/>
  <c r="Q172" i="15"/>
  <c r="Q186" i="15"/>
  <c r="Q203" i="15"/>
  <c r="Q150" i="15"/>
  <c r="Q197" i="15"/>
  <c r="Q146" i="15"/>
  <c r="Q311" i="15"/>
  <c r="Q155" i="15"/>
  <c r="Q109" i="15"/>
  <c r="Q266" i="15"/>
  <c r="Q20" i="15"/>
  <c r="Q116" i="15"/>
  <c r="Q32" i="15"/>
  <c r="Q216" i="15"/>
  <c r="Q93" i="15"/>
  <c r="Q206" i="15"/>
  <c r="Q306" i="15"/>
  <c r="Q213" i="15"/>
  <c r="Q185" i="15"/>
  <c r="Q263" i="15"/>
  <c r="Q120" i="15"/>
  <c r="Q298" i="15"/>
  <c r="Q97" i="15"/>
  <c r="Q248" i="15"/>
  <c r="Q219" i="15"/>
  <c r="Q174" i="15"/>
  <c r="Q234" i="15"/>
  <c r="Q49" i="15"/>
  <c r="Q106" i="15"/>
  <c r="Q38" i="15"/>
  <c r="Q264" i="15"/>
  <c r="Q231" i="15"/>
  <c r="Q18" i="15"/>
  <c r="Q115" i="15"/>
  <c r="Q157" i="15"/>
  <c r="Q218" i="15"/>
  <c r="Q99" i="15"/>
  <c r="Q26" i="15"/>
  <c r="Q77" i="15"/>
  <c r="Q233" i="15"/>
  <c r="Q151" i="15"/>
  <c r="Q41" i="15"/>
  <c r="Q90" i="15"/>
  <c r="Q297" i="15"/>
  <c r="Q210" i="15"/>
  <c r="Q256" i="15"/>
  <c r="Q141" i="15"/>
  <c r="Q305" i="15"/>
  <c r="Q59" i="15"/>
  <c r="Q65" i="15"/>
  <c r="Q61" i="15"/>
  <c r="Q205" i="15"/>
  <c r="Q124" i="15"/>
  <c r="Q88" i="15"/>
  <c r="Q54" i="15"/>
  <c r="Q281" i="15"/>
  <c r="Q161" i="15"/>
  <c r="Q239" i="15"/>
  <c r="Q164" i="15"/>
  <c r="Q276" i="15"/>
  <c r="Q309" i="15"/>
  <c r="Q177" i="15"/>
  <c r="Q36" i="15"/>
  <c r="Q182" i="15"/>
  <c r="Q100" i="15"/>
  <c r="Q225" i="15"/>
  <c r="Q58" i="15"/>
  <c r="Q278" i="15"/>
  <c r="Q129" i="15"/>
  <c r="Q207" i="15"/>
  <c r="Q271" i="15"/>
  <c r="Q215" i="15"/>
  <c r="Q244" i="15"/>
  <c r="Q212" i="15"/>
  <c r="Q235" i="15"/>
  <c r="Q131" i="15"/>
  <c r="Q44" i="15"/>
  <c r="Q96" i="15"/>
  <c r="Q166" i="15"/>
  <c r="Q260" i="15"/>
  <c r="Q111" i="15"/>
  <c r="Q191" i="15"/>
  <c r="Q253" i="15"/>
  <c r="Q187" i="15"/>
  <c r="Q214" i="15"/>
  <c r="Q184" i="15"/>
  <c r="Q209" i="15"/>
  <c r="Q23" i="15"/>
  <c r="Q290" i="15"/>
  <c r="Q17" i="15"/>
  <c r="Q138" i="15"/>
  <c r="Q265" i="15"/>
  <c r="Q277" i="15"/>
  <c r="Q224" i="15"/>
  <c r="Q158" i="15"/>
  <c r="Q107" i="15"/>
  <c r="Q269" i="15"/>
  <c r="Q83" i="15"/>
  <c r="Q163" i="15"/>
  <c r="Q304" i="15"/>
  <c r="Q181" i="15"/>
  <c r="Q89" i="15"/>
  <c r="Q102" i="15"/>
  <c r="Q202" i="15"/>
  <c r="Q119" i="15"/>
  <c r="Q285" i="15"/>
  <c r="Q169" i="15"/>
  <c r="Q94" i="15"/>
  <c r="Q246" i="15"/>
  <c r="Q92" i="15"/>
  <c r="Q318" i="15"/>
  <c r="Q259" i="15"/>
  <c r="Q208" i="15"/>
  <c r="Q142" i="15"/>
  <c r="Q308" i="15"/>
  <c r="Q250" i="15"/>
  <c r="Q67" i="15"/>
  <c r="Q135" i="15"/>
  <c r="Q267" i="15"/>
  <c r="Q128" i="15"/>
  <c r="Q24" i="15"/>
  <c r="Q85" i="15"/>
  <c r="Q180" i="15"/>
  <c r="Q98" i="15"/>
  <c r="Q251" i="15"/>
  <c r="Q144" i="15"/>
  <c r="Q31" i="15"/>
  <c r="Q19" i="15"/>
  <c r="Q52" i="15"/>
  <c r="Q43" i="15"/>
  <c r="Q254" i="15"/>
  <c r="Q198" i="15"/>
  <c r="Q95" i="15"/>
  <c r="Q70" i="15"/>
  <c r="Q217" i="15"/>
  <c r="Q42" i="15"/>
  <c r="Q101" i="15"/>
  <c r="Q243" i="15"/>
  <c r="Q194" i="15"/>
  <c r="Q143" i="15"/>
  <c r="Q291" i="15"/>
  <c r="Q236" i="15"/>
  <c r="Q286" i="15"/>
  <c r="Q160" i="15"/>
  <c r="Q82" i="15"/>
  <c r="Q156" i="15"/>
  <c r="Q294" i="15"/>
  <c r="Q46" i="15"/>
  <c r="Q37" i="15"/>
  <c r="Q199" i="15"/>
  <c r="Q147" i="15"/>
  <c r="Q125" i="15"/>
  <c r="Q40" i="15"/>
  <c r="Q87" i="15"/>
  <c r="Q300" i="15"/>
  <c r="Q227" i="15"/>
  <c r="Q178" i="15"/>
  <c r="Q127" i="15"/>
  <c r="Q273" i="15"/>
  <c r="Q220" i="15"/>
  <c r="Q314" i="15"/>
  <c r="Q121" i="15"/>
  <c r="Q66" i="15"/>
  <c r="Q133" i="15"/>
  <c r="Q201" i="15"/>
  <c r="Q230" i="15"/>
  <c r="Q232" i="15"/>
  <c r="Q21" i="15"/>
  <c r="Q171" i="15"/>
  <c r="Q117" i="15"/>
  <c r="Q71" i="15"/>
  <c r="Q280" i="15"/>
  <c r="Q193" i="15"/>
  <c r="Q55" i="15"/>
  <c r="Q35" i="15"/>
  <c r="Q74" i="15"/>
  <c r="Q303" i="15"/>
  <c r="Q75" i="15"/>
  <c r="Q22" i="15"/>
  <c r="Q60" i="15"/>
  <c r="Q118" i="15"/>
  <c r="Q33" i="15"/>
  <c r="Q84" i="15"/>
  <c r="Q30" i="15"/>
  <c r="Q189" i="15"/>
  <c r="Q53" i="15"/>
  <c r="Q69" i="15"/>
  <c r="Q229" i="15"/>
  <c r="Q73" i="15"/>
  <c r="Q283" i="15"/>
  <c r="Q196" i="15"/>
  <c r="Q247" i="15"/>
  <c r="Q137" i="15"/>
  <c r="Q57" i="15"/>
  <c r="Q249" i="15"/>
  <c r="Q168" i="15"/>
  <c r="Q29" i="15"/>
  <c r="Q114" i="15"/>
  <c r="Q140" i="15"/>
  <c r="Q68" i="15"/>
  <c r="Q113" i="15"/>
  <c r="Q183" i="14"/>
  <c r="Q80" i="14"/>
  <c r="Q53" i="14"/>
  <c r="Q70" i="14"/>
  <c r="Q20" i="14"/>
  <c r="Q60" i="14"/>
  <c r="Q305" i="14"/>
  <c r="Q100" i="14"/>
  <c r="Q161" i="14"/>
  <c r="Q285" i="14"/>
  <c r="Q162" i="14"/>
  <c r="Q58" i="14"/>
  <c r="Q79" i="14"/>
  <c r="Q281" i="14"/>
  <c r="Q300" i="14"/>
  <c r="Q195" i="14"/>
  <c r="Q83" i="14"/>
  <c r="Q289" i="14"/>
  <c r="Q243" i="14"/>
  <c r="Q215" i="14"/>
  <c r="Q36" i="14"/>
  <c r="Q219" i="14"/>
  <c r="Q314" i="14"/>
  <c r="J43" i="15"/>
  <c r="J59" i="15"/>
  <c r="J99" i="15"/>
  <c r="J84" i="15"/>
  <c r="J100" i="15"/>
  <c r="Q111" i="14"/>
  <c r="J153" i="15"/>
  <c r="J301" i="15"/>
  <c r="J118" i="15"/>
  <c r="Q120" i="14"/>
  <c r="Q196" i="14"/>
  <c r="J317" i="15"/>
  <c r="J125" i="15"/>
  <c r="J155" i="15"/>
  <c r="J286" i="15"/>
  <c r="J207" i="15"/>
  <c r="J239" i="15"/>
  <c r="J115" i="15"/>
  <c r="J256" i="15"/>
  <c r="J136" i="15"/>
  <c r="J158" i="15"/>
  <c r="J152" i="15"/>
  <c r="J91" i="15"/>
  <c r="Q233" i="14"/>
  <c r="Q317" i="14"/>
  <c r="J169" i="15"/>
  <c r="J187" i="15"/>
  <c r="Q93" i="14"/>
  <c r="Q25" i="14"/>
  <c r="J300" i="15"/>
  <c r="J107" i="15"/>
  <c r="J316" i="15"/>
  <c r="J180" i="15"/>
  <c r="J73" i="15"/>
  <c r="J196" i="15"/>
  <c r="J29" i="15"/>
  <c r="J27" i="15"/>
  <c r="J45" i="15"/>
  <c r="Q62" i="14"/>
  <c r="Q147" i="14"/>
  <c r="J203" i="15"/>
  <c r="J314" i="15"/>
  <c r="J211" i="15"/>
  <c r="Q144" i="14"/>
  <c r="Q81" i="14"/>
  <c r="Q97" i="14"/>
  <c r="J234" i="15"/>
  <c r="J30" i="15"/>
  <c r="J103" i="15"/>
  <c r="Q133" i="14"/>
  <c r="Q74" i="14"/>
  <c r="Q295" i="14"/>
  <c r="J44" i="15"/>
  <c r="J46" i="15"/>
  <c r="J222" i="15"/>
  <c r="Q200" i="14"/>
  <c r="Q146" i="14"/>
  <c r="J60" i="15"/>
  <c r="J62" i="15"/>
  <c r="J76" i="15"/>
  <c r="J102" i="15"/>
  <c r="Q208" i="14"/>
  <c r="J267" i="15"/>
  <c r="J61" i="15"/>
  <c r="J302" i="15"/>
  <c r="J53" i="15"/>
  <c r="J283" i="15"/>
  <c r="J85" i="15"/>
  <c r="J318" i="15"/>
  <c r="J69" i="15"/>
  <c r="J299" i="15"/>
  <c r="J117" i="15"/>
  <c r="J151" i="15"/>
  <c r="J131" i="15"/>
  <c r="J315" i="15"/>
  <c r="J138" i="15"/>
  <c r="J32" i="15"/>
  <c r="J113" i="15"/>
  <c r="J28" i="15"/>
  <c r="J173" i="15"/>
  <c r="J192" i="15"/>
  <c r="J116" i="15"/>
  <c r="J154" i="15"/>
  <c r="J139" i="15"/>
  <c r="J288" i="15"/>
  <c r="J94" i="15"/>
  <c r="J188" i="15"/>
  <c r="J220" i="15"/>
  <c r="J174" i="15"/>
  <c r="J127" i="15"/>
  <c r="J95" i="15"/>
  <c r="J204" i="15"/>
  <c r="J236" i="15"/>
  <c r="J190" i="15"/>
  <c r="J143" i="15"/>
  <c r="J111" i="15"/>
  <c r="J219" i="15"/>
  <c r="J253" i="15"/>
  <c r="J206" i="15"/>
  <c r="J274" i="15"/>
  <c r="J132" i="15"/>
  <c r="J235" i="15"/>
  <c r="J269" i="15"/>
  <c r="J237" i="15"/>
  <c r="J25" i="15"/>
  <c r="J284" i="15"/>
  <c r="J285" i="15"/>
  <c r="J270" i="15"/>
  <c r="J83" i="15"/>
  <c r="J110" i="15"/>
  <c r="J223" i="15"/>
  <c r="J290" i="15"/>
  <c r="J227" i="15"/>
  <c r="J71" i="15"/>
  <c r="J168" i="15"/>
  <c r="J193" i="15"/>
  <c r="J128" i="15"/>
  <c r="J181" i="15"/>
  <c r="J279" i="15"/>
  <c r="J208" i="15"/>
  <c r="J144" i="15"/>
  <c r="J167" i="15"/>
  <c r="J297" i="15"/>
  <c r="J224" i="15"/>
  <c r="J179" i="15"/>
  <c r="J298" i="15"/>
  <c r="J114" i="15"/>
  <c r="J240" i="15"/>
  <c r="J210" i="15"/>
  <c r="J119" i="15"/>
  <c r="J250" i="15"/>
  <c r="J134" i="15"/>
  <c r="J289" i="15"/>
  <c r="J226" i="15"/>
  <c r="J238" i="15"/>
  <c r="J241" i="15"/>
  <c r="J313" i="15"/>
  <c r="J305" i="15"/>
  <c r="J92" i="15"/>
  <c r="J22" i="15"/>
  <c r="J96" i="15"/>
  <c r="J87" i="15"/>
  <c r="J232" i="15"/>
  <c r="J108" i="15"/>
  <c r="J54" i="15"/>
  <c r="J156" i="15"/>
  <c r="J58" i="15"/>
  <c r="J129" i="15"/>
  <c r="J124" i="15"/>
  <c r="J41" i="15"/>
  <c r="J194" i="15"/>
  <c r="J243" i="15"/>
  <c r="J122" i="15"/>
  <c r="J278" i="15"/>
  <c r="J112" i="15"/>
  <c r="J216" i="15"/>
  <c r="J209" i="15"/>
  <c r="J259" i="15"/>
  <c r="J93" i="15"/>
  <c r="J310" i="15"/>
  <c r="J215" i="15"/>
  <c r="J26" i="15"/>
  <c r="J225" i="15"/>
  <c r="J19" i="15"/>
  <c r="J109" i="15"/>
  <c r="J266" i="15"/>
  <c r="J282" i="15"/>
  <c r="J233" i="15"/>
  <c r="J242" i="15"/>
  <c r="J52" i="15"/>
  <c r="J130" i="15"/>
  <c r="J79" i="15"/>
  <c r="J140" i="15"/>
  <c r="J126" i="15"/>
  <c r="J258" i="15"/>
  <c r="J170" i="15"/>
  <c r="J146" i="15"/>
  <c r="J287" i="15"/>
  <c r="J231" i="15"/>
  <c r="J280" i="15"/>
  <c r="J64" i="15"/>
  <c r="J33" i="15"/>
  <c r="J191" i="15"/>
  <c r="J281" i="15"/>
  <c r="J307" i="15"/>
  <c r="J244" i="15"/>
  <c r="J212" i="15"/>
  <c r="J182" i="15"/>
  <c r="J148" i="15"/>
  <c r="J80" i="15"/>
  <c r="J49" i="15"/>
  <c r="J17" i="15"/>
  <c r="J98" i="15"/>
  <c r="J123" i="15"/>
  <c r="J260" i="15"/>
  <c r="J228" i="15"/>
  <c r="J198" i="15"/>
  <c r="J164" i="15"/>
  <c r="J88" i="15"/>
  <c r="J65" i="15"/>
  <c r="J34" i="15"/>
  <c r="J47" i="15"/>
  <c r="J249" i="15"/>
  <c r="J276" i="15"/>
  <c r="J245" i="15"/>
  <c r="J213" i="15"/>
  <c r="J199" i="15"/>
  <c r="J104" i="15"/>
  <c r="J81" i="15"/>
  <c r="J66" i="15"/>
  <c r="J255" i="15"/>
  <c r="J202" i="15"/>
  <c r="J308" i="15"/>
  <c r="J261" i="15"/>
  <c r="J229" i="15"/>
  <c r="J230" i="15"/>
  <c r="J157" i="15"/>
  <c r="J89" i="15"/>
  <c r="J90" i="15"/>
  <c r="J51" i="15"/>
  <c r="J31" i="15"/>
  <c r="J265" i="15"/>
  <c r="J309" i="15"/>
  <c r="J246" i="15"/>
  <c r="J247" i="15"/>
  <c r="R186" i="15"/>
  <c r="J176" i="15"/>
  <c r="J105" i="15"/>
  <c r="J106" i="15"/>
  <c r="J67" i="15"/>
  <c r="J271" i="15"/>
  <c r="J74" i="15"/>
  <c r="J185" i="15"/>
  <c r="J262" i="15"/>
  <c r="J263" i="15"/>
  <c r="R37" i="15"/>
  <c r="J264" i="15"/>
  <c r="J296" i="15"/>
  <c r="J23" i="15"/>
  <c r="J63" i="15"/>
  <c r="J24" i="15"/>
  <c r="J39" i="15"/>
  <c r="J72" i="15"/>
  <c r="J133" i="15"/>
  <c r="J149" i="15"/>
  <c r="J200" i="15"/>
  <c r="J248" i="15"/>
  <c r="Q44" i="14"/>
  <c r="Q271" i="14"/>
  <c r="Q254" i="14"/>
  <c r="Q294" i="14"/>
  <c r="Q72" i="14"/>
  <c r="Q306" i="14"/>
  <c r="Q170" i="14"/>
  <c r="Q310" i="14"/>
  <c r="J251" i="15"/>
  <c r="J172" i="15"/>
  <c r="J101" i="15"/>
  <c r="J186" i="15"/>
  <c r="J254" i="15"/>
  <c r="J48" i="15"/>
  <c r="J304" i="15"/>
  <c r="J177" i="15"/>
  <c r="J82" i="15"/>
  <c r="J165" i="15"/>
  <c r="J195" i="15"/>
  <c r="J68" i="15"/>
  <c r="J150" i="15"/>
  <c r="J197" i="15"/>
  <c r="J70" i="15"/>
  <c r="J135" i="15"/>
  <c r="J214" i="15"/>
  <c r="J121" i="15"/>
  <c r="J75" i="15"/>
  <c r="J201" i="15"/>
  <c r="J252" i="15"/>
  <c r="J189" i="15"/>
  <c r="J78" i="15"/>
  <c r="J97" i="15"/>
  <c r="J120" i="15"/>
  <c r="J303" i="15"/>
  <c r="J257" i="15"/>
  <c r="J159" i="15"/>
  <c r="J18" i="15"/>
  <c r="J275" i="15"/>
  <c r="J145" i="15"/>
  <c r="J21" i="15"/>
  <c r="J277" i="15"/>
  <c r="J147" i="15"/>
  <c r="J20" i="15"/>
  <c r="J295" i="15"/>
  <c r="J171" i="15"/>
  <c r="R121" i="15"/>
  <c r="R217" i="15"/>
  <c r="Q52" i="14"/>
  <c r="Q191" i="14"/>
  <c r="Q101" i="14"/>
  <c r="Q221" i="14"/>
  <c r="Q187" i="14"/>
  <c r="Q69" i="14"/>
  <c r="Q261" i="14"/>
  <c r="Q123" i="14"/>
  <c r="Q231" i="14"/>
  <c r="Q251" i="14"/>
  <c r="J166" i="15"/>
  <c r="J217" i="15"/>
  <c r="J268" i="15"/>
  <c r="J205" i="15"/>
  <c r="J86" i="15"/>
  <c r="J42" i="15"/>
  <c r="J141" i="15"/>
  <c r="J40" i="15"/>
  <c r="J273" i="15"/>
  <c r="J178" i="15"/>
  <c r="J35" i="15"/>
  <c r="J291" i="15"/>
  <c r="J161" i="15"/>
  <c r="J37" i="15"/>
  <c r="J293" i="15"/>
  <c r="J163" i="15"/>
  <c r="J55" i="15"/>
  <c r="J311" i="15"/>
  <c r="J184" i="15"/>
  <c r="R184" i="15"/>
  <c r="Q226" i="14"/>
  <c r="Q182" i="14"/>
  <c r="Q240" i="14"/>
  <c r="Q277" i="14"/>
  <c r="Q260" i="14"/>
  <c r="R20" i="15"/>
  <c r="Q313" i="14"/>
  <c r="Q246" i="14"/>
  <c r="Q220" i="14"/>
  <c r="Q286" i="14"/>
  <c r="J218" i="15"/>
  <c r="J137" i="15"/>
  <c r="J77" i="15"/>
  <c r="J57" i="15"/>
  <c r="J221" i="15"/>
  <c r="J175" i="15"/>
  <c r="J272" i="15"/>
  <c r="J142" i="15"/>
  <c r="J50" i="15"/>
  <c r="J306" i="15"/>
  <c r="J160" i="15"/>
  <c r="J36" i="15"/>
  <c r="J292" i="15"/>
  <c r="J162" i="15"/>
  <c r="J38" i="15"/>
  <c r="J294" i="15"/>
  <c r="J183" i="15"/>
  <c r="J56" i="15"/>
  <c r="H317" i="14"/>
  <c r="R28" i="15"/>
  <c r="R32" i="15"/>
  <c r="R195" i="15"/>
  <c r="R48" i="15"/>
  <c r="R278" i="15"/>
  <c r="R283" i="15"/>
  <c r="R84" i="15"/>
  <c r="Q239" i="14"/>
  <c r="Q308" i="14"/>
  <c r="Q112" i="14"/>
  <c r="Q279" i="14"/>
  <c r="Q63" i="14"/>
  <c r="Q127" i="14"/>
  <c r="Q216" i="14"/>
  <c r="Q48" i="14"/>
  <c r="Q180" i="14"/>
  <c r="Q108" i="14"/>
  <c r="Q276" i="14"/>
  <c r="Q43" i="14"/>
  <c r="Q259" i="14"/>
  <c r="Q90" i="14"/>
  <c r="Q209" i="14"/>
  <c r="Q283" i="14"/>
  <c r="Q224" i="14"/>
  <c r="Q234" i="14"/>
  <c r="Q155" i="14"/>
  <c r="Q312" i="14"/>
  <c r="Q116" i="14"/>
  <c r="Q205" i="14"/>
  <c r="Q65" i="14"/>
  <c r="Q113" i="14"/>
  <c r="Q76" i="14"/>
  <c r="Q211" i="14"/>
  <c r="Q119" i="14"/>
  <c r="Q282" i="14"/>
  <c r="Q138" i="14"/>
  <c r="Q169" i="14"/>
  <c r="Q88" i="14"/>
  <c r="Q217" i="14"/>
  <c r="Q24" i="14"/>
  <c r="Q158" i="14"/>
  <c r="Q293" i="14"/>
  <c r="Q145" i="14"/>
  <c r="Q256" i="14"/>
  <c r="Q86" i="14"/>
  <c r="Q181" i="14"/>
  <c r="R141" i="15"/>
  <c r="R220" i="15"/>
  <c r="R36" i="15"/>
  <c r="Q31" i="14"/>
  <c r="Q51" i="14"/>
  <c r="Q21" i="14"/>
  <c r="Q94" i="14"/>
  <c r="Q135" i="14"/>
  <c r="Q59" i="14"/>
  <c r="Q253" i="14"/>
  <c r="Q32" i="14"/>
  <c r="Q152" i="14"/>
  <c r="Q290" i="14"/>
  <c r="Q160" i="14"/>
  <c r="Q177" i="14"/>
  <c r="Q47" i="14"/>
  <c r="Q198" i="14"/>
  <c r="Q27" i="14"/>
  <c r="Q124" i="14"/>
  <c r="Q301" i="14"/>
  <c r="Q96" i="14"/>
  <c r="Q272" i="14"/>
  <c r="Q136" i="14"/>
  <c r="Q238" i="14"/>
  <c r="R318" i="15"/>
  <c r="R236" i="15"/>
  <c r="R149" i="15"/>
  <c r="Q122" i="14"/>
  <c r="Q201" i="14"/>
  <c r="Q132" i="14"/>
  <c r="Q222" i="14"/>
  <c r="Q71" i="14"/>
  <c r="Q130" i="14"/>
  <c r="Q298" i="14"/>
  <c r="Q139" i="14"/>
  <c r="Q185" i="14"/>
  <c r="Q55" i="14"/>
  <c r="Q227" i="14"/>
  <c r="Q35" i="14"/>
  <c r="Q212" i="14"/>
  <c r="Q309" i="14"/>
  <c r="Q104" i="14"/>
  <c r="Q278" i="14"/>
  <c r="Q128" i="14"/>
  <c r="Q250" i="14"/>
  <c r="R46" i="15"/>
  <c r="R103" i="15"/>
  <c r="R211" i="15"/>
  <c r="R42" i="15"/>
  <c r="R49" i="15"/>
  <c r="R29" i="15"/>
  <c r="R205" i="15"/>
  <c r="R89" i="15"/>
  <c r="Q18" i="14"/>
  <c r="Q67" i="14"/>
  <c r="Q99" i="14"/>
  <c r="Q121" i="14"/>
  <c r="Q174" i="14"/>
  <c r="Q45" i="14"/>
  <c r="Q266" i="14"/>
  <c r="Q23" i="14"/>
  <c r="Q109" i="14"/>
  <c r="Q273" i="14"/>
  <c r="Q134" i="14"/>
  <c r="Q245" i="14"/>
  <c r="Q92" i="14"/>
  <c r="Q199" i="14"/>
  <c r="Q28" i="14"/>
  <c r="Q125" i="14"/>
  <c r="Q302" i="14"/>
  <c r="Q105" i="14"/>
  <c r="Q287" i="14"/>
  <c r="R271" i="15"/>
  <c r="R233" i="15"/>
  <c r="R237" i="15"/>
  <c r="R225" i="15"/>
  <c r="R245" i="15"/>
  <c r="Q242" i="14"/>
  <c r="Q291" i="14"/>
  <c r="Q164" i="14"/>
  <c r="Q178" i="14"/>
  <c r="Q56" i="14"/>
  <c r="Q210" i="14"/>
  <c r="Q87" i="14"/>
  <c r="Q263" i="14"/>
  <c r="Q318" i="14"/>
  <c r="Q166" i="14"/>
  <c r="Q311" i="14"/>
  <c r="R83" i="15"/>
  <c r="R127" i="15"/>
  <c r="R67" i="15"/>
  <c r="R47" i="15"/>
  <c r="Q186" i="14"/>
  <c r="Q206" i="14"/>
  <c r="Q167" i="14"/>
  <c r="Q241" i="14"/>
  <c r="Q98" i="14"/>
  <c r="Q252" i="14"/>
  <c r="Q140" i="14"/>
  <c r="Q230" i="14"/>
  <c r="Q75" i="14"/>
  <c r="Q202" i="14"/>
  <c r="Q299" i="14"/>
  <c r="Q141" i="14"/>
  <c r="Q189" i="14"/>
  <c r="Q85" i="14"/>
  <c r="Q265" i="14"/>
  <c r="Q64" i="14"/>
  <c r="Q225" i="14"/>
  <c r="Q22" i="14"/>
  <c r="Q126" i="14"/>
  <c r="R196" i="15"/>
  <c r="R143" i="15"/>
  <c r="R199" i="15"/>
  <c r="R118" i="15"/>
  <c r="Q190" i="14"/>
  <c r="Q268" i="14"/>
  <c r="Q297" i="14"/>
  <c r="Q267" i="14"/>
  <c r="Q106" i="14"/>
  <c r="Q264" i="14"/>
  <c r="Q148" i="14"/>
  <c r="Q236" i="14"/>
  <c r="Q61" i="14"/>
  <c r="Q203" i="14"/>
  <c r="Q307" i="14"/>
  <c r="Q165" i="14"/>
  <c r="Q244" i="14"/>
  <c r="Q78" i="14"/>
  <c r="Q262" i="14"/>
  <c r="Q41" i="14"/>
  <c r="Q188" i="14"/>
  <c r="Q29" i="14"/>
  <c r="Q274" i="14"/>
  <c r="R214" i="15"/>
  <c r="R260" i="15"/>
  <c r="R300" i="15"/>
  <c r="R179" i="15"/>
  <c r="Q33" i="14"/>
  <c r="Q258" i="14"/>
  <c r="Q40" i="14"/>
  <c r="Q17" i="14"/>
  <c r="Q114" i="14"/>
  <c r="Q280" i="14"/>
  <c r="Q159" i="14"/>
  <c r="Q168" i="14"/>
  <c r="Q84" i="14"/>
  <c r="Q213" i="14"/>
  <c r="Q315" i="14"/>
  <c r="Q102" i="14"/>
  <c r="Q269" i="14"/>
  <c r="Q142" i="14"/>
  <c r="Q171" i="14"/>
  <c r="Q49" i="14"/>
  <c r="Q237" i="14"/>
  <c r="Q37" i="14"/>
  <c r="Q229" i="14"/>
  <c r="R310" i="15"/>
  <c r="R61" i="15"/>
  <c r="R317" i="15"/>
  <c r="R226" i="15"/>
  <c r="Q73" i="14"/>
  <c r="Q19" i="14"/>
  <c r="Q153" i="14"/>
  <c r="Q30" i="14"/>
  <c r="Q118" i="14"/>
  <c r="Q288" i="14"/>
  <c r="Q156" i="14"/>
  <c r="Q176" i="14"/>
  <c r="Q46" i="14"/>
  <c r="Q194" i="14"/>
  <c r="Q39" i="14"/>
  <c r="Q110" i="14"/>
  <c r="Q275" i="14"/>
  <c r="Q163" i="14"/>
  <c r="Q179" i="14"/>
  <c r="Q57" i="14"/>
  <c r="Q214" i="14"/>
  <c r="Q68" i="14"/>
  <c r="Q207" i="14"/>
  <c r="R194" i="15"/>
  <c r="R86" i="15"/>
  <c r="R69" i="15"/>
  <c r="Q232" i="14"/>
  <c r="Q149" i="14"/>
  <c r="Q66" i="14"/>
  <c r="Q197" i="14"/>
  <c r="Q38" i="14"/>
  <c r="Q129" i="14"/>
  <c r="Q296" i="14"/>
  <c r="Q137" i="14"/>
  <c r="Q184" i="14"/>
  <c r="Q54" i="14"/>
  <c r="Q223" i="14"/>
  <c r="Q26" i="14"/>
  <c r="Q154" i="14"/>
  <c r="Q284" i="14"/>
  <c r="Q235" i="14"/>
  <c r="Q193" i="14"/>
  <c r="Q89" i="14"/>
  <c r="Q249" i="14"/>
  <c r="Q42" i="14"/>
  <c r="Q247" i="14"/>
  <c r="R124" i="15"/>
  <c r="R128" i="15"/>
  <c r="R176" i="15"/>
  <c r="Q107" i="14"/>
  <c r="Q151" i="14"/>
  <c r="Q115" i="14"/>
  <c r="Q175" i="14"/>
  <c r="Q95" i="14"/>
  <c r="Q192" i="14"/>
  <c r="Q304" i="14"/>
  <c r="Q157" i="14"/>
  <c r="Q257" i="14"/>
  <c r="Q77" i="14"/>
  <c r="Q204" i="14"/>
  <c r="Q34" i="14"/>
  <c r="Q228" i="14"/>
  <c r="Q292" i="14"/>
  <c r="Q143" i="14"/>
  <c r="Q248" i="14"/>
  <c r="Q150" i="14"/>
  <c r="Q172" i="14"/>
  <c r="Q50" i="14"/>
  <c r="Q218" i="14"/>
  <c r="R277" i="15"/>
  <c r="R305" i="15"/>
  <c r="R207" i="15"/>
  <c r="Q316" i="14"/>
  <c r="Q103" i="14"/>
  <c r="Q270" i="14"/>
  <c r="Q82" i="14"/>
  <c r="Q255" i="14"/>
  <c r="Q91" i="14"/>
  <c r="Q131" i="14"/>
  <c r="Q303" i="14"/>
  <c r="Q117" i="14"/>
  <c r="R81" i="15"/>
  <c r="R306" i="15"/>
  <c r="R230" i="15"/>
  <c r="R140" i="15"/>
  <c r="R92" i="15"/>
  <c r="R24" i="15"/>
  <c r="R291" i="15"/>
  <c r="R159" i="15"/>
  <c r="R31" i="15"/>
  <c r="R228" i="15"/>
  <c r="R303" i="15"/>
  <c r="R130" i="15"/>
  <c r="R18" i="15"/>
  <c r="R23" i="15"/>
  <c r="R223" i="15"/>
  <c r="R100" i="15"/>
  <c r="R212" i="15"/>
  <c r="R251" i="15"/>
  <c r="R168" i="15"/>
  <c r="R25" i="15"/>
  <c r="R77" i="15"/>
  <c r="R284" i="15"/>
  <c r="R156" i="15"/>
  <c r="R108" i="15"/>
  <c r="R137" i="15"/>
  <c r="R259" i="15"/>
  <c r="R242" i="15"/>
  <c r="R95" i="15"/>
  <c r="R50" i="15"/>
  <c r="R262" i="15"/>
  <c r="R146" i="15"/>
  <c r="R34" i="15"/>
  <c r="R227" i="15"/>
  <c r="R239" i="15"/>
  <c r="R116" i="15"/>
  <c r="R76" i="15"/>
  <c r="R267" i="15"/>
  <c r="R135" i="15"/>
  <c r="R167" i="15"/>
  <c r="R253" i="15"/>
  <c r="R256" i="15"/>
  <c r="R200" i="15"/>
  <c r="R185" i="15"/>
  <c r="R68" i="15"/>
  <c r="R275" i="15"/>
  <c r="R218" i="15"/>
  <c r="R111" i="15"/>
  <c r="R82" i="15"/>
  <c r="R292" i="15"/>
  <c r="R162" i="15"/>
  <c r="R98" i="15"/>
  <c r="R270" i="15"/>
  <c r="R315" i="15"/>
  <c r="R175" i="15"/>
  <c r="R74" i="15"/>
  <c r="R312" i="15"/>
  <c r="R151" i="15"/>
  <c r="R105" i="15"/>
  <c r="R52" i="15"/>
  <c r="R272" i="15"/>
  <c r="R215" i="15"/>
  <c r="R198" i="15"/>
  <c r="R57" i="15"/>
  <c r="R297" i="15"/>
  <c r="R234" i="15"/>
  <c r="R197" i="15"/>
  <c r="R63" i="15"/>
  <c r="R309" i="15"/>
  <c r="R246" i="15"/>
  <c r="R114" i="15"/>
  <c r="R64" i="15"/>
  <c r="R265" i="15"/>
  <c r="R164" i="15"/>
  <c r="R73" i="15"/>
  <c r="R290" i="15"/>
  <c r="R182" i="15"/>
  <c r="R172" i="15"/>
  <c r="R51" i="15"/>
  <c r="R285" i="15"/>
  <c r="R231" i="15"/>
  <c r="R125" i="15"/>
  <c r="R88" i="15"/>
  <c r="R152" i="15"/>
  <c r="R295" i="15"/>
  <c r="R187" i="15"/>
  <c r="R90" i="15"/>
  <c r="R85" i="15"/>
  <c r="R221" i="15"/>
  <c r="R170" i="15"/>
  <c r="R56" i="15"/>
  <c r="R304" i="15"/>
  <c r="R133" i="15"/>
  <c r="R21" i="15"/>
  <c r="R269" i="15"/>
  <c r="R210" i="15"/>
  <c r="R122" i="15"/>
  <c r="R26" i="15"/>
  <c r="R174" i="15"/>
  <c r="R257" i="15"/>
  <c r="R157" i="15"/>
  <c r="R93" i="15"/>
  <c r="R72" i="15"/>
  <c r="R276" i="15"/>
  <c r="R144" i="15"/>
  <c r="R96" i="15"/>
  <c r="R254" i="15"/>
  <c r="R307" i="15"/>
  <c r="R131" i="15"/>
  <c r="R19" i="15"/>
  <c r="R45" i="15"/>
  <c r="R178" i="15"/>
  <c r="R101" i="15"/>
  <c r="R183" i="15"/>
  <c r="R280" i="15"/>
  <c r="R138" i="15"/>
  <c r="R165" i="15"/>
  <c r="R58" i="15"/>
  <c r="R273" i="15"/>
  <c r="R204" i="15"/>
  <c r="R109" i="15"/>
  <c r="R59" i="15"/>
  <c r="R301" i="15"/>
  <c r="R160" i="15"/>
  <c r="R112" i="15"/>
  <c r="R54" i="15"/>
  <c r="R263" i="15"/>
  <c r="R147" i="15"/>
  <c r="R35" i="15"/>
  <c r="R282" i="15"/>
  <c r="R208" i="15"/>
  <c r="R117" i="15"/>
  <c r="R281" i="15"/>
  <c r="R252" i="15"/>
  <c r="R154" i="15"/>
  <c r="R106" i="15"/>
  <c r="R53" i="15"/>
  <c r="R289" i="15"/>
  <c r="R216" i="15"/>
  <c r="R189" i="15"/>
  <c r="R41" i="15"/>
  <c r="R39" i="15"/>
  <c r="R243" i="15"/>
  <c r="R201" i="15"/>
  <c r="R87" i="15"/>
  <c r="R296" i="15"/>
  <c r="R163" i="15"/>
  <c r="R99" i="15"/>
  <c r="R79" i="15"/>
  <c r="R224" i="15"/>
  <c r="R177" i="15"/>
  <c r="R80" i="15"/>
  <c r="R268" i="15"/>
  <c r="R192" i="15"/>
  <c r="R173" i="15"/>
  <c r="R40" i="15"/>
  <c r="R314" i="15"/>
  <c r="R232" i="15"/>
  <c r="R202" i="15"/>
  <c r="R30" i="15"/>
  <c r="R181" i="15"/>
  <c r="R219" i="15"/>
  <c r="R191" i="15"/>
  <c r="R65" i="15"/>
  <c r="R313" i="15"/>
  <c r="R249" i="15"/>
  <c r="R115" i="15"/>
  <c r="R120" i="15"/>
  <c r="R240" i="15"/>
  <c r="R166" i="15"/>
  <c r="R43" i="15"/>
  <c r="R316" i="15"/>
  <c r="R213" i="15"/>
  <c r="R190" i="15"/>
  <c r="R27" i="15"/>
  <c r="R104" i="15"/>
  <c r="R287" i="15"/>
  <c r="R126" i="15"/>
  <c r="R94" i="15"/>
  <c r="R279" i="15"/>
  <c r="R235" i="15"/>
  <c r="R129" i="15"/>
  <c r="R17" i="15"/>
  <c r="R119" i="15"/>
  <c r="R222" i="15"/>
  <c r="R171" i="15"/>
  <c r="R244" i="15"/>
  <c r="R250" i="15"/>
  <c r="R134" i="15"/>
  <c r="R75" i="15"/>
  <c r="R294" i="15"/>
  <c r="R229" i="15"/>
  <c r="R123" i="15"/>
  <c r="R91" i="15"/>
  <c r="R302" i="15"/>
  <c r="R258" i="15"/>
  <c r="R142" i="15"/>
  <c r="R110" i="15"/>
  <c r="R153" i="15"/>
  <c r="R299" i="15"/>
  <c r="R145" i="15"/>
  <c r="R33" i="15"/>
  <c r="R298" i="15"/>
  <c r="R238" i="15"/>
  <c r="R203" i="15"/>
  <c r="R70" i="15"/>
  <c r="R266" i="15"/>
  <c r="R150" i="15"/>
  <c r="R22" i="15"/>
  <c r="R248" i="15"/>
  <c r="R139" i="15"/>
  <c r="R107" i="15"/>
  <c r="R62" i="15"/>
  <c r="R274" i="15"/>
  <c r="R158" i="15"/>
  <c r="R193" i="15"/>
  <c r="R44" i="15"/>
  <c r="R261" i="15"/>
  <c r="R161" i="15"/>
  <c r="R97" i="15"/>
  <c r="R188" i="15"/>
  <c r="R311" i="15"/>
  <c r="R132" i="15"/>
  <c r="R66" i="15"/>
  <c r="R308" i="15"/>
  <c r="R180" i="15"/>
  <c r="R38" i="15"/>
  <c r="R136" i="15"/>
  <c r="R255" i="15"/>
  <c r="R155" i="15"/>
  <c r="R169" i="15"/>
  <c r="R55" i="15"/>
  <c r="R293" i="15"/>
  <c r="R241" i="15"/>
  <c r="R206" i="15"/>
  <c r="R78" i="15"/>
  <c r="R288" i="15"/>
  <c r="R247" i="15"/>
  <c r="R113" i="15"/>
  <c r="R60" i="15"/>
  <c r="R264" i="15"/>
  <c r="R148" i="15"/>
  <c r="R71" i="15"/>
  <c r="R286" i="15"/>
  <c r="R209" i="15"/>
  <c r="P320" i="15"/>
  <c r="R19" i="14"/>
  <c r="R106" i="14"/>
  <c r="R247" i="14"/>
  <c r="I316" i="15"/>
  <c r="I300" i="15"/>
  <c r="I282" i="15"/>
  <c r="I264" i="15"/>
  <c r="I248" i="15"/>
  <c r="I236" i="15"/>
  <c r="I220" i="15"/>
  <c r="I204" i="15"/>
  <c r="I188" i="15"/>
  <c r="I168" i="15"/>
  <c r="I138" i="15"/>
  <c r="I115" i="15"/>
  <c r="I99" i="15"/>
  <c r="I153" i="15"/>
  <c r="I95" i="15"/>
  <c r="I69" i="15"/>
  <c r="I53" i="15"/>
  <c r="I85" i="15"/>
  <c r="I41" i="15"/>
  <c r="I135" i="15"/>
  <c r="I239" i="15"/>
  <c r="I222" i="15"/>
  <c r="I92" i="15"/>
  <c r="I265" i="15"/>
  <c r="I315" i="15"/>
  <c r="I299" i="15"/>
  <c r="I280" i="15"/>
  <c r="I263" i="15"/>
  <c r="I247" i="15"/>
  <c r="I235" i="15"/>
  <c r="I219" i="15"/>
  <c r="I203" i="15"/>
  <c r="I187" i="15"/>
  <c r="I166" i="15"/>
  <c r="I136" i="15"/>
  <c r="I114" i="15"/>
  <c r="I98" i="15"/>
  <c r="I151" i="15"/>
  <c r="I91" i="15"/>
  <c r="I68" i="15"/>
  <c r="I52" i="15"/>
  <c r="I39" i="15"/>
  <c r="I21" i="15"/>
  <c r="I212" i="15"/>
  <c r="I32" i="15"/>
  <c r="I159" i="15"/>
  <c r="I142" i="15"/>
  <c r="I317" i="15"/>
  <c r="I116" i="15"/>
  <c r="I314" i="15"/>
  <c r="I298" i="15"/>
  <c r="I277" i="15"/>
  <c r="I262" i="15"/>
  <c r="I246" i="15"/>
  <c r="I234" i="15"/>
  <c r="I218" i="15"/>
  <c r="I202" i="15"/>
  <c r="I186" i="15"/>
  <c r="I181" i="15"/>
  <c r="I134" i="15"/>
  <c r="I113" i="15"/>
  <c r="I97" i="15"/>
  <c r="I149" i="15"/>
  <c r="I83" i="15"/>
  <c r="I67" i="15"/>
  <c r="I51" i="15"/>
  <c r="I88" i="15"/>
  <c r="I31" i="15"/>
  <c r="I261" i="15"/>
  <c r="I164" i="15"/>
  <c r="I112" i="15"/>
  <c r="I147" i="15"/>
  <c r="I82" i="15"/>
  <c r="I50" i="15"/>
  <c r="I93" i="15"/>
  <c r="I260" i="15"/>
  <c r="I216" i="15"/>
  <c r="I170" i="15"/>
  <c r="I111" i="15"/>
  <c r="I145" i="15"/>
  <c r="I49" i="15"/>
  <c r="I19" i="15"/>
  <c r="I214" i="15"/>
  <c r="I130" i="15"/>
  <c r="I141" i="15"/>
  <c r="I47" i="15"/>
  <c r="I272" i="15"/>
  <c r="I178" i="15"/>
  <c r="I137" i="15"/>
  <c r="I191" i="15"/>
  <c r="I22" i="15"/>
  <c r="I302" i="15"/>
  <c r="I157" i="15"/>
  <c r="I301" i="15"/>
  <c r="I100" i="15"/>
  <c r="I313" i="15"/>
  <c r="I297" i="15"/>
  <c r="I278" i="15"/>
  <c r="I245" i="15"/>
  <c r="I233" i="15"/>
  <c r="I217" i="15"/>
  <c r="I201" i="15"/>
  <c r="I185" i="15"/>
  <c r="I133" i="15"/>
  <c r="I96" i="15"/>
  <c r="I66" i="15"/>
  <c r="I25" i="15"/>
  <c r="I276" i="15"/>
  <c r="I232" i="15"/>
  <c r="I200" i="15"/>
  <c r="I132" i="15"/>
  <c r="I179" i="15"/>
  <c r="I65" i="15"/>
  <c r="I17" i="15"/>
  <c r="I121" i="15"/>
  <c r="I165" i="15"/>
  <c r="I286" i="15"/>
  <c r="I101" i="15"/>
  <c r="I249" i="15"/>
  <c r="I155" i="15"/>
  <c r="I312" i="15"/>
  <c r="I296" i="15"/>
  <c r="I244" i="15"/>
  <c r="I162" i="15"/>
  <c r="I81" i="15"/>
  <c r="I125" i="15"/>
  <c r="I36" i="15"/>
  <c r="I292" i="15"/>
  <c r="I107" i="15"/>
  <c r="I207" i="15"/>
  <c r="I206" i="15"/>
  <c r="I71" i="15"/>
  <c r="I183" i="15"/>
  <c r="I311" i="15"/>
  <c r="I295" i="15"/>
  <c r="I275" i="15"/>
  <c r="I259" i="15"/>
  <c r="I243" i="15"/>
  <c r="I231" i="15"/>
  <c r="I215" i="15"/>
  <c r="I199" i="15"/>
  <c r="I184" i="15"/>
  <c r="I160" i="15"/>
  <c r="I131" i="15"/>
  <c r="I110" i="15"/>
  <c r="I172" i="15"/>
  <c r="I143" i="15"/>
  <c r="I80" i="15"/>
  <c r="I64" i="15"/>
  <c r="I48" i="15"/>
  <c r="I38" i="15"/>
  <c r="I84" i="15"/>
  <c r="I294" i="15"/>
  <c r="I274" i="15"/>
  <c r="I258" i="15"/>
  <c r="I230" i="15"/>
  <c r="I198" i="15"/>
  <c r="I158" i="15"/>
  <c r="I109" i="15"/>
  <c r="I79" i="15"/>
  <c r="I37" i="15"/>
  <c r="I196" i="15"/>
  <c r="I33" i="15"/>
  <c r="I40" i="15"/>
  <c r="I250" i="15"/>
  <c r="I117" i="15"/>
  <c r="I284" i="15"/>
  <c r="I140" i="15"/>
  <c r="I310" i="15"/>
  <c r="I242" i="15"/>
  <c r="I182" i="15"/>
  <c r="I63" i="15"/>
  <c r="I308" i="15"/>
  <c r="I228" i="15"/>
  <c r="I128" i="15"/>
  <c r="I61" i="15"/>
  <c r="I44" i="15"/>
  <c r="I30" i="15"/>
  <c r="I118" i="15"/>
  <c r="I55" i="15"/>
  <c r="I205" i="15"/>
  <c r="I54" i="15"/>
  <c r="I309" i="15"/>
  <c r="I293" i="15"/>
  <c r="I273" i="15"/>
  <c r="I257" i="15"/>
  <c r="I241" i="15"/>
  <c r="I229" i="15"/>
  <c r="I213" i="15"/>
  <c r="I197" i="15"/>
  <c r="I180" i="15"/>
  <c r="I156" i="15"/>
  <c r="I129" i="15"/>
  <c r="I108" i="15"/>
  <c r="I123" i="15"/>
  <c r="I139" i="15"/>
  <c r="I78" i="15"/>
  <c r="I62" i="15"/>
  <c r="I46" i="15"/>
  <c r="I34" i="15"/>
  <c r="I35" i="15"/>
  <c r="I285" i="15"/>
  <c r="I154" i="15"/>
  <c r="I45" i="15"/>
  <c r="I60" i="15"/>
  <c r="I29" i="15"/>
  <c r="I267" i="15"/>
  <c r="I144" i="15"/>
  <c r="I174" i="15"/>
  <c r="I89" i="15"/>
  <c r="I256" i="15"/>
  <c r="I77" i="15"/>
  <c r="I303" i="15"/>
  <c r="I72" i="15"/>
  <c r="I266" i="15"/>
  <c r="I307" i="15"/>
  <c r="I291" i="15"/>
  <c r="I271" i="15"/>
  <c r="I255" i="15"/>
  <c r="I283" i="15"/>
  <c r="I227" i="15"/>
  <c r="I211" i="15"/>
  <c r="I195" i="15"/>
  <c r="I176" i="15"/>
  <c r="I152" i="15"/>
  <c r="I127" i="15"/>
  <c r="I106" i="15"/>
  <c r="I177" i="15"/>
  <c r="I76" i="15"/>
  <c r="I306" i="15"/>
  <c r="I290" i="15"/>
  <c r="I270" i="15"/>
  <c r="I254" i="15"/>
  <c r="I281" i="15"/>
  <c r="I226" i="15"/>
  <c r="I210" i="15"/>
  <c r="I194" i="15"/>
  <c r="I173" i="15"/>
  <c r="I150" i="15"/>
  <c r="I126" i="15"/>
  <c r="I105" i="15"/>
  <c r="I171" i="15"/>
  <c r="I175" i="15"/>
  <c r="I75" i="15"/>
  <c r="I59" i="15"/>
  <c r="I43" i="15"/>
  <c r="I28" i="15"/>
  <c r="I27" i="15"/>
  <c r="I287" i="15"/>
  <c r="I102" i="15"/>
  <c r="I318" i="15"/>
  <c r="I190" i="15"/>
  <c r="I20" i="15"/>
  <c r="I221" i="15"/>
  <c r="I70" i="15"/>
  <c r="I305" i="15"/>
  <c r="I289" i="15"/>
  <c r="I269" i="15"/>
  <c r="I253" i="15"/>
  <c r="I279" i="15"/>
  <c r="I225" i="15"/>
  <c r="I209" i="15"/>
  <c r="I193" i="15"/>
  <c r="I169" i="15"/>
  <c r="I148" i="15"/>
  <c r="I120" i="15"/>
  <c r="I104" i="15"/>
  <c r="I163" i="15"/>
  <c r="I90" i="15"/>
  <c r="I74" i="15"/>
  <c r="I58" i="15"/>
  <c r="I42" i="15"/>
  <c r="I26" i="15"/>
  <c r="I23" i="15"/>
  <c r="I288" i="15"/>
  <c r="I146" i="15"/>
  <c r="I161" i="15"/>
  <c r="I73" i="15"/>
  <c r="I94" i="15"/>
  <c r="I223" i="15"/>
  <c r="I56" i="15"/>
  <c r="I124" i="15"/>
  <c r="I237" i="15"/>
  <c r="I87" i="15"/>
  <c r="I304" i="15"/>
  <c r="I268" i="15"/>
  <c r="I252" i="15"/>
  <c r="I240" i="15"/>
  <c r="I224" i="15"/>
  <c r="I208" i="15"/>
  <c r="I192" i="15"/>
  <c r="I167" i="15"/>
  <c r="I119" i="15"/>
  <c r="I103" i="15"/>
  <c r="I86" i="15"/>
  <c r="I57" i="15"/>
  <c r="I24" i="15"/>
  <c r="I251" i="15"/>
  <c r="I122" i="15"/>
  <c r="I238" i="15"/>
  <c r="I189" i="15"/>
  <c r="I18" i="15"/>
  <c r="H318" i="15"/>
  <c r="K313" i="20"/>
  <c r="R209" i="14"/>
  <c r="R35" i="14"/>
  <c r="R225" i="14"/>
  <c r="R171" i="14"/>
  <c r="R150" i="14"/>
  <c r="R218" i="14"/>
  <c r="R267" i="14"/>
  <c r="R195" i="14"/>
  <c r="R107" i="14"/>
  <c r="R79" i="14"/>
  <c r="R208" i="14"/>
  <c r="R272" i="14"/>
  <c r="R196" i="14"/>
  <c r="R202" i="14"/>
  <c r="R43" i="14"/>
  <c r="R181" i="14"/>
  <c r="R44" i="14"/>
  <c r="R154" i="14"/>
  <c r="R78" i="14"/>
  <c r="R25" i="14"/>
  <c r="R112" i="14"/>
  <c r="R180" i="14"/>
  <c r="R73" i="14"/>
  <c r="R194" i="14"/>
  <c r="R52" i="14"/>
  <c r="R170" i="14"/>
  <c r="R103" i="14"/>
  <c r="R87" i="14"/>
  <c r="R49" i="14"/>
  <c r="R220" i="14"/>
  <c r="R81" i="14"/>
  <c r="R261" i="14"/>
  <c r="R147" i="14"/>
  <c r="R300" i="14"/>
  <c r="R292" i="14"/>
  <c r="R141" i="14"/>
  <c r="R65" i="14"/>
  <c r="R114" i="14"/>
  <c r="R42" i="14"/>
  <c r="R224" i="14"/>
  <c r="R148" i="14"/>
  <c r="R284" i="14"/>
  <c r="R178" i="14"/>
  <c r="R151" i="14"/>
  <c r="R130" i="14"/>
  <c r="R88" i="14"/>
  <c r="R31" i="14"/>
  <c r="R32" i="14"/>
  <c r="R41" i="14"/>
  <c r="R116" i="14"/>
  <c r="R22" i="14"/>
  <c r="R290" i="14"/>
  <c r="R20" i="14"/>
  <c r="R23" i="14"/>
  <c r="R174" i="14"/>
  <c r="O320" i="8"/>
  <c r="R17" i="8" s="1"/>
  <c r="R295" i="14"/>
  <c r="R186" i="14"/>
  <c r="R98" i="14"/>
  <c r="R168" i="14"/>
  <c r="R256" i="14"/>
  <c r="R91" i="14"/>
  <c r="R257" i="14"/>
  <c r="R125" i="14"/>
  <c r="R273" i="14"/>
  <c r="R126" i="14"/>
  <c r="R291" i="14"/>
  <c r="R241" i="14"/>
  <c r="R95" i="14"/>
  <c r="R248" i="14"/>
  <c r="R124" i="14"/>
  <c r="R39" i="14"/>
  <c r="R159" i="14"/>
  <c r="R239" i="14"/>
  <c r="R80" i="14"/>
  <c r="R51" i="14"/>
  <c r="R120" i="14"/>
  <c r="R262" i="14"/>
  <c r="R211" i="14"/>
  <c r="R314" i="14"/>
  <c r="R29" i="14"/>
  <c r="R136" i="14"/>
  <c r="R184" i="14"/>
  <c r="R58" i="14"/>
  <c r="R133" i="14"/>
  <c r="R274" i="14"/>
  <c r="R109" i="14"/>
  <c r="R287" i="14"/>
  <c r="R137" i="14"/>
  <c r="R317" i="14"/>
  <c r="R296" i="14"/>
  <c r="R177" i="14"/>
  <c r="R158" i="14"/>
  <c r="R303" i="14"/>
  <c r="R146" i="14"/>
  <c r="R57" i="14"/>
  <c r="R246" i="14"/>
  <c r="R190" i="14"/>
  <c r="R132" i="14"/>
  <c r="R59" i="14"/>
  <c r="R145" i="14"/>
  <c r="R182" i="14"/>
  <c r="R227" i="14"/>
  <c r="R34" i="14"/>
  <c r="R60" i="14"/>
  <c r="R128" i="14"/>
  <c r="R167" i="14"/>
  <c r="R143" i="14"/>
  <c r="R119" i="14"/>
  <c r="R309" i="14"/>
  <c r="R123" i="14"/>
  <c r="R72" i="14"/>
  <c r="R156" i="14"/>
  <c r="R70" i="14"/>
  <c r="R245" i="14"/>
  <c r="R71" i="14"/>
  <c r="R285" i="14"/>
  <c r="R193" i="14"/>
  <c r="R223" i="14"/>
  <c r="R278" i="14"/>
  <c r="R249" i="14"/>
  <c r="R18" i="14"/>
  <c r="R89" i="14"/>
  <c r="R152" i="14"/>
  <c r="R293" i="14"/>
  <c r="R301" i="14"/>
  <c r="R113" i="14"/>
  <c r="R66" i="14"/>
  <c r="R153" i="14"/>
  <c r="R229" i="14"/>
  <c r="R53" i="14"/>
  <c r="R185" i="14"/>
  <c r="R46" i="14"/>
  <c r="R188" i="14"/>
  <c r="R47" i="14"/>
  <c r="R214" i="14"/>
  <c r="R111" i="14"/>
  <c r="R242" i="14"/>
  <c r="R166" i="14"/>
  <c r="R259" i="14"/>
  <c r="R207" i="14"/>
  <c r="R50" i="14"/>
  <c r="R179" i="14"/>
  <c r="R308" i="14"/>
  <c r="R26" i="14"/>
  <c r="R97" i="14"/>
  <c r="R160" i="14"/>
  <c r="R222" i="14"/>
  <c r="R315" i="14"/>
  <c r="R263" i="14"/>
  <c r="R74" i="14"/>
  <c r="R161" i="14"/>
  <c r="R270" i="14"/>
  <c r="R67" i="14"/>
  <c r="R210" i="14"/>
  <c r="R76" i="14"/>
  <c r="R201" i="14"/>
  <c r="R55" i="14"/>
  <c r="R203" i="14"/>
  <c r="R286" i="14"/>
  <c r="R252" i="14"/>
  <c r="R235" i="14"/>
  <c r="R104" i="14"/>
  <c r="R316" i="14"/>
  <c r="R96" i="14"/>
  <c r="R206" i="14"/>
  <c r="R288" i="14"/>
  <c r="R40" i="14"/>
  <c r="R134" i="14"/>
  <c r="R265" i="14"/>
  <c r="R243" i="14"/>
  <c r="R297" i="14"/>
  <c r="R27" i="14"/>
  <c r="R90" i="14"/>
  <c r="R277" i="14"/>
  <c r="R312" i="14"/>
  <c r="R83" i="14"/>
  <c r="R215" i="14"/>
  <c r="R84" i="14"/>
  <c r="R251" i="14"/>
  <c r="R93" i="14"/>
  <c r="R219" i="14"/>
  <c r="R175" i="14"/>
  <c r="R298" i="14"/>
  <c r="R64" i="14"/>
  <c r="R144" i="14"/>
  <c r="R282" i="14"/>
  <c r="R281" i="14"/>
  <c r="R255" i="14"/>
  <c r="R149" i="14"/>
  <c r="R200" i="14"/>
  <c r="R231" i="14"/>
  <c r="R38" i="14"/>
  <c r="R54" i="14"/>
  <c r="R135" i="14"/>
  <c r="R172" i="14"/>
  <c r="R217" i="14"/>
  <c r="R313" i="14"/>
  <c r="R30" i="14"/>
  <c r="R122" i="14"/>
  <c r="R164" i="14"/>
  <c r="R230" i="14"/>
  <c r="R268" i="14"/>
  <c r="R48" i="14"/>
  <c r="R129" i="14"/>
  <c r="R192" i="14"/>
  <c r="R205" i="14"/>
  <c r="R299" i="14"/>
  <c r="R82" i="14"/>
  <c r="R115" i="14"/>
  <c r="R183" i="14"/>
  <c r="R254" i="14"/>
  <c r="R310" i="14"/>
  <c r="R75" i="14"/>
  <c r="R108" i="14"/>
  <c r="R169" i="14"/>
  <c r="R304" i="14"/>
  <c r="R105" i="14"/>
  <c r="R68" i="14"/>
  <c r="R101" i="14"/>
  <c r="R238" i="14"/>
  <c r="R233" i="14"/>
  <c r="R24" i="14"/>
  <c r="R63" i="14"/>
  <c r="R142" i="14"/>
  <c r="R240" i="14"/>
  <c r="R244" i="14"/>
  <c r="R307" i="14"/>
  <c r="R56" i="14"/>
  <c r="R139" i="14"/>
  <c r="R176" i="14"/>
  <c r="R221" i="14"/>
  <c r="R266" i="14"/>
  <c r="R305" i="14"/>
  <c r="R33" i="14"/>
  <c r="R99" i="14"/>
  <c r="R162" i="14"/>
  <c r="R226" i="14"/>
  <c r="R260" i="14"/>
  <c r="R28" i="14"/>
  <c r="R92" i="14"/>
  <c r="R155" i="14"/>
  <c r="R212" i="14"/>
  <c r="R276" i="14"/>
  <c r="R198" i="14"/>
  <c r="R69" i="14"/>
  <c r="R102" i="14"/>
  <c r="R275" i="14"/>
  <c r="R237" i="14"/>
  <c r="R21" i="14"/>
  <c r="R86" i="14"/>
  <c r="R191" i="14"/>
  <c r="R234" i="14"/>
  <c r="R250" i="14"/>
  <c r="R117" i="14"/>
  <c r="R187" i="14"/>
  <c r="R197" i="14"/>
  <c r="R279" i="14"/>
  <c r="R61" i="14"/>
  <c r="R138" i="14"/>
  <c r="R204" i="14"/>
  <c r="R269" i="14"/>
  <c r="R311" i="14"/>
  <c r="R37" i="14"/>
  <c r="R100" i="14"/>
  <c r="R163" i="14"/>
  <c r="R228" i="14"/>
  <c r="R264" i="14"/>
  <c r="R258" i="14"/>
  <c r="R77" i="14"/>
  <c r="R110" i="14"/>
  <c r="R173" i="14"/>
  <c r="R253" i="14"/>
  <c r="R36" i="14"/>
  <c r="R94" i="14"/>
  <c r="R157" i="14"/>
  <c r="R216" i="14"/>
  <c r="R306" i="14"/>
  <c r="R213" i="14"/>
  <c r="R318" i="14"/>
  <c r="R45" i="14"/>
  <c r="R121" i="14"/>
  <c r="R271" i="14"/>
  <c r="R199" i="14"/>
  <c r="R283" i="14"/>
  <c r="R62" i="14"/>
  <c r="R140" i="14"/>
  <c r="R236" i="14"/>
  <c r="R289" i="14"/>
  <c r="R302" i="14"/>
  <c r="R17" i="14"/>
  <c r="R85" i="14"/>
  <c r="R127" i="14"/>
  <c r="R189" i="14"/>
  <c r="R294" i="14"/>
  <c r="R118" i="14"/>
  <c r="R131" i="14"/>
  <c r="R165" i="14"/>
  <c r="R232" i="14"/>
  <c r="J236" i="14"/>
  <c r="J313" i="14"/>
  <c r="L312" i="20"/>
  <c r="J117" i="14"/>
  <c r="J260" i="14"/>
  <c r="J127" i="14"/>
  <c r="J128" i="14"/>
  <c r="J87" i="14"/>
  <c r="J178" i="14"/>
  <c r="J308" i="14"/>
  <c r="J70" i="14"/>
  <c r="J64" i="14"/>
  <c r="J33" i="14"/>
  <c r="J45" i="14"/>
  <c r="J72" i="14"/>
  <c r="J102" i="14"/>
  <c r="J253" i="14"/>
  <c r="J282" i="14"/>
  <c r="J44" i="14"/>
  <c r="J91" i="14"/>
  <c r="J106" i="14"/>
  <c r="J162" i="14"/>
  <c r="J255" i="14"/>
  <c r="J185" i="14"/>
  <c r="J90" i="14"/>
  <c r="J47" i="14"/>
  <c r="J254" i="14"/>
  <c r="J114" i="14"/>
  <c r="J181" i="14"/>
  <c r="J269" i="14"/>
  <c r="J118" i="14"/>
  <c r="J84" i="14"/>
  <c r="J98" i="14"/>
  <c r="J307" i="14"/>
  <c r="J222" i="14"/>
  <c r="J161" i="14"/>
  <c r="J28" i="14"/>
  <c r="J126" i="14"/>
  <c r="J122" i="14"/>
  <c r="J229" i="14"/>
  <c r="J238" i="14"/>
  <c r="J168" i="14"/>
  <c r="J132" i="14"/>
  <c r="J314" i="14"/>
  <c r="J88" i="14"/>
  <c r="J142" i="14"/>
  <c r="J60" i="14"/>
  <c r="J159" i="14"/>
  <c r="J317" i="14"/>
  <c r="J244" i="14"/>
  <c r="J150" i="14"/>
  <c r="J51" i="14"/>
  <c r="J62" i="14"/>
  <c r="J103" i="14"/>
  <c r="J133" i="14"/>
  <c r="J37" i="14"/>
  <c r="J290" i="14"/>
  <c r="J220" i="14"/>
  <c r="J291" i="14"/>
  <c r="J65" i="14"/>
  <c r="J136" i="14"/>
  <c r="J268" i="14"/>
  <c r="J251" i="14"/>
  <c r="J267" i="14"/>
  <c r="J53" i="14"/>
  <c r="J120" i="14"/>
  <c r="J184" i="14"/>
  <c r="J189" i="14"/>
  <c r="J173" i="14"/>
  <c r="J155" i="14"/>
  <c r="J174" i="14"/>
  <c r="J100" i="14"/>
  <c r="J188" i="14"/>
  <c r="J25" i="14"/>
  <c r="J71" i="14"/>
  <c r="J158" i="14"/>
  <c r="J166" i="14"/>
  <c r="J143" i="14"/>
  <c r="J29" i="14"/>
  <c r="J306" i="14"/>
  <c r="J63" i="14"/>
  <c r="J73" i="14"/>
  <c r="J144" i="14"/>
  <c r="J190" i="14"/>
  <c r="J270" i="14"/>
  <c r="J237" i="14"/>
  <c r="J96" i="14"/>
  <c r="J129" i="14"/>
  <c r="J272" i="14"/>
  <c r="J26" i="14"/>
  <c r="J271" i="14"/>
  <c r="J259" i="14"/>
  <c r="J242" i="14"/>
  <c r="J228" i="14"/>
  <c r="J262" i="14"/>
  <c r="J104" i="14"/>
  <c r="J61" i="14"/>
  <c r="J204" i="14"/>
  <c r="J212" i="14"/>
  <c r="J38" i="14"/>
  <c r="J43" i="14"/>
  <c r="J180" i="14"/>
  <c r="J18" i="14"/>
  <c r="J81" i="14"/>
  <c r="J152" i="14"/>
  <c r="J198" i="14"/>
  <c r="J284" i="14"/>
  <c r="J299" i="14"/>
  <c r="J66" i="14"/>
  <c r="J137" i="14"/>
  <c r="J261" i="14"/>
  <c r="J34" i="14"/>
  <c r="J256" i="14"/>
  <c r="J276" i="14"/>
  <c r="J275" i="14"/>
  <c r="J50" i="14"/>
  <c r="J121" i="14"/>
  <c r="J79" i="14"/>
  <c r="J57" i="14"/>
  <c r="J22" i="14"/>
  <c r="J298" i="14"/>
  <c r="J78" i="14"/>
  <c r="J99" i="14"/>
  <c r="J205" i="14"/>
  <c r="J32" i="14"/>
  <c r="J89" i="14"/>
  <c r="J160" i="14"/>
  <c r="J206" i="14"/>
  <c r="J292" i="14"/>
  <c r="J23" i="14"/>
  <c r="J74" i="14"/>
  <c r="J145" i="14"/>
  <c r="J223" i="14"/>
  <c r="J46" i="14"/>
  <c r="J278" i="14"/>
  <c r="J287" i="14"/>
  <c r="J141" i="14"/>
  <c r="J124" i="14"/>
  <c r="J108" i="14"/>
  <c r="J30" i="14"/>
  <c r="J58" i="14"/>
  <c r="J42" i="14"/>
  <c r="J49" i="14"/>
  <c r="J151" i="14"/>
  <c r="J86" i="14"/>
  <c r="J248" i="14"/>
  <c r="J39" i="14"/>
  <c r="J107" i="14"/>
  <c r="J169" i="14"/>
  <c r="J214" i="14"/>
  <c r="J300" i="14"/>
  <c r="J20" i="14"/>
  <c r="J82" i="14"/>
  <c r="J153" i="14"/>
  <c r="J231" i="14"/>
  <c r="J83" i="14"/>
  <c r="J302" i="14"/>
  <c r="J197" i="14"/>
  <c r="J289" i="14"/>
  <c r="J94" i="14"/>
  <c r="J95" i="14"/>
  <c r="J135" i="14"/>
  <c r="J24" i="14"/>
  <c r="J196" i="14"/>
  <c r="J80" i="14"/>
  <c r="J31" i="14"/>
  <c r="J59" i="14"/>
  <c r="J134" i="14"/>
  <c r="J263" i="14"/>
  <c r="J52" i="14"/>
  <c r="J116" i="14"/>
  <c r="J182" i="14"/>
  <c r="J230" i="14"/>
  <c r="J316" i="14"/>
  <c r="J110" i="14"/>
  <c r="J109" i="14"/>
  <c r="J171" i="14"/>
  <c r="J309" i="14"/>
  <c r="J119" i="14"/>
  <c r="J55" i="14"/>
  <c r="J125" i="14"/>
  <c r="J191" i="14"/>
  <c r="J277" i="14"/>
  <c r="J221" i="14"/>
  <c r="J54" i="14"/>
  <c r="J249" i="14"/>
  <c r="J192" i="14"/>
  <c r="J310" i="14"/>
  <c r="J113" i="14"/>
  <c r="J225" i="14"/>
  <c r="J48" i="14"/>
  <c r="J265" i="14"/>
  <c r="J179" i="14"/>
  <c r="J199" i="14"/>
  <c r="J285" i="14"/>
  <c r="J266" i="14"/>
  <c r="J101" i="14"/>
  <c r="J130" i="14"/>
  <c r="J208" i="14"/>
  <c r="J19" i="14"/>
  <c r="J123" i="14"/>
  <c r="J233" i="14"/>
  <c r="J56" i="14"/>
  <c r="J186" i="14"/>
  <c r="J176" i="14"/>
  <c r="J207" i="14"/>
  <c r="J293" i="14"/>
  <c r="J315" i="14"/>
  <c r="J67" i="14"/>
  <c r="J138" i="14"/>
  <c r="J216" i="14"/>
  <c r="J27" i="14"/>
  <c r="J245" i="14"/>
  <c r="J273" i="14"/>
  <c r="J77" i="14"/>
  <c r="J194" i="14"/>
  <c r="J203" i="14"/>
  <c r="J215" i="14"/>
  <c r="J301" i="14"/>
  <c r="J17" i="14"/>
  <c r="J75" i="14"/>
  <c r="J146" i="14"/>
  <c r="J224" i="14"/>
  <c r="J112" i="14"/>
  <c r="J147" i="14"/>
  <c r="J279" i="14"/>
  <c r="J85" i="14"/>
  <c r="J202" i="14"/>
  <c r="J227" i="14"/>
  <c r="J239" i="14"/>
  <c r="J167" i="14"/>
  <c r="J40" i="14"/>
  <c r="J111" i="14"/>
  <c r="J170" i="14"/>
  <c r="J294" i="14"/>
  <c r="J76" i="14"/>
  <c r="J246" i="14"/>
  <c r="J283" i="14"/>
  <c r="J140" i="14"/>
  <c r="J312" i="14"/>
  <c r="J288" i="14"/>
  <c r="J195" i="14"/>
  <c r="J247" i="14"/>
  <c r="J232" i="14"/>
  <c r="J318" i="14"/>
  <c r="J105" i="14"/>
  <c r="J131" i="14"/>
  <c r="J193" i="14"/>
  <c r="J311" i="14"/>
  <c r="J97" i="14"/>
  <c r="J148" i="14"/>
  <c r="J226" i="14"/>
  <c r="J149" i="14"/>
  <c r="J235" i="14"/>
  <c r="J274" i="14"/>
  <c r="J240" i="14"/>
  <c r="J213" i="14"/>
  <c r="J68" i="14"/>
  <c r="J139" i="14"/>
  <c r="J201" i="14"/>
  <c r="J183" i="14"/>
  <c r="J69" i="14"/>
  <c r="J156" i="14"/>
  <c r="J234" i="14"/>
  <c r="J157" i="14"/>
  <c r="J243" i="14"/>
  <c r="J154" i="14"/>
  <c r="J200" i="14"/>
  <c r="J286" i="14"/>
  <c r="J35" i="14"/>
  <c r="J92" i="14"/>
  <c r="J172" i="14"/>
  <c r="J241" i="14"/>
  <c r="J21" i="14"/>
  <c r="J264" i="14"/>
  <c r="J250" i="14"/>
  <c r="J280" i="14"/>
  <c r="J187" i="14"/>
  <c r="J163" i="14"/>
  <c r="J209" i="14"/>
  <c r="J295" i="14"/>
  <c r="J36" i="14"/>
  <c r="J93" i="14"/>
  <c r="J164" i="14"/>
  <c r="J210" i="14"/>
  <c r="J296" i="14"/>
  <c r="J257" i="14"/>
  <c r="J258" i="14"/>
  <c r="J175" i="14"/>
  <c r="J217" i="14"/>
  <c r="J303" i="14"/>
  <c r="J41" i="14"/>
  <c r="J115" i="14"/>
  <c r="J177" i="14"/>
  <c r="J218" i="14"/>
  <c r="J304" i="14"/>
  <c r="J252" i="14"/>
  <c r="J281" i="14"/>
  <c r="J165" i="14"/>
  <c r="J211" i="14"/>
  <c r="J297" i="14"/>
  <c r="J219" i="14"/>
  <c r="P317" i="8"/>
  <c r="G313" i="20" s="1"/>
  <c r="P318" i="8"/>
  <c r="G314" i="20" s="1"/>
  <c r="M312" i="38" s="1"/>
  <c r="N320" i="8"/>
  <c r="G320" i="8"/>
  <c r="D317" i="8"/>
  <c r="H317" i="8" s="1"/>
  <c r="F318" i="8"/>
  <c r="F320" i="8" s="1"/>
  <c r="P320" i="14"/>
  <c r="S317" i="14" s="1"/>
  <c r="H311" i="38" l="1"/>
  <c r="M311" i="38"/>
  <c r="G311" i="38"/>
  <c r="O311" i="38" s="1"/>
  <c r="L311" i="38"/>
  <c r="L314" i="38" s="1"/>
  <c r="O314" i="38"/>
  <c r="O316" i="38" s="1"/>
  <c r="R12" i="12" s="1"/>
  <c r="P310" i="38"/>
  <c r="Q312" i="38"/>
  <c r="O318" i="38"/>
  <c r="H313" i="20"/>
  <c r="Q311" i="38"/>
  <c r="L316" i="38"/>
  <c r="P311" i="38"/>
  <c r="H314" i="20"/>
  <c r="H317" i="20" s="1"/>
  <c r="M312" i="20"/>
  <c r="AK312" i="20"/>
  <c r="S312" i="20" s="1"/>
  <c r="AI312" i="20"/>
  <c r="Q312" i="20" s="1"/>
  <c r="AG312" i="20"/>
  <c r="O312" i="20" s="1"/>
  <c r="AA313" i="20"/>
  <c r="AC313" i="20"/>
  <c r="AE313" i="20"/>
  <c r="J313" i="20"/>
  <c r="R190" i="8"/>
  <c r="R114" i="8"/>
  <c r="R267" i="8"/>
  <c r="R95" i="8"/>
  <c r="R308" i="8"/>
  <c r="R314" i="8"/>
  <c r="R32" i="8"/>
  <c r="R134" i="8"/>
  <c r="R257" i="8"/>
  <c r="R185" i="8"/>
  <c r="R21" i="8"/>
  <c r="R243" i="8"/>
  <c r="R164" i="8"/>
  <c r="R198" i="8"/>
  <c r="R118" i="8"/>
  <c r="R303" i="8"/>
  <c r="R217" i="8"/>
  <c r="R234" i="8"/>
  <c r="R211" i="8"/>
  <c r="R156" i="8"/>
  <c r="R207" i="8"/>
  <c r="R24" i="8"/>
  <c r="R194" i="8"/>
  <c r="R291" i="8"/>
  <c r="R30" i="8"/>
  <c r="R102" i="8"/>
  <c r="R115" i="8"/>
  <c r="R231" i="8"/>
  <c r="R161" i="8"/>
  <c r="R226" i="8"/>
  <c r="R248" i="8"/>
  <c r="R54" i="8"/>
  <c r="R45" i="8"/>
  <c r="R163" i="8"/>
  <c r="R89" i="8"/>
  <c r="R290" i="8"/>
  <c r="R206" i="8"/>
  <c r="R221" i="8"/>
  <c r="R301" i="8"/>
  <c r="R205" i="8"/>
  <c r="R192" i="8"/>
  <c r="R128" i="8"/>
  <c r="R34" i="8"/>
  <c r="R35" i="8"/>
  <c r="R139" i="8"/>
  <c r="R222" i="8"/>
  <c r="R176" i="8"/>
  <c r="R284" i="8"/>
  <c r="R263" i="8"/>
  <c r="R253" i="8"/>
  <c r="R201" i="8"/>
  <c r="R283" i="8"/>
  <c r="R210" i="8"/>
  <c r="R186" i="8"/>
  <c r="R202" i="8"/>
  <c r="R307" i="8"/>
  <c r="R288" i="8"/>
  <c r="R107" i="8"/>
  <c r="R239" i="8"/>
  <c r="R230" i="8"/>
  <c r="R254" i="8"/>
  <c r="R182" i="8"/>
  <c r="R41" i="8"/>
  <c r="R51" i="8"/>
  <c r="R304" i="8"/>
  <c r="R178" i="8"/>
  <c r="R286" i="8"/>
  <c r="R269" i="8"/>
  <c r="R124" i="8"/>
  <c r="R169" i="8"/>
  <c r="R31" i="8"/>
  <c r="R126" i="8"/>
  <c r="R93" i="8"/>
  <c r="R166" i="8"/>
  <c r="R256" i="8"/>
  <c r="R52" i="8"/>
  <c r="R214" i="8"/>
  <c r="R22" i="8"/>
  <c r="R265" i="8"/>
  <c r="R73" i="8"/>
  <c r="R313" i="8"/>
  <c r="R28" i="8"/>
  <c r="R106" i="8"/>
  <c r="R309" i="8"/>
  <c r="R173" i="8"/>
  <c r="R64" i="8"/>
  <c r="R181" i="8"/>
  <c r="R279" i="8"/>
  <c r="R97" i="8"/>
  <c r="R129" i="8"/>
  <c r="R80" i="8"/>
  <c r="R18" i="8"/>
  <c r="R227" i="8"/>
  <c r="R278" i="8"/>
  <c r="R310" i="8"/>
  <c r="R315" i="8"/>
  <c r="R33" i="8"/>
  <c r="R92" i="8"/>
  <c r="R66" i="8"/>
  <c r="R117" i="8"/>
  <c r="R113" i="8"/>
  <c r="R62" i="8"/>
  <c r="R84" i="8"/>
  <c r="R119" i="8"/>
  <c r="R81" i="8"/>
  <c r="R19" i="8"/>
  <c r="R77" i="8"/>
  <c r="R146" i="8"/>
  <c r="R218" i="8"/>
  <c r="R317" i="8"/>
  <c r="R197" i="8"/>
  <c r="R160" i="8"/>
  <c r="R260" i="8"/>
  <c r="R184" i="8"/>
  <c r="R224" i="8"/>
  <c r="R287" i="8"/>
  <c r="R130" i="8"/>
  <c r="R193" i="8"/>
  <c r="R44" i="8"/>
  <c r="R213" i="8"/>
  <c r="R157" i="8"/>
  <c r="R188" i="8"/>
  <c r="R103" i="8"/>
  <c r="R258" i="8"/>
  <c r="R189" i="8"/>
  <c r="R91" i="8"/>
  <c r="R236" i="8"/>
  <c r="R63" i="8"/>
  <c r="R149" i="8"/>
  <c r="R247" i="8"/>
  <c r="R273" i="8"/>
  <c r="R250" i="8"/>
  <c r="R200" i="8"/>
  <c r="R215" i="8"/>
  <c r="R238" i="8"/>
  <c r="R108" i="8"/>
  <c r="R26" i="8"/>
  <c r="R259" i="8"/>
  <c r="R104" i="8"/>
  <c r="R177" i="8"/>
  <c r="R131" i="8"/>
  <c r="R57" i="8"/>
  <c r="R242" i="8"/>
  <c r="R74" i="8"/>
  <c r="R42" i="8"/>
  <c r="R155" i="8"/>
  <c r="R47" i="8"/>
  <c r="R241" i="8"/>
  <c r="R72" i="8"/>
  <c r="R110" i="8"/>
  <c r="R208" i="8"/>
  <c r="R249" i="8"/>
  <c r="R159" i="8"/>
  <c r="R75" i="8"/>
  <c r="R55" i="8"/>
  <c r="R170" i="8"/>
  <c r="R289" i="8"/>
  <c r="R78" i="8"/>
  <c r="R275" i="8"/>
  <c r="R136" i="8"/>
  <c r="R87" i="8"/>
  <c r="R196" i="8"/>
  <c r="R70" i="8"/>
  <c r="R285" i="8"/>
  <c r="R262" i="8"/>
  <c r="R125" i="8"/>
  <c r="R277" i="8"/>
  <c r="R56" i="8"/>
  <c r="R82" i="8"/>
  <c r="R281" i="8"/>
  <c r="R79" i="8"/>
  <c r="R58" i="8"/>
  <c r="R165" i="8"/>
  <c r="R109" i="8"/>
  <c r="R305" i="8"/>
  <c r="R276" i="8"/>
  <c r="R204" i="8"/>
  <c r="R246" i="8"/>
  <c r="R292" i="8"/>
  <c r="R39" i="8"/>
  <c r="R295" i="8"/>
  <c r="R65" i="8"/>
  <c r="R23" i="8"/>
  <c r="R76" i="8"/>
  <c r="R282" i="8"/>
  <c r="R235" i="8"/>
  <c r="R229" i="8"/>
  <c r="R266" i="8"/>
  <c r="R90" i="8"/>
  <c r="R172" i="8"/>
  <c r="R318" i="8"/>
  <c r="R122" i="8"/>
  <c r="R268" i="8"/>
  <c r="R175" i="8"/>
  <c r="R280" i="8"/>
  <c r="R179" i="8"/>
  <c r="R152" i="8"/>
  <c r="R297" i="8"/>
  <c r="R20" i="8"/>
  <c r="R132" i="8"/>
  <c r="R101" i="8"/>
  <c r="R272" i="8"/>
  <c r="R111" i="8"/>
  <c r="R171" i="8"/>
  <c r="R311" i="8"/>
  <c r="R135" i="8"/>
  <c r="R158" i="8"/>
  <c r="R123" i="8"/>
  <c r="R293" i="8"/>
  <c r="R85" i="8"/>
  <c r="R133" i="8"/>
  <c r="R98" i="8"/>
  <c r="R36" i="8"/>
  <c r="R29" i="8"/>
  <c r="R233" i="8"/>
  <c r="R228" i="8"/>
  <c r="R116" i="8"/>
  <c r="R270" i="8"/>
  <c r="R245" i="8"/>
  <c r="R153" i="8"/>
  <c r="R127" i="8"/>
  <c r="R100" i="8"/>
  <c r="R145" i="8"/>
  <c r="R99" i="8"/>
  <c r="R199" i="8"/>
  <c r="R264" i="8"/>
  <c r="R312" i="8"/>
  <c r="R148" i="8"/>
  <c r="R223" i="8"/>
  <c r="R306" i="8"/>
  <c r="R251" i="8"/>
  <c r="R180" i="8"/>
  <c r="R105" i="8"/>
  <c r="R274" i="8"/>
  <c r="R300" i="8"/>
  <c r="R255" i="8"/>
  <c r="R232" i="8"/>
  <c r="R147" i="8"/>
  <c r="R138" i="8"/>
  <c r="R168" i="8"/>
  <c r="R43" i="8"/>
  <c r="R38" i="8"/>
  <c r="R261" i="8"/>
  <c r="R209" i="8"/>
  <c r="R140" i="8"/>
  <c r="R144" i="8"/>
  <c r="R271" i="8"/>
  <c r="R27" i="8"/>
  <c r="R191" i="8"/>
  <c r="R195" i="8"/>
  <c r="R88" i="8"/>
  <c r="R68" i="8"/>
  <c r="R302" i="8"/>
  <c r="R203" i="8"/>
  <c r="R252" i="8"/>
  <c r="R60" i="8"/>
  <c r="R298" i="8"/>
  <c r="R120" i="8"/>
  <c r="R61" i="8"/>
  <c r="R143" i="8"/>
  <c r="R40" i="8"/>
  <c r="R141" i="8"/>
  <c r="R112" i="8"/>
  <c r="R296" i="8"/>
  <c r="R49" i="8"/>
  <c r="R167" i="8"/>
  <c r="R86" i="8"/>
  <c r="R48" i="8"/>
  <c r="R219" i="8"/>
  <c r="R37" i="8"/>
  <c r="R71" i="8"/>
  <c r="R50" i="8"/>
  <c r="R316" i="8"/>
  <c r="R225" i="8"/>
  <c r="R237" i="8"/>
  <c r="R244" i="8"/>
  <c r="R69" i="8"/>
  <c r="R46" i="8"/>
  <c r="R67" i="8"/>
  <c r="R240" i="8"/>
  <c r="R25" i="8"/>
  <c r="R83" i="8"/>
  <c r="R187" i="8"/>
  <c r="R216" i="8"/>
  <c r="R220" i="8"/>
  <c r="R150" i="8"/>
  <c r="R151" i="8"/>
  <c r="R154" i="8"/>
  <c r="R137" i="8"/>
  <c r="R96" i="8"/>
  <c r="R299" i="8"/>
  <c r="R174" i="8"/>
  <c r="R142" i="8"/>
  <c r="R183" i="8"/>
  <c r="R59" i="8"/>
  <c r="R121" i="8"/>
  <c r="R212" i="8"/>
  <c r="R94" i="8"/>
  <c r="R53" i="8"/>
  <c r="R162" i="8"/>
  <c r="R294" i="8"/>
  <c r="S311" i="15"/>
  <c r="S295" i="15"/>
  <c r="S274" i="15"/>
  <c r="S258" i="15"/>
  <c r="S242" i="15"/>
  <c r="S230" i="15"/>
  <c r="S214" i="15"/>
  <c r="S199" i="15"/>
  <c r="S174" i="15"/>
  <c r="S180" i="15"/>
  <c r="S107" i="15"/>
  <c r="S157" i="15"/>
  <c r="S130" i="15"/>
  <c r="S152" i="15"/>
  <c r="S74" i="15"/>
  <c r="S58" i="15"/>
  <c r="S42" i="15"/>
  <c r="S30" i="15"/>
  <c r="S25" i="15"/>
  <c r="S108" i="15"/>
  <c r="S59" i="15"/>
  <c r="S32" i="15"/>
  <c r="S310" i="15"/>
  <c r="S294" i="15"/>
  <c r="S273" i="15"/>
  <c r="S257" i="15"/>
  <c r="S241" i="15"/>
  <c r="S229" i="15"/>
  <c r="S213" i="15"/>
  <c r="S198" i="15"/>
  <c r="S168" i="15"/>
  <c r="S124" i="15"/>
  <c r="S106" i="15"/>
  <c r="S155" i="15"/>
  <c r="S129" i="15"/>
  <c r="S136" i="15"/>
  <c r="S73" i="15"/>
  <c r="S57" i="15"/>
  <c r="S162" i="15"/>
  <c r="S28" i="15"/>
  <c r="S19" i="15"/>
  <c r="S86" i="15"/>
  <c r="S309" i="15"/>
  <c r="S293" i="15"/>
  <c r="S272" i="15"/>
  <c r="S256" i="15"/>
  <c r="S277" i="15"/>
  <c r="S228" i="15"/>
  <c r="S212" i="15"/>
  <c r="S197" i="15"/>
  <c r="S166" i="15"/>
  <c r="S122" i="15"/>
  <c r="S105" i="15"/>
  <c r="S153" i="15"/>
  <c r="S128" i="15"/>
  <c r="S93" i="15"/>
  <c r="S72" i="15"/>
  <c r="S56" i="15"/>
  <c r="S146" i="15"/>
  <c r="S26" i="15"/>
  <c r="S89" i="15"/>
  <c r="S184" i="15"/>
  <c r="S308" i="15"/>
  <c r="S292" i="15"/>
  <c r="S271" i="15"/>
  <c r="S255" i="15"/>
  <c r="S284" i="15"/>
  <c r="S227" i="15"/>
  <c r="S211" i="15"/>
  <c r="S196" i="15"/>
  <c r="S164" i="15"/>
  <c r="S120" i="15"/>
  <c r="S104" i="15"/>
  <c r="S151" i="15"/>
  <c r="S127" i="15"/>
  <c r="S148" i="15"/>
  <c r="S71" i="15"/>
  <c r="S55" i="15"/>
  <c r="S88" i="15"/>
  <c r="S24" i="15"/>
  <c r="S33" i="15"/>
  <c r="S312" i="15"/>
  <c r="S307" i="15"/>
  <c r="S291" i="15"/>
  <c r="S270" i="15"/>
  <c r="S254" i="15"/>
  <c r="S282" i="15"/>
  <c r="S226" i="15"/>
  <c r="S210" i="15"/>
  <c r="S195" i="15"/>
  <c r="S183" i="15"/>
  <c r="S119" i="15"/>
  <c r="S103" i="15"/>
  <c r="S149" i="15"/>
  <c r="S126" i="15"/>
  <c r="S150" i="15"/>
  <c r="S70" i="15"/>
  <c r="S54" i="15"/>
  <c r="S84" i="15"/>
  <c r="S22" i="15"/>
  <c r="S27" i="15"/>
  <c r="S209" i="15"/>
  <c r="S181" i="15"/>
  <c r="S147" i="15"/>
  <c r="S134" i="15"/>
  <c r="S53" i="15"/>
  <c r="S20" i="15"/>
  <c r="S121" i="15"/>
  <c r="S52" i="15"/>
  <c r="S17" i="15"/>
  <c r="S50" i="15"/>
  <c r="S113" i="15"/>
  <c r="S48" i="15"/>
  <c r="S200" i="15"/>
  <c r="S29" i="15"/>
  <c r="S306" i="15"/>
  <c r="S290" i="15"/>
  <c r="S269" i="15"/>
  <c r="S253" i="15"/>
  <c r="S280" i="15"/>
  <c r="S225" i="15"/>
  <c r="S194" i="15"/>
  <c r="S118" i="15"/>
  <c r="S102" i="15"/>
  <c r="S123" i="15"/>
  <c r="S69" i="15"/>
  <c r="S40" i="15"/>
  <c r="S23" i="15"/>
  <c r="S87" i="15"/>
  <c r="S160" i="15"/>
  <c r="S170" i="15"/>
  <c r="S75" i="15"/>
  <c r="S305" i="15"/>
  <c r="S289" i="15"/>
  <c r="S268" i="15"/>
  <c r="S252" i="15"/>
  <c r="S240" i="15"/>
  <c r="S224" i="15"/>
  <c r="S208" i="15"/>
  <c r="S193" i="15"/>
  <c r="S179" i="15"/>
  <c r="S117" i="15"/>
  <c r="S101" i="15"/>
  <c r="S145" i="15"/>
  <c r="S68" i="15"/>
  <c r="S18" i="15"/>
  <c r="S66" i="15"/>
  <c r="S97" i="15"/>
  <c r="S80" i="15"/>
  <c r="S231" i="15"/>
  <c r="S43" i="15"/>
  <c r="S304" i="15"/>
  <c r="S288" i="15"/>
  <c r="S267" i="15"/>
  <c r="S251" i="15"/>
  <c r="S239" i="15"/>
  <c r="S223" i="15"/>
  <c r="S207" i="15"/>
  <c r="S192" i="15"/>
  <c r="S177" i="15"/>
  <c r="S116" i="15"/>
  <c r="S100" i="15"/>
  <c r="S143" i="15"/>
  <c r="S125" i="15"/>
  <c r="S83" i="15"/>
  <c r="S67" i="15"/>
  <c r="S51" i="15"/>
  <c r="S144" i="15"/>
  <c r="S35" i="15"/>
  <c r="S266" i="15"/>
  <c r="S222" i="15"/>
  <c r="S191" i="15"/>
  <c r="S115" i="15"/>
  <c r="S141" i="15"/>
  <c r="S82" i="15"/>
  <c r="S142" i="15"/>
  <c r="S140" i="15"/>
  <c r="S243" i="15"/>
  <c r="S303" i="15"/>
  <c r="S287" i="15"/>
  <c r="S250" i="15"/>
  <c r="S238" i="15"/>
  <c r="S206" i="15"/>
  <c r="S175" i="15"/>
  <c r="S99" i="15"/>
  <c r="S182" i="15"/>
  <c r="S95" i="15"/>
  <c r="S64" i="15"/>
  <c r="S259" i="15"/>
  <c r="S302" i="15"/>
  <c r="S286" i="15"/>
  <c r="S265" i="15"/>
  <c r="S249" i="15"/>
  <c r="S237" i="15"/>
  <c r="S221" i="15"/>
  <c r="S278" i="15"/>
  <c r="S190" i="15"/>
  <c r="S171" i="15"/>
  <c r="S114" i="15"/>
  <c r="S98" i="15"/>
  <c r="S139" i="15"/>
  <c r="S156" i="15"/>
  <c r="S81" i="15"/>
  <c r="S65" i="15"/>
  <c r="S49" i="15"/>
  <c r="S91" i="15"/>
  <c r="S85" i="15"/>
  <c r="S285" i="15"/>
  <c r="S248" i="15"/>
  <c r="S205" i="15"/>
  <c r="S137" i="15"/>
  <c r="S41" i="15"/>
  <c r="S275" i="15"/>
  <c r="S317" i="15"/>
  <c r="S301" i="15"/>
  <c r="S264" i="15"/>
  <c r="S236" i="15"/>
  <c r="S220" i="15"/>
  <c r="S189" i="15"/>
  <c r="S39" i="15"/>
  <c r="S296" i="15"/>
  <c r="S316" i="15"/>
  <c r="S300" i="15"/>
  <c r="S283" i="15"/>
  <c r="S263" i="15"/>
  <c r="S247" i="15"/>
  <c r="S235" i="15"/>
  <c r="S219" i="15"/>
  <c r="S204" i="15"/>
  <c r="S188" i="15"/>
  <c r="S172" i="15"/>
  <c r="S112" i="15"/>
  <c r="S96" i="15"/>
  <c r="S135" i="15"/>
  <c r="S94" i="15"/>
  <c r="S79" i="15"/>
  <c r="S63" i="15"/>
  <c r="S47" i="15"/>
  <c r="S158" i="15"/>
  <c r="S31" i="15"/>
  <c r="S234" i="15"/>
  <c r="S203" i="15"/>
  <c r="S167" i="15"/>
  <c r="S176" i="15"/>
  <c r="S78" i="15"/>
  <c r="S46" i="15"/>
  <c r="S21" i="15"/>
  <c r="S215" i="15"/>
  <c r="S315" i="15"/>
  <c r="S299" i="15"/>
  <c r="S281" i="15"/>
  <c r="S262" i="15"/>
  <c r="S246" i="15"/>
  <c r="S218" i="15"/>
  <c r="S187" i="15"/>
  <c r="S111" i="15"/>
  <c r="S178" i="15"/>
  <c r="S154" i="15"/>
  <c r="S62" i="15"/>
  <c r="S38" i="15"/>
  <c r="S169" i="15"/>
  <c r="S314" i="15"/>
  <c r="S298" i="15"/>
  <c r="S279" i="15"/>
  <c r="S261" i="15"/>
  <c r="S245" i="15"/>
  <c r="S233" i="15"/>
  <c r="S217" i="15"/>
  <c r="S202" i="15"/>
  <c r="S186" i="15"/>
  <c r="S165" i="15"/>
  <c r="S110" i="15"/>
  <c r="S163" i="15"/>
  <c r="S133" i="15"/>
  <c r="S138" i="15"/>
  <c r="S77" i="15"/>
  <c r="S61" i="15"/>
  <c r="S45" i="15"/>
  <c r="S36" i="15"/>
  <c r="S92" i="15"/>
  <c r="S159" i="15"/>
  <c r="S313" i="15"/>
  <c r="S297" i="15"/>
  <c r="S276" i="15"/>
  <c r="S260" i="15"/>
  <c r="S244" i="15"/>
  <c r="S232" i="15"/>
  <c r="S216" i="15"/>
  <c r="S201" i="15"/>
  <c r="S185" i="15"/>
  <c r="S173" i="15"/>
  <c r="S109" i="15"/>
  <c r="S161" i="15"/>
  <c r="S132" i="15"/>
  <c r="S90" i="15"/>
  <c r="S76" i="15"/>
  <c r="S60" i="15"/>
  <c r="S44" i="15"/>
  <c r="S34" i="15"/>
  <c r="S37" i="15"/>
  <c r="S131" i="15"/>
  <c r="S318" i="15"/>
  <c r="H320" i="15"/>
  <c r="J314" i="20"/>
  <c r="E317" i="20"/>
  <c r="E319" i="20" s="1"/>
  <c r="L313" i="20"/>
  <c r="H320" i="14"/>
  <c r="H318" i="8"/>
  <c r="Q207" i="8"/>
  <c r="Q190" i="8"/>
  <c r="Q312" i="8"/>
  <c r="Q79" i="8"/>
  <c r="Q21" i="8"/>
  <c r="Q236" i="8"/>
  <c r="Q73" i="8"/>
  <c r="Q289" i="8"/>
  <c r="Q246" i="8"/>
  <c r="Q44" i="8"/>
  <c r="Q161" i="8"/>
  <c r="Q314" i="8"/>
  <c r="Q160" i="8"/>
  <c r="Q297" i="8"/>
  <c r="Q311" i="8"/>
  <c r="Q218" i="8"/>
  <c r="Q94" i="8"/>
  <c r="Q99" i="8"/>
  <c r="Q172" i="8"/>
  <c r="Q122" i="8"/>
  <c r="Q226" i="8"/>
  <c r="Q192" i="8"/>
  <c r="Q143" i="8"/>
  <c r="Q209" i="8"/>
  <c r="Q187" i="8"/>
  <c r="Q90" i="8"/>
  <c r="Q83" i="8"/>
  <c r="Q80" i="8"/>
  <c r="Q275" i="8"/>
  <c r="Q214" i="8"/>
  <c r="Q57" i="8"/>
  <c r="Q163" i="8"/>
  <c r="Q111" i="8"/>
  <c r="Q267" i="8"/>
  <c r="Q243" i="8"/>
  <c r="Q302" i="8"/>
  <c r="Q45" i="8"/>
  <c r="Q273" i="8"/>
  <c r="Q71" i="8"/>
  <c r="Q230" i="8"/>
  <c r="Q86" i="8"/>
  <c r="Q156" i="8"/>
  <c r="Q244" i="8"/>
  <c r="Q183" i="8"/>
  <c r="Q146" i="8"/>
  <c r="Q98" i="8"/>
  <c r="Q307" i="8"/>
  <c r="Q110" i="8"/>
  <c r="Q128" i="8"/>
  <c r="Q136" i="8"/>
  <c r="Q179" i="8"/>
  <c r="Q112" i="8"/>
  <c r="Q95" i="8"/>
  <c r="Q26" i="8"/>
  <c r="Q159" i="8"/>
  <c r="Q199" i="8"/>
  <c r="Q317" i="8"/>
  <c r="Q37" i="8"/>
  <c r="Q250" i="8"/>
  <c r="Q48" i="8"/>
  <c r="Q104" i="8"/>
  <c r="Q101" i="8"/>
  <c r="Q35" i="8"/>
  <c r="Q39" i="8"/>
  <c r="Q213" i="8"/>
  <c r="Q254" i="8"/>
  <c r="Q36" i="8"/>
  <c r="Q33" i="8"/>
  <c r="Q286" i="8"/>
  <c r="Q170" i="8"/>
  <c r="Q177" i="8"/>
  <c r="Q188" i="8"/>
  <c r="Q182" i="8"/>
  <c r="Q66" i="8"/>
  <c r="Q278" i="8"/>
  <c r="Q132" i="8"/>
  <c r="Q306" i="8"/>
  <c r="Q206" i="8"/>
  <c r="Q222" i="8"/>
  <c r="Q166" i="8"/>
  <c r="Q46" i="8"/>
  <c r="Q235" i="8"/>
  <c r="Q97" i="8"/>
  <c r="Q62" i="8"/>
  <c r="Q217" i="8"/>
  <c r="Q150" i="8"/>
  <c r="Q298" i="8"/>
  <c r="Q274" i="8"/>
  <c r="Q129" i="8"/>
  <c r="Q257" i="8"/>
  <c r="Q60" i="8"/>
  <c r="Q22" i="8"/>
  <c r="Q234" i="8"/>
  <c r="Q17" i="8"/>
  <c r="Q261" i="8"/>
  <c r="Q268" i="8"/>
  <c r="Q300" i="8"/>
  <c r="Q194" i="8"/>
  <c r="Q205" i="8"/>
  <c r="Q252" i="8"/>
  <c r="Q253" i="8"/>
  <c r="Q127" i="8"/>
  <c r="Q144" i="8"/>
  <c r="Q87" i="8"/>
  <c r="Q178" i="8"/>
  <c r="Q134" i="8"/>
  <c r="Q24" i="8"/>
  <c r="Q61" i="8"/>
  <c r="Q184" i="8"/>
  <c r="Q291" i="8"/>
  <c r="Q43" i="8"/>
  <c r="Q168" i="8"/>
  <c r="Q157" i="8"/>
  <c r="Q240" i="8"/>
  <c r="Q76" i="8"/>
  <c r="Q229" i="8"/>
  <c r="Q133" i="8"/>
  <c r="Q40" i="8"/>
  <c r="Q249" i="8"/>
  <c r="Q313" i="8"/>
  <c r="Q201" i="8"/>
  <c r="Q30" i="8"/>
  <c r="Q225" i="8"/>
  <c r="Q28" i="8"/>
  <c r="Q227" i="8"/>
  <c r="Q266" i="8"/>
  <c r="Q195" i="8"/>
  <c r="Q239" i="8"/>
  <c r="Q193" i="8"/>
  <c r="Q260" i="8"/>
  <c r="Q248" i="8"/>
  <c r="Q220" i="8"/>
  <c r="Q228" i="8"/>
  <c r="Q69" i="8"/>
  <c r="Q153" i="8"/>
  <c r="Q65" i="8"/>
  <c r="Q171" i="8"/>
  <c r="Q81" i="8"/>
  <c r="Q41" i="8"/>
  <c r="Q310" i="8"/>
  <c r="Q242" i="8"/>
  <c r="Q135" i="8"/>
  <c r="Q318" i="8"/>
  <c r="Q107" i="8"/>
  <c r="Q91" i="8"/>
  <c r="Q245" i="8"/>
  <c r="Q185" i="8"/>
  <c r="Q256" i="8"/>
  <c r="Q116" i="8"/>
  <c r="Q152" i="8"/>
  <c r="Q233" i="8"/>
  <c r="Q277" i="8"/>
  <c r="Q103" i="8"/>
  <c r="Q181" i="8"/>
  <c r="Q102" i="8"/>
  <c r="Q138" i="8"/>
  <c r="Q203" i="8"/>
  <c r="Q169" i="8"/>
  <c r="Q303" i="8"/>
  <c r="Q241" i="8"/>
  <c r="Q70" i="8"/>
  <c r="Q251" i="8"/>
  <c r="Q118" i="8"/>
  <c r="Q272" i="8"/>
  <c r="Q119" i="8"/>
  <c r="Q279" i="8"/>
  <c r="Q216" i="8"/>
  <c r="Q114" i="8"/>
  <c r="Q77" i="8"/>
  <c r="Q148" i="8"/>
  <c r="Q42" i="8"/>
  <c r="Q130" i="8"/>
  <c r="Q64" i="8"/>
  <c r="Q20" i="8"/>
  <c r="Q151" i="8"/>
  <c r="Q68" i="8"/>
  <c r="Q255" i="8"/>
  <c r="Q72" i="8"/>
  <c r="Q53" i="8"/>
  <c r="Q271" i="8"/>
  <c r="Q305" i="8"/>
  <c r="Q31" i="8"/>
  <c r="Q155" i="8"/>
  <c r="Q200" i="8"/>
  <c r="Q47" i="8"/>
  <c r="Q18" i="8"/>
  <c r="Q55" i="8"/>
  <c r="Q212" i="8"/>
  <c r="Q58" i="8"/>
  <c r="Q186" i="8"/>
  <c r="Q219" i="8"/>
  <c r="Q149" i="8"/>
  <c r="Q198" i="8"/>
  <c r="Q106" i="8"/>
  <c r="Q173" i="8"/>
  <c r="Q131" i="8"/>
  <c r="Q247" i="8"/>
  <c r="Q269" i="8"/>
  <c r="Q191" i="8"/>
  <c r="Q162" i="8"/>
  <c r="Q189" i="8"/>
  <c r="Q105" i="8"/>
  <c r="Q174" i="8"/>
  <c r="Q290" i="8"/>
  <c r="Q75" i="8"/>
  <c r="Q221" i="8"/>
  <c r="Q108" i="8"/>
  <c r="Q124" i="8"/>
  <c r="Q263" i="8"/>
  <c r="Q309" i="8"/>
  <c r="Q294" i="8"/>
  <c r="Q74" i="8"/>
  <c r="Q304" i="8"/>
  <c r="Q284" i="8"/>
  <c r="Q29" i="8"/>
  <c r="Q140" i="8"/>
  <c r="Q78" i="8"/>
  <c r="Q100" i="8"/>
  <c r="Q167" i="8"/>
  <c r="Q139" i="8"/>
  <c r="Q126" i="8"/>
  <c r="Q292" i="8"/>
  <c r="Q262" i="8"/>
  <c r="Q165" i="8"/>
  <c r="Q285" i="8"/>
  <c r="Q265" i="8"/>
  <c r="Q93" i="8"/>
  <c r="Q299" i="8"/>
  <c r="Q56" i="8"/>
  <c r="Q264" i="8"/>
  <c r="Q208" i="8"/>
  <c r="Q49" i="8"/>
  <c r="Q115" i="8"/>
  <c r="Q210" i="8"/>
  <c r="Q109" i="8"/>
  <c r="Q296" i="8"/>
  <c r="Q19" i="8"/>
  <c r="Q27" i="8"/>
  <c r="Q63" i="8"/>
  <c r="Q223" i="8"/>
  <c r="Q85" i="8"/>
  <c r="Q308" i="8"/>
  <c r="Q281" i="8"/>
  <c r="Q120" i="8"/>
  <c r="Q259" i="8"/>
  <c r="Q137" i="8"/>
  <c r="Q147" i="8"/>
  <c r="Q54" i="8"/>
  <c r="Q32" i="8"/>
  <c r="Q287" i="8"/>
  <c r="Q196" i="8"/>
  <c r="Q224" i="8"/>
  <c r="Q270" i="8"/>
  <c r="Q295" i="8"/>
  <c r="Q231" i="8"/>
  <c r="Q123" i="8"/>
  <c r="Q88" i="8"/>
  <c r="Q145" i="8"/>
  <c r="Q154" i="8"/>
  <c r="Q211" i="8"/>
  <c r="Q141" i="8"/>
  <c r="Q280" i="8"/>
  <c r="Q180" i="8"/>
  <c r="Q82" i="8"/>
  <c r="Q113" i="8"/>
  <c r="Q238" i="8"/>
  <c r="Q175" i="8"/>
  <c r="Q202" i="8"/>
  <c r="Q316" i="8"/>
  <c r="Q283" i="8"/>
  <c r="Q52" i="8"/>
  <c r="Q84" i="8"/>
  <c r="Q164" i="8"/>
  <c r="Q215" i="8"/>
  <c r="Q38" i="8"/>
  <c r="Q232" i="8"/>
  <c r="Q25" i="8"/>
  <c r="Q142" i="8"/>
  <c r="Q288" i="8"/>
  <c r="Q59" i="8"/>
  <c r="Q50" i="8"/>
  <c r="Q293" i="8"/>
  <c r="Q51" i="8"/>
  <c r="Q237" i="8"/>
  <c r="Q125" i="8"/>
  <c r="Q176" i="8"/>
  <c r="Q301" i="8"/>
  <c r="Q89" i="8"/>
  <c r="Q197" i="8"/>
  <c r="Q204" i="8"/>
  <c r="Q117" i="8"/>
  <c r="Q23" i="8"/>
  <c r="Q34" i="8"/>
  <c r="Q315" i="8"/>
  <c r="Q92" i="8"/>
  <c r="Q67" i="8"/>
  <c r="Q96" i="8"/>
  <c r="Q121" i="8"/>
  <c r="Q158" i="8"/>
  <c r="Q282" i="8"/>
  <c r="Q258" i="8"/>
  <c r="Q276" i="8"/>
  <c r="I215" i="8"/>
  <c r="I248" i="8"/>
  <c r="I293" i="8"/>
  <c r="I171" i="8"/>
  <c r="I184" i="8"/>
  <c r="I196" i="8"/>
  <c r="I74" i="8"/>
  <c r="I96" i="8"/>
  <c r="I229" i="8"/>
  <c r="I130" i="8"/>
  <c r="I81" i="8"/>
  <c r="I25" i="8"/>
  <c r="I76" i="8"/>
  <c r="I210" i="8"/>
  <c r="I177" i="8"/>
  <c r="I18" i="8"/>
  <c r="I77" i="8"/>
  <c r="I19" i="8"/>
  <c r="I307" i="8"/>
  <c r="I214" i="8"/>
  <c r="I82" i="8"/>
  <c r="I176" i="8"/>
  <c r="I206" i="8"/>
  <c r="I295" i="8"/>
  <c r="I284" i="8"/>
  <c r="I116" i="8"/>
  <c r="I117" i="8"/>
  <c r="I36" i="8"/>
  <c r="I59" i="8"/>
  <c r="I126" i="8"/>
  <c r="I163" i="8"/>
  <c r="I42" i="8"/>
  <c r="I232" i="8"/>
  <c r="I245" i="8"/>
  <c r="I277" i="8"/>
  <c r="I282" i="8"/>
  <c r="I187" i="8"/>
  <c r="I218" i="8"/>
  <c r="I104" i="8"/>
  <c r="I204" i="8"/>
  <c r="I274" i="8"/>
  <c r="I244" i="8"/>
  <c r="I129" i="8"/>
  <c r="I273" i="8"/>
  <c r="I134" i="8"/>
  <c r="I100" i="8"/>
  <c r="I288" i="8"/>
  <c r="I89" i="8"/>
  <c r="I207" i="8"/>
  <c r="I303" i="8"/>
  <c r="I304" i="8"/>
  <c r="I255" i="8"/>
  <c r="I313" i="8"/>
  <c r="I271" i="8"/>
  <c r="I122" i="8"/>
  <c r="I51" i="8"/>
  <c r="I246" i="8"/>
  <c r="I249" i="8"/>
  <c r="I41" i="8"/>
  <c r="I262" i="8"/>
  <c r="I185" i="8"/>
  <c r="I263" i="8"/>
  <c r="I84" i="8"/>
  <c r="I133" i="8"/>
  <c r="I290" i="8"/>
  <c r="I190" i="8"/>
  <c r="I52" i="8"/>
  <c r="I250" i="8"/>
  <c r="I150" i="8"/>
  <c r="I253" i="8"/>
  <c r="I64" i="8"/>
  <c r="I118" i="8"/>
  <c r="I149" i="8"/>
  <c r="I148" i="8"/>
  <c r="I91" i="8"/>
  <c r="I225" i="8"/>
  <c r="I316" i="8"/>
  <c r="I153" i="8"/>
  <c r="I70" i="8"/>
  <c r="I166" i="8"/>
  <c r="I120" i="8"/>
  <c r="I146" i="8"/>
  <c r="I62" i="8"/>
  <c r="I193" i="8"/>
  <c r="I178" i="8"/>
  <c r="I265" i="8"/>
  <c r="I227" i="8"/>
  <c r="I238" i="8"/>
  <c r="I87" i="8"/>
  <c r="I33" i="8"/>
  <c r="I17" i="8"/>
  <c r="I69" i="8"/>
  <c r="I114" i="8"/>
  <c r="I55" i="8"/>
  <c r="I228" i="8"/>
  <c r="I101" i="8"/>
  <c r="I173" i="8"/>
  <c r="I140" i="8"/>
  <c r="I142" i="8"/>
  <c r="I301" i="8"/>
  <c r="I267" i="8"/>
  <c r="I22" i="8"/>
  <c r="I112" i="8"/>
  <c r="I20" i="8"/>
  <c r="I191" i="8"/>
  <c r="I298" i="8"/>
  <c r="I43" i="8"/>
  <c r="I197" i="8"/>
  <c r="I97" i="8"/>
  <c r="I155" i="8"/>
  <c r="I151" i="8"/>
  <c r="I164" i="8"/>
  <c r="I310" i="8"/>
  <c r="I254" i="8"/>
  <c r="I157" i="8"/>
  <c r="I203" i="8"/>
  <c r="I294" i="8"/>
  <c r="I147" i="8"/>
  <c r="I66" i="8"/>
  <c r="I40" i="8"/>
  <c r="I121" i="8"/>
  <c r="I280" i="8"/>
  <c r="I161" i="8"/>
  <c r="I212" i="8"/>
  <c r="I160" i="8"/>
  <c r="I168" i="8"/>
  <c r="I158" i="8"/>
  <c r="I83" i="8"/>
  <c r="I119" i="8"/>
  <c r="I35" i="8"/>
  <c r="I175" i="8"/>
  <c r="I256" i="8"/>
  <c r="I170" i="8"/>
  <c r="I302" i="8"/>
  <c r="I167" i="8"/>
  <c r="I145" i="8"/>
  <c r="I201" i="8"/>
  <c r="I34" i="8"/>
  <c r="I285" i="8"/>
  <c r="I162" i="8"/>
  <c r="I268" i="8"/>
  <c r="I192" i="8"/>
  <c r="I174" i="8"/>
  <c r="I21" i="8"/>
  <c r="I243" i="8"/>
  <c r="I309" i="8"/>
  <c r="I308" i="8"/>
  <c r="I93" i="8"/>
  <c r="I67" i="8"/>
  <c r="I276" i="8"/>
  <c r="I45" i="8"/>
  <c r="I289" i="8"/>
  <c r="I156" i="8"/>
  <c r="I179" i="8"/>
  <c r="I103" i="8"/>
  <c r="I257" i="8"/>
  <c r="I88" i="8"/>
  <c r="I317" i="8"/>
  <c r="I235" i="8"/>
  <c r="I50" i="8"/>
  <c r="I259" i="8"/>
  <c r="I39" i="8"/>
  <c r="I314" i="8"/>
  <c r="I144" i="8"/>
  <c r="I230" i="8"/>
  <c r="I24" i="8"/>
  <c r="I220" i="8"/>
  <c r="I27" i="8"/>
  <c r="I287" i="8"/>
  <c r="I199" i="8"/>
  <c r="I222" i="8"/>
  <c r="I169" i="8"/>
  <c r="I237" i="8"/>
  <c r="I305" i="8"/>
  <c r="I107" i="8"/>
  <c r="I236" i="8"/>
  <c r="I223" i="8"/>
  <c r="I239" i="8"/>
  <c r="I299" i="8"/>
  <c r="I110" i="8"/>
  <c r="I143" i="8"/>
  <c r="I138" i="8"/>
  <c r="I182" i="8"/>
  <c r="I123" i="8"/>
  <c r="I270" i="8"/>
  <c r="I241" i="8"/>
  <c r="I188" i="8"/>
  <c r="I269" i="8"/>
  <c r="I54" i="8"/>
  <c r="I202" i="8"/>
  <c r="I61" i="8"/>
  <c r="I65" i="8"/>
  <c r="I94" i="8"/>
  <c r="I311" i="8"/>
  <c r="I48" i="8"/>
  <c r="I260" i="8"/>
  <c r="I75" i="8"/>
  <c r="I79" i="8"/>
  <c r="I189" i="8"/>
  <c r="I113" i="8"/>
  <c r="I281" i="8"/>
  <c r="I275" i="8"/>
  <c r="I29" i="8"/>
  <c r="I141" i="8"/>
  <c r="I102" i="8"/>
  <c r="I296" i="8"/>
  <c r="I261" i="8"/>
  <c r="I38" i="8"/>
  <c r="I115" i="8"/>
  <c r="I181" i="8"/>
  <c r="I240" i="8"/>
  <c r="I180" i="8"/>
  <c r="I247" i="8"/>
  <c r="I71" i="8"/>
  <c r="I194" i="8"/>
  <c r="I226" i="8"/>
  <c r="I28" i="8"/>
  <c r="I251" i="8"/>
  <c r="I315" i="8"/>
  <c r="I47" i="8"/>
  <c r="I279" i="8"/>
  <c r="I205" i="8"/>
  <c r="I98" i="8"/>
  <c r="I68" i="8"/>
  <c r="I172" i="8"/>
  <c r="I106" i="8"/>
  <c r="I60" i="8"/>
  <c r="I73" i="8"/>
  <c r="I31" i="8"/>
  <c r="I105" i="8"/>
  <c r="I32" i="8"/>
  <c r="I291" i="8"/>
  <c r="I221" i="8"/>
  <c r="I135" i="8"/>
  <c r="I23" i="8"/>
  <c r="I58" i="8"/>
  <c r="I99" i="8"/>
  <c r="I224" i="8"/>
  <c r="I127" i="8"/>
  <c r="I216" i="8"/>
  <c r="I136" i="8"/>
  <c r="I318" i="8"/>
  <c r="I90" i="8"/>
  <c r="I258" i="8"/>
  <c r="I26" i="8"/>
  <c r="I278" i="8"/>
  <c r="I80" i="8"/>
  <c r="I152" i="8"/>
  <c r="I57" i="8"/>
  <c r="I159" i="8"/>
  <c r="I200" i="8"/>
  <c r="I128" i="8"/>
  <c r="I86" i="8"/>
  <c r="I233" i="8"/>
  <c r="I183" i="8"/>
  <c r="I37" i="8"/>
  <c r="I53" i="8"/>
  <c r="I242" i="8"/>
  <c r="I78" i="8"/>
  <c r="I195" i="8"/>
  <c r="I208" i="8"/>
  <c r="I125" i="8"/>
  <c r="I292" i="8"/>
  <c r="I213" i="8"/>
  <c r="I139" i="8"/>
  <c r="I198" i="8"/>
  <c r="I300" i="8"/>
  <c r="I46" i="8"/>
  <c r="I132" i="8"/>
  <c r="I186" i="8"/>
  <c r="I111" i="8"/>
  <c r="I44" i="8"/>
  <c r="I234" i="8"/>
  <c r="I49" i="8"/>
  <c r="I219" i="8"/>
  <c r="I306" i="8"/>
  <c r="I95" i="8"/>
  <c r="I266" i="8"/>
  <c r="I217" i="8"/>
  <c r="I165" i="8"/>
  <c r="I286" i="8"/>
  <c r="I108" i="8"/>
  <c r="I131" i="8"/>
  <c r="I264" i="8"/>
  <c r="I137" i="8"/>
  <c r="I109" i="8"/>
  <c r="I85" i="8"/>
  <c r="I252" i="8"/>
  <c r="I231" i="8"/>
  <c r="I312" i="8"/>
  <c r="I72" i="8"/>
  <c r="I56" i="8"/>
  <c r="I272" i="8"/>
  <c r="I30" i="8"/>
  <c r="I297" i="8"/>
  <c r="I92" i="8"/>
  <c r="I211" i="8"/>
  <c r="I209" i="8"/>
  <c r="I63" i="8"/>
  <c r="I154" i="8"/>
  <c r="I124" i="8"/>
  <c r="I283" i="8"/>
  <c r="P320" i="8"/>
  <c r="S318" i="8" s="1"/>
  <c r="J79" i="8"/>
  <c r="J245" i="8"/>
  <c r="J314" i="8"/>
  <c r="J318" i="8"/>
  <c r="J83" i="8"/>
  <c r="J74" i="8"/>
  <c r="J239" i="8"/>
  <c r="J73" i="8"/>
  <c r="J112" i="8"/>
  <c r="J315" i="8"/>
  <c r="J217" i="8"/>
  <c r="J155" i="8"/>
  <c r="J256" i="8"/>
  <c r="J69" i="8"/>
  <c r="J257" i="8"/>
  <c r="J27" i="8"/>
  <c r="J122" i="8"/>
  <c r="J145" i="8"/>
  <c r="J95" i="8"/>
  <c r="J226" i="8"/>
  <c r="J157" i="8"/>
  <c r="J103" i="8"/>
  <c r="J222" i="8"/>
  <c r="J161" i="8"/>
  <c r="J316" i="8"/>
  <c r="J66" i="8"/>
  <c r="J174" i="8"/>
  <c r="J146" i="8"/>
  <c r="J221" i="8"/>
  <c r="J310" i="8"/>
  <c r="J153" i="8"/>
  <c r="J49" i="8"/>
  <c r="J179" i="8"/>
  <c r="J231" i="8"/>
  <c r="J289" i="8"/>
  <c r="J298" i="8"/>
  <c r="J211" i="8"/>
  <c r="J187" i="8"/>
  <c r="J68" i="8"/>
  <c r="J244" i="8"/>
  <c r="J241" i="8"/>
  <c r="J32" i="8"/>
  <c r="J308" i="8"/>
  <c r="J193" i="8"/>
  <c r="J85" i="8"/>
  <c r="J258" i="8"/>
  <c r="J30" i="8"/>
  <c r="J162" i="8"/>
  <c r="J235" i="8"/>
  <c r="J86" i="8"/>
  <c r="J270" i="8"/>
  <c r="J197" i="8"/>
  <c r="J125" i="8"/>
  <c r="J159" i="8"/>
  <c r="J202" i="8"/>
  <c r="J129" i="8"/>
  <c r="J29" i="8"/>
  <c r="J313" i="8"/>
  <c r="J225" i="8"/>
  <c r="J214" i="8"/>
  <c r="J186" i="8"/>
  <c r="J169" i="8"/>
  <c r="J47" i="8"/>
  <c r="J31" i="8"/>
  <c r="J109" i="8"/>
  <c r="J44" i="8"/>
  <c r="J212" i="8"/>
  <c r="J143" i="8"/>
  <c r="J121" i="8"/>
  <c r="J116" i="8"/>
  <c r="J275" i="8"/>
  <c r="J115" i="8"/>
  <c r="J33" i="8"/>
  <c r="J163" i="8"/>
  <c r="J89" i="8"/>
  <c r="J240" i="8"/>
  <c r="J237" i="8"/>
  <c r="J158" i="8"/>
  <c r="J93" i="8"/>
  <c r="J117" i="8"/>
  <c r="J230" i="8"/>
  <c r="J299" i="8"/>
  <c r="J266" i="8"/>
  <c r="J60" i="8"/>
  <c r="J43" i="8"/>
  <c r="J171" i="8"/>
  <c r="J87" i="8"/>
  <c r="J156" i="8"/>
  <c r="J70" i="8"/>
  <c r="J62" i="8"/>
  <c r="J273" i="8"/>
  <c r="J54" i="8"/>
  <c r="J18" i="8"/>
  <c r="J136" i="8"/>
  <c r="J306" i="8"/>
  <c r="J130" i="8"/>
  <c r="J35" i="8"/>
  <c r="J190" i="8"/>
  <c r="J199" i="8"/>
  <c r="J39" i="8"/>
  <c r="J206" i="8"/>
  <c r="J268" i="8"/>
  <c r="J287" i="8"/>
  <c r="J260" i="8"/>
  <c r="J50" i="8"/>
  <c r="J123" i="8"/>
  <c r="J139" i="8"/>
  <c r="J111" i="8"/>
  <c r="J280" i="8"/>
  <c r="J104" i="8"/>
  <c r="J38" i="8"/>
  <c r="J285" i="8"/>
  <c r="J189" i="8"/>
  <c r="J229" i="8"/>
  <c r="J63" i="8"/>
  <c r="J304" i="8"/>
  <c r="J114" i="8"/>
  <c r="J295" i="8"/>
  <c r="J253" i="8"/>
  <c r="J78" i="8"/>
  <c r="J309" i="8"/>
  <c r="J215" i="8"/>
  <c r="J81" i="8"/>
  <c r="J119" i="8"/>
  <c r="J188" i="8"/>
  <c r="J274" i="8"/>
  <c r="J233" i="8"/>
  <c r="J263" i="8"/>
  <c r="J286" i="8"/>
  <c r="J219" i="8"/>
  <c r="J284" i="8"/>
  <c r="J45" i="8"/>
  <c r="J297" i="8"/>
  <c r="J19" i="8"/>
  <c r="J208" i="8"/>
  <c r="J110" i="8"/>
  <c r="J255" i="8"/>
  <c r="J248" i="8"/>
  <c r="J42" i="8"/>
  <c r="J192" i="8"/>
  <c r="J218" i="8"/>
  <c r="J251" i="8"/>
  <c r="J17" i="8"/>
  <c r="J100" i="8"/>
  <c r="J164" i="8"/>
  <c r="J296" i="8"/>
  <c r="J96" i="8"/>
  <c r="J135" i="8"/>
  <c r="J246" i="8"/>
  <c r="J267" i="8"/>
  <c r="J148" i="8"/>
  <c r="J144" i="8"/>
  <c r="J290" i="8"/>
  <c r="J195" i="8"/>
  <c r="J101" i="8"/>
  <c r="J133" i="8"/>
  <c r="J128" i="8"/>
  <c r="J160" i="8"/>
  <c r="J77" i="8"/>
  <c r="J227" i="8"/>
  <c r="J213" i="8"/>
  <c r="J204" i="8"/>
  <c r="J262" i="8"/>
  <c r="J184" i="8"/>
  <c r="J220" i="8"/>
  <c r="J282" i="8"/>
  <c r="J165" i="8"/>
  <c r="J228" i="8"/>
  <c r="J131" i="8"/>
  <c r="J82" i="8"/>
  <c r="J207" i="8"/>
  <c r="J300" i="8"/>
  <c r="J98" i="8"/>
  <c r="J173" i="8"/>
  <c r="J138" i="8"/>
  <c r="J210" i="8"/>
  <c r="J203" i="8"/>
  <c r="J37" i="8"/>
  <c r="J317" i="8"/>
  <c r="J305" i="8"/>
  <c r="J40" i="8"/>
  <c r="J118" i="8"/>
  <c r="J234" i="8"/>
  <c r="J196" i="8"/>
  <c r="J92" i="8"/>
  <c r="J22" i="8"/>
  <c r="J176" i="8"/>
  <c r="J76" i="8"/>
  <c r="J106" i="8"/>
  <c r="J90" i="8"/>
  <c r="J107" i="8"/>
  <c r="J52" i="8"/>
  <c r="J80" i="8"/>
  <c r="J56" i="8"/>
  <c r="J278" i="8"/>
  <c r="J180" i="8"/>
  <c r="J277" i="8"/>
  <c r="J265" i="8"/>
  <c r="J293" i="8"/>
  <c r="J105" i="8"/>
  <c r="J41" i="8"/>
  <c r="J108" i="8"/>
  <c r="J113" i="8"/>
  <c r="J303" i="8"/>
  <c r="J254" i="8"/>
  <c r="J99" i="8"/>
  <c r="J223" i="8"/>
  <c r="J271" i="8"/>
  <c r="J34" i="8"/>
  <c r="J312" i="8"/>
  <c r="J88" i="8"/>
  <c r="J137" i="8"/>
  <c r="J181" i="8"/>
  <c r="J182" i="8"/>
  <c r="J307" i="8"/>
  <c r="J57" i="8"/>
  <c r="J168" i="8"/>
  <c r="J149" i="8"/>
  <c r="J183" i="8"/>
  <c r="J72" i="8"/>
  <c r="J276" i="8"/>
  <c r="J311" i="8"/>
  <c r="J46" i="8"/>
  <c r="J23" i="8"/>
  <c r="J97" i="8"/>
  <c r="J65" i="8"/>
  <c r="J198" i="8"/>
  <c r="J36" i="8"/>
  <c r="J209" i="8"/>
  <c r="J28" i="8"/>
  <c r="J194" i="8"/>
  <c r="J21" i="8"/>
  <c r="J243" i="8"/>
  <c r="J126" i="8"/>
  <c r="J94" i="8"/>
  <c r="J166" i="8"/>
  <c r="J151" i="8"/>
  <c r="J269" i="8"/>
  <c r="J58" i="8"/>
  <c r="J147" i="8"/>
  <c r="J200" i="8"/>
  <c r="J150" i="8"/>
  <c r="J154" i="8"/>
  <c r="J51" i="8"/>
  <c r="J140" i="8"/>
  <c r="J134" i="8"/>
  <c r="J127" i="8"/>
  <c r="J132" i="8"/>
  <c r="J238" i="8"/>
  <c r="J232" i="8"/>
  <c r="J272" i="8"/>
  <c r="J102" i="8"/>
  <c r="J71" i="8"/>
  <c r="J281" i="8"/>
  <c r="J264" i="8"/>
  <c r="J178" i="8"/>
  <c r="J124" i="8"/>
  <c r="J236" i="8"/>
  <c r="J175" i="8"/>
  <c r="J26" i="8"/>
  <c r="J75" i="8"/>
  <c r="J242" i="8"/>
  <c r="J59" i="8"/>
  <c r="J291" i="8"/>
  <c r="J24" i="8"/>
  <c r="J120" i="8"/>
  <c r="J61" i="8"/>
  <c r="J91" i="8"/>
  <c r="J301" i="8"/>
  <c r="J170" i="8"/>
  <c r="J64" i="8"/>
  <c r="J224" i="8"/>
  <c r="J67" i="8"/>
  <c r="J288" i="8"/>
  <c r="J259" i="8"/>
  <c r="J141" i="8"/>
  <c r="J142" i="8"/>
  <c r="J252" i="8"/>
  <c r="J177" i="8"/>
  <c r="J261" i="8"/>
  <c r="J205" i="8"/>
  <c r="J250" i="8"/>
  <c r="J279" i="8"/>
  <c r="J302" i="8"/>
  <c r="J152" i="8"/>
  <c r="J48" i="8"/>
  <c r="J167" i="8"/>
  <c r="J201" i="8"/>
  <c r="J249" i="8"/>
  <c r="J172" i="8"/>
  <c r="J283" i="8"/>
  <c r="J55" i="8"/>
  <c r="J84" i="8"/>
  <c r="J20" i="8"/>
  <c r="J216" i="8"/>
  <c r="J53" i="8"/>
  <c r="J247" i="8"/>
  <c r="J294" i="8"/>
  <c r="J185" i="8"/>
  <c r="J292" i="8"/>
  <c r="J25" i="8"/>
  <c r="J191" i="8"/>
  <c r="S318" i="14"/>
  <c r="S310" i="14"/>
  <c r="S299" i="14"/>
  <c r="S291" i="14"/>
  <c r="S283" i="14"/>
  <c r="S275" i="14"/>
  <c r="S265" i="14"/>
  <c r="S316" i="14"/>
  <c r="S238" i="14"/>
  <c r="S230" i="14"/>
  <c r="S222" i="14"/>
  <c r="S214" i="14"/>
  <c r="S206" i="14"/>
  <c r="S198" i="14"/>
  <c r="S264" i="14"/>
  <c r="S253" i="14"/>
  <c r="S256" i="14"/>
  <c r="S246" i="14"/>
  <c r="S160" i="14"/>
  <c r="S152" i="14"/>
  <c r="S144" i="14"/>
  <c r="S136" i="14"/>
  <c r="S172" i="14"/>
  <c r="S125" i="14"/>
  <c r="S195" i="14"/>
  <c r="S110" i="14"/>
  <c r="S102" i="14"/>
  <c r="S276" i="14"/>
  <c r="S122" i="14"/>
  <c r="S92" i="14"/>
  <c r="S84" i="14"/>
  <c r="S76" i="14"/>
  <c r="S68" i="14"/>
  <c r="S55" i="14"/>
  <c r="S47" i="14"/>
  <c r="S63" i="14"/>
  <c r="S36" i="14"/>
  <c r="S28" i="14"/>
  <c r="S20" i="14"/>
  <c r="S99" i="14"/>
  <c r="S81" i="14"/>
  <c r="S44" i="14"/>
  <c r="S25" i="14"/>
  <c r="S284" i="14"/>
  <c r="S207" i="14"/>
  <c r="S161" i="14"/>
  <c r="S103" i="14"/>
  <c r="S69" i="14"/>
  <c r="S21" i="14"/>
  <c r="S306" i="14"/>
  <c r="S298" i="14"/>
  <c r="S290" i="14"/>
  <c r="S282" i="14"/>
  <c r="S273" i="14"/>
  <c r="S261" i="14"/>
  <c r="S267" i="14"/>
  <c r="S237" i="14"/>
  <c r="S229" i="14"/>
  <c r="S221" i="14"/>
  <c r="S213" i="14"/>
  <c r="S205" i="14"/>
  <c r="S197" i="14"/>
  <c r="S251" i="14"/>
  <c r="S252" i="14"/>
  <c r="S312" i="14"/>
  <c r="S191" i="14"/>
  <c r="S159" i="14"/>
  <c r="S151" i="14"/>
  <c r="S143" i="14"/>
  <c r="S135" i="14"/>
  <c r="S168" i="14"/>
  <c r="S124" i="14"/>
  <c r="S184" i="14"/>
  <c r="S109" i="14"/>
  <c r="S101" i="14"/>
  <c r="S182" i="14"/>
  <c r="S118" i="14"/>
  <c r="S91" i="14"/>
  <c r="S83" i="14"/>
  <c r="S75" i="14"/>
  <c r="S67" i="14"/>
  <c r="S54" i="14"/>
  <c r="S46" i="14"/>
  <c r="S62" i="14"/>
  <c r="S35" i="14"/>
  <c r="S27" i="14"/>
  <c r="S19" i="14"/>
  <c r="S115" i="14"/>
  <c r="S89" i="14"/>
  <c r="S52" i="14"/>
  <c r="S17" i="14"/>
  <c r="S307" i="14"/>
  <c r="S215" i="14"/>
  <c r="S193" i="14"/>
  <c r="S176" i="14"/>
  <c r="S93" i="14"/>
  <c r="S64" i="14"/>
  <c r="S305" i="14"/>
  <c r="S297" i="14"/>
  <c r="S289" i="14"/>
  <c r="S281" i="14"/>
  <c r="S271" i="14"/>
  <c r="S308" i="14"/>
  <c r="S266" i="14"/>
  <c r="S236" i="14"/>
  <c r="S228" i="14"/>
  <c r="S220" i="14"/>
  <c r="S212" i="14"/>
  <c r="S204" i="14"/>
  <c r="S196" i="14"/>
  <c r="S250" i="14"/>
  <c r="S259" i="14"/>
  <c r="S189" i="14"/>
  <c r="S166" i="14"/>
  <c r="S158" i="14"/>
  <c r="S150" i="14"/>
  <c r="S142" i="14"/>
  <c r="S134" i="14"/>
  <c r="S130" i="14"/>
  <c r="S123" i="14"/>
  <c r="S119" i="14"/>
  <c r="S108" i="14"/>
  <c r="S100" i="14"/>
  <c r="S171" i="14"/>
  <c r="S167" i="14"/>
  <c r="S90" i="14"/>
  <c r="S82" i="14"/>
  <c r="S74" i="14"/>
  <c r="S66" i="14"/>
  <c r="S53" i="14"/>
  <c r="S45" i="14"/>
  <c r="S61" i="14"/>
  <c r="S34" i="14"/>
  <c r="S26" i="14"/>
  <c r="S18" i="14"/>
  <c r="S178" i="14"/>
  <c r="S120" i="14"/>
  <c r="S65" i="14"/>
  <c r="S33" i="14"/>
  <c r="S269" i="14"/>
  <c r="S223" i="14"/>
  <c r="S272" i="14"/>
  <c r="S244" i="14"/>
  <c r="S48" i="14"/>
  <c r="S304" i="14"/>
  <c r="S296" i="14"/>
  <c r="S288" i="14"/>
  <c r="S280" i="14"/>
  <c r="S311" i="14"/>
  <c r="S243" i="14"/>
  <c r="S235" i="14"/>
  <c r="S227" i="14"/>
  <c r="S219" i="14"/>
  <c r="S211" i="14"/>
  <c r="S203" i="14"/>
  <c r="S263" i="14"/>
  <c r="S248" i="14"/>
  <c r="S255" i="14"/>
  <c r="S185" i="14"/>
  <c r="S165" i="14"/>
  <c r="S157" i="14"/>
  <c r="S149" i="14"/>
  <c r="S141" i="14"/>
  <c r="S133" i="14"/>
  <c r="S177" i="14"/>
  <c r="S107" i="14"/>
  <c r="S117" i="14"/>
  <c r="S73" i="14"/>
  <c r="S60" i="14"/>
  <c r="S247" i="14"/>
  <c r="S126" i="14"/>
  <c r="S85" i="14"/>
  <c r="S37" i="14"/>
  <c r="S303" i="14"/>
  <c r="S295" i="14"/>
  <c r="S287" i="14"/>
  <c r="S279" i="14"/>
  <c r="S315" i="14"/>
  <c r="S268" i="14"/>
  <c r="S242" i="14"/>
  <c r="S234" i="14"/>
  <c r="S226" i="14"/>
  <c r="S218" i="14"/>
  <c r="S210" i="14"/>
  <c r="S202" i="14"/>
  <c r="S262" i="14"/>
  <c r="S194" i="14"/>
  <c r="S192" i="14"/>
  <c r="S183" i="14"/>
  <c r="S164" i="14"/>
  <c r="S156" i="14"/>
  <c r="S148" i="14"/>
  <c r="S140" i="14"/>
  <c r="S132" i="14"/>
  <c r="S173" i="14"/>
  <c r="S174" i="14"/>
  <c r="S114" i="14"/>
  <c r="S106" i="14"/>
  <c r="S98" i="14"/>
  <c r="S116" i="14"/>
  <c r="S121" i="14"/>
  <c r="S88" i="14"/>
  <c r="S80" i="14"/>
  <c r="S72" i="14"/>
  <c r="S59" i="14"/>
  <c r="S51" i="14"/>
  <c r="S43" i="14"/>
  <c r="S40" i="14"/>
  <c r="S32" i="14"/>
  <c r="S24" i="14"/>
  <c r="S30" i="14"/>
  <c r="S314" i="14"/>
  <c r="S258" i="14"/>
  <c r="S145" i="14"/>
  <c r="S179" i="14"/>
  <c r="S302" i="14"/>
  <c r="S294" i="14"/>
  <c r="S286" i="14"/>
  <c r="S278" i="14"/>
  <c r="S309" i="14"/>
  <c r="S257" i="14"/>
  <c r="S241" i="14"/>
  <c r="S233" i="14"/>
  <c r="S225" i="14"/>
  <c r="S217" i="14"/>
  <c r="S209" i="14"/>
  <c r="S201" i="14"/>
  <c r="S249" i="14"/>
  <c r="S190" i="14"/>
  <c r="S188" i="14"/>
  <c r="S181" i="14"/>
  <c r="S163" i="14"/>
  <c r="S155" i="14"/>
  <c r="S147" i="14"/>
  <c r="S139" i="14"/>
  <c r="S187" i="14"/>
  <c r="S169" i="14"/>
  <c r="S170" i="14"/>
  <c r="S113" i="14"/>
  <c r="S105" i="14"/>
  <c r="S97" i="14"/>
  <c r="S175" i="14"/>
  <c r="S127" i="14"/>
  <c r="S87" i="14"/>
  <c r="S79" i="14"/>
  <c r="S71" i="14"/>
  <c r="S58" i="14"/>
  <c r="S50" i="14"/>
  <c r="S42" i="14"/>
  <c r="S39" i="14"/>
  <c r="S31" i="14"/>
  <c r="S23" i="14"/>
  <c r="S41" i="14"/>
  <c r="S22" i="14"/>
  <c r="S300" i="14"/>
  <c r="S231" i="14"/>
  <c r="S270" i="14"/>
  <c r="S137" i="14"/>
  <c r="S95" i="14"/>
  <c r="S56" i="14"/>
  <c r="S29" i="14"/>
  <c r="S301" i="14"/>
  <c r="S293" i="14"/>
  <c r="S285" i="14"/>
  <c r="S277" i="14"/>
  <c r="S313" i="14"/>
  <c r="S254" i="14"/>
  <c r="S240" i="14"/>
  <c r="S232" i="14"/>
  <c r="S224" i="14"/>
  <c r="S216" i="14"/>
  <c r="S208" i="14"/>
  <c r="S200" i="14"/>
  <c r="S245" i="14"/>
  <c r="S186" i="14"/>
  <c r="S274" i="14"/>
  <c r="S260" i="14"/>
  <c r="S162" i="14"/>
  <c r="S154" i="14"/>
  <c r="S146" i="14"/>
  <c r="S138" i="14"/>
  <c r="S180" i="14"/>
  <c r="S129" i="14"/>
  <c r="S128" i="14"/>
  <c r="S112" i="14"/>
  <c r="S104" i="14"/>
  <c r="S96" i="14"/>
  <c r="S131" i="14"/>
  <c r="S94" i="14"/>
  <c r="S86" i="14"/>
  <c r="S78" i="14"/>
  <c r="S70" i="14"/>
  <c r="S57" i="14"/>
  <c r="S49" i="14"/>
  <c r="S38" i="14"/>
  <c r="S292" i="14"/>
  <c r="S239" i="14"/>
  <c r="S199" i="14"/>
  <c r="S153" i="14"/>
  <c r="S111" i="14"/>
  <c r="S77" i="14"/>
  <c r="P314" i="38" l="1"/>
  <c r="P316" i="38" s="1"/>
  <c r="P318" i="38" s="1"/>
  <c r="Q314" i="38"/>
  <c r="Q316" i="38" s="1"/>
  <c r="M314" i="38"/>
  <c r="M316" i="38" s="1"/>
  <c r="AK313" i="20"/>
  <c r="AI313" i="20"/>
  <c r="AG313" i="20"/>
  <c r="U313" i="20"/>
  <c r="Y313" i="20"/>
  <c r="W313" i="20"/>
  <c r="Y314" i="20"/>
  <c r="U314" i="20"/>
  <c r="U7" i="20" s="1"/>
  <c r="N19" i="12" s="1"/>
  <c r="S12" i="12" s="1"/>
  <c r="W314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30" i="20"/>
  <c r="I29" i="20"/>
  <c r="I31" i="20"/>
  <c r="I33" i="20"/>
  <c r="I32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I252" i="20"/>
  <c r="I253" i="20"/>
  <c r="I254" i="20"/>
  <c r="I255" i="20"/>
  <c r="I256" i="20"/>
  <c r="I257" i="20"/>
  <c r="I258" i="20"/>
  <c r="I259" i="20"/>
  <c r="I260" i="20"/>
  <c r="I261" i="20"/>
  <c r="I262" i="20"/>
  <c r="I263" i="20"/>
  <c r="I264" i="20"/>
  <c r="I265" i="20"/>
  <c r="I266" i="20"/>
  <c r="I267" i="20"/>
  <c r="I268" i="20"/>
  <c r="I269" i="20"/>
  <c r="I270" i="20"/>
  <c r="I271" i="20"/>
  <c r="I272" i="20"/>
  <c r="I273" i="20"/>
  <c r="I274" i="20"/>
  <c r="I275" i="20"/>
  <c r="I276" i="20"/>
  <c r="I277" i="20"/>
  <c r="I278" i="20"/>
  <c r="I279" i="20"/>
  <c r="I280" i="20"/>
  <c r="I281" i="20"/>
  <c r="I282" i="20"/>
  <c r="I283" i="20"/>
  <c r="I284" i="20"/>
  <c r="I285" i="20"/>
  <c r="I286" i="20"/>
  <c r="I287" i="20"/>
  <c r="I288" i="20"/>
  <c r="I289" i="20"/>
  <c r="I290" i="20"/>
  <c r="I291" i="20"/>
  <c r="I292" i="20"/>
  <c r="I293" i="20"/>
  <c r="I294" i="20"/>
  <c r="I295" i="20"/>
  <c r="I296" i="20"/>
  <c r="I297" i="20"/>
  <c r="I298" i="20"/>
  <c r="I299" i="20"/>
  <c r="I300" i="20"/>
  <c r="I301" i="20"/>
  <c r="I302" i="20"/>
  <c r="I303" i="20"/>
  <c r="I304" i="20"/>
  <c r="I305" i="20"/>
  <c r="I306" i="20"/>
  <c r="I307" i="20"/>
  <c r="I308" i="20"/>
  <c r="I309" i="20"/>
  <c r="I310" i="20"/>
  <c r="I311" i="20"/>
  <c r="I312" i="20"/>
  <c r="I313" i="20"/>
  <c r="M313" i="20"/>
  <c r="F317" i="20"/>
  <c r="F319" i="20" s="1"/>
  <c r="K314" i="20"/>
  <c r="K197" i="15"/>
  <c r="K91" i="15"/>
  <c r="K292" i="15"/>
  <c r="K162" i="15"/>
  <c r="K21" i="15"/>
  <c r="K242" i="15"/>
  <c r="K48" i="15"/>
  <c r="K209" i="15"/>
  <c r="K47" i="15"/>
  <c r="K289" i="15"/>
  <c r="K156" i="15"/>
  <c r="K17" i="15"/>
  <c r="K200" i="15"/>
  <c r="K113" i="15"/>
  <c r="K262" i="15"/>
  <c r="K143" i="15"/>
  <c r="K245" i="15"/>
  <c r="K83" i="15"/>
  <c r="K266" i="15"/>
  <c r="K287" i="15"/>
  <c r="K136" i="15"/>
  <c r="K18" i="15"/>
  <c r="K317" i="15"/>
  <c r="K189" i="15"/>
  <c r="K97" i="15"/>
  <c r="K284" i="15"/>
  <c r="K146" i="15"/>
  <c r="K107" i="15"/>
  <c r="K234" i="15"/>
  <c r="K116" i="15"/>
  <c r="K202" i="15"/>
  <c r="K127" i="15"/>
  <c r="K281" i="15"/>
  <c r="K140" i="15"/>
  <c r="K101" i="15"/>
  <c r="K192" i="15"/>
  <c r="K103" i="15"/>
  <c r="K254" i="15"/>
  <c r="K118" i="15"/>
  <c r="K237" i="15"/>
  <c r="K75" i="15"/>
  <c r="K71" i="15"/>
  <c r="K167" i="15"/>
  <c r="K168" i="15"/>
  <c r="K309" i="15"/>
  <c r="K181" i="15"/>
  <c r="K38" i="15"/>
  <c r="K275" i="15"/>
  <c r="K123" i="15"/>
  <c r="K80" i="15"/>
  <c r="K226" i="15"/>
  <c r="K119" i="15"/>
  <c r="K194" i="15"/>
  <c r="K126" i="15"/>
  <c r="K272" i="15"/>
  <c r="K163" i="15"/>
  <c r="K312" i="15"/>
  <c r="K184" i="15"/>
  <c r="K132" i="15"/>
  <c r="K246" i="15"/>
  <c r="K87" i="15"/>
  <c r="K229" i="15"/>
  <c r="K67" i="15"/>
  <c r="K58" i="15"/>
  <c r="K313" i="15"/>
  <c r="K152" i="15"/>
  <c r="K34" i="15"/>
  <c r="K301" i="15"/>
  <c r="K169" i="15"/>
  <c r="K30" i="15"/>
  <c r="K267" i="15"/>
  <c r="K153" i="15"/>
  <c r="K64" i="15"/>
  <c r="K218" i="15"/>
  <c r="K314" i="15"/>
  <c r="K186" i="15"/>
  <c r="K40" i="15"/>
  <c r="K264" i="15"/>
  <c r="K147" i="15"/>
  <c r="K304" i="15"/>
  <c r="K176" i="15"/>
  <c r="K33" i="15"/>
  <c r="K238" i="15"/>
  <c r="K68" i="15"/>
  <c r="K221" i="15"/>
  <c r="K59" i="15"/>
  <c r="K112" i="15"/>
  <c r="K114" i="15"/>
  <c r="K293" i="15"/>
  <c r="K164" i="15"/>
  <c r="K22" i="15"/>
  <c r="K259" i="15"/>
  <c r="K137" i="15"/>
  <c r="K108" i="15"/>
  <c r="K210" i="15"/>
  <c r="K306" i="15"/>
  <c r="K178" i="15"/>
  <c r="K35" i="15"/>
  <c r="K256" i="15"/>
  <c r="K122" i="15"/>
  <c r="K296" i="15"/>
  <c r="K166" i="15"/>
  <c r="K25" i="15"/>
  <c r="K230" i="15"/>
  <c r="K60" i="15"/>
  <c r="K213" i="15"/>
  <c r="K51" i="15"/>
  <c r="K151" i="15"/>
  <c r="K157" i="15"/>
  <c r="K308" i="15"/>
  <c r="K217" i="15"/>
  <c r="K253" i="15"/>
  <c r="K285" i="15"/>
  <c r="K148" i="15"/>
  <c r="K111" i="15"/>
  <c r="K251" i="15"/>
  <c r="K106" i="15"/>
  <c r="K20" i="15"/>
  <c r="K203" i="15"/>
  <c r="K298" i="15"/>
  <c r="K174" i="15"/>
  <c r="K27" i="15"/>
  <c r="K248" i="15"/>
  <c r="K128" i="15"/>
  <c r="K288" i="15"/>
  <c r="K154" i="15"/>
  <c r="K131" i="15"/>
  <c r="K222" i="15"/>
  <c r="K44" i="15"/>
  <c r="K206" i="15"/>
  <c r="K43" i="15"/>
  <c r="K188" i="15"/>
  <c r="K223" i="15"/>
  <c r="K84" i="15"/>
  <c r="K37" i="15"/>
  <c r="K100" i="15"/>
  <c r="K205" i="15"/>
  <c r="K250" i="15"/>
  <c r="K207" i="15"/>
  <c r="K276" i="15"/>
  <c r="K125" i="15"/>
  <c r="K39" i="15"/>
  <c r="K243" i="15"/>
  <c r="K81" i="15"/>
  <c r="K24" i="15"/>
  <c r="K195" i="15"/>
  <c r="K290" i="15"/>
  <c r="K158" i="15"/>
  <c r="K19" i="15"/>
  <c r="K240" i="15"/>
  <c r="K78" i="15"/>
  <c r="K280" i="15"/>
  <c r="K138" i="15"/>
  <c r="K98" i="15"/>
  <c r="K214" i="15"/>
  <c r="K89" i="15"/>
  <c r="K198" i="15"/>
  <c r="K95" i="15"/>
  <c r="K268" i="15"/>
  <c r="K155" i="15"/>
  <c r="K86" i="15"/>
  <c r="K235" i="15"/>
  <c r="K73" i="15"/>
  <c r="K315" i="15"/>
  <c r="K187" i="15"/>
  <c r="K282" i="15"/>
  <c r="K142" i="15"/>
  <c r="K104" i="15"/>
  <c r="K232" i="15"/>
  <c r="K70" i="15"/>
  <c r="K271" i="15"/>
  <c r="K161" i="15"/>
  <c r="K76" i="15"/>
  <c r="K277" i="15"/>
  <c r="K318" i="15"/>
  <c r="K190" i="15"/>
  <c r="K99" i="15"/>
  <c r="K233" i="15"/>
  <c r="K177" i="15"/>
  <c r="K300" i="15"/>
  <c r="K270" i="15"/>
  <c r="K260" i="15"/>
  <c r="K139" i="15"/>
  <c r="K92" i="15"/>
  <c r="K227" i="15"/>
  <c r="K65" i="15"/>
  <c r="K307" i="15"/>
  <c r="K179" i="15"/>
  <c r="K273" i="15"/>
  <c r="K171" i="15"/>
  <c r="K94" i="15"/>
  <c r="K224" i="15"/>
  <c r="K62" i="15"/>
  <c r="K263" i="15"/>
  <c r="K145" i="15"/>
  <c r="K52" i="15"/>
  <c r="K199" i="15"/>
  <c r="K310" i="15"/>
  <c r="K182" i="15"/>
  <c r="K85" i="15"/>
  <c r="K252" i="15"/>
  <c r="K110" i="15"/>
  <c r="K56" i="15"/>
  <c r="K219" i="15"/>
  <c r="K57" i="15"/>
  <c r="K299" i="15"/>
  <c r="K165" i="15"/>
  <c r="K265" i="15"/>
  <c r="K149" i="15"/>
  <c r="K26" i="15"/>
  <c r="K216" i="15"/>
  <c r="K54" i="15"/>
  <c r="K255" i="15"/>
  <c r="K129" i="15"/>
  <c r="K109" i="15"/>
  <c r="K191" i="15"/>
  <c r="K302" i="15"/>
  <c r="K173" i="15"/>
  <c r="K31" i="15"/>
  <c r="K212" i="15"/>
  <c r="K53" i="15"/>
  <c r="K244" i="15"/>
  <c r="K82" i="15"/>
  <c r="K36" i="15"/>
  <c r="K211" i="15"/>
  <c r="K49" i="15"/>
  <c r="K291" i="15"/>
  <c r="K160" i="15"/>
  <c r="K257" i="15"/>
  <c r="K124" i="15"/>
  <c r="K90" i="15"/>
  <c r="K208" i="15"/>
  <c r="K46" i="15"/>
  <c r="K247" i="15"/>
  <c r="K96" i="15"/>
  <c r="K311" i="15"/>
  <c r="K183" i="15"/>
  <c r="K294" i="15"/>
  <c r="K170" i="15"/>
  <c r="K23" i="15"/>
  <c r="K50" i="15"/>
  <c r="K258" i="15"/>
  <c r="K225" i="15"/>
  <c r="K305" i="15"/>
  <c r="K279" i="15"/>
  <c r="K72" i="15"/>
  <c r="K45" i="15"/>
  <c r="K236" i="15"/>
  <c r="K74" i="15"/>
  <c r="K28" i="15"/>
  <c r="K204" i="15"/>
  <c r="K120" i="15"/>
  <c r="K283" i="15"/>
  <c r="K144" i="15"/>
  <c r="K249" i="15"/>
  <c r="K133" i="15"/>
  <c r="K32" i="15"/>
  <c r="K201" i="15"/>
  <c r="K117" i="15"/>
  <c r="K239" i="15"/>
  <c r="K77" i="15"/>
  <c r="K303" i="15"/>
  <c r="K175" i="15"/>
  <c r="K286" i="15"/>
  <c r="K150" i="15"/>
  <c r="K115" i="15"/>
  <c r="K316" i="15"/>
  <c r="K185" i="15"/>
  <c r="K269" i="15"/>
  <c r="K261" i="15"/>
  <c r="K42" i="15"/>
  <c r="K55" i="15"/>
  <c r="K228" i="15"/>
  <c r="K66" i="15"/>
  <c r="K93" i="15"/>
  <c r="K196" i="15"/>
  <c r="K41" i="15"/>
  <c r="K274" i="15"/>
  <c r="K121" i="15"/>
  <c r="K241" i="15"/>
  <c r="K79" i="15"/>
  <c r="K130" i="15"/>
  <c r="K193" i="15"/>
  <c r="K105" i="15"/>
  <c r="K231" i="15"/>
  <c r="K69" i="15"/>
  <c r="K295" i="15"/>
  <c r="K172" i="15"/>
  <c r="K278" i="15"/>
  <c r="K134" i="15"/>
  <c r="K102" i="15"/>
  <c r="K220" i="15"/>
  <c r="K88" i="15"/>
  <c r="K61" i="15"/>
  <c r="K180" i="15"/>
  <c r="K135" i="15"/>
  <c r="K63" i="15"/>
  <c r="K215" i="15"/>
  <c r="K141" i="15"/>
  <c r="K29" i="15"/>
  <c r="K297" i="15"/>
  <c r="K159" i="15"/>
  <c r="J319" i="20"/>
  <c r="K319" i="38" s="1"/>
  <c r="K316" i="14"/>
  <c r="K286" i="14"/>
  <c r="K193" i="14"/>
  <c r="K231" i="14"/>
  <c r="K215" i="14"/>
  <c r="K34" i="14"/>
  <c r="K279" i="14"/>
  <c r="K170" i="14"/>
  <c r="K154" i="14"/>
  <c r="K92" i="14"/>
  <c r="K52" i="14"/>
  <c r="K305" i="14"/>
  <c r="K264" i="14"/>
  <c r="K125" i="14"/>
  <c r="K67" i="14"/>
  <c r="K276" i="14"/>
  <c r="K184" i="14"/>
  <c r="K312" i="14"/>
  <c r="K235" i="14"/>
  <c r="K216" i="14"/>
  <c r="K127" i="14"/>
  <c r="K38" i="14"/>
  <c r="K299" i="14"/>
  <c r="K174" i="14"/>
  <c r="K158" i="14"/>
  <c r="K104" i="14"/>
  <c r="K56" i="14"/>
  <c r="K245" i="14"/>
  <c r="K217" i="14"/>
  <c r="K140" i="14"/>
  <c r="K78" i="14"/>
  <c r="K21" i="14"/>
  <c r="K24" i="14"/>
  <c r="K71" i="14"/>
  <c r="K66" i="14"/>
  <c r="K63" i="14"/>
  <c r="K98" i="14"/>
  <c r="K101" i="14"/>
  <c r="K39" i="14"/>
  <c r="K261" i="14"/>
  <c r="K179" i="14"/>
  <c r="K163" i="14"/>
  <c r="K109" i="14"/>
  <c r="K106" i="14"/>
  <c r="K251" i="14"/>
  <c r="K237" i="14"/>
  <c r="K146" i="14"/>
  <c r="K84" i="14"/>
  <c r="K44" i="14"/>
  <c r="K263" i="14"/>
  <c r="K203" i="14"/>
  <c r="K117" i="14"/>
  <c r="K99" i="14"/>
  <c r="K304" i="14"/>
  <c r="K176" i="14"/>
  <c r="K274" i="14"/>
  <c r="K183" i="14"/>
  <c r="K227" i="14"/>
  <c r="K113" i="14"/>
  <c r="K30" i="14"/>
  <c r="K258" i="14"/>
  <c r="K308" i="14"/>
  <c r="K150" i="14"/>
  <c r="K88" i="14"/>
  <c r="K48" i="14"/>
  <c r="K298" i="14"/>
  <c r="K202" i="14"/>
  <c r="K132" i="14"/>
  <c r="K70" i="14"/>
  <c r="K269" i="14"/>
  <c r="K79" i="14"/>
  <c r="K28" i="14"/>
  <c r="K58" i="14"/>
  <c r="K55" i="14"/>
  <c r="K50" i="14"/>
  <c r="K47" i="14"/>
  <c r="K42" i="14"/>
  <c r="K283" i="14"/>
  <c r="K171" i="14"/>
  <c r="K155" i="14"/>
  <c r="K93" i="14"/>
  <c r="K53" i="14"/>
  <c r="K311" i="14"/>
  <c r="K209" i="14"/>
  <c r="K138" i="14"/>
  <c r="K76" i="14"/>
  <c r="K23" i="14"/>
  <c r="K243" i="14"/>
  <c r="K224" i="14"/>
  <c r="K205" i="14"/>
  <c r="K40" i="14"/>
  <c r="K266" i="14"/>
  <c r="K168" i="14"/>
  <c r="K307" i="14"/>
  <c r="K175" i="14"/>
  <c r="K159" i="14"/>
  <c r="K129" i="14"/>
  <c r="K57" i="14"/>
  <c r="K247" i="14"/>
  <c r="K225" i="14"/>
  <c r="K142" i="14"/>
  <c r="K80" i="14"/>
  <c r="K25" i="14"/>
  <c r="K315" i="14"/>
  <c r="K214" i="14"/>
  <c r="K120" i="14"/>
  <c r="K62" i="14"/>
  <c r="K181" i="14"/>
  <c r="K26" i="14"/>
  <c r="K141" i="14"/>
  <c r="K293" i="14"/>
  <c r="K36" i="14"/>
  <c r="K277" i="14"/>
  <c r="K208" i="14"/>
  <c r="K130" i="14"/>
  <c r="K191" i="14"/>
  <c r="K252" i="14"/>
  <c r="K241" i="14"/>
  <c r="K147" i="14"/>
  <c r="K85" i="14"/>
  <c r="K45" i="14"/>
  <c r="K310" i="14"/>
  <c r="K192" i="14"/>
  <c r="K126" i="14"/>
  <c r="K68" i="14"/>
  <c r="K309" i="14"/>
  <c r="K185" i="14"/>
  <c r="K190" i="14"/>
  <c r="K115" i="14"/>
  <c r="K32" i="14"/>
  <c r="K249" i="14"/>
  <c r="K233" i="14"/>
  <c r="K262" i="14"/>
  <c r="K167" i="14"/>
  <c r="K151" i="14"/>
  <c r="K89" i="14"/>
  <c r="K49" i="14"/>
  <c r="K292" i="14"/>
  <c r="K280" i="14"/>
  <c r="K134" i="14"/>
  <c r="K72" i="14"/>
  <c r="K17" i="14"/>
  <c r="K187" i="14"/>
  <c r="K275" i="14"/>
  <c r="K197" i="14"/>
  <c r="K96" i="14"/>
  <c r="K234" i="14"/>
  <c r="K291" i="14"/>
  <c r="K254" i="14"/>
  <c r="K246" i="14"/>
  <c r="K306" i="14"/>
  <c r="K314" i="14"/>
  <c r="K244" i="14"/>
  <c r="K213" i="14"/>
  <c r="K139" i="14"/>
  <c r="K77" i="14"/>
  <c r="K19" i="14"/>
  <c r="K284" i="14"/>
  <c r="K204" i="14"/>
  <c r="K118" i="14"/>
  <c r="K100" i="14"/>
  <c r="K278" i="14"/>
  <c r="K177" i="14"/>
  <c r="K161" i="14"/>
  <c r="K107" i="14"/>
  <c r="K59" i="14"/>
  <c r="K294" i="14"/>
  <c r="K199" i="14"/>
  <c r="K248" i="14"/>
  <c r="K229" i="14"/>
  <c r="K143" i="14"/>
  <c r="K81" i="14"/>
  <c r="K22" i="14"/>
  <c r="K255" i="14"/>
  <c r="K222" i="14"/>
  <c r="K122" i="14"/>
  <c r="K64" i="14"/>
  <c r="K290" i="14"/>
  <c r="K268" i="14"/>
  <c r="K196" i="14"/>
  <c r="K207" i="14"/>
  <c r="K35" i="14"/>
  <c r="K136" i="14"/>
  <c r="K173" i="14"/>
  <c r="K285" i="14"/>
  <c r="K221" i="14"/>
  <c r="K236" i="14"/>
  <c r="K218" i="14"/>
  <c r="K296" i="14"/>
  <c r="K220" i="14"/>
  <c r="K166" i="14"/>
  <c r="K281" i="14"/>
  <c r="K90" i="14"/>
  <c r="K271" i="14"/>
  <c r="K201" i="14"/>
  <c r="K128" i="14"/>
  <c r="K69" i="14"/>
  <c r="K313" i="14"/>
  <c r="K267" i="14"/>
  <c r="K228" i="14"/>
  <c r="K219" i="14"/>
  <c r="K41" i="14"/>
  <c r="K270" i="14"/>
  <c r="K169" i="14"/>
  <c r="K153" i="14"/>
  <c r="K91" i="14"/>
  <c r="K51" i="14"/>
  <c r="K260" i="14"/>
  <c r="K230" i="14"/>
  <c r="K300" i="14"/>
  <c r="K194" i="14"/>
  <c r="K135" i="14"/>
  <c r="K73" i="14"/>
  <c r="K18" i="14"/>
  <c r="K195" i="14"/>
  <c r="K188" i="14"/>
  <c r="K238" i="14"/>
  <c r="K105" i="14"/>
  <c r="K265" i="14"/>
  <c r="K180" i="14"/>
  <c r="K164" i="14"/>
  <c r="K110" i="14"/>
  <c r="K27" i="14"/>
  <c r="K114" i="14"/>
  <c r="K165" i="14"/>
  <c r="K160" i="14"/>
  <c r="K157" i="14"/>
  <c r="K152" i="14"/>
  <c r="K149" i="14"/>
  <c r="K144" i="14"/>
  <c r="K232" i="14"/>
  <c r="K162" i="14"/>
  <c r="K60" i="14"/>
  <c r="K200" i="14"/>
  <c r="K20" i="14"/>
  <c r="K239" i="14"/>
  <c r="K242" i="14"/>
  <c r="K112" i="14"/>
  <c r="K148" i="14"/>
  <c r="K31" i="14"/>
  <c r="K103" i="14"/>
  <c r="K82" i="14"/>
  <c r="K318" i="14"/>
  <c r="K288" i="14"/>
  <c r="K210" i="14"/>
  <c r="K119" i="14"/>
  <c r="K61" i="14"/>
  <c r="K282" i="14"/>
  <c r="K189" i="14"/>
  <c r="K206" i="14"/>
  <c r="K198" i="14"/>
  <c r="K33" i="14"/>
  <c r="K250" i="14"/>
  <c r="K273" i="14"/>
  <c r="K145" i="14"/>
  <c r="K83" i="14"/>
  <c r="K43" i="14"/>
  <c r="K297" i="14"/>
  <c r="K186" i="14"/>
  <c r="K259" i="14"/>
  <c r="K226" i="14"/>
  <c r="K123" i="14"/>
  <c r="K65" i="14"/>
  <c r="K301" i="14"/>
  <c r="K295" i="14"/>
  <c r="K212" i="14"/>
  <c r="K211" i="14"/>
  <c r="K37" i="14"/>
  <c r="K287" i="14"/>
  <c r="K172" i="14"/>
  <c r="K156" i="14"/>
  <c r="K94" i="14"/>
  <c r="K54" i="14"/>
  <c r="K74" i="14"/>
  <c r="K133" i="14"/>
  <c r="K124" i="14"/>
  <c r="K121" i="14"/>
  <c r="K116" i="14"/>
  <c r="K223" i="14"/>
  <c r="K131" i="14"/>
  <c r="K303" i="14"/>
  <c r="K257" i="14"/>
  <c r="K302" i="14"/>
  <c r="K240" i="14"/>
  <c r="K272" i="14"/>
  <c r="K29" i="14"/>
  <c r="K86" i="14"/>
  <c r="K46" i="14"/>
  <c r="K111" i="14"/>
  <c r="K87" i="14"/>
  <c r="K317" i="14"/>
  <c r="K289" i="14"/>
  <c r="K102" i="14"/>
  <c r="K178" i="14"/>
  <c r="K108" i="14"/>
  <c r="K137" i="14"/>
  <c r="K75" i="14"/>
  <c r="K256" i="14"/>
  <c r="K97" i="14"/>
  <c r="K182" i="14"/>
  <c r="K253" i="14"/>
  <c r="K95" i="14"/>
  <c r="H320" i="8"/>
  <c r="S18" i="8"/>
  <c r="S17" i="8"/>
  <c r="S19" i="8"/>
  <c r="S20" i="8"/>
  <c r="S21" i="8"/>
  <c r="S22" i="8"/>
  <c r="S23" i="8"/>
  <c r="S24" i="8"/>
  <c r="S26" i="8"/>
  <c r="S25" i="8"/>
  <c r="S27" i="8"/>
  <c r="S28" i="8"/>
  <c r="S29" i="8"/>
  <c r="S30" i="8"/>
  <c r="S32" i="8"/>
  <c r="S31" i="8"/>
  <c r="S33" i="8"/>
  <c r="S34" i="8"/>
  <c r="S35" i="8"/>
  <c r="S36" i="8"/>
  <c r="S37" i="8"/>
  <c r="S38" i="8"/>
  <c r="S39" i="8"/>
  <c r="S40" i="8"/>
  <c r="S41" i="8"/>
  <c r="S42" i="8"/>
  <c r="S43" i="8"/>
  <c r="S45" i="8"/>
  <c r="S44" i="8"/>
  <c r="S46" i="8"/>
  <c r="S48" i="8"/>
  <c r="S47" i="8"/>
  <c r="S49" i="8"/>
  <c r="S50" i="8"/>
  <c r="S52" i="8"/>
  <c r="S51" i="8"/>
  <c r="S53" i="8"/>
  <c r="S55" i="8"/>
  <c r="S54" i="8"/>
  <c r="S56" i="8"/>
  <c r="S57" i="8"/>
  <c r="S58" i="8"/>
  <c r="S59" i="8"/>
  <c r="S60" i="8"/>
  <c r="S61" i="8"/>
  <c r="S62" i="8"/>
  <c r="S63" i="8"/>
  <c r="S64" i="8"/>
  <c r="S66" i="8"/>
  <c r="S65" i="8"/>
  <c r="S67" i="8"/>
  <c r="S68" i="8"/>
  <c r="S69" i="8"/>
  <c r="S70" i="8"/>
  <c r="S71" i="8"/>
  <c r="S72" i="8"/>
  <c r="S73" i="8"/>
  <c r="S74" i="8"/>
  <c r="S75" i="8"/>
  <c r="S76" i="8"/>
  <c r="S77" i="8"/>
  <c r="S78" i="8"/>
  <c r="S80" i="8"/>
  <c r="S79" i="8"/>
  <c r="S81" i="8"/>
  <c r="S83" i="8"/>
  <c r="S82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100" i="8"/>
  <c r="S99" i="8"/>
  <c r="S101" i="8"/>
  <c r="S102" i="8"/>
  <c r="S104" i="8"/>
  <c r="S103" i="8"/>
  <c r="S105" i="8"/>
  <c r="S106" i="8"/>
  <c r="S108" i="8"/>
  <c r="S107" i="8"/>
  <c r="S109" i="8"/>
  <c r="S110" i="8"/>
  <c r="S111" i="8"/>
  <c r="S112" i="8"/>
  <c r="S113" i="8"/>
  <c r="S114" i="8"/>
  <c r="S116" i="8"/>
  <c r="S115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8" i="8"/>
  <c r="S137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1" i="8"/>
  <c r="S160" i="8"/>
  <c r="S162" i="8"/>
  <c r="S164" i="8"/>
  <c r="S163" i="8"/>
  <c r="S165" i="8"/>
  <c r="S166" i="8"/>
  <c r="S167" i="8"/>
  <c r="S168" i="8"/>
  <c r="S169" i="8"/>
  <c r="S170" i="8"/>
  <c r="S171" i="8"/>
  <c r="S172" i="8"/>
  <c r="S174" i="8"/>
  <c r="S173" i="8"/>
  <c r="S175" i="8"/>
  <c r="S176" i="8"/>
  <c r="S177" i="8"/>
  <c r="S178" i="8"/>
  <c r="S180" i="8"/>
  <c r="S179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200" i="8"/>
  <c r="S199" i="8"/>
  <c r="S201" i="8"/>
  <c r="S203" i="8"/>
  <c r="S202" i="8"/>
  <c r="S204" i="8"/>
  <c r="S206" i="8"/>
  <c r="S205" i="8"/>
  <c r="S207" i="8"/>
  <c r="S208" i="8"/>
  <c r="S209" i="8"/>
  <c r="S211" i="8"/>
  <c r="S210" i="8"/>
  <c r="S212" i="8"/>
  <c r="S213" i="8"/>
  <c r="S214" i="8"/>
  <c r="S216" i="8"/>
  <c r="S215" i="8"/>
  <c r="S218" i="8"/>
  <c r="S217" i="8"/>
  <c r="S219" i="8"/>
  <c r="S220" i="8"/>
  <c r="S221" i="8"/>
  <c r="S222" i="8"/>
  <c r="S223" i="8"/>
  <c r="S225" i="8"/>
  <c r="S224" i="8"/>
  <c r="S226" i="8"/>
  <c r="S227" i="8"/>
  <c r="S228" i="8"/>
  <c r="S229" i="8"/>
  <c r="S230" i="8"/>
  <c r="S231" i="8"/>
  <c r="S232" i="8"/>
  <c r="S233" i="8"/>
  <c r="S234" i="8"/>
  <c r="S236" i="8"/>
  <c r="S235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2" i="8"/>
  <c r="S251" i="8"/>
  <c r="S254" i="8"/>
  <c r="S253" i="8"/>
  <c r="S255" i="8"/>
  <c r="S256" i="8"/>
  <c r="S257" i="8"/>
  <c r="S258" i="8"/>
  <c r="S259" i="8"/>
  <c r="S260" i="8"/>
  <c r="S262" i="8"/>
  <c r="S261" i="8"/>
  <c r="S263" i="8"/>
  <c r="S264" i="8"/>
  <c r="S265" i="8"/>
  <c r="S266" i="8"/>
  <c r="S268" i="8"/>
  <c r="S267" i="8"/>
  <c r="S269" i="8"/>
  <c r="S270" i="8"/>
  <c r="S271" i="8"/>
  <c r="S272" i="8"/>
  <c r="S273" i="8"/>
  <c r="S274" i="8"/>
  <c r="S275" i="8"/>
  <c r="S276" i="8"/>
  <c r="S277" i="8"/>
  <c r="S278" i="8"/>
  <c r="S279" i="8"/>
  <c r="S281" i="8"/>
  <c r="S280" i="8"/>
  <c r="S282" i="8"/>
  <c r="S283" i="8"/>
  <c r="S284" i="8"/>
  <c r="S285" i="8"/>
  <c r="S286" i="8"/>
  <c r="S287" i="8"/>
  <c r="S289" i="8"/>
  <c r="S288" i="8"/>
  <c r="S290" i="8"/>
  <c r="S291" i="8"/>
  <c r="S292" i="8"/>
  <c r="S293" i="8"/>
  <c r="S294" i="8"/>
  <c r="S296" i="8"/>
  <c r="S295" i="8"/>
  <c r="S297" i="8"/>
  <c r="S298" i="8"/>
  <c r="S299" i="8"/>
  <c r="S301" i="8"/>
  <c r="S300" i="8"/>
  <c r="S302" i="8"/>
  <c r="S303" i="8"/>
  <c r="S304" i="8"/>
  <c r="S305" i="8"/>
  <c r="S306" i="8"/>
  <c r="S307" i="8"/>
  <c r="S308" i="8"/>
  <c r="S309" i="8"/>
  <c r="S310" i="8"/>
  <c r="S311" i="8"/>
  <c r="S312" i="8"/>
  <c r="S314" i="8"/>
  <c r="S313" i="8"/>
  <c r="S315" i="8"/>
  <c r="S316" i="8"/>
  <c r="S317" i="8"/>
  <c r="R14" i="12" l="1"/>
  <c r="K320" i="38"/>
  <c r="O319" i="38"/>
  <c r="R13" i="12"/>
  <c r="Q318" i="38"/>
  <c r="I3" i="20"/>
  <c r="I4" i="20" a="1"/>
  <c r="I4" i="20" s="1"/>
  <c r="I2" i="20" a="1"/>
  <c r="I2" i="20" s="1"/>
  <c r="I1" i="20"/>
  <c r="AA314" i="20"/>
  <c r="AE314" i="20"/>
  <c r="AC314" i="20"/>
  <c r="AC7" i="20" s="1"/>
  <c r="AB9" i="20" s="1"/>
  <c r="J22" i="12" s="1"/>
  <c r="U9" i="20"/>
  <c r="I21" i="12" s="1"/>
  <c r="Y317" i="20"/>
  <c r="Z216" i="20" s="1"/>
  <c r="W317" i="20"/>
  <c r="U317" i="20"/>
  <c r="I8" i="20"/>
  <c r="Q313" i="20"/>
  <c r="W7" i="20"/>
  <c r="V9" i="20" s="1"/>
  <c r="J21" i="12" s="1"/>
  <c r="S313" i="20"/>
  <c r="O313" i="20"/>
  <c r="K319" i="20"/>
  <c r="L319" i="38" s="1"/>
  <c r="L320" i="38" s="1"/>
  <c r="Y7" i="20"/>
  <c r="W9" i="20" s="1"/>
  <c r="K21" i="12" s="1"/>
  <c r="L314" i="20"/>
  <c r="G317" i="20"/>
  <c r="G319" i="20" s="1"/>
  <c r="K318" i="8"/>
  <c r="K18" i="8"/>
  <c r="K17" i="8"/>
  <c r="K19" i="8"/>
  <c r="K20" i="8"/>
  <c r="K21" i="8"/>
  <c r="K23" i="8"/>
  <c r="K22" i="8"/>
  <c r="K24" i="8"/>
  <c r="K25" i="8"/>
  <c r="K26" i="8"/>
  <c r="K28" i="8"/>
  <c r="K27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119" i="8"/>
  <c r="K120" i="8"/>
  <c r="K121" i="8"/>
  <c r="K122" i="8"/>
  <c r="K123" i="8"/>
  <c r="K124" i="8"/>
  <c r="K125" i="8"/>
  <c r="K126" i="8"/>
  <c r="K127" i="8"/>
  <c r="K128" i="8"/>
  <c r="K129" i="8"/>
  <c r="K130" i="8"/>
  <c r="K131" i="8"/>
  <c r="K132" i="8"/>
  <c r="K133" i="8"/>
  <c r="K134" i="8"/>
  <c r="K135" i="8"/>
  <c r="K136" i="8"/>
  <c r="K137" i="8"/>
  <c r="K138" i="8"/>
  <c r="K139" i="8"/>
  <c r="K140" i="8"/>
  <c r="K141" i="8"/>
  <c r="K142" i="8"/>
  <c r="K143" i="8"/>
  <c r="K144" i="8"/>
  <c r="K145" i="8"/>
  <c r="K146" i="8"/>
  <c r="K147" i="8"/>
  <c r="K148" i="8"/>
  <c r="K149" i="8"/>
  <c r="K150" i="8"/>
  <c r="K151" i="8"/>
  <c r="K152" i="8"/>
  <c r="K153" i="8"/>
  <c r="K154" i="8"/>
  <c r="K155" i="8"/>
  <c r="K156" i="8"/>
  <c r="K157" i="8"/>
  <c r="K158" i="8"/>
  <c r="K159" i="8"/>
  <c r="K160" i="8"/>
  <c r="K161" i="8"/>
  <c r="K162" i="8"/>
  <c r="K163" i="8"/>
  <c r="K164" i="8"/>
  <c r="K165" i="8"/>
  <c r="K166" i="8"/>
  <c r="K167" i="8"/>
  <c r="K168" i="8"/>
  <c r="K169" i="8"/>
  <c r="K170" i="8"/>
  <c r="K171" i="8"/>
  <c r="K172" i="8"/>
  <c r="K173" i="8"/>
  <c r="K174" i="8"/>
  <c r="K175" i="8"/>
  <c r="K176" i="8"/>
  <c r="K177" i="8"/>
  <c r="K178" i="8"/>
  <c r="K179" i="8"/>
  <c r="K180" i="8"/>
  <c r="K181" i="8"/>
  <c r="K182" i="8"/>
  <c r="K183" i="8"/>
  <c r="K184" i="8"/>
  <c r="K185" i="8"/>
  <c r="K186" i="8"/>
  <c r="K187" i="8"/>
  <c r="K188" i="8"/>
  <c r="K189" i="8"/>
  <c r="K190" i="8"/>
  <c r="K191" i="8"/>
  <c r="K192" i="8"/>
  <c r="K193" i="8"/>
  <c r="K194" i="8"/>
  <c r="K195" i="8"/>
  <c r="K196" i="8"/>
  <c r="K197" i="8"/>
  <c r="K198" i="8"/>
  <c r="K199" i="8"/>
  <c r="K200" i="8"/>
  <c r="K201" i="8"/>
  <c r="K202" i="8"/>
  <c r="K203" i="8"/>
  <c r="K204" i="8"/>
  <c r="K205" i="8"/>
  <c r="K206" i="8"/>
  <c r="K207" i="8"/>
  <c r="K208" i="8"/>
  <c r="K209" i="8"/>
  <c r="K210" i="8"/>
  <c r="K211" i="8"/>
  <c r="K212" i="8"/>
  <c r="K213" i="8"/>
  <c r="K214" i="8"/>
  <c r="K215" i="8"/>
  <c r="K216" i="8"/>
  <c r="K217" i="8"/>
  <c r="K218" i="8"/>
  <c r="K219" i="8"/>
  <c r="K220" i="8"/>
  <c r="K221" i="8"/>
  <c r="K222" i="8"/>
  <c r="K223" i="8"/>
  <c r="K224" i="8"/>
  <c r="K225" i="8"/>
  <c r="K226" i="8"/>
  <c r="K227" i="8"/>
  <c r="K228" i="8"/>
  <c r="K229" i="8"/>
  <c r="K230" i="8"/>
  <c r="K231" i="8"/>
  <c r="K232" i="8"/>
  <c r="K233" i="8"/>
  <c r="K234" i="8"/>
  <c r="K235" i="8"/>
  <c r="K236" i="8"/>
  <c r="K237" i="8"/>
  <c r="K238" i="8"/>
  <c r="K239" i="8"/>
  <c r="K240" i="8"/>
  <c r="K241" i="8"/>
  <c r="K242" i="8"/>
  <c r="K243" i="8"/>
  <c r="K244" i="8"/>
  <c r="K245" i="8"/>
  <c r="K246" i="8"/>
  <c r="K247" i="8"/>
  <c r="K248" i="8"/>
  <c r="K249" i="8"/>
  <c r="K250" i="8"/>
  <c r="K251" i="8"/>
  <c r="K252" i="8"/>
  <c r="K253" i="8"/>
  <c r="K254" i="8"/>
  <c r="K255" i="8"/>
  <c r="K256" i="8"/>
  <c r="K257" i="8"/>
  <c r="K258" i="8"/>
  <c r="K259" i="8"/>
  <c r="K260" i="8"/>
  <c r="K261" i="8"/>
  <c r="K262" i="8"/>
  <c r="K263" i="8"/>
  <c r="K264" i="8"/>
  <c r="K265" i="8"/>
  <c r="K266" i="8"/>
  <c r="K267" i="8"/>
  <c r="K268" i="8"/>
  <c r="K269" i="8"/>
  <c r="K270" i="8"/>
  <c r="K271" i="8"/>
  <c r="K272" i="8"/>
  <c r="K273" i="8"/>
  <c r="K274" i="8"/>
  <c r="K275" i="8"/>
  <c r="K276" i="8"/>
  <c r="K277" i="8"/>
  <c r="K278" i="8"/>
  <c r="K279" i="8"/>
  <c r="K280" i="8"/>
  <c r="K281" i="8"/>
  <c r="K282" i="8"/>
  <c r="K283" i="8"/>
  <c r="K284" i="8"/>
  <c r="K285" i="8"/>
  <c r="K286" i="8"/>
  <c r="K287" i="8"/>
  <c r="K288" i="8"/>
  <c r="K289" i="8"/>
  <c r="K290" i="8"/>
  <c r="K291" i="8"/>
  <c r="K292" i="8"/>
  <c r="K293" i="8"/>
  <c r="K294" i="8"/>
  <c r="K295" i="8"/>
  <c r="K296" i="8"/>
  <c r="K297" i="8"/>
  <c r="K298" i="8"/>
  <c r="K299" i="8"/>
  <c r="K300" i="8"/>
  <c r="K301" i="8"/>
  <c r="K302" i="8"/>
  <c r="K303" i="8"/>
  <c r="K304" i="8"/>
  <c r="K305" i="8"/>
  <c r="K306" i="8"/>
  <c r="K307" i="8"/>
  <c r="K308" i="8"/>
  <c r="K309" i="8"/>
  <c r="K310" i="8"/>
  <c r="K311" i="8"/>
  <c r="K312" i="8"/>
  <c r="K313" i="8"/>
  <c r="K314" i="8"/>
  <c r="K315" i="8"/>
  <c r="K316" i="8"/>
  <c r="K317" i="8"/>
  <c r="P319" i="38" l="1"/>
  <c r="AA317" i="20"/>
  <c r="AA7" i="20"/>
  <c r="N20" i="12" s="1"/>
  <c r="S13" i="12" s="1"/>
  <c r="L21" i="12"/>
  <c r="I7" i="20" a="1"/>
  <c r="I7" i="20" s="1"/>
  <c r="L319" i="20"/>
  <c r="M319" i="38" s="1"/>
  <c r="AK314" i="20"/>
  <c r="AI314" i="20"/>
  <c r="AG314" i="20"/>
  <c r="AG7" i="20" s="1"/>
  <c r="N21" i="12" s="1"/>
  <c r="S14" i="12" s="1"/>
  <c r="O20" i="12"/>
  <c r="O19" i="12"/>
  <c r="P19" i="12"/>
  <c r="Z63" i="20"/>
  <c r="Z307" i="20"/>
  <c r="Z43" i="20"/>
  <c r="Z299" i="20"/>
  <c r="Z268" i="20"/>
  <c r="Z90" i="20"/>
  <c r="Z269" i="20"/>
  <c r="Z238" i="20"/>
  <c r="Z153" i="20"/>
  <c r="Z79" i="20"/>
  <c r="Z244" i="20"/>
  <c r="Z240" i="20"/>
  <c r="Z241" i="20"/>
  <c r="Z274" i="20"/>
  <c r="Z165" i="20"/>
  <c r="Z166" i="20"/>
  <c r="Z183" i="20"/>
  <c r="Z100" i="20"/>
  <c r="Z75" i="20"/>
  <c r="Z44" i="20"/>
  <c r="Z300" i="20"/>
  <c r="Z170" i="20"/>
  <c r="Z301" i="20"/>
  <c r="Z270" i="20"/>
  <c r="Z185" i="20"/>
  <c r="Z111" i="20"/>
  <c r="Z233" i="20"/>
  <c r="Z288" i="20"/>
  <c r="Z305" i="20"/>
  <c r="Z306" i="20"/>
  <c r="Z197" i="20"/>
  <c r="Z198" i="20"/>
  <c r="Z247" i="20"/>
  <c r="Z253" i="20"/>
  <c r="Z150" i="20"/>
  <c r="Z52" i="20"/>
  <c r="Z28" i="20"/>
  <c r="Z285" i="20"/>
  <c r="Z169" i="20"/>
  <c r="Z57" i="20"/>
  <c r="Z290" i="20"/>
  <c r="Z182" i="20"/>
  <c r="Z164" i="20"/>
  <c r="Z91" i="20"/>
  <c r="Z60" i="20"/>
  <c r="Z51" i="20"/>
  <c r="Z218" i="20"/>
  <c r="Z14" i="20"/>
  <c r="Z286" i="20"/>
  <c r="Z249" i="20"/>
  <c r="Z127" i="20"/>
  <c r="Z16" i="20"/>
  <c r="Z304" i="20"/>
  <c r="Z18" i="20"/>
  <c r="Z35" i="20"/>
  <c r="Z213" i="20"/>
  <c r="Z230" i="20"/>
  <c r="Z263" i="20"/>
  <c r="Z313" i="20"/>
  <c r="Z151" i="20"/>
  <c r="Z59" i="20"/>
  <c r="Z138" i="20"/>
  <c r="Z254" i="20"/>
  <c r="Z95" i="20"/>
  <c r="Z272" i="20"/>
  <c r="Z199" i="20"/>
  <c r="Z196" i="20"/>
  <c r="Z107" i="20"/>
  <c r="Z76" i="20"/>
  <c r="Z115" i="20"/>
  <c r="Z250" i="20"/>
  <c r="Z30" i="20"/>
  <c r="Z302" i="20"/>
  <c r="Z265" i="20"/>
  <c r="Z143" i="20"/>
  <c r="Z32" i="20"/>
  <c r="Z33" i="20"/>
  <c r="Z34" i="20"/>
  <c r="Z67" i="20"/>
  <c r="Z229" i="20"/>
  <c r="Z246" i="20"/>
  <c r="Z279" i="20"/>
  <c r="Z27" i="20"/>
  <c r="Z222" i="20"/>
  <c r="Z225" i="20"/>
  <c r="Z289" i="20"/>
  <c r="Z123" i="20"/>
  <c r="Z179" i="20"/>
  <c r="Z46" i="20"/>
  <c r="Z83" i="20"/>
  <c r="Z58" i="20"/>
  <c r="Z175" i="20"/>
  <c r="Z48" i="20"/>
  <c r="Z49" i="20"/>
  <c r="Z50" i="20"/>
  <c r="Z131" i="20"/>
  <c r="Z245" i="20"/>
  <c r="Z294" i="20"/>
  <c r="Z295" i="20"/>
  <c r="Z283" i="20"/>
  <c r="Z36" i="20"/>
  <c r="Z181" i="20"/>
  <c r="Z266" i="20"/>
  <c r="Z217" i="20"/>
  <c r="Z139" i="20"/>
  <c r="Z108" i="20"/>
  <c r="Z227" i="20"/>
  <c r="Z29" i="20"/>
  <c r="Z62" i="20"/>
  <c r="Z147" i="20"/>
  <c r="Z122" i="20"/>
  <c r="Z191" i="20"/>
  <c r="Z80" i="20"/>
  <c r="Z65" i="20"/>
  <c r="Z66" i="20"/>
  <c r="Z228" i="20"/>
  <c r="Z277" i="20"/>
  <c r="Z310" i="20"/>
  <c r="Z311" i="20"/>
  <c r="Z25" i="20"/>
  <c r="Z92" i="20"/>
  <c r="Z297" i="20"/>
  <c r="Z155" i="20"/>
  <c r="Z124" i="20"/>
  <c r="Z275" i="20"/>
  <c r="Z61" i="20"/>
  <c r="Z78" i="20"/>
  <c r="Z211" i="20"/>
  <c r="Z298" i="20"/>
  <c r="Z207" i="20"/>
  <c r="Z96" i="20"/>
  <c r="Z81" i="20"/>
  <c r="Z82" i="20"/>
  <c r="Z260" i="20"/>
  <c r="Z293" i="20"/>
  <c r="Z23" i="20"/>
  <c r="Z24" i="20"/>
  <c r="Z171" i="20"/>
  <c r="Z243" i="20"/>
  <c r="Z239" i="20"/>
  <c r="Z112" i="20"/>
  <c r="Z98" i="20"/>
  <c r="Z38" i="20"/>
  <c r="Z39" i="20"/>
  <c r="Z40" i="20"/>
  <c r="Z195" i="20"/>
  <c r="Z252" i="20"/>
  <c r="Z137" i="20"/>
  <c r="Z224" i="20"/>
  <c r="Z284" i="20"/>
  <c r="Z26" i="20"/>
  <c r="Z20" i="20"/>
  <c r="Z13" i="20"/>
  <c r="Z97" i="20"/>
  <c r="Z74" i="20"/>
  <c r="Z187" i="20"/>
  <c r="Z156" i="20"/>
  <c r="Z84" i="20"/>
  <c r="Z109" i="20"/>
  <c r="Z110" i="20"/>
  <c r="Z132" i="20"/>
  <c r="Z45" i="20"/>
  <c r="Z255" i="20"/>
  <c r="Z128" i="20"/>
  <c r="Z113" i="20"/>
  <c r="Z114" i="20"/>
  <c r="Z21" i="20"/>
  <c r="Z54" i="20"/>
  <c r="Z55" i="20"/>
  <c r="Z56" i="20"/>
  <c r="Z140" i="20"/>
  <c r="Z276" i="20"/>
  <c r="Z106" i="20"/>
  <c r="Z203" i="20"/>
  <c r="Z172" i="20"/>
  <c r="Z116" i="20"/>
  <c r="Z141" i="20"/>
  <c r="Z126" i="20"/>
  <c r="Z180" i="20"/>
  <c r="Z125" i="20"/>
  <c r="Z271" i="20"/>
  <c r="Z144" i="20"/>
  <c r="Z129" i="20"/>
  <c r="Z130" i="20"/>
  <c r="Z37" i="20"/>
  <c r="Z70" i="20"/>
  <c r="Z71" i="20"/>
  <c r="Z72" i="20"/>
  <c r="Z154" i="20"/>
  <c r="Z219" i="20"/>
  <c r="Z188" i="20"/>
  <c r="Z148" i="20"/>
  <c r="Z157" i="20"/>
  <c r="Z142" i="20"/>
  <c r="Z292" i="20"/>
  <c r="Z205" i="20"/>
  <c r="Z287" i="20"/>
  <c r="Z160" i="20"/>
  <c r="Z145" i="20"/>
  <c r="Z146" i="20"/>
  <c r="Z85" i="20"/>
  <c r="Z86" i="20"/>
  <c r="Z87" i="20"/>
  <c r="Z88" i="20"/>
  <c r="Z186" i="20"/>
  <c r="Z235" i="20"/>
  <c r="Z204" i="20"/>
  <c r="Z212" i="20"/>
  <c r="Z173" i="20"/>
  <c r="Z158" i="20"/>
  <c r="Z89" i="20"/>
  <c r="Z15" i="20"/>
  <c r="Z303" i="20"/>
  <c r="Z176" i="20"/>
  <c r="Z161" i="20"/>
  <c r="Z178" i="20"/>
  <c r="Z101" i="20"/>
  <c r="Z102" i="20"/>
  <c r="Z103" i="20"/>
  <c r="Z104" i="20"/>
  <c r="Z149" i="20"/>
  <c r="Z93" i="20"/>
  <c r="Z19" i="20"/>
  <c r="Z234" i="20"/>
  <c r="Z251" i="20"/>
  <c r="Z220" i="20"/>
  <c r="Z41" i="20"/>
  <c r="Z189" i="20"/>
  <c r="Z174" i="20"/>
  <c r="Z105" i="20"/>
  <c r="Z31" i="20"/>
  <c r="Z259" i="20"/>
  <c r="Z192" i="20"/>
  <c r="Z177" i="20"/>
  <c r="Z194" i="20"/>
  <c r="Z117" i="20"/>
  <c r="Z118" i="20"/>
  <c r="Z119" i="20"/>
  <c r="Z136" i="20"/>
  <c r="Z258" i="20"/>
  <c r="Z94" i="20"/>
  <c r="Z99" i="20"/>
  <c r="Z282" i="20"/>
  <c r="Z267" i="20"/>
  <c r="Z236" i="20"/>
  <c r="Z201" i="20"/>
  <c r="Z221" i="20"/>
  <c r="Z206" i="20"/>
  <c r="Z121" i="20"/>
  <c r="Z47" i="20"/>
  <c r="Z163" i="20"/>
  <c r="Z208" i="20"/>
  <c r="Z193" i="20"/>
  <c r="Z242" i="20"/>
  <c r="Z133" i="20"/>
  <c r="Z134" i="20"/>
  <c r="Z135" i="20"/>
  <c r="Z152" i="20"/>
  <c r="Z200" i="20"/>
  <c r="Z232" i="20"/>
  <c r="Z248" i="20"/>
  <c r="Z264" i="20"/>
  <c r="Z280" i="20"/>
  <c r="Z296" i="20"/>
  <c r="Z312" i="20"/>
  <c r="Z291" i="20"/>
  <c r="Z68" i="20"/>
  <c r="Z202" i="20"/>
  <c r="Z159" i="20"/>
  <c r="Z281" i="20"/>
  <c r="Z256" i="20"/>
  <c r="Z209" i="20"/>
  <c r="Z162" i="20"/>
  <c r="Z308" i="20"/>
  <c r="Z261" i="20"/>
  <c r="Z214" i="20"/>
  <c r="Z167" i="20"/>
  <c r="Z120" i="20"/>
  <c r="Z257" i="20"/>
  <c r="Z210" i="20"/>
  <c r="Z53" i="20"/>
  <c r="Z309" i="20"/>
  <c r="Z262" i="20"/>
  <c r="Z215" i="20"/>
  <c r="Z168" i="20"/>
  <c r="Z42" i="20"/>
  <c r="Z237" i="20"/>
  <c r="Z190" i="20"/>
  <c r="Z73" i="20"/>
  <c r="Z77" i="20"/>
  <c r="Z223" i="20"/>
  <c r="Z64" i="20"/>
  <c r="Z17" i="20"/>
  <c r="Z273" i="20"/>
  <c r="Z226" i="20"/>
  <c r="Z69" i="20"/>
  <c r="Z22" i="20"/>
  <c r="Z278" i="20"/>
  <c r="Z231" i="20"/>
  <c r="Z184" i="20"/>
  <c r="AB313" i="20"/>
  <c r="AB201" i="20"/>
  <c r="AB137" i="20"/>
  <c r="AB264" i="20"/>
  <c r="AB24" i="20"/>
  <c r="AB199" i="20"/>
  <c r="AB119" i="20"/>
  <c r="AB23" i="20"/>
  <c r="AB166" i="20"/>
  <c r="AB134" i="20"/>
  <c r="AB247" i="20"/>
  <c r="AB38" i="20"/>
  <c r="AB310" i="20"/>
  <c r="AB294" i="20"/>
  <c r="AB230" i="20"/>
  <c r="AB86" i="20"/>
  <c r="AB309" i="20"/>
  <c r="AB293" i="20"/>
  <c r="AB277" i="20"/>
  <c r="AB261" i="20"/>
  <c r="AB245" i="20"/>
  <c r="AB229" i="20"/>
  <c r="AB213" i="20"/>
  <c r="AB197" i="20"/>
  <c r="AB181" i="20"/>
  <c r="AB165" i="20"/>
  <c r="AB149" i="20"/>
  <c r="AB133" i="20"/>
  <c r="AB117" i="20"/>
  <c r="AB101" i="20"/>
  <c r="AB85" i="20"/>
  <c r="AB69" i="20"/>
  <c r="AB53" i="20"/>
  <c r="AB37" i="20"/>
  <c r="AB21" i="20"/>
  <c r="AB308" i="20"/>
  <c r="AB292" i="20"/>
  <c r="AB276" i="20"/>
  <c r="AB260" i="20"/>
  <c r="AB244" i="20"/>
  <c r="AB228" i="20"/>
  <c r="AB212" i="20"/>
  <c r="AB196" i="20"/>
  <c r="AB180" i="20"/>
  <c r="AB164" i="20"/>
  <c r="AB148" i="20"/>
  <c r="AB132" i="20"/>
  <c r="AB116" i="20"/>
  <c r="AB100" i="20"/>
  <c r="AB84" i="20"/>
  <c r="AB68" i="20"/>
  <c r="AB52" i="20"/>
  <c r="AB36" i="20"/>
  <c r="AB20" i="20"/>
  <c r="AB272" i="20"/>
  <c r="AB256" i="20"/>
  <c r="AB240" i="20"/>
  <c r="AB224" i="20"/>
  <c r="AB192" i="20"/>
  <c r="AB176" i="20"/>
  <c r="AB160" i="20"/>
  <c r="AB112" i="20"/>
  <c r="AB96" i="20"/>
  <c r="AB80" i="20"/>
  <c r="AB32" i="20"/>
  <c r="AB297" i="20"/>
  <c r="AB232" i="20"/>
  <c r="AB120" i="20"/>
  <c r="AB263" i="20"/>
  <c r="AB135" i="20"/>
  <c r="AB102" i="20"/>
  <c r="AB54" i="20"/>
  <c r="AB214" i="20"/>
  <c r="AB307" i="20"/>
  <c r="AB291" i="20"/>
  <c r="AB275" i="20"/>
  <c r="AB259" i="20"/>
  <c r="AB243" i="20"/>
  <c r="AB227" i="20"/>
  <c r="AB211" i="20"/>
  <c r="AB195" i="20"/>
  <c r="AB179" i="20"/>
  <c r="AB163" i="20"/>
  <c r="AB147" i="20"/>
  <c r="AB131" i="20"/>
  <c r="AB115" i="20"/>
  <c r="AB99" i="20"/>
  <c r="AB83" i="20"/>
  <c r="AB67" i="20"/>
  <c r="AB51" i="20"/>
  <c r="AB35" i="20"/>
  <c r="AB19" i="20"/>
  <c r="AB289" i="20"/>
  <c r="AB273" i="20"/>
  <c r="AB257" i="20"/>
  <c r="AB225" i="20"/>
  <c r="AB209" i="20"/>
  <c r="AB193" i="20"/>
  <c r="AB161" i="20"/>
  <c r="AB145" i="20"/>
  <c r="AB129" i="20"/>
  <c r="AB97" i="20"/>
  <c r="AB81" i="20"/>
  <c r="AB49" i="20"/>
  <c r="AB17" i="20"/>
  <c r="AB288" i="20"/>
  <c r="AB144" i="20"/>
  <c r="AB48" i="20"/>
  <c r="AB281" i="20"/>
  <c r="AB169" i="20"/>
  <c r="AB121" i="20"/>
  <c r="AB57" i="20"/>
  <c r="AB312" i="20"/>
  <c r="AB152" i="20"/>
  <c r="AB72" i="20"/>
  <c r="AB311" i="20"/>
  <c r="AB151" i="20"/>
  <c r="AB150" i="20"/>
  <c r="AB22" i="20"/>
  <c r="AB306" i="20"/>
  <c r="AB290" i="20"/>
  <c r="AB274" i="20"/>
  <c r="AB258" i="20"/>
  <c r="AB242" i="20"/>
  <c r="AB226" i="20"/>
  <c r="AB210" i="20"/>
  <c r="AB194" i="20"/>
  <c r="AB178" i="20"/>
  <c r="AB162" i="20"/>
  <c r="AB146" i="20"/>
  <c r="AB130" i="20"/>
  <c r="AB114" i="20"/>
  <c r="AB98" i="20"/>
  <c r="AB82" i="20"/>
  <c r="AB66" i="20"/>
  <c r="AB50" i="20"/>
  <c r="AB34" i="20"/>
  <c r="AB18" i="20"/>
  <c r="AB305" i="20"/>
  <c r="AB241" i="20"/>
  <c r="AB177" i="20"/>
  <c r="AB113" i="20"/>
  <c r="AB65" i="20"/>
  <c r="AB33" i="20"/>
  <c r="AB304" i="20"/>
  <c r="AB208" i="20"/>
  <c r="AB128" i="20"/>
  <c r="AB64" i="20"/>
  <c r="AB16" i="20"/>
  <c r="AB217" i="20"/>
  <c r="AB41" i="20"/>
  <c r="AB200" i="20"/>
  <c r="AB40" i="20"/>
  <c r="AB167" i="20"/>
  <c r="AB55" i="20"/>
  <c r="AB262" i="20"/>
  <c r="AB185" i="20"/>
  <c r="AB216" i="20"/>
  <c r="AB56" i="20"/>
  <c r="AB215" i="20"/>
  <c r="AB39" i="20"/>
  <c r="AB198" i="20"/>
  <c r="AB278" i="20"/>
  <c r="AB303" i="20"/>
  <c r="AB287" i="20"/>
  <c r="AB271" i="20"/>
  <c r="AB255" i="20"/>
  <c r="AB239" i="20"/>
  <c r="AB223" i="20"/>
  <c r="AB207" i="20"/>
  <c r="AB191" i="20"/>
  <c r="AB175" i="20"/>
  <c r="AB159" i="20"/>
  <c r="AB143" i="20"/>
  <c r="AB127" i="20"/>
  <c r="AB111" i="20"/>
  <c r="AB95" i="20"/>
  <c r="AB79" i="20"/>
  <c r="AB63" i="20"/>
  <c r="AB47" i="20"/>
  <c r="AB31" i="20"/>
  <c r="AB15" i="20"/>
  <c r="AB302" i="20"/>
  <c r="AB286" i="20"/>
  <c r="AB270" i="20"/>
  <c r="AB254" i="20"/>
  <c r="AB238" i="20"/>
  <c r="AB222" i="20"/>
  <c r="AB206" i="20"/>
  <c r="AB190" i="20"/>
  <c r="AB174" i="20"/>
  <c r="AB158" i="20"/>
  <c r="AB142" i="20"/>
  <c r="AB126" i="20"/>
  <c r="AB110" i="20"/>
  <c r="AB94" i="20"/>
  <c r="AB78" i="20"/>
  <c r="AB62" i="20"/>
  <c r="AB46" i="20"/>
  <c r="AB30" i="20"/>
  <c r="AB14" i="20"/>
  <c r="AB234" i="20"/>
  <c r="AB154" i="20"/>
  <c r="AB74" i="20"/>
  <c r="AB233" i="20"/>
  <c r="AB105" i="20"/>
  <c r="AB280" i="20"/>
  <c r="AB184" i="20"/>
  <c r="AB88" i="20"/>
  <c r="AB231" i="20"/>
  <c r="AB71" i="20"/>
  <c r="AB70" i="20"/>
  <c r="AB246" i="20"/>
  <c r="AB301" i="20"/>
  <c r="AB285" i="20"/>
  <c r="AB269" i="20"/>
  <c r="AB253" i="20"/>
  <c r="AB237" i="20"/>
  <c r="AB221" i="20"/>
  <c r="AB205" i="20"/>
  <c r="AB189" i="20"/>
  <c r="AB173" i="20"/>
  <c r="AB157" i="20"/>
  <c r="AB141" i="20"/>
  <c r="AB125" i="20"/>
  <c r="AB109" i="20"/>
  <c r="AB93" i="20"/>
  <c r="AB77" i="20"/>
  <c r="AB61" i="20"/>
  <c r="AB45" i="20"/>
  <c r="AB29" i="20"/>
  <c r="AB13" i="20"/>
  <c r="AB44" i="20"/>
  <c r="AB299" i="20"/>
  <c r="AB267" i="20"/>
  <c r="AB251" i="20"/>
  <c r="AB235" i="20"/>
  <c r="AB203" i="20"/>
  <c r="AB171" i="20"/>
  <c r="AB139" i="20"/>
  <c r="AB107" i="20"/>
  <c r="AB75" i="20"/>
  <c r="AB27" i="20"/>
  <c r="AB298" i="20"/>
  <c r="AB266" i="20"/>
  <c r="AB250" i="20"/>
  <c r="AB218" i="20"/>
  <c r="AB202" i="20"/>
  <c r="AB186" i="20"/>
  <c r="AB170" i="20"/>
  <c r="AB138" i="20"/>
  <c r="AB122" i="20"/>
  <c r="AB90" i="20"/>
  <c r="AB58" i="20"/>
  <c r="AB26" i="20"/>
  <c r="AB249" i="20"/>
  <c r="AB73" i="20"/>
  <c r="AB248" i="20"/>
  <c r="AB136" i="20"/>
  <c r="AB279" i="20"/>
  <c r="AB87" i="20"/>
  <c r="AB118" i="20"/>
  <c r="AB300" i="20"/>
  <c r="AB284" i="20"/>
  <c r="AB268" i="20"/>
  <c r="AB252" i="20"/>
  <c r="AB236" i="20"/>
  <c r="AB220" i="20"/>
  <c r="AB204" i="20"/>
  <c r="AB188" i="20"/>
  <c r="AB172" i="20"/>
  <c r="AB156" i="20"/>
  <c r="AB140" i="20"/>
  <c r="AB124" i="20"/>
  <c r="AB108" i="20"/>
  <c r="AB92" i="20"/>
  <c r="AB76" i="20"/>
  <c r="AB60" i="20"/>
  <c r="AB28" i="20"/>
  <c r="AB283" i="20"/>
  <c r="AB219" i="20"/>
  <c r="AB187" i="20"/>
  <c r="AB155" i="20"/>
  <c r="AB123" i="20"/>
  <c r="AB91" i="20"/>
  <c r="AB59" i="20"/>
  <c r="AB43" i="20"/>
  <c r="AB282" i="20"/>
  <c r="AB106" i="20"/>
  <c r="AB42" i="20"/>
  <c r="AB265" i="20"/>
  <c r="AB153" i="20"/>
  <c r="AB89" i="20"/>
  <c r="AB25" i="20"/>
  <c r="AB296" i="20"/>
  <c r="AB168" i="20"/>
  <c r="AB104" i="20"/>
  <c r="AB295" i="20"/>
  <c r="AB183" i="20"/>
  <c r="AB103" i="20"/>
  <c r="AB182" i="20"/>
  <c r="X313" i="20"/>
  <c r="X297" i="20"/>
  <c r="X281" i="20"/>
  <c r="X265" i="20"/>
  <c r="X249" i="20"/>
  <c r="X233" i="20"/>
  <c r="X217" i="20"/>
  <c r="X201" i="20"/>
  <c r="X185" i="20"/>
  <c r="X169" i="20"/>
  <c r="X153" i="20"/>
  <c r="X137" i="20"/>
  <c r="X121" i="20"/>
  <c r="X105" i="20"/>
  <c r="X89" i="20"/>
  <c r="X73" i="20"/>
  <c r="X57" i="20"/>
  <c r="X41" i="20"/>
  <c r="X25" i="20"/>
  <c r="X296" i="20"/>
  <c r="X232" i="20"/>
  <c r="X168" i="20"/>
  <c r="X120" i="20"/>
  <c r="X72" i="20"/>
  <c r="X40" i="20"/>
  <c r="X223" i="20"/>
  <c r="X174" i="20"/>
  <c r="X237" i="20"/>
  <c r="X93" i="20"/>
  <c r="X202" i="20"/>
  <c r="X312" i="20"/>
  <c r="X280" i="20"/>
  <c r="X264" i="20"/>
  <c r="X248" i="20"/>
  <c r="X216" i="20"/>
  <c r="X200" i="20"/>
  <c r="X184" i="20"/>
  <c r="X152" i="20"/>
  <c r="X136" i="20"/>
  <c r="X104" i="20"/>
  <c r="X88" i="20"/>
  <c r="X56" i="20"/>
  <c r="X24" i="20"/>
  <c r="X51" i="20"/>
  <c r="X127" i="20"/>
  <c r="X190" i="20"/>
  <c r="X205" i="20"/>
  <c r="X154" i="20"/>
  <c r="X311" i="20"/>
  <c r="X295" i="20"/>
  <c r="X279" i="20"/>
  <c r="X263" i="20"/>
  <c r="X247" i="20"/>
  <c r="X231" i="20"/>
  <c r="X215" i="20"/>
  <c r="X199" i="20"/>
  <c r="X183" i="20"/>
  <c r="X167" i="20"/>
  <c r="X151" i="20"/>
  <c r="X135" i="20"/>
  <c r="X119" i="20"/>
  <c r="X103" i="20"/>
  <c r="X87" i="20"/>
  <c r="X71" i="20"/>
  <c r="X55" i="20"/>
  <c r="X39" i="20"/>
  <c r="X23" i="20"/>
  <c r="X277" i="20"/>
  <c r="X133" i="20"/>
  <c r="X53" i="20"/>
  <c r="X19" i="20"/>
  <c r="X175" i="20"/>
  <c r="X206" i="20"/>
  <c r="X78" i="20"/>
  <c r="X269" i="20"/>
  <c r="X13" i="20"/>
  <c r="X138" i="20"/>
  <c r="X310" i="20"/>
  <c r="X294" i="20"/>
  <c r="X278" i="20"/>
  <c r="X262" i="20"/>
  <c r="X246" i="20"/>
  <c r="X230" i="20"/>
  <c r="X214" i="20"/>
  <c r="X198" i="20"/>
  <c r="X182" i="20"/>
  <c r="X166" i="20"/>
  <c r="X150" i="20"/>
  <c r="X134" i="20"/>
  <c r="X118" i="20"/>
  <c r="X102" i="20"/>
  <c r="X86" i="20"/>
  <c r="X70" i="20"/>
  <c r="X54" i="20"/>
  <c r="X38" i="20"/>
  <c r="X22" i="20"/>
  <c r="X293" i="20"/>
  <c r="X149" i="20"/>
  <c r="X69" i="20"/>
  <c r="X35" i="20"/>
  <c r="X95" i="20"/>
  <c r="X31" i="20"/>
  <c r="X254" i="20"/>
  <c r="X221" i="20"/>
  <c r="X29" i="20"/>
  <c r="X106" i="20"/>
  <c r="X309" i="20"/>
  <c r="X261" i="20"/>
  <c r="X245" i="20"/>
  <c r="X229" i="20"/>
  <c r="X213" i="20"/>
  <c r="X197" i="20"/>
  <c r="X181" i="20"/>
  <c r="X165" i="20"/>
  <c r="X117" i="20"/>
  <c r="X101" i="20"/>
  <c r="X85" i="20"/>
  <c r="X37" i="20"/>
  <c r="X21" i="20"/>
  <c r="X99" i="20"/>
  <c r="X15" i="20"/>
  <c r="X302" i="20"/>
  <c r="X110" i="20"/>
  <c r="X189" i="20"/>
  <c r="X186" i="20"/>
  <c r="X308" i="20"/>
  <c r="X292" i="20"/>
  <c r="X276" i="20"/>
  <c r="X260" i="20"/>
  <c r="X244" i="20"/>
  <c r="X228" i="20"/>
  <c r="X212" i="20"/>
  <c r="X196" i="20"/>
  <c r="X180" i="20"/>
  <c r="X164" i="20"/>
  <c r="X148" i="20"/>
  <c r="X132" i="20"/>
  <c r="X116" i="20"/>
  <c r="X100" i="20"/>
  <c r="X84" i="20"/>
  <c r="X68" i="20"/>
  <c r="X52" i="20"/>
  <c r="X36" i="20"/>
  <c r="X20" i="20"/>
  <c r="X291" i="20"/>
  <c r="X259" i="20"/>
  <c r="X227" i="20"/>
  <c r="X195" i="20"/>
  <c r="X163" i="20"/>
  <c r="X131" i="20"/>
  <c r="X83" i="20"/>
  <c r="X63" i="20"/>
  <c r="X270" i="20"/>
  <c r="X126" i="20"/>
  <c r="X285" i="20"/>
  <c r="X125" i="20"/>
  <c r="X282" i="20"/>
  <c r="X170" i="20"/>
  <c r="X74" i="20"/>
  <c r="X307" i="20"/>
  <c r="X275" i="20"/>
  <c r="X243" i="20"/>
  <c r="X211" i="20"/>
  <c r="X179" i="20"/>
  <c r="X147" i="20"/>
  <c r="X115" i="20"/>
  <c r="X67" i="20"/>
  <c r="X47" i="20"/>
  <c r="X286" i="20"/>
  <c r="X30" i="20"/>
  <c r="X109" i="20"/>
  <c r="X45" i="20"/>
  <c r="X266" i="20"/>
  <c r="X26" i="20"/>
  <c r="X306" i="20"/>
  <c r="X290" i="20"/>
  <c r="X274" i="20"/>
  <c r="X258" i="20"/>
  <c r="X242" i="20"/>
  <c r="X226" i="20"/>
  <c r="X210" i="20"/>
  <c r="X194" i="20"/>
  <c r="X178" i="20"/>
  <c r="X162" i="20"/>
  <c r="X146" i="20"/>
  <c r="X130" i="20"/>
  <c r="X114" i="20"/>
  <c r="X98" i="20"/>
  <c r="X82" i="20"/>
  <c r="X66" i="20"/>
  <c r="X50" i="20"/>
  <c r="X34" i="20"/>
  <c r="X18" i="20"/>
  <c r="X288" i="20"/>
  <c r="X176" i="20"/>
  <c r="X80" i="20"/>
  <c r="X32" i="20"/>
  <c r="X143" i="20"/>
  <c r="X158" i="20"/>
  <c r="X14" i="20"/>
  <c r="X253" i="20"/>
  <c r="X90" i="20"/>
  <c r="X305" i="20"/>
  <c r="X289" i="20"/>
  <c r="X273" i="20"/>
  <c r="X257" i="20"/>
  <c r="X241" i="20"/>
  <c r="X225" i="20"/>
  <c r="X209" i="20"/>
  <c r="X193" i="20"/>
  <c r="X177" i="20"/>
  <c r="X161" i="20"/>
  <c r="X145" i="20"/>
  <c r="X129" i="20"/>
  <c r="X113" i="20"/>
  <c r="X97" i="20"/>
  <c r="X81" i="20"/>
  <c r="X65" i="20"/>
  <c r="X49" i="20"/>
  <c r="X33" i="20"/>
  <c r="X17" i="20"/>
  <c r="X272" i="20"/>
  <c r="X208" i="20"/>
  <c r="X144" i="20"/>
  <c r="X128" i="20"/>
  <c r="X96" i="20"/>
  <c r="X48" i="20"/>
  <c r="X159" i="20"/>
  <c r="X142" i="20"/>
  <c r="X46" i="20"/>
  <c r="X301" i="20"/>
  <c r="X173" i="20"/>
  <c r="X218" i="20"/>
  <c r="X304" i="20"/>
  <c r="X256" i="20"/>
  <c r="X240" i="20"/>
  <c r="X224" i="20"/>
  <c r="X192" i="20"/>
  <c r="X160" i="20"/>
  <c r="X112" i="20"/>
  <c r="X64" i="20"/>
  <c r="X16" i="20"/>
  <c r="X79" i="20"/>
  <c r="X238" i="20"/>
  <c r="X94" i="20"/>
  <c r="X157" i="20"/>
  <c r="X77" i="20"/>
  <c r="X250" i="20"/>
  <c r="X42" i="20"/>
  <c r="X303" i="20"/>
  <c r="X287" i="20"/>
  <c r="X271" i="20"/>
  <c r="X255" i="20"/>
  <c r="X239" i="20"/>
  <c r="X207" i="20"/>
  <c r="X191" i="20"/>
  <c r="X111" i="20"/>
  <c r="X222" i="20"/>
  <c r="X62" i="20"/>
  <c r="X141" i="20"/>
  <c r="X61" i="20"/>
  <c r="X234" i="20"/>
  <c r="X58" i="20"/>
  <c r="X300" i="20"/>
  <c r="X284" i="20"/>
  <c r="X268" i="20"/>
  <c r="X252" i="20"/>
  <c r="X236" i="20"/>
  <c r="X220" i="20"/>
  <c r="X204" i="20"/>
  <c r="X188" i="20"/>
  <c r="X172" i="20"/>
  <c r="X156" i="20"/>
  <c r="X140" i="20"/>
  <c r="X124" i="20"/>
  <c r="X108" i="20"/>
  <c r="X92" i="20"/>
  <c r="X76" i="20"/>
  <c r="X60" i="20"/>
  <c r="X44" i="20"/>
  <c r="X28" i="20"/>
  <c r="X299" i="20"/>
  <c r="X283" i="20"/>
  <c r="X267" i="20"/>
  <c r="X251" i="20"/>
  <c r="X235" i="20"/>
  <c r="X219" i="20"/>
  <c r="X203" i="20"/>
  <c r="X187" i="20"/>
  <c r="X171" i="20"/>
  <c r="X155" i="20"/>
  <c r="X139" i="20"/>
  <c r="X123" i="20"/>
  <c r="X107" i="20"/>
  <c r="X91" i="20"/>
  <c r="X59" i="20"/>
  <c r="X43" i="20"/>
  <c r="X27" i="20"/>
  <c r="X298" i="20"/>
  <c r="X122" i="20"/>
  <c r="X75" i="20"/>
  <c r="V313" i="20"/>
  <c r="V297" i="20"/>
  <c r="V281" i="20"/>
  <c r="V265" i="20"/>
  <c r="V249" i="20"/>
  <c r="V233" i="20"/>
  <c r="V217" i="20"/>
  <c r="V201" i="20"/>
  <c r="V185" i="20"/>
  <c r="V169" i="20"/>
  <c r="V153" i="20"/>
  <c r="V137" i="20"/>
  <c r="V121" i="20"/>
  <c r="V105" i="20"/>
  <c r="V89" i="20"/>
  <c r="V73" i="20"/>
  <c r="V57" i="20"/>
  <c r="V41" i="20"/>
  <c r="V25" i="20"/>
  <c r="V248" i="20"/>
  <c r="V152" i="20"/>
  <c r="V56" i="20"/>
  <c r="V295" i="20"/>
  <c r="V215" i="20"/>
  <c r="V151" i="20"/>
  <c r="V55" i="20"/>
  <c r="V294" i="20"/>
  <c r="V102" i="20"/>
  <c r="V21" i="20"/>
  <c r="V36" i="20"/>
  <c r="V35" i="20"/>
  <c r="V214" i="20"/>
  <c r="V67" i="20"/>
  <c r="V183" i="20"/>
  <c r="V197" i="20"/>
  <c r="V69" i="20"/>
  <c r="V310" i="20"/>
  <c r="V262" i="20"/>
  <c r="V182" i="20"/>
  <c r="V118" i="20"/>
  <c r="V133" i="20"/>
  <c r="V309" i="20"/>
  <c r="V293" i="20"/>
  <c r="V277" i="20"/>
  <c r="V261" i="20"/>
  <c r="V245" i="20"/>
  <c r="V229" i="20"/>
  <c r="V213" i="20"/>
  <c r="V149" i="20"/>
  <c r="V37" i="20"/>
  <c r="V19" i="20"/>
  <c r="V308" i="20"/>
  <c r="V292" i="20"/>
  <c r="V276" i="20"/>
  <c r="V260" i="20"/>
  <c r="V244" i="20"/>
  <c r="V228" i="20"/>
  <c r="V212" i="20"/>
  <c r="V196" i="20"/>
  <c r="V180" i="20"/>
  <c r="V164" i="20"/>
  <c r="V148" i="20"/>
  <c r="V132" i="20"/>
  <c r="V84" i="20"/>
  <c r="V307" i="20"/>
  <c r="V291" i="20"/>
  <c r="V275" i="20"/>
  <c r="V259" i="20"/>
  <c r="V243" i="20"/>
  <c r="V227" i="20"/>
  <c r="V211" i="20"/>
  <c r="V195" i="20"/>
  <c r="V179" i="20"/>
  <c r="V163" i="20"/>
  <c r="V147" i="20"/>
  <c r="V131" i="20"/>
  <c r="V115" i="20"/>
  <c r="V99" i="20"/>
  <c r="V83" i="20"/>
  <c r="V51" i="20"/>
  <c r="V306" i="20"/>
  <c r="V290" i="20"/>
  <c r="V274" i="20"/>
  <c r="V258" i="20"/>
  <c r="V242" i="20"/>
  <c r="V226" i="20"/>
  <c r="V210" i="20"/>
  <c r="V194" i="20"/>
  <c r="V178" i="20"/>
  <c r="V162" i="20"/>
  <c r="V146" i="20"/>
  <c r="V130" i="20"/>
  <c r="V114" i="20"/>
  <c r="V98" i="20"/>
  <c r="V82" i="20"/>
  <c r="V66" i="20"/>
  <c r="V50" i="20"/>
  <c r="V34" i="20"/>
  <c r="V18" i="20"/>
  <c r="V288" i="20"/>
  <c r="V256" i="20"/>
  <c r="V224" i="20"/>
  <c r="V192" i="20"/>
  <c r="V176" i="20"/>
  <c r="V144" i="20"/>
  <c r="V128" i="20"/>
  <c r="V96" i="20"/>
  <c r="V64" i="20"/>
  <c r="V32" i="20"/>
  <c r="V303" i="20"/>
  <c r="V271" i="20"/>
  <c r="V255" i="20"/>
  <c r="V239" i="20"/>
  <c r="V223" i="20"/>
  <c r="V207" i="20"/>
  <c r="V191" i="20"/>
  <c r="V175" i="20"/>
  <c r="V143" i="20"/>
  <c r="V127" i="20"/>
  <c r="V111" i="20"/>
  <c r="V95" i="20"/>
  <c r="V63" i="20"/>
  <c r="V219" i="20"/>
  <c r="V218" i="20"/>
  <c r="V170" i="20"/>
  <c r="V90" i="20"/>
  <c r="V26" i="20"/>
  <c r="V312" i="20"/>
  <c r="V40" i="20"/>
  <c r="V231" i="20"/>
  <c r="V71" i="20"/>
  <c r="V198" i="20"/>
  <c r="V86" i="20"/>
  <c r="V117" i="20"/>
  <c r="V53" i="20"/>
  <c r="V52" i="20"/>
  <c r="V305" i="20"/>
  <c r="V289" i="20"/>
  <c r="V273" i="20"/>
  <c r="V257" i="20"/>
  <c r="V241" i="20"/>
  <c r="V225" i="20"/>
  <c r="V209" i="20"/>
  <c r="V193" i="20"/>
  <c r="V177" i="20"/>
  <c r="V161" i="20"/>
  <c r="V145" i="20"/>
  <c r="V129" i="20"/>
  <c r="V113" i="20"/>
  <c r="V97" i="20"/>
  <c r="V81" i="20"/>
  <c r="V65" i="20"/>
  <c r="V49" i="20"/>
  <c r="V33" i="20"/>
  <c r="V17" i="20"/>
  <c r="V304" i="20"/>
  <c r="V272" i="20"/>
  <c r="V240" i="20"/>
  <c r="V208" i="20"/>
  <c r="V160" i="20"/>
  <c r="V112" i="20"/>
  <c r="V80" i="20"/>
  <c r="V48" i="20"/>
  <c r="V16" i="20"/>
  <c r="V139" i="20"/>
  <c r="V234" i="20"/>
  <c r="V122" i="20"/>
  <c r="V296" i="20"/>
  <c r="V72" i="20"/>
  <c r="V199" i="20"/>
  <c r="V39" i="20"/>
  <c r="V166" i="20"/>
  <c r="V54" i="20"/>
  <c r="V165" i="20"/>
  <c r="V101" i="20"/>
  <c r="V298" i="20"/>
  <c r="V74" i="20"/>
  <c r="V216" i="20"/>
  <c r="V168" i="20"/>
  <c r="V104" i="20"/>
  <c r="V24" i="20"/>
  <c r="V311" i="20"/>
  <c r="V167" i="20"/>
  <c r="V103" i="20"/>
  <c r="V23" i="20"/>
  <c r="V278" i="20"/>
  <c r="V134" i="20"/>
  <c r="V116" i="20"/>
  <c r="V20" i="20"/>
  <c r="V287" i="20"/>
  <c r="V159" i="20"/>
  <c r="V79" i="20"/>
  <c r="V47" i="20"/>
  <c r="V31" i="20"/>
  <c r="V15" i="20"/>
  <c r="V267" i="20"/>
  <c r="V107" i="20"/>
  <c r="V250" i="20"/>
  <c r="V106" i="20"/>
  <c r="V232" i="20"/>
  <c r="V136" i="20"/>
  <c r="V247" i="20"/>
  <c r="V87" i="20"/>
  <c r="V150" i="20"/>
  <c r="V70" i="20"/>
  <c r="V181" i="20"/>
  <c r="V85" i="20"/>
  <c r="V302" i="20"/>
  <c r="V286" i="20"/>
  <c r="V270" i="20"/>
  <c r="V254" i="20"/>
  <c r="V238" i="20"/>
  <c r="V222" i="20"/>
  <c r="V206" i="20"/>
  <c r="V190" i="20"/>
  <c r="V174" i="20"/>
  <c r="V158" i="20"/>
  <c r="V142" i="20"/>
  <c r="V126" i="20"/>
  <c r="V110" i="20"/>
  <c r="V94" i="20"/>
  <c r="V78" i="20"/>
  <c r="V62" i="20"/>
  <c r="V46" i="20"/>
  <c r="V30" i="20"/>
  <c r="V14" i="20"/>
  <c r="V301" i="20"/>
  <c r="V285" i="20"/>
  <c r="V269" i="20"/>
  <c r="V253" i="20"/>
  <c r="V237" i="20"/>
  <c r="V221" i="20"/>
  <c r="V205" i="20"/>
  <c r="V189" i="20"/>
  <c r="V157" i="20"/>
  <c r="V141" i="20"/>
  <c r="V125" i="20"/>
  <c r="V109" i="20"/>
  <c r="V93" i="20"/>
  <c r="V77" i="20"/>
  <c r="V45" i="20"/>
  <c r="V29" i="20"/>
  <c r="V300" i="20"/>
  <c r="V268" i="20"/>
  <c r="V236" i="20"/>
  <c r="V204" i="20"/>
  <c r="V172" i="20"/>
  <c r="V156" i="20"/>
  <c r="V140" i="20"/>
  <c r="V124" i="20"/>
  <c r="V92" i="20"/>
  <c r="V76" i="20"/>
  <c r="V44" i="20"/>
  <c r="V299" i="20"/>
  <c r="V235" i="20"/>
  <c r="V187" i="20"/>
  <c r="V155" i="20"/>
  <c r="V123" i="20"/>
  <c r="V75" i="20"/>
  <c r="V43" i="20"/>
  <c r="V282" i="20"/>
  <c r="V186" i="20"/>
  <c r="V138" i="20"/>
  <c r="V42" i="20"/>
  <c r="V264" i="20"/>
  <c r="V184" i="20"/>
  <c r="V88" i="20"/>
  <c r="V279" i="20"/>
  <c r="V119" i="20"/>
  <c r="V246" i="20"/>
  <c r="V22" i="20"/>
  <c r="V68" i="20"/>
  <c r="V173" i="20"/>
  <c r="V61" i="20"/>
  <c r="V13" i="20"/>
  <c r="V284" i="20"/>
  <c r="V252" i="20"/>
  <c r="V220" i="20"/>
  <c r="V188" i="20"/>
  <c r="V108" i="20"/>
  <c r="V60" i="20"/>
  <c r="V28" i="20"/>
  <c r="V283" i="20"/>
  <c r="V251" i="20"/>
  <c r="V203" i="20"/>
  <c r="V171" i="20"/>
  <c r="V91" i="20"/>
  <c r="V59" i="20"/>
  <c r="V27" i="20"/>
  <c r="V266" i="20"/>
  <c r="V202" i="20"/>
  <c r="V154" i="20"/>
  <c r="V58" i="20"/>
  <c r="V280" i="20"/>
  <c r="V200" i="20"/>
  <c r="V120" i="20"/>
  <c r="V263" i="20"/>
  <c r="V135" i="20"/>
  <c r="V230" i="20"/>
  <c r="V38" i="20"/>
  <c r="V100" i="20"/>
  <c r="AE7" i="20"/>
  <c r="AC9" i="20" s="1"/>
  <c r="K22" i="12" s="1"/>
  <c r="AE317" i="20"/>
  <c r="AC317" i="20"/>
  <c r="AA9" i="20"/>
  <c r="I22" i="12" s="1"/>
  <c r="M314" i="20"/>
  <c r="Q319" i="38" l="1"/>
  <c r="M320" i="38"/>
  <c r="O12" i="12"/>
  <c r="P12" i="12" s="1"/>
  <c r="BB4" i="20"/>
  <c r="BB3" i="20"/>
  <c r="BB2" i="20" a="1"/>
  <c r="BB2" i="20" s="1"/>
  <c r="BB1" i="20"/>
  <c r="AY4" i="20"/>
  <c r="AX2" i="20" a="1"/>
  <c r="AX2" i="20" s="1"/>
  <c r="AY1" i="20"/>
  <c r="AX1" i="20"/>
  <c r="AY3" i="20"/>
  <c r="AX4" i="20"/>
  <c r="AW4" i="20"/>
  <c r="AW3" i="20"/>
  <c r="AW2" i="20" a="1"/>
  <c r="AW2" i="20" s="1"/>
  <c r="AW1" i="20"/>
  <c r="AY2" i="20" a="1"/>
  <c r="AY2" i="20" s="1"/>
  <c r="AX3" i="20"/>
  <c r="BH4" i="20"/>
  <c r="BH3" i="20"/>
  <c r="BH1" i="20"/>
  <c r="BG2" i="20" a="1"/>
  <c r="BG2" i="20" s="1"/>
  <c r="BG4" i="20"/>
  <c r="BG3" i="20"/>
  <c r="BG1" i="20"/>
  <c r="BI4" i="20"/>
  <c r="BI3" i="20"/>
  <c r="BI2" i="20" a="1"/>
  <c r="BI2" i="20" s="1"/>
  <c r="BI1" i="20"/>
  <c r="BH2" i="20" a="1"/>
  <c r="BH2" i="20" s="1"/>
  <c r="X3" i="20"/>
  <c r="X2" i="20" a="1"/>
  <c r="X2" i="20" s="1"/>
  <c r="X1" i="20"/>
  <c r="BA4" i="20"/>
  <c r="AZ1" i="20"/>
  <c r="BA3" i="20"/>
  <c r="BA2" i="20" a="1"/>
  <c r="BA2" i="20" s="1"/>
  <c r="BA1" i="20"/>
  <c r="AZ4" i="20"/>
  <c r="AZ3" i="20"/>
  <c r="AZ2" i="20" a="1"/>
  <c r="AZ2" i="20" s="1"/>
  <c r="X4" i="20"/>
  <c r="BC3" i="20"/>
  <c r="BC2" i="20" a="1"/>
  <c r="BC2" i="20" s="1"/>
  <c r="BE4" i="20"/>
  <c r="BC1" i="20"/>
  <c r="BE3" i="20"/>
  <c r="BE2" i="20" a="1"/>
  <c r="BE2" i="20" s="1"/>
  <c r="BE1" i="20"/>
  <c r="Z4" i="20"/>
  <c r="BD4" i="20"/>
  <c r="Z3" i="20"/>
  <c r="BD3" i="20"/>
  <c r="Z2" i="20" a="1"/>
  <c r="Z2" i="20" s="1"/>
  <c r="BD2" i="20" a="1"/>
  <c r="BD2" i="20" s="1"/>
  <c r="Z1" i="20"/>
  <c r="BD1" i="20"/>
  <c r="BC4" i="20"/>
  <c r="V2" i="20" a="1"/>
  <c r="V2" i="20" s="1"/>
  <c r="V3" i="20"/>
  <c r="V4" i="20"/>
  <c r="V1" i="20"/>
  <c r="AB4" i="20"/>
  <c r="AB3" i="20"/>
  <c r="AB2" i="20" a="1"/>
  <c r="AB2" i="20" s="1"/>
  <c r="AB1" i="20"/>
  <c r="P20" i="12"/>
  <c r="O13" i="12" s="1"/>
  <c r="L22" i="12"/>
  <c r="V8" i="20"/>
  <c r="Z8" i="20"/>
  <c r="AB8" i="20"/>
  <c r="X8" i="20"/>
  <c r="AF313" i="20"/>
  <c r="AF297" i="20"/>
  <c r="AF281" i="20"/>
  <c r="AF265" i="20"/>
  <c r="AF249" i="20"/>
  <c r="AF233" i="20"/>
  <c r="AF217" i="20"/>
  <c r="AF201" i="20"/>
  <c r="AF185" i="20"/>
  <c r="AF169" i="20"/>
  <c r="AF153" i="20"/>
  <c r="AF137" i="20"/>
  <c r="AF121" i="20"/>
  <c r="AF105" i="20"/>
  <c r="AF89" i="20"/>
  <c r="AF73" i="20"/>
  <c r="AF57" i="20"/>
  <c r="AF41" i="20"/>
  <c r="AF25" i="20"/>
  <c r="AF296" i="20"/>
  <c r="AF264" i="20"/>
  <c r="AF232" i="20"/>
  <c r="AF200" i="20"/>
  <c r="AF152" i="20"/>
  <c r="AF120" i="20"/>
  <c r="AF72" i="20"/>
  <c r="AF40" i="20"/>
  <c r="AF103" i="20"/>
  <c r="AF55" i="20"/>
  <c r="AF22" i="20"/>
  <c r="AF204" i="20"/>
  <c r="AF76" i="20"/>
  <c r="AF235" i="20"/>
  <c r="AF91" i="20"/>
  <c r="AF250" i="20"/>
  <c r="AF74" i="20"/>
  <c r="AF312" i="20"/>
  <c r="AF280" i="20"/>
  <c r="AF248" i="20"/>
  <c r="AF216" i="20"/>
  <c r="AF184" i="20"/>
  <c r="AF168" i="20"/>
  <c r="AF136" i="20"/>
  <c r="AF104" i="20"/>
  <c r="AF88" i="20"/>
  <c r="AF56" i="20"/>
  <c r="AF24" i="20"/>
  <c r="AF71" i="20"/>
  <c r="AF220" i="20"/>
  <c r="AF44" i="20"/>
  <c r="AF203" i="20"/>
  <c r="AF186" i="20"/>
  <c r="AF311" i="20"/>
  <c r="AF295" i="20"/>
  <c r="AF279" i="20"/>
  <c r="AF263" i="20"/>
  <c r="AF247" i="20"/>
  <c r="AF231" i="20"/>
  <c r="AF215" i="20"/>
  <c r="AF199" i="20"/>
  <c r="AF183" i="20"/>
  <c r="AF167" i="20"/>
  <c r="AF151" i="20"/>
  <c r="AF135" i="20"/>
  <c r="AF119" i="20"/>
  <c r="AF87" i="20"/>
  <c r="AF39" i="20"/>
  <c r="AF23" i="20"/>
  <c r="AF54" i="20"/>
  <c r="AF140" i="20"/>
  <c r="AF219" i="20"/>
  <c r="AF43" i="20"/>
  <c r="AF106" i="20"/>
  <c r="AF26" i="20"/>
  <c r="AF310" i="20"/>
  <c r="AF294" i="20"/>
  <c r="AF278" i="20"/>
  <c r="AF262" i="20"/>
  <c r="AF246" i="20"/>
  <c r="AF230" i="20"/>
  <c r="AF214" i="20"/>
  <c r="AF198" i="20"/>
  <c r="AF182" i="20"/>
  <c r="AF166" i="20"/>
  <c r="AF150" i="20"/>
  <c r="AF134" i="20"/>
  <c r="AF118" i="20"/>
  <c r="AF102" i="20"/>
  <c r="AF86" i="20"/>
  <c r="AF70" i="20"/>
  <c r="AF38" i="20"/>
  <c r="AF108" i="20"/>
  <c r="AF299" i="20"/>
  <c r="AF75" i="20"/>
  <c r="AF138" i="20"/>
  <c r="AF309" i="20"/>
  <c r="AF293" i="20"/>
  <c r="AF277" i="20"/>
  <c r="AF261" i="20"/>
  <c r="AF245" i="20"/>
  <c r="AF229" i="20"/>
  <c r="AF213" i="20"/>
  <c r="AF197" i="20"/>
  <c r="AF181" i="20"/>
  <c r="AF165" i="20"/>
  <c r="AF149" i="20"/>
  <c r="AF133" i="20"/>
  <c r="AF117" i="20"/>
  <c r="AF101" i="20"/>
  <c r="AF85" i="20"/>
  <c r="AF69" i="20"/>
  <c r="AF53" i="20"/>
  <c r="AF37" i="20"/>
  <c r="AF21" i="20"/>
  <c r="AF308" i="20"/>
  <c r="AF260" i="20"/>
  <c r="AF228" i="20"/>
  <c r="AF180" i="20"/>
  <c r="AF148" i="20"/>
  <c r="AF100" i="20"/>
  <c r="AF68" i="20"/>
  <c r="AF36" i="20"/>
  <c r="AF20" i="20"/>
  <c r="AF83" i="20"/>
  <c r="AF35" i="20"/>
  <c r="AF156" i="20"/>
  <c r="AF267" i="20"/>
  <c r="AF154" i="20"/>
  <c r="AF292" i="20"/>
  <c r="AF276" i="20"/>
  <c r="AF244" i="20"/>
  <c r="AF212" i="20"/>
  <c r="AF196" i="20"/>
  <c r="AF164" i="20"/>
  <c r="AF132" i="20"/>
  <c r="AF116" i="20"/>
  <c r="AF84" i="20"/>
  <c r="AF52" i="20"/>
  <c r="AF67" i="20"/>
  <c r="AF19" i="20"/>
  <c r="AF172" i="20"/>
  <c r="AF171" i="20"/>
  <c r="AF59" i="20"/>
  <c r="AF234" i="20"/>
  <c r="AF307" i="20"/>
  <c r="AF291" i="20"/>
  <c r="AF275" i="20"/>
  <c r="AF259" i="20"/>
  <c r="AF243" i="20"/>
  <c r="AF227" i="20"/>
  <c r="AF211" i="20"/>
  <c r="AF195" i="20"/>
  <c r="AF179" i="20"/>
  <c r="AF163" i="20"/>
  <c r="AF147" i="20"/>
  <c r="AF131" i="20"/>
  <c r="AF115" i="20"/>
  <c r="AF99" i="20"/>
  <c r="AF51" i="20"/>
  <c r="AF124" i="20"/>
  <c r="AF283" i="20"/>
  <c r="AF139" i="20"/>
  <c r="AF90" i="20"/>
  <c r="AF306" i="20"/>
  <c r="AF290" i="20"/>
  <c r="AF274" i="20"/>
  <c r="AF258" i="20"/>
  <c r="AF242" i="20"/>
  <c r="AF226" i="20"/>
  <c r="AF210" i="20"/>
  <c r="AF194" i="20"/>
  <c r="AF178" i="20"/>
  <c r="AF162" i="20"/>
  <c r="AF146" i="20"/>
  <c r="AF130" i="20"/>
  <c r="AF114" i="20"/>
  <c r="AF98" i="20"/>
  <c r="AF82" i="20"/>
  <c r="AF66" i="20"/>
  <c r="AF50" i="20"/>
  <c r="AF34" i="20"/>
  <c r="AF18" i="20"/>
  <c r="AF81" i="20"/>
  <c r="AF49" i="20"/>
  <c r="AF17" i="20"/>
  <c r="AF239" i="20"/>
  <c r="AF175" i="20"/>
  <c r="AF127" i="20"/>
  <c r="AF79" i="20"/>
  <c r="AF47" i="20"/>
  <c r="AF206" i="20"/>
  <c r="AF46" i="20"/>
  <c r="AF236" i="20"/>
  <c r="AF251" i="20"/>
  <c r="AF122" i="20"/>
  <c r="AF305" i="20"/>
  <c r="AF289" i="20"/>
  <c r="AF273" i="20"/>
  <c r="AF257" i="20"/>
  <c r="AF241" i="20"/>
  <c r="AF225" i="20"/>
  <c r="AF209" i="20"/>
  <c r="AF193" i="20"/>
  <c r="AF177" i="20"/>
  <c r="AF161" i="20"/>
  <c r="AF145" i="20"/>
  <c r="AF129" i="20"/>
  <c r="AF113" i="20"/>
  <c r="AF97" i="20"/>
  <c r="AF65" i="20"/>
  <c r="AF33" i="20"/>
  <c r="AF207" i="20"/>
  <c r="AF111" i="20"/>
  <c r="AF126" i="20"/>
  <c r="AF30" i="20"/>
  <c r="AF300" i="20"/>
  <c r="AF60" i="20"/>
  <c r="AF298" i="20"/>
  <c r="AF170" i="20"/>
  <c r="AF304" i="20"/>
  <c r="AF288" i="20"/>
  <c r="AF272" i="20"/>
  <c r="AF256" i="20"/>
  <c r="AF240" i="20"/>
  <c r="AF224" i="20"/>
  <c r="AF208" i="20"/>
  <c r="AF192" i="20"/>
  <c r="AF176" i="20"/>
  <c r="AF160" i="20"/>
  <c r="AF144" i="20"/>
  <c r="AF128" i="20"/>
  <c r="AF112" i="20"/>
  <c r="AF96" i="20"/>
  <c r="AF80" i="20"/>
  <c r="AF64" i="20"/>
  <c r="AF48" i="20"/>
  <c r="AF32" i="20"/>
  <c r="AF16" i="20"/>
  <c r="AF287" i="20"/>
  <c r="AF255" i="20"/>
  <c r="AF191" i="20"/>
  <c r="AF143" i="20"/>
  <c r="AF95" i="20"/>
  <c r="AF31" i="20"/>
  <c r="AF174" i="20"/>
  <c r="AF94" i="20"/>
  <c r="AF29" i="20"/>
  <c r="AF252" i="20"/>
  <c r="AF123" i="20"/>
  <c r="AF266" i="20"/>
  <c r="AF58" i="20"/>
  <c r="AF303" i="20"/>
  <c r="AF271" i="20"/>
  <c r="AF223" i="20"/>
  <c r="AF159" i="20"/>
  <c r="AF63" i="20"/>
  <c r="AF15" i="20"/>
  <c r="AF158" i="20"/>
  <c r="AF78" i="20"/>
  <c r="AF284" i="20"/>
  <c r="AF92" i="20"/>
  <c r="AF155" i="20"/>
  <c r="AF27" i="20"/>
  <c r="AF218" i="20"/>
  <c r="AF42" i="20"/>
  <c r="AF302" i="20"/>
  <c r="AF286" i="20"/>
  <c r="AF270" i="20"/>
  <c r="AF254" i="20"/>
  <c r="AF238" i="20"/>
  <c r="AF222" i="20"/>
  <c r="AF190" i="20"/>
  <c r="AF142" i="20"/>
  <c r="AF110" i="20"/>
  <c r="AF62" i="20"/>
  <c r="AF14" i="20"/>
  <c r="AF45" i="20"/>
  <c r="AF268" i="20"/>
  <c r="AF28" i="20"/>
  <c r="AF107" i="20"/>
  <c r="AF282" i="20"/>
  <c r="AF301" i="20"/>
  <c r="AF285" i="20"/>
  <c r="AF269" i="20"/>
  <c r="AF253" i="20"/>
  <c r="AF237" i="20"/>
  <c r="AF221" i="20"/>
  <c r="AF205" i="20"/>
  <c r="AF189" i="20"/>
  <c r="AF173" i="20"/>
  <c r="AF157" i="20"/>
  <c r="AF141" i="20"/>
  <c r="AF125" i="20"/>
  <c r="AF109" i="20"/>
  <c r="AF93" i="20"/>
  <c r="AF77" i="20"/>
  <c r="AF61" i="20"/>
  <c r="AF13" i="20"/>
  <c r="AF188" i="20"/>
  <c r="AF187" i="20"/>
  <c r="AF202" i="20"/>
  <c r="AD313" i="20"/>
  <c r="AD297" i="20"/>
  <c r="AD281" i="20"/>
  <c r="AD265" i="20"/>
  <c r="AD249" i="20"/>
  <c r="AD233" i="20"/>
  <c r="AD217" i="20"/>
  <c r="AD201" i="20"/>
  <c r="AD185" i="20"/>
  <c r="AD169" i="20"/>
  <c r="AD153" i="20"/>
  <c r="AD137" i="20"/>
  <c r="AD121" i="20"/>
  <c r="AD105" i="20"/>
  <c r="AD89" i="20"/>
  <c r="AD73" i="20"/>
  <c r="AD57" i="20"/>
  <c r="AD41" i="20"/>
  <c r="AD25" i="20"/>
  <c r="AD103" i="20"/>
  <c r="AD294" i="20"/>
  <c r="AD198" i="20"/>
  <c r="AD86" i="20"/>
  <c r="AD250" i="20"/>
  <c r="AD202" i="20"/>
  <c r="AD106" i="20"/>
  <c r="AD312" i="20"/>
  <c r="AD296" i="20"/>
  <c r="AD280" i="20"/>
  <c r="AD264" i="20"/>
  <c r="AD248" i="20"/>
  <c r="AD232" i="20"/>
  <c r="AD216" i="20"/>
  <c r="AD200" i="20"/>
  <c r="AD184" i="20"/>
  <c r="AD168" i="20"/>
  <c r="AD152" i="20"/>
  <c r="AD136" i="20"/>
  <c r="AD120" i="20"/>
  <c r="AD104" i="20"/>
  <c r="AD88" i="20"/>
  <c r="AD72" i="20"/>
  <c r="AD56" i="20"/>
  <c r="AD40" i="20"/>
  <c r="AD24" i="20"/>
  <c r="AD71" i="20"/>
  <c r="AD23" i="20"/>
  <c r="AD278" i="20"/>
  <c r="AD246" i="20"/>
  <c r="AD182" i="20"/>
  <c r="AD118" i="20"/>
  <c r="AD70" i="20"/>
  <c r="AD38" i="20"/>
  <c r="AD266" i="20"/>
  <c r="AD186" i="20"/>
  <c r="AD42" i="20"/>
  <c r="AD311" i="20"/>
  <c r="AD295" i="20"/>
  <c r="AD279" i="20"/>
  <c r="AD263" i="20"/>
  <c r="AD247" i="20"/>
  <c r="AD231" i="20"/>
  <c r="AD215" i="20"/>
  <c r="AD199" i="20"/>
  <c r="AD183" i="20"/>
  <c r="AD167" i="20"/>
  <c r="AD151" i="20"/>
  <c r="AD135" i="20"/>
  <c r="AD119" i="20"/>
  <c r="AD87" i="20"/>
  <c r="AD55" i="20"/>
  <c r="AD39" i="20"/>
  <c r="AD310" i="20"/>
  <c r="AD214" i="20"/>
  <c r="AD134" i="20"/>
  <c r="AD54" i="20"/>
  <c r="AD22" i="20"/>
  <c r="AD298" i="20"/>
  <c r="AD262" i="20"/>
  <c r="AD230" i="20"/>
  <c r="AD166" i="20"/>
  <c r="AD150" i="20"/>
  <c r="AD102" i="20"/>
  <c r="AD309" i="20"/>
  <c r="AD293" i="20"/>
  <c r="AD277" i="20"/>
  <c r="AD261" i="20"/>
  <c r="AD245" i="20"/>
  <c r="AD229" i="20"/>
  <c r="AD213" i="20"/>
  <c r="AD197" i="20"/>
  <c r="AD181" i="20"/>
  <c r="AD165" i="20"/>
  <c r="AD149" i="20"/>
  <c r="AD133" i="20"/>
  <c r="AD117" i="20"/>
  <c r="AD101" i="20"/>
  <c r="AD85" i="20"/>
  <c r="AD69" i="20"/>
  <c r="AD53" i="20"/>
  <c r="AD37" i="20"/>
  <c r="AD21" i="20"/>
  <c r="AD299" i="20"/>
  <c r="AD139" i="20"/>
  <c r="AD58" i="20"/>
  <c r="AD308" i="20"/>
  <c r="AD292" i="20"/>
  <c r="AD276" i="20"/>
  <c r="AD260" i="20"/>
  <c r="AD244" i="20"/>
  <c r="AD228" i="20"/>
  <c r="AD212" i="20"/>
  <c r="AD196" i="20"/>
  <c r="AD180" i="20"/>
  <c r="AD164" i="20"/>
  <c r="AD148" i="20"/>
  <c r="AD132" i="20"/>
  <c r="AD116" i="20"/>
  <c r="AD100" i="20"/>
  <c r="AD84" i="20"/>
  <c r="AD68" i="20"/>
  <c r="AD52" i="20"/>
  <c r="AD36" i="20"/>
  <c r="AD20" i="20"/>
  <c r="AD147" i="20"/>
  <c r="AD67" i="20"/>
  <c r="AD19" i="20"/>
  <c r="AD283" i="20"/>
  <c r="AD123" i="20"/>
  <c r="AD138" i="20"/>
  <c r="AD307" i="20"/>
  <c r="AD291" i="20"/>
  <c r="AD275" i="20"/>
  <c r="AD259" i="20"/>
  <c r="AD243" i="20"/>
  <c r="AD227" i="20"/>
  <c r="AD211" i="20"/>
  <c r="AD195" i="20"/>
  <c r="AD179" i="20"/>
  <c r="AD163" i="20"/>
  <c r="AD131" i="20"/>
  <c r="AD115" i="20"/>
  <c r="AD99" i="20"/>
  <c r="AD83" i="20"/>
  <c r="AD51" i="20"/>
  <c r="AD35" i="20"/>
  <c r="AD28" i="20"/>
  <c r="AD267" i="20"/>
  <c r="AD171" i="20"/>
  <c r="AD59" i="20"/>
  <c r="AD74" i="20"/>
  <c r="AD306" i="20"/>
  <c r="AD290" i="20"/>
  <c r="AD274" i="20"/>
  <c r="AD258" i="20"/>
  <c r="AD242" i="20"/>
  <c r="AD226" i="20"/>
  <c r="AD210" i="20"/>
  <c r="AD194" i="20"/>
  <c r="AD178" i="20"/>
  <c r="AD162" i="20"/>
  <c r="AD146" i="20"/>
  <c r="AD130" i="20"/>
  <c r="AD114" i="20"/>
  <c r="AD98" i="20"/>
  <c r="AD82" i="20"/>
  <c r="AD66" i="20"/>
  <c r="AD50" i="20"/>
  <c r="AD34" i="20"/>
  <c r="AD18" i="20"/>
  <c r="AD77" i="20"/>
  <c r="AD204" i="20"/>
  <c r="AD124" i="20"/>
  <c r="AD187" i="20"/>
  <c r="AD75" i="20"/>
  <c r="AD122" i="20"/>
  <c r="AD305" i="20"/>
  <c r="AD289" i="20"/>
  <c r="AD273" i="20"/>
  <c r="AD257" i="20"/>
  <c r="AD241" i="20"/>
  <c r="AD225" i="20"/>
  <c r="AD209" i="20"/>
  <c r="AD193" i="20"/>
  <c r="AD177" i="20"/>
  <c r="AD161" i="20"/>
  <c r="AD145" i="20"/>
  <c r="AD129" i="20"/>
  <c r="AD113" i="20"/>
  <c r="AD97" i="20"/>
  <c r="AD81" i="20"/>
  <c r="AD65" i="20"/>
  <c r="AD49" i="20"/>
  <c r="AD33" i="20"/>
  <c r="AD17" i="20"/>
  <c r="AD93" i="20"/>
  <c r="AD220" i="20"/>
  <c r="AD108" i="20"/>
  <c r="AD155" i="20"/>
  <c r="AD91" i="20"/>
  <c r="AD43" i="20"/>
  <c r="AD282" i="20"/>
  <c r="AD154" i="20"/>
  <c r="AD304" i="20"/>
  <c r="AD288" i="20"/>
  <c r="AD272" i="20"/>
  <c r="AD256" i="20"/>
  <c r="AD240" i="20"/>
  <c r="AD224" i="20"/>
  <c r="AD208" i="20"/>
  <c r="AD192" i="20"/>
  <c r="AD176" i="20"/>
  <c r="AD160" i="20"/>
  <c r="AD144" i="20"/>
  <c r="AD128" i="20"/>
  <c r="AD112" i="20"/>
  <c r="AD96" i="20"/>
  <c r="AD80" i="20"/>
  <c r="AD64" i="20"/>
  <c r="AD48" i="20"/>
  <c r="AD32" i="20"/>
  <c r="AD16" i="20"/>
  <c r="AD45" i="20"/>
  <c r="AD236" i="20"/>
  <c r="AD156" i="20"/>
  <c r="AD140" i="20"/>
  <c r="AD60" i="20"/>
  <c r="AD251" i="20"/>
  <c r="AD107" i="20"/>
  <c r="AD234" i="20"/>
  <c r="AD170" i="20"/>
  <c r="AD90" i="20"/>
  <c r="AD303" i="20"/>
  <c r="AD287" i="20"/>
  <c r="AD271" i="20"/>
  <c r="AD255" i="20"/>
  <c r="AD239" i="20"/>
  <c r="AD223" i="20"/>
  <c r="AD207" i="20"/>
  <c r="AD191" i="20"/>
  <c r="AD175" i="20"/>
  <c r="AD159" i="20"/>
  <c r="AD143" i="20"/>
  <c r="AD127" i="20"/>
  <c r="AD111" i="20"/>
  <c r="AD95" i="20"/>
  <c r="AD79" i="20"/>
  <c r="AD63" i="20"/>
  <c r="AD47" i="20"/>
  <c r="AD31" i="20"/>
  <c r="AD15" i="20"/>
  <c r="AD14" i="20"/>
  <c r="AD29" i="20"/>
  <c r="AD284" i="20"/>
  <c r="AD172" i="20"/>
  <c r="AD44" i="20"/>
  <c r="AD219" i="20"/>
  <c r="AD218" i="20"/>
  <c r="AD26" i="20"/>
  <c r="AD302" i="20"/>
  <c r="AD286" i="20"/>
  <c r="AD270" i="20"/>
  <c r="AD254" i="20"/>
  <c r="AD238" i="20"/>
  <c r="AD222" i="20"/>
  <c r="AD206" i="20"/>
  <c r="AD190" i="20"/>
  <c r="AD174" i="20"/>
  <c r="AD158" i="20"/>
  <c r="AD142" i="20"/>
  <c r="AD126" i="20"/>
  <c r="AD110" i="20"/>
  <c r="AD94" i="20"/>
  <c r="AD78" i="20"/>
  <c r="AD62" i="20"/>
  <c r="AD46" i="20"/>
  <c r="AD30" i="20"/>
  <c r="AD13" i="20"/>
  <c r="AD268" i="20"/>
  <c r="AD188" i="20"/>
  <c r="AD92" i="20"/>
  <c r="AD203" i="20"/>
  <c r="AD27" i="20"/>
  <c r="AD301" i="20"/>
  <c r="AD285" i="20"/>
  <c r="AD269" i="20"/>
  <c r="AD253" i="20"/>
  <c r="AD237" i="20"/>
  <c r="AD221" i="20"/>
  <c r="AD205" i="20"/>
  <c r="AD189" i="20"/>
  <c r="AD173" i="20"/>
  <c r="AD157" i="20"/>
  <c r="AD141" i="20"/>
  <c r="AD125" i="20"/>
  <c r="AD109" i="20"/>
  <c r="AD61" i="20"/>
  <c r="AD252" i="20"/>
  <c r="AD76" i="20"/>
  <c r="AD235" i="20"/>
  <c r="AD300" i="20"/>
  <c r="S314" i="20"/>
  <c r="S317" i="20" s="1"/>
  <c r="AK317" i="20"/>
  <c r="Q314" i="20"/>
  <c r="Q317" i="20" s="1"/>
  <c r="R210" i="20" s="1"/>
  <c r="AI317" i="20"/>
  <c r="O314" i="20"/>
  <c r="O317" i="20" s="1"/>
  <c r="AG317" i="20"/>
  <c r="AH14" i="20" s="1"/>
  <c r="M317" i="20"/>
  <c r="N14" i="20" s="1"/>
  <c r="AK7" i="20"/>
  <c r="AI9" i="20" s="1"/>
  <c r="AG9" i="20"/>
  <c r="I23" i="12" s="1"/>
  <c r="AI7" i="20"/>
  <c r="AH9" i="20" s="1"/>
  <c r="P13" i="12" l="1"/>
  <c r="X7" i="20" a="1"/>
  <c r="X7" i="20" s="1"/>
  <c r="K28" i="12" s="1"/>
  <c r="K29" i="12" s="1"/>
  <c r="AW7" i="20" a="1"/>
  <c r="AW7" i="20" s="1"/>
  <c r="AW8" i="20" s="1"/>
  <c r="Z7" i="20" a="1"/>
  <c r="Z7" i="20" s="1"/>
  <c r="L28" i="12" s="1"/>
  <c r="L29" i="12" s="1"/>
  <c r="BO4" i="20"/>
  <c r="BO3" i="20"/>
  <c r="BO2" i="20" a="1"/>
  <c r="BO2" i="20" s="1"/>
  <c r="BO1" i="20"/>
  <c r="BN4" i="20"/>
  <c r="BN3" i="20"/>
  <c r="BN2" i="20" a="1"/>
  <c r="BN2" i="20" s="1"/>
  <c r="BN1" i="20"/>
  <c r="BM4" i="20"/>
  <c r="BM3" i="20"/>
  <c r="BM2" i="20" a="1"/>
  <c r="BM2" i="20" s="1"/>
  <c r="BM1" i="20"/>
  <c r="BK1" i="20"/>
  <c r="BL4" i="20"/>
  <c r="BK2" i="20" a="1"/>
  <c r="BK2" i="20" s="1"/>
  <c r="BK4" i="20"/>
  <c r="BJ4" i="20"/>
  <c r="BL3" i="20"/>
  <c r="BJ3" i="20"/>
  <c r="BJ2" i="20" a="1"/>
  <c r="BJ2" i="20" s="1"/>
  <c r="BJ1" i="20"/>
  <c r="BL1" i="20"/>
  <c r="BL2" i="20" a="1"/>
  <c r="BL2" i="20" s="1"/>
  <c r="BK3" i="20"/>
  <c r="BB7" i="20" a="1"/>
  <c r="BB7" i="20" s="1"/>
  <c r="BB8" i="20" s="1"/>
  <c r="AZ7" i="20" a="1"/>
  <c r="AZ7" i="20" s="1"/>
  <c r="AZ8" i="20" s="1"/>
  <c r="V7" i="20" a="1"/>
  <c r="V7" i="20" s="1"/>
  <c r="J28" i="12" s="1"/>
  <c r="J29" i="12" s="1"/>
  <c r="BH7" i="20" a="1"/>
  <c r="BH7" i="20" s="1"/>
  <c r="BH8" i="20" s="1"/>
  <c r="BG7" i="20" a="1"/>
  <c r="BG7" i="20" s="1"/>
  <c r="BG8" i="20" s="1"/>
  <c r="BC7" i="20" a="1"/>
  <c r="BC7" i="20" s="1"/>
  <c r="BC8" i="20" s="1"/>
  <c r="BI7" i="20" a="1"/>
  <c r="BI7" i="20" s="1"/>
  <c r="BI8" i="20" s="1"/>
  <c r="BE7" i="20" a="1"/>
  <c r="BE7" i="20" s="1"/>
  <c r="BE8" i="20" s="1"/>
  <c r="AY7" i="20" a="1"/>
  <c r="AY7" i="20" s="1"/>
  <c r="AY8" i="20" s="1"/>
  <c r="BD7" i="20" a="1"/>
  <c r="BD7" i="20" s="1"/>
  <c r="BD8" i="20" s="1"/>
  <c r="BA7" i="20" a="1"/>
  <c r="BA7" i="20" s="1"/>
  <c r="BA8" i="20" s="1"/>
  <c r="AX7" i="20" a="1"/>
  <c r="AX7" i="20" s="1"/>
  <c r="AX8" i="20" s="1"/>
  <c r="AB7" i="20" a="1"/>
  <c r="AB7" i="20" s="1"/>
  <c r="J30" i="12" s="1"/>
  <c r="J31" i="12" s="1"/>
  <c r="AF4" i="20"/>
  <c r="AF3" i="20"/>
  <c r="AF1" i="20"/>
  <c r="AF2" i="20"/>
  <c r="AD1" i="20"/>
  <c r="AD3" i="20"/>
  <c r="AD4" i="20"/>
  <c r="AD2" i="20" a="1"/>
  <c r="AD2" i="20" s="1"/>
  <c r="O21" i="12"/>
  <c r="P21" i="12"/>
  <c r="J23" i="12"/>
  <c r="K23" i="12"/>
  <c r="AL14" i="20"/>
  <c r="AL13" i="20"/>
  <c r="AL15" i="20"/>
  <c r="AL16" i="20"/>
  <c r="P105" i="20"/>
  <c r="P14" i="20"/>
  <c r="N13" i="20"/>
  <c r="N15" i="20"/>
  <c r="N17" i="20"/>
  <c r="N16" i="20"/>
  <c r="N19" i="20"/>
  <c r="N18" i="20"/>
  <c r="N20" i="20"/>
  <c r="N21" i="20"/>
  <c r="N22" i="20"/>
  <c r="N23" i="20"/>
  <c r="N24" i="20"/>
  <c r="N25" i="20"/>
  <c r="N26" i="20"/>
  <c r="N28" i="20"/>
  <c r="N27" i="20"/>
  <c r="N29" i="20"/>
  <c r="N30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52" i="20"/>
  <c r="N53" i="20"/>
  <c r="N54" i="20"/>
  <c r="N55" i="20"/>
  <c r="N56" i="20"/>
  <c r="N57" i="20"/>
  <c r="N58" i="20"/>
  <c r="N59" i="20"/>
  <c r="N60" i="20"/>
  <c r="N61" i="20"/>
  <c r="N62" i="20"/>
  <c r="N63" i="20"/>
  <c r="N64" i="20"/>
  <c r="N65" i="20"/>
  <c r="N66" i="20"/>
  <c r="N67" i="20"/>
  <c r="N68" i="20"/>
  <c r="N69" i="20"/>
  <c r="N70" i="20"/>
  <c r="N71" i="20"/>
  <c r="N72" i="20"/>
  <c r="N73" i="20"/>
  <c r="N74" i="20"/>
  <c r="N75" i="20"/>
  <c r="N76" i="20"/>
  <c r="N77" i="20"/>
  <c r="N78" i="20"/>
  <c r="N79" i="20"/>
  <c r="N80" i="20"/>
  <c r="N81" i="20"/>
  <c r="N82" i="20"/>
  <c r="N83" i="20"/>
  <c r="N84" i="20"/>
  <c r="N85" i="20"/>
  <c r="N86" i="20"/>
  <c r="N87" i="20"/>
  <c r="N88" i="20"/>
  <c r="N89" i="20"/>
  <c r="N90" i="20"/>
  <c r="N91" i="20"/>
  <c r="N92" i="20"/>
  <c r="N93" i="20"/>
  <c r="N94" i="20"/>
  <c r="N95" i="20"/>
  <c r="N96" i="20"/>
  <c r="N97" i="20"/>
  <c r="N98" i="20"/>
  <c r="N99" i="20"/>
  <c r="N100" i="20"/>
  <c r="N101" i="20"/>
  <c r="N102" i="20"/>
  <c r="N103" i="20"/>
  <c r="N104" i="20"/>
  <c r="N105" i="20"/>
  <c r="N106" i="20"/>
  <c r="N107" i="20"/>
  <c r="N108" i="20"/>
  <c r="N109" i="20"/>
  <c r="N110" i="20"/>
  <c r="N111" i="20"/>
  <c r="N112" i="20"/>
  <c r="N113" i="20"/>
  <c r="N114" i="20"/>
  <c r="N115" i="20"/>
  <c r="N116" i="20"/>
  <c r="N117" i="20"/>
  <c r="N118" i="20"/>
  <c r="N119" i="20"/>
  <c r="N120" i="20"/>
  <c r="N121" i="20"/>
  <c r="N122" i="20"/>
  <c r="N123" i="20"/>
  <c r="N124" i="20"/>
  <c r="N125" i="20"/>
  <c r="N126" i="20"/>
  <c r="N127" i="20"/>
  <c r="N128" i="20"/>
  <c r="N129" i="20"/>
  <c r="N130" i="20"/>
  <c r="N131" i="20"/>
  <c r="N132" i="20"/>
  <c r="N133" i="20"/>
  <c r="N134" i="20"/>
  <c r="N135" i="20"/>
  <c r="N136" i="20"/>
  <c r="N137" i="20"/>
  <c r="N138" i="20"/>
  <c r="N139" i="20"/>
  <c r="N140" i="20"/>
  <c r="N141" i="20"/>
  <c r="N142" i="20"/>
  <c r="N143" i="20"/>
  <c r="N144" i="20"/>
  <c r="N145" i="20"/>
  <c r="N146" i="20"/>
  <c r="N147" i="20"/>
  <c r="N148" i="20"/>
  <c r="N149" i="20"/>
  <c r="N150" i="20"/>
  <c r="N151" i="20"/>
  <c r="N152" i="20"/>
  <c r="N153" i="20"/>
  <c r="N154" i="20"/>
  <c r="N155" i="20"/>
  <c r="N156" i="20"/>
  <c r="N157" i="20"/>
  <c r="N158" i="20"/>
  <c r="N159" i="20"/>
  <c r="N160" i="20"/>
  <c r="N161" i="20"/>
  <c r="N162" i="20"/>
  <c r="N163" i="20"/>
  <c r="N164" i="20"/>
  <c r="N165" i="20"/>
  <c r="N166" i="20"/>
  <c r="N167" i="20"/>
  <c r="N168" i="20"/>
  <c r="N169" i="20"/>
  <c r="N170" i="20"/>
  <c r="N171" i="20"/>
  <c r="N172" i="20"/>
  <c r="N173" i="20"/>
  <c r="N174" i="20"/>
  <c r="N175" i="20"/>
  <c r="N176" i="20"/>
  <c r="N177" i="20"/>
  <c r="N178" i="20"/>
  <c r="N179" i="20"/>
  <c r="N180" i="20"/>
  <c r="N181" i="20"/>
  <c r="N182" i="20"/>
  <c r="N183" i="20"/>
  <c r="N184" i="20"/>
  <c r="N185" i="20"/>
  <c r="N186" i="20"/>
  <c r="N187" i="20"/>
  <c r="N188" i="20"/>
  <c r="N189" i="20"/>
  <c r="N190" i="20"/>
  <c r="N191" i="20"/>
  <c r="N192" i="20"/>
  <c r="N193" i="20"/>
  <c r="N194" i="20"/>
  <c r="N195" i="20"/>
  <c r="N196" i="20"/>
  <c r="N197" i="20"/>
  <c r="N198" i="20"/>
  <c r="N199" i="20"/>
  <c r="N200" i="20"/>
  <c r="N201" i="20"/>
  <c r="N202" i="20"/>
  <c r="N203" i="20"/>
  <c r="N204" i="20"/>
  <c r="N205" i="20"/>
  <c r="N206" i="20"/>
  <c r="N207" i="20"/>
  <c r="N208" i="20"/>
  <c r="N209" i="20"/>
  <c r="N210" i="20"/>
  <c r="N211" i="20"/>
  <c r="N212" i="20"/>
  <c r="N213" i="20"/>
  <c r="N214" i="20"/>
  <c r="N215" i="20"/>
  <c r="N216" i="20"/>
  <c r="N217" i="20"/>
  <c r="N218" i="20"/>
  <c r="N219" i="20"/>
  <c r="N220" i="20"/>
  <c r="N221" i="20"/>
  <c r="N222" i="20"/>
  <c r="N223" i="20"/>
  <c r="N224" i="20"/>
  <c r="N225" i="20"/>
  <c r="N226" i="20"/>
  <c r="N227" i="20"/>
  <c r="N228" i="20"/>
  <c r="N229" i="20"/>
  <c r="N230" i="20"/>
  <c r="N231" i="20"/>
  <c r="N232" i="20"/>
  <c r="N233" i="20"/>
  <c r="N234" i="20"/>
  <c r="N235" i="20"/>
  <c r="N236" i="20"/>
  <c r="N237" i="20"/>
  <c r="N238" i="20"/>
  <c r="N239" i="20"/>
  <c r="N240" i="20"/>
  <c r="N241" i="20"/>
  <c r="N242" i="20"/>
  <c r="N243" i="20"/>
  <c r="N244" i="20"/>
  <c r="N245" i="20"/>
  <c r="N246" i="20"/>
  <c r="N247" i="20"/>
  <c r="N248" i="20"/>
  <c r="N249" i="20"/>
  <c r="N250" i="20"/>
  <c r="N251" i="20"/>
  <c r="N252" i="20"/>
  <c r="N253" i="20"/>
  <c r="N254" i="20"/>
  <c r="N255" i="20"/>
  <c r="N256" i="20"/>
  <c r="N257" i="20"/>
  <c r="N258" i="20"/>
  <c r="N259" i="20"/>
  <c r="N260" i="20"/>
  <c r="N261" i="20"/>
  <c r="N262" i="20"/>
  <c r="N263" i="20"/>
  <c r="N264" i="20"/>
  <c r="N265" i="20"/>
  <c r="N266" i="20"/>
  <c r="N267" i="20"/>
  <c r="N268" i="20"/>
  <c r="N269" i="20"/>
  <c r="N270" i="20"/>
  <c r="N271" i="20"/>
  <c r="N272" i="20"/>
  <c r="N273" i="20"/>
  <c r="N274" i="20"/>
  <c r="N275" i="20"/>
  <c r="N276" i="20"/>
  <c r="N277" i="20"/>
  <c r="N278" i="20"/>
  <c r="N279" i="20"/>
  <c r="N280" i="20"/>
  <c r="N281" i="20"/>
  <c r="N282" i="20"/>
  <c r="N283" i="20"/>
  <c r="N284" i="20"/>
  <c r="N285" i="20"/>
  <c r="N286" i="20"/>
  <c r="N287" i="20"/>
  <c r="N288" i="20"/>
  <c r="N289" i="20"/>
  <c r="N290" i="20"/>
  <c r="N291" i="20"/>
  <c r="N292" i="20"/>
  <c r="N293" i="20"/>
  <c r="N294" i="20"/>
  <c r="N295" i="20"/>
  <c r="N296" i="20"/>
  <c r="N297" i="20"/>
  <c r="N298" i="20"/>
  <c r="N299" i="20"/>
  <c r="N300" i="20"/>
  <c r="N301" i="20"/>
  <c r="N302" i="20"/>
  <c r="N303" i="20"/>
  <c r="N304" i="20"/>
  <c r="N305" i="20"/>
  <c r="N306" i="20"/>
  <c r="N307" i="20"/>
  <c r="N308" i="20"/>
  <c r="N309" i="20"/>
  <c r="N310" i="20"/>
  <c r="N311" i="20"/>
  <c r="N312" i="20"/>
  <c r="N313" i="20"/>
  <c r="AF8" i="20"/>
  <c r="AD8" i="20"/>
  <c r="AL313" i="20"/>
  <c r="AL297" i="20"/>
  <c r="AL281" i="20"/>
  <c r="AL265" i="20"/>
  <c r="AL249" i="20"/>
  <c r="AL233" i="20"/>
  <c r="AL217" i="20"/>
  <c r="AL201" i="20"/>
  <c r="AL185" i="20"/>
  <c r="AL169" i="20"/>
  <c r="AL153" i="20"/>
  <c r="AL137" i="20"/>
  <c r="AL121" i="20"/>
  <c r="AL105" i="20"/>
  <c r="AL89" i="20"/>
  <c r="AL73" i="20"/>
  <c r="AL57" i="20"/>
  <c r="AL41" i="20"/>
  <c r="AL25" i="20"/>
  <c r="AL296" i="20"/>
  <c r="AL248" i="20"/>
  <c r="AL232" i="20"/>
  <c r="AL200" i="20"/>
  <c r="AL152" i="20"/>
  <c r="AL88" i="20"/>
  <c r="AL24" i="20"/>
  <c r="AL87" i="20"/>
  <c r="AL39" i="20"/>
  <c r="AL293" i="20"/>
  <c r="AL197" i="20"/>
  <c r="AL133" i="20"/>
  <c r="AL21" i="20"/>
  <c r="AL312" i="20"/>
  <c r="AL280" i="20"/>
  <c r="AL264" i="20"/>
  <c r="AL216" i="20"/>
  <c r="AL184" i="20"/>
  <c r="AL168" i="20"/>
  <c r="AL136" i="20"/>
  <c r="AL120" i="20"/>
  <c r="AL104" i="20"/>
  <c r="AL72" i="20"/>
  <c r="AL56" i="20"/>
  <c r="AL40" i="20"/>
  <c r="AL119" i="20"/>
  <c r="AL71" i="20"/>
  <c r="AL23" i="20"/>
  <c r="AL277" i="20"/>
  <c r="AL165" i="20"/>
  <c r="AL53" i="20"/>
  <c r="AL311" i="20"/>
  <c r="AL295" i="20"/>
  <c r="AL279" i="20"/>
  <c r="AL263" i="20"/>
  <c r="AL247" i="20"/>
  <c r="AL231" i="20"/>
  <c r="AL215" i="20"/>
  <c r="AL199" i="20"/>
  <c r="AL183" i="20"/>
  <c r="AL167" i="20"/>
  <c r="AL151" i="20"/>
  <c r="AL135" i="20"/>
  <c r="AL103" i="20"/>
  <c r="AL55" i="20"/>
  <c r="AL22" i="20"/>
  <c r="AL245" i="20"/>
  <c r="AL117" i="20"/>
  <c r="AL310" i="20"/>
  <c r="AL294" i="20"/>
  <c r="AL278" i="20"/>
  <c r="AL262" i="20"/>
  <c r="AL246" i="20"/>
  <c r="AL230" i="20"/>
  <c r="AL214" i="20"/>
  <c r="AL198" i="20"/>
  <c r="AL182" i="20"/>
  <c r="AL166" i="20"/>
  <c r="AL150" i="20"/>
  <c r="AL134" i="20"/>
  <c r="AL118" i="20"/>
  <c r="AL102" i="20"/>
  <c r="AL86" i="20"/>
  <c r="AL70" i="20"/>
  <c r="AL54" i="20"/>
  <c r="AL38" i="20"/>
  <c r="AL261" i="20"/>
  <c r="AL69" i="20"/>
  <c r="AL309" i="20"/>
  <c r="AL229" i="20"/>
  <c r="AL213" i="20"/>
  <c r="AL181" i="20"/>
  <c r="AL149" i="20"/>
  <c r="AL101" i="20"/>
  <c r="AL85" i="20"/>
  <c r="AL37" i="20"/>
  <c r="AL67" i="20"/>
  <c r="AL19" i="20"/>
  <c r="AL308" i="20"/>
  <c r="AL292" i="20"/>
  <c r="AL276" i="20"/>
  <c r="AL260" i="20"/>
  <c r="AL244" i="20"/>
  <c r="AL228" i="20"/>
  <c r="AL212" i="20"/>
  <c r="AL196" i="20"/>
  <c r="AL180" i="20"/>
  <c r="AL164" i="20"/>
  <c r="AL148" i="20"/>
  <c r="AL132" i="20"/>
  <c r="AL116" i="20"/>
  <c r="AL100" i="20"/>
  <c r="AL84" i="20"/>
  <c r="AL68" i="20"/>
  <c r="AL52" i="20"/>
  <c r="AL36" i="20"/>
  <c r="AL20" i="20"/>
  <c r="AL291" i="20"/>
  <c r="AL115" i="20"/>
  <c r="AL35" i="20"/>
  <c r="AL307" i="20"/>
  <c r="AL275" i="20"/>
  <c r="AL259" i="20"/>
  <c r="AL243" i="20"/>
  <c r="AL227" i="20"/>
  <c r="AL211" i="20"/>
  <c r="AL195" i="20"/>
  <c r="AL179" i="20"/>
  <c r="AL163" i="20"/>
  <c r="AL147" i="20"/>
  <c r="AL131" i="20"/>
  <c r="AL99" i="20"/>
  <c r="AL83" i="20"/>
  <c r="AL51" i="20"/>
  <c r="AL306" i="20"/>
  <c r="AL290" i="20"/>
  <c r="AL274" i="20"/>
  <c r="AL258" i="20"/>
  <c r="AL242" i="20"/>
  <c r="AL226" i="20"/>
  <c r="AL210" i="20"/>
  <c r="AL194" i="20"/>
  <c r="AL178" i="20"/>
  <c r="AL162" i="20"/>
  <c r="AL146" i="20"/>
  <c r="AL130" i="20"/>
  <c r="AL114" i="20"/>
  <c r="AL98" i="20"/>
  <c r="AL82" i="20"/>
  <c r="AL66" i="20"/>
  <c r="AL50" i="20"/>
  <c r="AL34" i="20"/>
  <c r="AL18" i="20"/>
  <c r="AL272" i="20"/>
  <c r="AL240" i="20"/>
  <c r="AL192" i="20"/>
  <c r="AL144" i="20"/>
  <c r="AL112" i="20"/>
  <c r="AL64" i="20"/>
  <c r="AL141" i="20"/>
  <c r="AL59" i="20"/>
  <c r="AL266" i="20"/>
  <c r="AL90" i="20"/>
  <c r="AL305" i="20"/>
  <c r="AL289" i="20"/>
  <c r="AL273" i="20"/>
  <c r="AL257" i="20"/>
  <c r="AL241" i="20"/>
  <c r="AL225" i="20"/>
  <c r="AL209" i="20"/>
  <c r="AL193" i="20"/>
  <c r="AL177" i="20"/>
  <c r="AL161" i="20"/>
  <c r="AL145" i="20"/>
  <c r="AL129" i="20"/>
  <c r="AL113" i="20"/>
  <c r="AL97" i="20"/>
  <c r="AL81" i="20"/>
  <c r="AL65" i="20"/>
  <c r="AL49" i="20"/>
  <c r="AL33" i="20"/>
  <c r="AL17" i="20"/>
  <c r="AL288" i="20"/>
  <c r="AL224" i="20"/>
  <c r="AL160" i="20"/>
  <c r="AL96" i="20"/>
  <c r="AL32" i="20"/>
  <c r="AL61" i="20"/>
  <c r="AL171" i="20"/>
  <c r="AL202" i="20"/>
  <c r="AL154" i="20"/>
  <c r="AL42" i="20"/>
  <c r="AL304" i="20"/>
  <c r="AL256" i="20"/>
  <c r="AL208" i="20"/>
  <c r="AL176" i="20"/>
  <c r="AL128" i="20"/>
  <c r="AL80" i="20"/>
  <c r="AL48" i="20"/>
  <c r="AL77" i="20"/>
  <c r="AL139" i="20"/>
  <c r="AL43" i="20"/>
  <c r="AL234" i="20"/>
  <c r="AL186" i="20"/>
  <c r="AL138" i="20"/>
  <c r="AL58" i="20"/>
  <c r="AL303" i="20"/>
  <c r="AL287" i="20"/>
  <c r="AL271" i="20"/>
  <c r="AL255" i="20"/>
  <c r="AL239" i="20"/>
  <c r="AL223" i="20"/>
  <c r="AL207" i="20"/>
  <c r="AL191" i="20"/>
  <c r="AL175" i="20"/>
  <c r="AL159" i="20"/>
  <c r="AL143" i="20"/>
  <c r="AL127" i="20"/>
  <c r="AL111" i="20"/>
  <c r="AL95" i="20"/>
  <c r="AL79" i="20"/>
  <c r="AL63" i="20"/>
  <c r="AL47" i="20"/>
  <c r="AL31" i="20"/>
  <c r="AL78" i="20"/>
  <c r="AL30" i="20"/>
  <c r="AL269" i="20"/>
  <c r="AL173" i="20"/>
  <c r="AL125" i="20"/>
  <c r="AL45" i="20"/>
  <c r="AL107" i="20"/>
  <c r="AL218" i="20"/>
  <c r="AL122" i="20"/>
  <c r="AL302" i="20"/>
  <c r="AL286" i="20"/>
  <c r="AL270" i="20"/>
  <c r="AL254" i="20"/>
  <c r="AL238" i="20"/>
  <c r="AL222" i="20"/>
  <c r="AL206" i="20"/>
  <c r="AL190" i="20"/>
  <c r="AL174" i="20"/>
  <c r="AL158" i="20"/>
  <c r="AL142" i="20"/>
  <c r="AL126" i="20"/>
  <c r="AL110" i="20"/>
  <c r="AL94" i="20"/>
  <c r="AL62" i="20"/>
  <c r="AL46" i="20"/>
  <c r="AL285" i="20"/>
  <c r="AL189" i="20"/>
  <c r="AL93" i="20"/>
  <c r="AL123" i="20"/>
  <c r="AL298" i="20"/>
  <c r="AL74" i="20"/>
  <c r="AL301" i="20"/>
  <c r="AL253" i="20"/>
  <c r="AL237" i="20"/>
  <c r="AL221" i="20"/>
  <c r="AL205" i="20"/>
  <c r="AL157" i="20"/>
  <c r="AL109" i="20"/>
  <c r="AL29" i="20"/>
  <c r="AL91" i="20"/>
  <c r="AL250" i="20"/>
  <c r="AL170" i="20"/>
  <c r="AL26" i="20"/>
  <c r="AL300" i="20"/>
  <c r="AL284" i="20"/>
  <c r="AL268" i="20"/>
  <c r="AL252" i="20"/>
  <c r="AL236" i="20"/>
  <c r="AL220" i="20"/>
  <c r="AL204" i="20"/>
  <c r="AL188" i="20"/>
  <c r="AL172" i="20"/>
  <c r="AL156" i="20"/>
  <c r="AL140" i="20"/>
  <c r="AL124" i="20"/>
  <c r="AL108" i="20"/>
  <c r="AL92" i="20"/>
  <c r="AL76" i="20"/>
  <c r="AL60" i="20"/>
  <c r="AL44" i="20"/>
  <c r="AL28" i="20"/>
  <c r="AL299" i="20"/>
  <c r="AL283" i="20"/>
  <c r="AL267" i="20"/>
  <c r="AL251" i="20"/>
  <c r="AL235" i="20"/>
  <c r="AL219" i="20"/>
  <c r="AL203" i="20"/>
  <c r="AL187" i="20"/>
  <c r="AL155" i="20"/>
  <c r="AL75" i="20"/>
  <c r="AL27" i="20"/>
  <c r="AL282" i="20"/>
  <c r="AL106" i="20"/>
  <c r="AJ40" i="20"/>
  <c r="AJ135" i="20"/>
  <c r="AJ55" i="20"/>
  <c r="AJ262" i="20"/>
  <c r="AJ150" i="20"/>
  <c r="AJ22" i="20"/>
  <c r="AJ245" i="20"/>
  <c r="AJ165" i="20"/>
  <c r="AJ85" i="20"/>
  <c r="AJ180" i="20"/>
  <c r="AJ100" i="20"/>
  <c r="AJ83" i="20"/>
  <c r="AJ118" i="20"/>
  <c r="AJ149" i="20"/>
  <c r="AJ117" i="20"/>
  <c r="AJ21" i="20"/>
  <c r="AJ212" i="20"/>
  <c r="AJ116" i="20"/>
  <c r="AJ67" i="20"/>
  <c r="AJ260" i="20"/>
  <c r="AJ276" i="20"/>
  <c r="AJ36" i="20"/>
  <c r="AJ213" i="20"/>
  <c r="AJ115" i="20"/>
  <c r="AJ308" i="20"/>
  <c r="AJ292" i="20"/>
  <c r="AJ228" i="20"/>
  <c r="AJ164" i="20"/>
  <c r="AJ84" i="20"/>
  <c r="AJ307" i="20"/>
  <c r="AJ291" i="20"/>
  <c r="AJ275" i="20"/>
  <c r="AJ259" i="20"/>
  <c r="AJ243" i="20"/>
  <c r="AJ227" i="20"/>
  <c r="AJ211" i="20"/>
  <c r="AJ179" i="20"/>
  <c r="AJ131" i="20"/>
  <c r="AJ19" i="20"/>
  <c r="AJ306" i="20"/>
  <c r="AJ290" i="20"/>
  <c r="AJ274" i="20"/>
  <c r="AJ258" i="20"/>
  <c r="AJ242" i="20"/>
  <c r="AJ226" i="20"/>
  <c r="AJ210" i="20"/>
  <c r="AJ194" i="20"/>
  <c r="AJ178" i="20"/>
  <c r="AJ162" i="20"/>
  <c r="AJ146" i="20"/>
  <c r="AJ130" i="20"/>
  <c r="AJ114" i="20"/>
  <c r="AJ98" i="20"/>
  <c r="AJ82" i="20"/>
  <c r="AJ66" i="20"/>
  <c r="AJ50" i="20"/>
  <c r="AJ34" i="20"/>
  <c r="AJ18" i="20"/>
  <c r="AJ305" i="20"/>
  <c r="AJ289" i="20"/>
  <c r="AJ273" i="20"/>
  <c r="AJ257" i="20"/>
  <c r="AJ241" i="20"/>
  <c r="AJ225" i="20"/>
  <c r="AJ209" i="20"/>
  <c r="AJ193" i="20"/>
  <c r="AJ177" i="20"/>
  <c r="AJ161" i="20"/>
  <c r="AJ145" i="20"/>
  <c r="AJ129" i="20"/>
  <c r="AJ113" i="20"/>
  <c r="AJ97" i="20"/>
  <c r="AJ81" i="20"/>
  <c r="AJ65" i="20"/>
  <c r="AJ49" i="20"/>
  <c r="AJ33" i="20"/>
  <c r="AJ17" i="20"/>
  <c r="AJ304" i="20"/>
  <c r="AJ288" i="20"/>
  <c r="AJ272" i="20"/>
  <c r="AJ256" i="20"/>
  <c r="AJ240" i="20"/>
  <c r="AJ224" i="20"/>
  <c r="AJ208" i="20"/>
  <c r="AJ192" i="20"/>
  <c r="AJ176" i="20"/>
  <c r="AJ160" i="20"/>
  <c r="AJ144" i="20"/>
  <c r="AJ128" i="20"/>
  <c r="AJ112" i="20"/>
  <c r="AJ96" i="20"/>
  <c r="AJ80" i="20"/>
  <c r="AJ64" i="20"/>
  <c r="AJ48" i="20"/>
  <c r="AJ32" i="20"/>
  <c r="AJ16" i="20"/>
  <c r="AJ303" i="20"/>
  <c r="AJ287" i="20"/>
  <c r="AJ255" i="20"/>
  <c r="AJ239" i="20"/>
  <c r="AJ223" i="20"/>
  <c r="AJ207" i="20"/>
  <c r="AJ191" i="20"/>
  <c r="AJ175" i="20"/>
  <c r="AJ159" i="20"/>
  <c r="AJ143" i="20"/>
  <c r="AJ127" i="20"/>
  <c r="AJ111" i="20"/>
  <c r="AJ95" i="20"/>
  <c r="AJ63" i="20"/>
  <c r="AJ47" i="20"/>
  <c r="AJ31" i="20"/>
  <c r="AJ15" i="20"/>
  <c r="AJ294" i="20"/>
  <c r="AJ182" i="20"/>
  <c r="AJ229" i="20"/>
  <c r="AJ69" i="20"/>
  <c r="AJ52" i="20"/>
  <c r="AJ147" i="20"/>
  <c r="AJ271" i="20"/>
  <c r="AJ79" i="20"/>
  <c r="AJ246" i="20"/>
  <c r="AJ166" i="20"/>
  <c r="AJ102" i="20"/>
  <c r="AJ293" i="20"/>
  <c r="AJ133" i="20"/>
  <c r="AJ196" i="20"/>
  <c r="AJ20" i="20"/>
  <c r="AJ51" i="20"/>
  <c r="AJ35" i="20"/>
  <c r="AJ54" i="20"/>
  <c r="AJ197" i="20"/>
  <c r="AJ53" i="20"/>
  <c r="AJ148" i="20"/>
  <c r="AJ99" i="20"/>
  <c r="AJ244" i="20"/>
  <c r="AJ302" i="20"/>
  <c r="AJ286" i="20"/>
  <c r="AJ270" i="20"/>
  <c r="AJ254" i="20"/>
  <c r="AJ238" i="20"/>
  <c r="AJ222" i="20"/>
  <c r="AJ206" i="20"/>
  <c r="AJ190" i="20"/>
  <c r="AJ174" i="20"/>
  <c r="AJ158" i="20"/>
  <c r="AJ142" i="20"/>
  <c r="AJ126" i="20"/>
  <c r="AJ110" i="20"/>
  <c r="AJ94" i="20"/>
  <c r="AJ78" i="20"/>
  <c r="AJ62" i="20"/>
  <c r="AJ46" i="20"/>
  <c r="AJ30" i="20"/>
  <c r="AJ14" i="20"/>
  <c r="AJ283" i="20"/>
  <c r="AJ123" i="20"/>
  <c r="AJ266" i="20"/>
  <c r="AJ122" i="20"/>
  <c r="AJ281" i="20"/>
  <c r="AJ153" i="20"/>
  <c r="AJ25" i="20"/>
  <c r="AJ264" i="20"/>
  <c r="AJ104" i="20"/>
  <c r="AJ279" i="20"/>
  <c r="AJ119" i="20"/>
  <c r="AJ230" i="20"/>
  <c r="AJ134" i="20"/>
  <c r="AJ38" i="20"/>
  <c r="AJ309" i="20"/>
  <c r="AJ181" i="20"/>
  <c r="AJ195" i="20"/>
  <c r="AJ301" i="20"/>
  <c r="AJ285" i="20"/>
  <c r="AJ269" i="20"/>
  <c r="AJ253" i="20"/>
  <c r="AJ237" i="20"/>
  <c r="AJ221" i="20"/>
  <c r="AJ205" i="20"/>
  <c r="AJ189" i="20"/>
  <c r="AJ173" i="20"/>
  <c r="AJ157" i="20"/>
  <c r="AJ141" i="20"/>
  <c r="AJ125" i="20"/>
  <c r="AJ109" i="20"/>
  <c r="AJ93" i="20"/>
  <c r="AJ77" i="20"/>
  <c r="AJ61" i="20"/>
  <c r="AJ45" i="20"/>
  <c r="AJ29" i="20"/>
  <c r="AJ13" i="20"/>
  <c r="AJ267" i="20"/>
  <c r="AJ203" i="20"/>
  <c r="AJ171" i="20"/>
  <c r="AJ139" i="20"/>
  <c r="AJ91" i="20"/>
  <c r="AJ59" i="20"/>
  <c r="AJ27" i="20"/>
  <c r="AJ282" i="20"/>
  <c r="AJ234" i="20"/>
  <c r="AJ202" i="20"/>
  <c r="AJ170" i="20"/>
  <c r="AJ138" i="20"/>
  <c r="AJ90" i="20"/>
  <c r="AJ58" i="20"/>
  <c r="AJ26" i="20"/>
  <c r="AJ297" i="20"/>
  <c r="AJ265" i="20"/>
  <c r="AJ233" i="20"/>
  <c r="AJ201" i="20"/>
  <c r="AJ169" i="20"/>
  <c r="AJ121" i="20"/>
  <c r="AJ89" i="20"/>
  <c r="AJ57" i="20"/>
  <c r="AJ296" i="20"/>
  <c r="AJ248" i="20"/>
  <c r="AJ200" i="20"/>
  <c r="AJ168" i="20"/>
  <c r="AJ136" i="20"/>
  <c r="AJ88" i="20"/>
  <c r="AJ56" i="20"/>
  <c r="AJ311" i="20"/>
  <c r="AJ247" i="20"/>
  <c r="AJ215" i="20"/>
  <c r="AJ183" i="20"/>
  <c r="AJ151" i="20"/>
  <c r="AJ87" i="20"/>
  <c r="AJ39" i="20"/>
  <c r="AJ310" i="20"/>
  <c r="AJ198" i="20"/>
  <c r="AJ86" i="20"/>
  <c r="AJ277" i="20"/>
  <c r="AJ37" i="20"/>
  <c r="AJ68" i="20"/>
  <c r="AJ163" i="20"/>
  <c r="AJ300" i="20"/>
  <c r="AJ284" i="20"/>
  <c r="AJ268" i="20"/>
  <c r="AJ252" i="20"/>
  <c r="AJ236" i="20"/>
  <c r="AJ220" i="20"/>
  <c r="AJ204" i="20"/>
  <c r="AJ188" i="20"/>
  <c r="AJ172" i="20"/>
  <c r="AJ156" i="20"/>
  <c r="AJ140" i="20"/>
  <c r="AJ124" i="20"/>
  <c r="AJ108" i="20"/>
  <c r="AJ92" i="20"/>
  <c r="AJ76" i="20"/>
  <c r="AJ60" i="20"/>
  <c r="AJ44" i="20"/>
  <c r="AJ28" i="20"/>
  <c r="AJ299" i="20"/>
  <c r="AJ251" i="20"/>
  <c r="AJ235" i="20"/>
  <c r="AJ219" i="20"/>
  <c r="AJ187" i="20"/>
  <c r="AJ155" i="20"/>
  <c r="AJ107" i="20"/>
  <c r="AJ75" i="20"/>
  <c r="AJ43" i="20"/>
  <c r="AJ298" i="20"/>
  <c r="AJ250" i="20"/>
  <c r="AJ218" i="20"/>
  <c r="AJ186" i="20"/>
  <c r="AJ154" i="20"/>
  <c r="AJ106" i="20"/>
  <c r="AJ74" i="20"/>
  <c r="AJ42" i="20"/>
  <c r="AJ313" i="20"/>
  <c r="AJ249" i="20"/>
  <c r="AJ217" i="20"/>
  <c r="AJ185" i="20"/>
  <c r="AJ137" i="20"/>
  <c r="AJ105" i="20"/>
  <c r="AJ73" i="20"/>
  <c r="AJ41" i="20"/>
  <c r="AJ312" i="20"/>
  <c r="AJ280" i="20"/>
  <c r="AJ232" i="20"/>
  <c r="AJ216" i="20"/>
  <c r="AJ184" i="20"/>
  <c r="AJ152" i="20"/>
  <c r="AJ120" i="20"/>
  <c r="AJ72" i="20"/>
  <c r="AJ24" i="20"/>
  <c r="AJ295" i="20"/>
  <c r="AJ263" i="20"/>
  <c r="AJ231" i="20"/>
  <c r="AJ199" i="20"/>
  <c r="AJ167" i="20"/>
  <c r="AJ103" i="20"/>
  <c r="AJ71" i="20"/>
  <c r="AJ23" i="20"/>
  <c r="AJ278" i="20"/>
  <c r="AJ214" i="20"/>
  <c r="AJ70" i="20"/>
  <c r="AJ261" i="20"/>
  <c r="AJ101" i="20"/>
  <c r="AJ132" i="20"/>
  <c r="AH313" i="20"/>
  <c r="AH297" i="20"/>
  <c r="AH281" i="20"/>
  <c r="AH265" i="20"/>
  <c r="AH249" i="20"/>
  <c r="AH233" i="20"/>
  <c r="AH217" i="20"/>
  <c r="AH201" i="20"/>
  <c r="AH121" i="20"/>
  <c r="AH89" i="20"/>
  <c r="AH25" i="20"/>
  <c r="AH21" i="20"/>
  <c r="AH308" i="20"/>
  <c r="AH196" i="20"/>
  <c r="AH148" i="20"/>
  <c r="AH116" i="20"/>
  <c r="AH36" i="20"/>
  <c r="AH291" i="20"/>
  <c r="AH163" i="20"/>
  <c r="AH312" i="20"/>
  <c r="AH296" i="20"/>
  <c r="AH280" i="20"/>
  <c r="AH264" i="20"/>
  <c r="AH248" i="20"/>
  <c r="AH232" i="20"/>
  <c r="AH216" i="20"/>
  <c r="AH200" i="20"/>
  <c r="AH184" i="20"/>
  <c r="AH168" i="20"/>
  <c r="AH152" i="20"/>
  <c r="AH136" i="20"/>
  <c r="AH120" i="20"/>
  <c r="AH104" i="20"/>
  <c r="AH88" i="20"/>
  <c r="AH72" i="20"/>
  <c r="AH56" i="20"/>
  <c r="AH40" i="20"/>
  <c r="AH24" i="20"/>
  <c r="AH311" i="20"/>
  <c r="AH295" i="20"/>
  <c r="AH279" i="20"/>
  <c r="AH263" i="20"/>
  <c r="AH247" i="20"/>
  <c r="AH231" i="20"/>
  <c r="AH215" i="20"/>
  <c r="AH199" i="20"/>
  <c r="AH183" i="20"/>
  <c r="AH167" i="20"/>
  <c r="AH151" i="20"/>
  <c r="AH135" i="20"/>
  <c r="AH119" i="20"/>
  <c r="AH103" i="20"/>
  <c r="AH87" i="20"/>
  <c r="AH71" i="20"/>
  <c r="AH55" i="20"/>
  <c r="AH39" i="20"/>
  <c r="AH23" i="20"/>
  <c r="AH310" i="20"/>
  <c r="AH294" i="20"/>
  <c r="AH278" i="20"/>
  <c r="AH262" i="20"/>
  <c r="AH246" i="20"/>
  <c r="AH230" i="20"/>
  <c r="AH214" i="20"/>
  <c r="AH198" i="20"/>
  <c r="AH182" i="20"/>
  <c r="AH166" i="20"/>
  <c r="AH150" i="20"/>
  <c r="AH134" i="20"/>
  <c r="AH118" i="20"/>
  <c r="AH102" i="20"/>
  <c r="AH86" i="20"/>
  <c r="AH70" i="20"/>
  <c r="AH54" i="20"/>
  <c r="AH38" i="20"/>
  <c r="AH22" i="20"/>
  <c r="AH309" i="20"/>
  <c r="AH293" i="20"/>
  <c r="AH277" i="20"/>
  <c r="AH261" i="20"/>
  <c r="AH245" i="20"/>
  <c r="AH229" i="20"/>
  <c r="AH213" i="20"/>
  <c r="AH197" i="20"/>
  <c r="AH181" i="20"/>
  <c r="AH165" i="20"/>
  <c r="AH149" i="20"/>
  <c r="AH133" i="20"/>
  <c r="AH117" i="20"/>
  <c r="AH85" i="20"/>
  <c r="AH244" i="20"/>
  <c r="AH84" i="20"/>
  <c r="AH179" i="20"/>
  <c r="AH115" i="20"/>
  <c r="AH259" i="20"/>
  <c r="AH275" i="20"/>
  <c r="AH306" i="20"/>
  <c r="AH290" i="20"/>
  <c r="AH274" i="20"/>
  <c r="AH258" i="20"/>
  <c r="AH242" i="20"/>
  <c r="AH226" i="20"/>
  <c r="AH210" i="20"/>
  <c r="AH194" i="20"/>
  <c r="AH178" i="20"/>
  <c r="AH162" i="20"/>
  <c r="AH146" i="20"/>
  <c r="AH130" i="20"/>
  <c r="AH114" i="20"/>
  <c r="AH98" i="20"/>
  <c r="AH82" i="20"/>
  <c r="AH66" i="20"/>
  <c r="AH50" i="20"/>
  <c r="AH34" i="20"/>
  <c r="AH18" i="20"/>
  <c r="AH305" i="20"/>
  <c r="AH289" i="20"/>
  <c r="AH273" i="20"/>
  <c r="AH257" i="20"/>
  <c r="AH241" i="20"/>
  <c r="AH225" i="20"/>
  <c r="AH209" i="20"/>
  <c r="AH193" i="20"/>
  <c r="AH177" i="20"/>
  <c r="AH161" i="20"/>
  <c r="AH145" i="20"/>
  <c r="AH129" i="20"/>
  <c r="AH113" i="20"/>
  <c r="AH97" i="20"/>
  <c r="AH81" i="20"/>
  <c r="AH65" i="20"/>
  <c r="AH49" i="20"/>
  <c r="AH33" i="20"/>
  <c r="AH17" i="20"/>
  <c r="AH304" i="20"/>
  <c r="AH288" i="20"/>
  <c r="AH272" i="20"/>
  <c r="AH256" i="20"/>
  <c r="AH240" i="20"/>
  <c r="AH224" i="20"/>
  <c r="AH208" i="20"/>
  <c r="AH192" i="20"/>
  <c r="AH176" i="20"/>
  <c r="AH160" i="20"/>
  <c r="AH144" i="20"/>
  <c r="AH128" i="20"/>
  <c r="AH112" i="20"/>
  <c r="AH96" i="20"/>
  <c r="AH64" i="20"/>
  <c r="AH32" i="20"/>
  <c r="AH137" i="20"/>
  <c r="AH41" i="20"/>
  <c r="AH292" i="20"/>
  <c r="AH164" i="20"/>
  <c r="AH211" i="20"/>
  <c r="AH80" i="20"/>
  <c r="AH48" i="20"/>
  <c r="AH16" i="20"/>
  <c r="AH169" i="20"/>
  <c r="AH212" i="20"/>
  <c r="AH180" i="20"/>
  <c r="AH132" i="20"/>
  <c r="AH100" i="20"/>
  <c r="AH307" i="20"/>
  <c r="AH131" i="20"/>
  <c r="AH303" i="20"/>
  <c r="AH287" i="20"/>
  <c r="AH271" i="20"/>
  <c r="AH255" i="20"/>
  <c r="AH239" i="20"/>
  <c r="AH223" i="20"/>
  <c r="AH207" i="20"/>
  <c r="AH191" i="20"/>
  <c r="AH175" i="20"/>
  <c r="AH159" i="20"/>
  <c r="AH143" i="20"/>
  <c r="AH127" i="20"/>
  <c r="AH111" i="20"/>
  <c r="AH95" i="20"/>
  <c r="AH79" i="20"/>
  <c r="AH63" i="20"/>
  <c r="AH47" i="20"/>
  <c r="AH31" i="20"/>
  <c r="AH15" i="20"/>
  <c r="AH302" i="20"/>
  <c r="AH286" i="20"/>
  <c r="AH270" i="20"/>
  <c r="AH254" i="20"/>
  <c r="AH238" i="20"/>
  <c r="AH222" i="20"/>
  <c r="AH206" i="20"/>
  <c r="AH190" i="20"/>
  <c r="AH174" i="20"/>
  <c r="AH158" i="20"/>
  <c r="AH142" i="20"/>
  <c r="AH126" i="20"/>
  <c r="AH110" i="20"/>
  <c r="AH94" i="20"/>
  <c r="AH78" i="20"/>
  <c r="AH62" i="20"/>
  <c r="AH46" i="20"/>
  <c r="AH30" i="20"/>
  <c r="AH266" i="20"/>
  <c r="AH250" i="20"/>
  <c r="AH218" i="20"/>
  <c r="AH170" i="20"/>
  <c r="AH138" i="20"/>
  <c r="AH106" i="20"/>
  <c r="AH74" i="20"/>
  <c r="AH42" i="20"/>
  <c r="AH153" i="20"/>
  <c r="AH57" i="20"/>
  <c r="AH69" i="20"/>
  <c r="AH276" i="20"/>
  <c r="AH20" i="20"/>
  <c r="AH227" i="20"/>
  <c r="AH147" i="20"/>
  <c r="AH67" i="20"/>
  <c r="AH35" i="20"/>
  <c r="AH83" i="20"/>
  <c r="AH301" i="20"/>
  <c r="AH285" i="20"/>
  <c r="AH269" i="20"/>
  <c r="AH253" i="20"/>
  <c r="AH237" i="20"/>
  <c r="AH221" i="20"/>
  <c r="AH205" i="20"/>
  <c r="AH189" i="20"/>
  <c r="AH173" i="20"/>
  <c r="AH157" i="20"/>
  <c r="AH141" i="20"/>
  <c r="AH125" i="20"/>
  <c r="AH109" i="20"/>
  <c r="AH93" i="20"/>
  <c r="AH77" i="20"/>
  <c r="AH61" i="20"/>
  <c r="AH45" i="20"/>
  <c r="AH29" i="20"/>
  <c r="AH13" i="20"/>
  <c r="AH59" i="20"/>
  <c r="AH282" i="20"/>
  <c r="AH202" i="20"/>
  <c r="AH90" i="20"/>
  <c r="AH105" i="20"/>
  <c r="AH73" i="20"/>
  <c r="AH101" i="20"/>
  <c r="AH37" i="20"/>
  <c r="AH228" i="20"/>
  <c r="AH68" i="20"/>
  <c r="AH195" i="20"/>
  <c r="AH51" i="20"/>
  <c r="AH300" i="20"/>
  <c r="AH284" i="20"/>
  <c r="AH268" i="20"/>
  <c r="AH252" i="20"/>
  <c r="AH236" i="20"/>
  <c r="AH220" i="20"/>
  <c r="AH204" i="20"/>
  <c r="AH188" i="20"/>
  <c r="AH172" i="20"/>
  <c r="AH156" i="20"/>
  <c r="AH140" i="20"/>
  <c r="AH124" i="20"/>
  <c r="AH108" i="20"/>
  <c r="AH92" i="20"/>
  <c r="AH76" i="20"/>
  <c r="AH60" i="20"/>
  <c r="AH44" i="20"/>
  <c r="AH28" i="20"/>
  <c r="AH299" i="20"/>
  <c r="AH283" i="20"/>
  <c r="AH267" i="20"/>
  <c r="AH251" i="20"/>
  <c r="AH235" i="20"/>
  <c r="AH219" i="20"/>
  <c r="AH203" i="20"/>
  <c r="AH187" i="20"/>
  <c r="AH171" i="20"/>
  <c r="AH155" i="20"/>
  <c r="AH139" i="20"/>
  <c r="AH123" i="20"/>
  <c r="AH107" i="20"/>
  <c r="AH91" i="20"/>
  <c r="AH75" i="20"/>
  <c r="AH43" i="20"/>
  <c r="AH27" i="20"/>
  <c r="AH298" i="20"/>
  <c r="AH234" i="20"/>
  <c r="AH186" i="20"/>
  <c r="AH154" i="20"/>
  <c r="AH122" i="20"/>
  <c r="AH58" i="20"/>
  <c r="AH26" i="20"/>
  <c r="AH185" i="20"/>
  <c r="AH53" i="20"/>
  <c r="AH260" i="20"/>
  <c r="AH52" i="20"/>
  <c r="AH243" i="20"/>
  <c r="AH99" i="20"/>
  <c r="AH19" i="20"/>
  <c r="R260" i="20"/>
  <c r="R276" i="20"/>
  <c r="T13" i="20"/>
  <c r="T251" i="20"/>
  <c r="T282" i="20"/>
  <c r="T26" i="20"/>
  <c r="T57" i="20"/>
  <c r="T88" i="20"/>
  <c r="T30" i="20"/>
  <c r="T55" i="20"/>
  <c r="T86" i="20"/>
  <c r="T117" i="20"/>
  <c r="T33" i="20"/>
  <c r="T238" i="20"/>
  <c r="T132" i="20"/>
  <c r="T163" i="20"/>
  <c r="T210" i="20"/>
  <c r="T193" i="20"/>
  <c r="T191" i="20"/>
  <c r="T76" i="20"/>
  <c r="T253" i="20"/>
  <c r="T311" i="20"/>
  <c r="T174" i="20"/>
  <c r="T71" i="20"/>
  <c r="T140" i="20"/>
  <c r="T235" i="20"/>
  <c r="T266" i="20"/>
  <c r="T297" i="20"/>
  <c r="T41" i="20"/>
  <c r="T72" i="20"/>
  <c r="T295" i="20"/>
  <c r="T39" i="20"/>
  <c r="T70" i="20"/>
  <c r="T101" i="20"/>
  <c r="T304" i="20"/>
  <c r="T190" i="20"/>
  <c r="T116" i="20"/>
  <c r="T147" i="20"/>
  <c r="T194" i="20"/>
  <c r="T145" i="20"/>
  <c r="T159" i="20"/>
  <c r="T189" i="20"/>
  <c r="T125" i="20"/>
  <c r="T309" i="20"/>
  <c r="T146" i="20"/>
  <c r="T221" i="20"/>
  <c r="T17" i="20"/>
  <c r="T222" i="20"/>
  <c r="T236" i="20"/>
  <c r="T73" i="20"/>
  <c r="T225" i="20"/>
  <c r="T219" i="20"/>
  <c r="T250" i="20"/>
  <c r="T281" i="20"/>
  <c r="T25" i="20"/>
  <c r="T56" i="20"/>
  <c r="T279" i="20"/>
  <c r="T23" i="20"/>
  <c r="T54" i="20"/>
  <c r="T85" i="20"/>
  <c r="T256" i="20"/>
  <c r="T158" i="20"/>
  <c r="T100" i="20"/>
  <c r="T131" i="20"/>
  <c r="T178" i="20"/>
  <c r="T113" i="20"/>
  <c r="T127" i="20"/>
  <c r="T61" i="20"/>
  <c r="T252" i="20"/>
  <c r="T84" i="20"/>
  <c r="T162" i="20"/>
  <c r="T188" i="20"/>
  <c r="T285" i="20"/>
  <c r="T148" i="20"/>
  <c r="T203" i="20"/>
  <c r="T234" i="20"/>
  <c r="T265" i="20"/>
  <c r="T296" i="20"/>
  <c r="T40" i="20"/>
  <c r="T263" i="20"/>
  <c r="T294" i="20"/>
  <c r="T38" i="20"/>
  <c r="T69" i="20"/>
  <c r="T224" i="20"/>
  <c r="T110" i="20"/>
  <c r="T115" i="20"/>
  <c r="T81" i="20"/>
  <c r="T63" i="20"/>
  <c r="T237" i="20"/>
  <c r="T62" i="20"/>
  <c r="T68" i="20"/>
  <c r="T49" i="20"/>
  <c r="T302" i="20"/>
  <c r="T130" i="20"/>
  <c r="T156" i="20"/>
  <c r="T124" i="20"/>
  <c r="T65" i="20"/>
  <c r="T187" i="20"/>
  <c r="T218" i="20"/>
  <c r="T249" i="20"/>
  <c r="T280" i="20"/>
  <c r="T24" i="20"/>
  <c r="T247" i="20"/>
  <c r="T278" i="20"/>
  <c r="T22" i="20"/>
  <c r="T53" i="20"/>
  <c r="T192" i="20"/>
  <c r="T99" i="20"/>
  <c r="T60" i="20"/>
  <c r="T286" i="20"/>
  <c r="T171" i="20"/>
  <c r="T202" i="20"/>
  <c r="T233" i="20"/>
  <c r="T264" i="20"/>
  <c r="T96" i="20"/>
  <c r="T231" i="20"/>
  <c r="T262" i="20"/>
  <c r="T293" i="20"/>
  <c r="T37" i="20"/>
  <c r="T160" i="20"/>
  <c r="T52" i="20"/>
  <c r="T83" i="20"/>
  <c r="T173" i="20"/>
  <c r="T172" i="20"/>
  <c r="T226" i="20"/>
  <c r="T64" i="20"/>
  <c r="T155" i="20"/>
  <c r="T186" i="20"/>
  <c r="T217" i="20"/>
  <c r="T248" i="20"/>
  <c r="T16" i="20"/>
  <c r="T215" i="20"/>
  <c r="T246" i="20"/>
  <c r="T277" i="20"/>
  <c r="T21" i="20"/>
  <c r="T144" i="20"/>
  <c r="T292" i="20"/>
  <c r="T36" i="20"/>
  <c r="T67" i="20"/>
  <c r="T114" i="20"/>
  <c r="T288" i="20"/>
  <c r="T45" i="20"/>
  <c r="T126" i="20"/>
  <c r="T312" i="20"/>
  <c r="T95" i="20"/>
  <c r="T139" i="20"/>
  <c r="T170" i="20"/>
  <c r="T201" i="20"/>
  <c r="T232" i="20"/>
  <c r="T271" i="20"/>
  <c r="T199" i="20"/>
  <c r="T230" i="20"/>
  <c r="T261" i="20"/>
  <c r="T289" i="20"/>
  <c r="T112" i="20"/>
  <c r="T276" i="20"/>
  <c r="T20" i="20"/>
  <c r="T51" i="20"/>
  <c r="T98" i="20"/>
  <c r="T272" i="20"/>
  <c r="T142" i="20"/>
  <c r="T102" i="20"/>
  <c r="T31" i="20"/>
  <c r="T123" i="20"/>
  <c r="T154" i="20"/>
  <c r="T185" i="20"/>
  <c r="T216" i="20"/>
  <c r="T47" i="20"/>
  <c r="T183" i="20"/>
  <c r="T214" i="20"/>
  <c r="T245" i="20"/>
  <c r="T273" i="20"/>
  <c r="T48" i="20"/>
  <c r="T260" i="20"/>
  <c r="T291" i="20"/>
  <c r="T35" i="20"/>
  <c r="T82" i="20"/>
  <c r="T240" i="20"/>
  <c r="T78" i="20"/>
  <c r="T44" i="20"/>
  <c r="T109" i="20"/>
  <c r="T306" i="20"/>
  <c r="T179" i="20"/>
  <c r="T270" i="20"/>
  <c r="T107" i="20"/>
  <c r="T138" i="20"/>
  <c r="T169" i="20"/>
  <c r="T200" i="20"/>
  <c r="T254" i="20"/>
  <c r="T167" i="20"/>
  <c r="T198" i="20"/>
  <c r="T229" i="20"/>
  <c r="T241" i="20"/>
  <c r="T303" i="20"/>
  <c r="T244" i="20"/>
  <c r="T275" i="20"/>
  <c r="T19" i="20"/>
  <c r="T66" i="20"/>
  <c r="T208" i="20"/>
  <c r="T14" i="20"/>
  <c r="T157" i="20"/>
  <c r="T108" i="20"/>
  <c r="T209" i="20"/>
  <c r="T259" i="20"/>
  <c r="T176" i="20"/>
  <c r="T29" i="20"/>
  <c r="T93" i="20"/>
  <c r="T223" i="20"/>
  <c r="T94" i="20"/>
  <c r="T91" i="20"/>
  <c r="T122" i="20"/>
  <c r="T153" i="20"/>
  <c r="T184" i="20"/>
  <c r="T46" i="20"/>
  <c r="T151" i="20"/>
  <c r="T182" i="20"/>
  <c r="T213" i="20"/>
  <c r="T239" i="20"/>
  <c r="T228" i="20"/>
  <c r="T50" i="20"/>
  <c r="T269" i="20"/>
  <c r="T104" i="20"/>
  <c r="T301" i="20"/>
  <c r="T75" i="20"/>
  <c r="T106" i="20"/>
  <c r="T137" i="20"/>
  <c r="T168" i="20"/>
  <c r="T32" i="20"/>
  <c r="T135" i="20"/>
  <c r="T166" i="20"/>
  <c r="T197" i="20"/>
  <c r="T177" i="20"/>
  <c r="T207" i="20"/>
  <c r="T212" i="20"/>
  <c r="T243" i="20"/>
  <c r="T290" i="20"/>
  <c r="T34" i="20"/>
  <c r="T128" i="20"/>
  <c r="T220" i="20"/>
  <c r="T28" i="20"/>
  <c r="T307" i="20"/>
  <c r="T313" i="20"/>
  <c r="T42" i="20"/>
  <c r="T133" i="20"/>
  <c r="T204" i="20"/>
  <c r="T300" i="20"/>
  <c r="T59" i="20"/>
  <c r="T90" i="20"/>
  <c r="T121" i="20"/>
  <c r="T152" i="20"/>
  <c r="T111" i="20"/>
  <c r="T119" i="20"/>
  <c r="T150" i="20"/>
  <c r="T181" i="20"/>
  <c r="T161" i="20"/>
  <c r="T175" i="20"/>
  <c r="T196" i="20"/>
  <c r="T227" i="20"/>
  <c r="T274" i="20"/>
  <c r="T18" i="20"/>
  <c r="T80" i="20"/>
  <c r="T92" i="20"/>
  <c r="T284" i="20"/>
  <c r="T298" i="20"/>
  <c r="T299" i="20"/>
  <c r="T43" i="20"/>
  <c r="T74" i="20"/>
  <c r="T105" i="20"/>
  <c r="T136" i="20"/>
  <c r="T15" i="20"/>
  <c r="T103" i="20"/>
  <c r="T134" i="20"/>
  <c r="T165" i="20"/>
  <c r="T129" i="20"/>
  <c r="T143" i="20"/>
  <c r="T180" i="20"/>
  <c r="T211" i="20"/>
  <c r="T258" i="20"/>
  <c r="T305" i="20"/>
  <c r="T287" i="20"/>
  <c r="T205" i="20"/>
  <c r="T141" i="20"/>
  <c r="T310" i="20"/>
  <c r="T283" i="20"/>
  <c r="T27" i="20"/>
  <c r="T58" i="20"/>
  <c r="T89" i="20"/>
  <c r="T120" i="20"/>
  <c r="T206" i="20"/>
  <c r="T87" i="20"/>
  <c r="T118" i="20"/>
  <c r="T149" i="20"/>
  <c r="T97" i="20"/>
  <c r="T79" i="20"/>
  <c r="T164" i="20"/>
  <c r="T195" i="20"/>
  <c r="T242" i="20"/>
  <c r="T257" i="20"/>
  <c r="T255" i="20"/>
  <c r="T77" i="20"/>
  <c r="T268" i="20"/>
  <c r="T308" i="20"/>
  <c r="T267" i="20"/>
  <c r="R134" i="20"/>
  <c r="R56" i="20"/>
  <c r="R290" i="20"/>
  <c r="R148" i="20"/>
  <c r="R69" i="20"/>
  <c r="R212" i="20"/>
  <c r="R182" i="20"/>
  <c r="R104" i="20"/>
  <c r="R169" i="20"/>
  <c r="R122" i="20"/>
  <c r="R91" i="20"/>
  <c r="R86" i="20"/>
  <c r="R295" i="20"/>
  <c r="R108" i="20"/>
  <c r="R61" i="20"/>
  <c r="R14" i="20"/>
  <c r="R270" i="20"/>
  <c r="R159" i="20"/>
  <c r="R128" i="20"/>
  <c r="R81" i="20"/>
  <c r="R34" i="20"/>
  <c r="R306" i="20"/>
  <c r="R254" i="20"/>
  <c r="R18" i="20"/>
  <c r="R149" i="20"/>
  <c r="R83" i="20"/>
  <c r="R35" i="20"/>
  <c r="R214" i="20"/>
  <c r="R136" i="20"/>
  <c r="R185" i="20"/>
  <c r="R138" i="20"/>
  <c r="R107" i="20"/>
  <c r="R118" i="20"/>
  <c r="R40" i="20"/>
  <c r="R124" i="20"/>
  <c r="R77" i="20"/>
  <c r="R30" i="20"/>
  <c r="R286" i="20"/>
  <c r="R175" i="20"/>
  <c r="R144" i="20"/>
  <c r="R97" i="20"/>
  <c r="R50" i="20"/>
  <c r="R307" i="20"/>
  <c r="R279" i="20"/>
  <c r="R163" i="20"/>
  <c r="R164" i="20"/>
  <c r="R116" i="20"/>
  <c r="R246" i="20"/>
  <c r="R168" i="20"/>
  <c r="R201" i="20"/>
  <c r="R154" i="20"/>
  <c r="R123" i="20"/>
  <c r="R150" i="20"/>
  <c r="R72" i="20"/>
  <c r="R140" i="20"/>
  <c r="R93" i="20"/>
  <c r="R46" i="20"/>
  <c r="R302" i="20"/>
  <c r="R191" i="20"/>
  <c r="R160" i="20"/>
  <c r="R113" i="20"/>
  <c r="R66" i="20"/>
  <c r="R308" i="20"/>
  <c r="R38" i="20"/>
  <c r="R85" i="20"/>
  <c r="R292" i="20"/>
  <c r="R227" i="20"/>
  <c r="R278" i="20"/>
  <c r="R200" i="20"/>
  <c r="R217" i="20"/>
  <c r="R170" i="20"/>
  <c r="R139" i="20"/>
  <c r="R166" i="20"/>
  <c r="R88" i="20"/>
  <c r="R156" i="20"/>
  <c r="R109" i="20"/>
  <c r="R62" i="20"/>
  <c r="R229" i="20"/>
  <c r="R207" i="20"/>
  <c r="R176" i="20"/>
  <c r="R129" i="20"/>
  <c r="R82" i="20"/>
  <c r="R197" i="20"/>
  <c r="R132" i="20"/>
  <c r="R84" i="20"/>
  <c r="R36" i="20"/>
  <c r="R294" i="20"/>
  <c r="R232" i="20"/>
  <c r="R233" i="20"/>
  <c r="R186" i="20"/>
  <c r="R155" i="20"/>
  <c r="R198" i="20"/>
  <c r="R120" i="20"/>
  <c r="R172" i="20"/>
  <c r="R125" i="20"/>
  <c r="R78" i="20"/>
  <c r="R213" i="20"/>
  <c r="R223" i="20"/>
  <c r="R192" i="20"/>
  <c r="R145" i="20"/>
  <c r="R98" i="20"/>
  <c r="R293" i="20"/>
  <c r="R52" i="20"/>
  <c r="R179" i="20"/>
  <c r="R117" i="20"/>
  <c r="R23" i="20"/>
  <c r="R264" i="20"/>
  <c r="R249" i="20"/>
  <c r="R202" i="20"/>
  <c r="R171" i="20"/>
  <c r="R230" i="20"/>
  <c r="R152" i="20"/>
  <c r="R188" i="20"/>
  <c r="R141" i="20"/>
  <c r="R94" i="20"/>
  <c r="R63" i="20"/>
  <c r="R239" i="20"/>
  <c r="R208" i="20"/>
  <c r="R161" i="20"/>
  <c r="R114" i="20"/>
  <c r="R181" i="20"/>
  <c r="R53" i="20"/>
  <c r="R180" i="20"/>
  <c r="R228" i="20"/>
  <c r="R55" i="20"/>
  <c r="R312" i="20"/>
  <c r="R265" i="20"/>
  <c r="R218" i="20"/>
  <c r="R187" i="20"/>
  <c r="R262" i="20"/>
  <c r="R184" i="20"/>
  <c r="R204" i="20"/>
  <c r="R157" i="20"/>
  <c r="R110" i="20"/>
  <c r="R143" i="20"/>
  <c r="R255" i="20"/>
  <c r="R224" i="20"/>
  <c r="R177" i="20"/>
  <c r="R130" i="20"/>
  <c r="R54" i="20"/>
  <c r="R127" i="20"/>
  <c r="R275" i="20"/>
  <c r="R99" i="20"/>
  <c r="R37" i="20"/>
  <c r="R87" i="20"/>
  <c r="R25" i="20"/>
  <c r="R281" i="20"/>
  <c r="R234" i="20"/>
  <c r="R203" i="20"/>
  <c r="R310" i="20"/>
  <c r="R216" i="20"/>
  <c r="R220" i="20"/>
  <c r="R173" i="20"/>
  <c r="R126" i="20"/>
  <c r="R287" i="20"/>
  <c r="R271" i="20"/>
  <c r="R240" i="20"/>
  <c r="R193" i="20"/>
  <c r="R146" i="20"/>
  <c r="R215" i="20"/>
  <c r="R106" i="20"/>
  <c r="R45" i="20"/>
  <c r="R68" i="20"/>
  <c r="R195" i="20"/>
  <c r="R131" i="20"/>
  <c r="R119" i="20"/>
  <c r="R41" i="20"/>
  <c r="R297" i="20"/>
  <c r="R250" i="20"/>
  <c r="R219" i="20"/>
  <c r="R39" i="20"/>
  <c r="R248" i="20"/>
  <c r="R236" i="20"/>
  <c r="R189" i="20"/>
  <c r="R142" i="20"/>
  <c r="R245" i="20"/>
  <c r="R303" i="20"/>
  <c r="R256" i="20"/>
  <c r="R209" i="20"/>
  <c r="R162" i="20"/>
  <c r="P27" i="20"/>
  <c r="R115" i="20"/>
  <c r="R92" i="20"/>
  <c r="R291" i="20"/>
  <c r="R100" i="20"/>
  <c r="R243" i="20"/>
  <c r="R151" i="20"/>
  <c r="R57" i="20"/>
  <c r="R313" i="20"/>
  <c r="R266" i="20"/>
  <c r="R235" i="20"/>
  <c r="R71" i="20"/>
  <c r="R280" i="20"/>
  <c r="R252" i="20"/>
  <c r="R205" i="20"/>
  <c r="R158" i="20"/>
  <c r="R15" i="20"/>
  <c r="R16" i="20"/>
  <c r="R272" i="20"/>
  <c r="R225" i="20"/>
  <c r="R178" i="20"/>
  <c r="P283" i="20"/>
  <c r="R75" i="20"/>
  <c r="R65" i="20"/>
  <c r="R19" i="20"/>
  <c r="R196" i="20"/>
  <c r="R165" i="20"/>
  <c r="R183" i="20"/>
  <c r="R73" i="20"/>
  <c r="R26" i="20"/>
  <c r="R282" i="20"/>
  <c r="R251" i="20"/>
  <c r="R103" i="20"/>
  <c r="R296" i="20"/>
  <c r="R268" i="20"/>
  <c r="R221" i="20"/>
  <c r="R174" i="20"/>
  <c r="R31" i="20"/>
  <c r="R32" i="20"/>
  <c r="R288" i="20"/>
  <c r="R241" i="20"/>
  <c r="R194" i="20"/>
  <c r="R301" i="20"/>
  <c r="R51" i="20"/>
  <c r="R20" i="20"/>
  <c r="R261" i="20"/>
  <c r="R231" i="20"/>
  <c r="R89" i="20"/>
  <c r="R42" i="20"/>
  <c r="R298" i="20"/>
  <c r="R267" i="20"/>
  <c r="R135" i="20"/>
  <c r="R28" i="20"/>
  <c r="R284" i="20"/>
  <c r="R237" i="20"/>
  <c r="R190" i="20"/>
  <c r="R47" i="20"/>
  <c r="R48" i="20"/>
  <c r="R304" i="20"/>
  <c r="R257" i="20"/>
  <c r="R226" i="20"/>
  <c r="R153" i="20"/>
  <c r="R112" i="20"/>
  <c r="R133" i="20"/>
  <c r="R101" i="20"/>
  <c r="R22" i="20"/>
  <c r="R263" i="20"/>
  <c r="R105" i="20"/>
  <c r="R58" i="20"/>
  <c r="R27" i="20"/>
  <c r="R283" i="20"/>
  <c r="R167" i="20"/>
  <c r="R44" i="20"/>
  <c r="R300" i="20"/>
  <c r="R253" i="20"/>
  <c r="R206" i="20"/>
  <c r="R79" i="20"/>
  <c r="R64" i="20"/>
  <c r="R17" i="20"/>
  <c r="R273" i="20"/>
  <c r="R242" i="20"/>
  <c r="R244" i="20"/>
  <c r="R147" i="20"/>
  <c r="R211" i="20"/>
  <c r="R70" i="20"/>
  <c r="R311" i="20"/>
  <c r="R121" i="20"/>
  <c r="R74" i="20"/>
  <c r="R43" i="20"/>
  <c r="R299" i="20"/>
  <c r="R199" i="20"/>
  <c r="R60" i="20"/>
  <c r="R13" i="20"/>
  <c r="R269" i="20"/>
  <c r="R222" i="20"/>
  <c r="R95" i="20"/>
  <c r="R80" i="20"/>
  <c r="R33" i="20"/>
  <c r="R289" i="20"/>
  <c r="R258" i="20"/>
  <c r="R259" i="20"/>
  <c r="R67" i="20"/>
  <c r="R21" i="20"/>
  <c r="R102" i="20"/>
  <c r="R24" i="20"/>
  <c r="R137" i="20"/>
  <c r="R90" i="20"/>
  <c r="R59" i="20"/>
  <c r="R277" i="20"/>
  <c r="R247" i="20"/>
  <c r="R76" i="20"/>
  <c r="R29" i="20"/>
  <c r="R285" i="20"/>
  <c r="R238" i="20"/>
  <c r="R111" i="20"/>
  <c r="R96" i="20"/>
  <c r="R49" i="20"/>
  <c r="R305" i="20"/>
  <c r="R274" i="20"/>
  <c r="P76" i="20"/>
  <c r="P268" i="20"/>
  <c r="P93" i="20"/>
  <c r="P206" i="20"/>
  <c r="P270" i="20"/>
  <c r="P24" i="20"/>
  <c r="R309" i="20"/>
  <c r="P102" i="20"/>
  <c r="P151" i="20"/>
  <c r="P58" i="20"/>
  <c r="P123" i="20"/>
  <c r="P18" i="20"/>
  <c r="P203" i="20"/>
  <c r="P34" i="20"/>
  <c r="P130" i="20"/>
  <c r="P290" i="20"/>
  <c r="P140" i="20"/>
  <c r="P80" i="20"/>
  <c r="P172" i="20"/>
  <c r="P243" i="20"/>
  <c r="P292" i="20"/>
  <c r="P278" i="20"/>
  <c r="P15" i="20"/>
  <c r="P264" i="20"/>
  <c r="P64" i="20"/>
  <c r="P26" i="20"/>
  <c r="P198" i="20"/>
  <c r="P311" i="20"/>
  <c r="P83" i="20"/>
  <c r="P99" i="20"/>
  <c r="P37" i="20"/>
  <c r="P91" i="20"/>
  <c r="P87" i="20"/>
  <c r="P69" i="20"/>
  <c r="P309" i="20"/>
  <c r="P251" i="20"/>
  <c r="P48" i="20"/>
  <c r="P98" i="20"/>
  <c r="P303" i="20"/>
  <c r="P122" i="20"/>
  <c r="P246" i="20"/>
  <c r="P125" i="20"/>
  <c r="P112" i="20"/>
  <c r="P96" i="20"/>
  <c r="P199" i="20"/>
  <c r="P36" i="20"/>
  <c r="P166" i="20"/>
  <c r="P154" i="20"/>
  <c r="P247" i="20"/>
  <c r="P221" i="20"/>
  <c r="P176" i="20"/>
  <c r="P128" i="20"/>
  <c r="P103" i="20"/>
  <c r="P52" i="20"/>
  <c r="P310" i="20"/>
  <c r="P234" i="20"/>
  <c r="P312" i="20"/>
  <c r="P237" i="20"/>
  <c r="P240" i="20"/>
  <c r="P224" i="20"/>
  <c r="P174" i="20"/>
  <c r="P68" i="20"/>
  <c r="P135" i="20"/>
  <c r="P250" i="20"/>
  <c r="P41" i="20"/>
  <c r="P253" i="20"/>
  <c r="P81" i="20"/>
  <c r="P272" i="20"/>
  <c r="P238" i="20"/>
  <c r="P84" i="20"/>
  <c r="P262" i="20"/>
  <c r="P266" i="20"/>
  <c r="P28" i="20"/>
  <c r="P269" i="20"/>
  <c r="P177" i="20"/>
  <c r="P65" i="20"/>
  <c r="P286" i="20"/>
  <c r="P100" i="20"/>
  <c r="P248" i="20"/>
  <c r="P282" i="20"/>
  <c r="P44" i="20"/>
  <c r="P285" i="20"/>
  <c r="P209" i="20"/>
  <c r="P97" i="20"/>
  <c r="P31" i="20"/>
  <c r="P164" i="20"/>
  <c r="P73" i="20"/>
  <c r="P298" i="20"/>
  <c r="P60" i="20"/>
  <c r="P167" i="20"/>
  <c r="P305" i="20"/>
  <c r="P129" i="20"/>
  <c r="P79" i="20"/>
  <c r="P196" i="20"/>
  <c r="P201" i="20"/>
  <c r="P308" i="20"/>
  <c r="P296" i="20"/>
  <c r="P219" i="20"/>
  <c r="P284" i="20"/>
  <c r="P111" i="20"/>
  <c r="P190" i="20"/>
  <c r="P226" i="20"/>
  <c r="P115" i="20"/>
  <c r="P85" i="20"/>
  <c r="P57" i="20"/>
  <c r="P235" i="20"/>
  <c r="P300" i="20"/>
  <c r="P255" i="20"/>
  <c r="P302" i="20"/>
  <c r="P242" i="20"/>
  <c r="P131" i="20"/>
  <c r="P165" i="20"/>
  <c r="P13" i="20"/>
  <c r="P263" i="20"/>
  <c r="P239" i="20"/>
  <c r="P258" i="20"/>
  <c r="P147" i="20"/>
  <c r="P197" i="20"/>
  <c r="P42" i="20"/>
  <c r="P267" i="20"/>
  <c r="P29" i="20"/>
  <c r="P158" i="20"/>
  <c r="P287" i="20"/>
  <c r="P274" i="20"/>
  <c r="P211" i="20"/>
  <c r="P293" i="20"/>
  <c r="P230" i="20"/>
  <c r="P138" i="20"/>
  <c r="P107" i="20"/>
  <c r="P119" i="20"/>
  <c r="P156" i="20"/>
  <c r="P109" i="20"/>
  <c r="P38" i="20"/>
  <c r="P78" i="20"/>
  <c r="P193" i="20"/>
  <c r="P222" i="20"/>
  <c r="P256" i="20"/>
  <c r="P114" i="20"/>
  <c r="P214" i="20"/>
  <c r="P32" i="20"/>
  <c r="P227" i="20"/>
  <c r="P180" i="20"/>
  <c r="P181" i="20"/>
  <c r="P23" i="20"/>
  <c r="P217" i="20"/>
  <c r="P71" i="20"/>
  <c r="P233" i="20"/>
  <c r="P231" i="20"/>
  <c r="P170" i="20"/>
  <c r="P139" i="20"/>
  <c r="P56" i="20"/>
  <c r="P188" i="20"/>
  <c r="P141" i="20"/>
  <c r="P39" i="20"/>
  <c r="P254" i="20"/>
  <c r="P225" i="20"/>
  <c r="P47" i="20"/>
  <c r="P288" i="20"/>
  <c r="P146" i="20"/>
  <c r="P295" i="20"/>
  <c r="P144" i="20"/>
  <c r="P259" i="20"/>
  <c r="P212" i="20"/>
  <c r="P213" i="20"/>
  <c r="P215" i="20"/>
  <c r="P249" i="20"/>
  <c r="P72" i="20"/>
  <c r="P186" i="20"/>
  <c r="P155" i="20"/>
  <c r="P104" i="20"/>
  <c r="P204" i="20"/>
  <c r="P157" i="20"/>
  <c r="P183" i="20"/>
  <c r="P63" i="20"/>
  <c r="P241" i="20"/>
  <c r="P95" i="20"/>
  <c r="P304" i="20"/>
  <c r="P162" i="20"/>
  <c r="P40" i="20"/>
  <c r="P19" i="20"/>
  <c r="P275" i="20"/>
  <c r="P228" i="20"/>
  <c r="P229" i="20"/>
  <c r="P88" i="20"/>
  <c r="P265" i="20"/>
  <c r="P120" i="20"/>
  <c r="P202" i="20"/>
  <c r="P171" i="20"/>
  <c r="P168" i="20"/>
  <c r="P220" i="20"/>
  <c r="P173" i="20"/>
  <c r="P279" i="20"/>
  <c r="P159" i="20"/>
  <c r="P257" i="20"/>
  <c r="P143" i="20"/>
  <c r="P17" i="20"/>
  <c r="P178" i="20"/>
  <c r="P35" i="20"/>
  <c r="P291" i="20"/>
  <c r="P244" i="20"/>
  <c r="P245" i="20"/>
  <c r="P152" i="20"/>
  <c r="P281" i="20"/>
  <c r="P184" i="20"/>
  <c r="P218" i="20"/>
  <c r="P187" i="20"/>
  <c r="P232" i="20"/>
  <c r="P236" i="20"/>
  <c r="P189" i="20"/>
  <c r="P46" i="20"/>
  <c r="P271" i="20"/>
  <c r="P273" i="20"/>
  <c r="P175" i="20"/>
  <c r="P33" i="20"/>
  <c r="P194" i="20"/>
  <c r="P62" i="20"/>
  <c r="P51" i="20"/>
  <c r="P307" i="20"/>
  <c r="P260" i="20"/>
  <c r="P261" i="20"/>
  <c r="P200" i="20"/>
  <c r="P297" i="20"/>
  <c r="P252" i="20"/>
  <c r="P205" i="20"/>
  <c r="P110" i="20"/>
  <c r="P16" i="20"/>
  <c r="P289" i="20"/>
  <c r="P207" i="20"/>
  <c r="P49" i="20"/>
  <c r="P210" i="20"/>
  <c r="P126" i="20"/>
  <c r="P67" i="20"/>
  <c r="P20" i="20"/>
  <c r="P276" i="20"/>
  <c r="P277" i="20"/>
  <c r="P216" i="20"/>
  <c r="P313" i="20"/>
  <c r="P280" i="20"/>
  <c r="P25" i="20"/>
  <c r="P121" i="20"/>
  <c r="P74" i="20"/>
  <c r="P43" i="20"/>
  <c r="P299" i="20"/>
  <c r="P92" i="20"/>
  <c r="P45" i="20"/>
  <c r="P301" i="20"/>
  <c r="P53" i="20"/>
  <c r="P113" i="20"/>
  <c r="P30" i="20"/>
  <c r="P160" i="20"/>
  <c r="P50" i="20"/>
  <c r="P306" i="20"/>
  <c r="P127" i="20"/>
  <c r="P163" i="20"/>
  <c r="P116" i="20"/>
  <c r="P101" i="20"/>
  <c r="P294" i="20"/>
  <c r="P153" i="20"/>
  <c r="P90" i="20"/>
  <c r="P59" i="20"/>
  <c r="P182" i="20"/>
  <c r="P108" i="20"/>
  <c r="P61" i="20"/>
  <c r="P150" i="20"/>
  <c r="P22" i="20"/>
  <c r="P145" i="20"/>
  <c r="P94" i="20"/>
  <c r="P192" i="20"/>
  <c r="P66" i="20"/>
  <c r="P21" i="20"/>
  <c r="P191" i="20"/>
  <c r="P179" i="20"/>
  <c r="P132" i="20"/>
  <c r="P133" i="20"/>
  <c r="P136" i="20"/>
  <c r="P169" i="20"/>
  <c r="P106" i="20"/>
  <c r="P75" i="20"/>
  <c r="P86" i="20"/>
  <c r="P124" i="20"/>
  <c r="P77" i="20"/>
  <c r="P134" i="20"/>
  <c r="P55" i="20"/>
  <c r="P161" i="20"/>
  <c r="P142" i="20"/>
  <c r="P208" i="20"/>
  <c r="P82" i="20"/>
  <c r="P118" i="20"/>
  <c r="P223" i="20"/>
  <c r="P195" i="20"/>
  <c r="P148" i="20"/>
  <c r="P149" i="20"/>
  <c r="P54" i="20"/>
  <c r="P185" i="20"/>
  <c r="P137" i="20"/>
  <c r="P117" i="20"/>
  <c r="P70" i="20"/>
  <c r="P89" i="20"/>
  <c r="O14" i="12" l="1"/>
  <c r="P14" i="12" s="1"/>
  <c r="L23" i="12"/>
  <c r="BM7" i="20" a="1"/>
  <c r="BM7" i="20" s="1"/>
  <c r="BM8" i="20" s="1"/>
  <c r="BU1" i="20"/>
  <c r="BT4" i="20"/>
  <c r="BT2" i="20" a="1"/>
  <c r="BT2" i="20" s="1"/>
  <c r="BT1" i="20"/>
  <c r="BT3" i="20"/>
  <c r="BY3" i="20"/>
  <c r="BY2" i="20" a="1"/>
  <c r="BY2" i="20" s="1"/>
  <c r="BY1" i="20"/>
  <c r="BX4" i="20"/>
  <c r="BX3" i="20"/>
  <c r="BX2" i="20" a="1"/>
  <c r="BX2" i="20" s="1"/>
  <c r="BX1" i="20"/>
  <c r="BW1" i="20"/>
  <c r="BY4" i="20"/>
  <c r="BS2" i="20" a="1"/>
  <c r="BS2" i="20" s="1"/>
  <c r="BS1" i="20"/>
  <c r="BR4" i="20"/>
  <c r="BR3" i="20"/>
  <c r="BR2" i="20" a="1"/>
  <c r="BR2" i="20" s="1"/>
  <c r="BR1" i="20"/>
  <c r="BQ4" i="20"/>
  <c r="BQ3" i="20"/>
  <c r="BQ2" i="20" a="1"/>
  <c r="BQ2" i="20" s="1"/>
  <c r="BQ1" i="20"/>
  <c r="BS3" i="20"/>
  <c r="BS4" i="20"/>
  <c r="BW2" i="20" a="1"/>
  <c r="BW2" i="20" s="1"/>
  <c r="BW4" i="20"/>
  <c r="BW3" i="20"/>
  <c r="BN7" i="20" a="1"/>
  <c r="BN7" i="20" s="1"/>
  <c r="BN8" i="20" s="1"/>
  <c r="BJ7" i="20" a="1"/>
  <c r="BJ7" i="20" s="1"/>
  <c r="BJ8" i="20" s="1"/>
  <c r="BV4" i="20"/>
  <c r="BU4" i="20"/>
  <c r="BV3" i="20"/>
  <c r="BU3" i="20"/>
  <c r="BV2" i="20" a="1"/>
  <c r="BV2" i="20" s="1"/>
  <c r="BU2" i="20" a="1"/>
  <c r="BU2" i="20" s="1"/>
  <c r="BV1" i="20"/>
  <c r="BO7" i="20" a="1"/>
  <c r="BO7" i="20" s="1"/>
  <c r="BO8" i="20" s="1"/>
  <c r="BL7" i="20" a="1"/>
  <c r="BL7" i="20" s="1"/>
  <c r="BL8" i="20" s="1"/>
  <c r="BK7" i="20" a="1"/>
  <c r="BK7" i="20" s="1"/>
  <c r="BK8" i="20" s="1"/>
  <c r="N3" i="20"/>
  <c r="N2" i="20" a="1"/>
  <c r="N2" i="20" s="1"/>
  <c r="N4" i="20" a="1"/>
  <c r="N4" i="20" s="1"/>
  <c r="N1" i="20"/>
  <c r="AJ4" i="20" a="1"/>
  <c r="AJ4" i="20" s="1"/>
  <c r="AJ1" i="20"/>
  <c r="AJ3" i="20"/>
  <c r="AJ2" i="20" a="1"/>
  <c r="AJ2" i="20" s="1"/>
  <c r="T4" i="20" a="1"/>
  <c r="T4" i="20" s="1"/>
  <c r="T2" i="20" a="1"/>
  <c r="T2" i="20" s="1"/>
  <c r="T3" i="20"/>
  <c r="T1" i="20"/>
  <c r="AL4" i="20" a="1"/>
  <c r="AL4" i="20" s="1"/>
  <c r="AL1" i="20"/>
  <c r="AL3" i="20"/>
  <c r="AL2" i="20" a="1"/>
  <c r="AL2" i="20" s="1"/>
  <c r="R4" i="20" a="1"/>
  <c r="R4" i="20" s="1"/>
  <c r="R1" i="20"/>
  <c r="R2" i="20" a="1"/>
  <c r="R2" i="20" s="1"/>
  <c r="R3" i="20"/>
  <c r="AD7" i="20" a="1"/>
  <c r="AD7" i="20" s="1"/>
  <c r="K30" i="12" s="1"/>
  <c r="K31" i="12" s="1"/>
  <c r="P4" i="20" a="1"/>
  <c r="P4" i="20" s="1"/>
  <c r="P1" i="20"/>
  <c r="P3" i="20"/>
  <c r="P2" i="20" a="1"/>
  <c r="P2" i="20" s="1"/>
  <c r="AF7" i="20" a="1"/>
  <c r="AF7" i="20" s="1"/>
  <c r="L30" i="12" s="1"/>
  <c r="L31" i="12" s="1"/>
  <c r="AH3" i="20"/>
  <c r="AH2" i="20" a="1"/>
  <c r="AH2" i="20" s="1"/>
  <c r="AH4" i="20"/>
  <c r="AH1" i="20"/>
  <c r="N22" i="12"/>
  <c r="P22" i="12"/>
  <c r="O22" i="12"/>
  <c r="AL8" i="20"/>
  <c r="R8" i="20"/>
  <c r="P8" i="20"/>
  <c r="N8" i="20"/>
  <c r="AJ8" i="20"/>
  <c r="AH8" i="20"/>
  <c r="T8" i="20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50" i="14"/>
  <c r="I51" i="14"/>
  <c r="I52" i="14"/>
  <c r="I53" i="14"/>
  <c r="I54" i="14"/>
  <c r="I55" i="14"/>
  <c r="I56" i="14"/>
  <c r="I57" i="14"/>
  <c r="I58" i="14"/>
  <c r="I59" i="14"/>
  <c r="I60" i="14"/>
  <c r="I61" i="14"/>
  <c r="I62" i="14"/>
  <c r="I63" i="14"/>
  <c r="I64" i="14"/>
  <c r="I65" i="14"/>
  <c r="I66" i="14"/>
  <c r="I67" i="14"/>
  <c r="I68" i="14"/>
  <c r="I69" i="14"/>
  <c r="I70" i="14"/>
  <c r="I71" i="14"/>
  <c r="I72" i="14"/>
  <c r="I73" i="14"/>
  <c r="I74" i="14"/>
  <c r="I75" i="14"/>
  <c r="I76" i="14"/>
  <c r="I77" i="14"/>
  <c r="I78" i="14"/>
  <c r="I79" i="14"/>
  <c r="I80" i="14"/>
  <c r="I81" i="14"/>
  <c r="I82" i="14"/>
  <c r="I83" i="14"/>
  <c r="I84" i="14"/>
  <c r="I85" i="14"/>
  <c r="I86" i="14"/>
  <c r="I87" i="14"/>
  <c r="I88" i="14"/>
  <c r="I89" i="14"/>
  <c r="I90" i="14"/>
  <c r="I91" i="14"/>
  <c r="I92" i="14"/>
  <c r="I93" i="14"/>
  <c r="I94" i="14"/>
  <c r="I95" i="14"/>
  <c r="I96" i="14"/>
  <c r="I97" i="14"/>
  <c r="I98" i="14"/>
  <c r="I99" i="14"/>
  <c r="I100" i="14"/>
  <c r="I101" i="14"/>
  <c r="I102" i="14"/>
  <c r="I103" i="14"/>
  <c r="I104" i="14"/>
  <c r="I105" i="14"/>
  <c r="I106" i="14"/>
  <c r="I107" i="14"/>
  <c r="I108" i="14"/>
  <c r="I109" i="14"/>
  <c r="I110" i="14"/>
  <c r="I111" i="14"/>
  <c r="I112" i="14"/>
  <c r="I113" i="14"/>
  <c r="I114" i="14"/>
  <c r="I115" i="14"/>
  <c r="I116" i="14"/>
  <c r="I117" i="14"/>
  <c r="I118" i="14"/>
  <c r="I119" i="14"/>
  <c r="I120" i="14"/>
  <c r="I121" i="14"/>
  <c r="I122" i="14"/>
  <c r="I123" i="14"/>
  <c r="I124" i="14"/>
  <c r="I125" i="14"/>
  <c r="I126" i="14"/>
  <c r="I127" i="14"/>
  <c r="I128" i="14"/>
  <c r="I129" i="14"/>
  <c r="I130" i="14"/>
  <c r="I131" i="14"/>
  <c r="I132" i="14"/>
  <c r="I133" i="14"/>
  <c r="I134" i="14"/>
  <c r="I135" i="14"/>
  <c r="I136" i="14"/>
  <c r="I137" i="14"/>
  <c r="I138" i="14"/>
  <c r="I139" i="14"/>
  <c r="I140" i="14"/>
  <c r="I141" i="14"/>
  <c r="I142" i="14"/>
  <c r="I143" i="14"/>
  <c r="I144" i="14"/>
  <c r="I145" i="14"/>
  <c r="I146" i="14"/>
  <c r="I147" i="14"/>
  <c r="I148" i="14"/>
  <c r="I149" i="14"/>
  <c r="I150" i="14"/>
  <c r="I151" i="14"/>
  <c r="I152" i="14"/>
  <c r="I153" i="14"/>
  <c r="I154" i="14"/>
  <c r="I155" i="14"/>
  <c r="I156" i="14"/>
  <c r="I157" i="14"/>
  <c r="I158" i="14"/>
  <c r="I159" i="14"/>
  <c r="I160" i="14"/>
  <c r="I161" i="14"/>
  <c r="I162" i="14"/>
  <c r="I163" i="14"/>
  <c r="I164" i="14"/>
  <c r="I165" i="14"/>
  <c r="I166" i="14"/>
  <c r="I167" i="14"/>
  <c r="I168" i="14"/>
  <c r="I169" i="14"/>
  <c r="I170" i="14"/>
  <c r="I171" i="14"/>
  <c r="I172" i="14"/>
  <c r="I173" i="14"/>
  <c r="I174" i="14"/>
  <c r="I175" i="14"/>
  <c r="I176" i="14"/>
  <c r="I177" i="14"/>
  <c r="I178" i="14"/>
  <c r="I179" i="14"/>
  <c r="I180" i="14"/>
  <c r="I181" i="14"/>
  <c r="I182" i="14"/>
  <c r="I183" i="14"/>
  <c r="I184" i="14"/>
  <c r="I185" i="14"/>
  <c r="I186" i="14"/>
  <c r="I187" i="14"/>
  <c r="I188" i="14"/>
  <c r="I189" i="14"/>
  <c r="I190" i="14"/>
  <c r="I191" i="14"/>
  <c r="I192" i="14"/>
  <c r="I193" i="14"/>
  <c r="I194" i="14"/>
  <c r="I195" i="14"/>
  <c r="I196" i="14"/>
  <c r="I197" i="14"/>
  <c r="I198" i="14"/>
  <c r="I199" i="14"/>
  <c r="I200" i="14"/>
  <c r="I201" i="14"/>
  <c r="I202" i="14"/>
  <c r="I203" i="14"/>
  <c r="I204" i="14"/>
  <c r="I205" i="14"/>
  <c r="I206" i="14"/>
  <c r="I207" i="14"/>
  <c r="I208" i="14"/>
  <c r="I209" i="14"/>
  <c r="I210" i="14"/>
  <c r="I211" i="14"/>
  <c r="I212" i="14"/>
  <c r="I213" i="14"/>
  <c r="I214" i="14"/>
  <c r="I215" i="14"/>
  <c r="I216" i="14"/>
  <c r="I217" i="14"/>
  <c r="I218" i="14"/>
  <c r="I219" i="14"/>
  <c r="I220" i="14"/>
  <c r="I221" i="14"/>
  <c r="I222" i="14"/>
  <c r="I223" i="14"/>
  <c r="I224" i="14"/>
  <c r="I225" i="14"/>
  <c r="I226" i="14"/>
  <c r="I227" i="14"/>
  <c r="I228" i="14"/>
  <c r="I229" i="14"/>
  <c r="I230" i="14"/>
  <c r="I231" i="14"/>
  <c r="I232" i="14"/>
  <c r="I233" i="14"/>
  <c r="I234" i="14"/>
  <c r="I235" i="14"/>
  <c r="I236" i="14"/>
  <c r="I237" i="14"/>
  <c r="I238" i="14"/>
  <c r="I239" i="14"/>
  <c r="I240" i="14"/>
  <c r="I241" i="14"/>
  <c r="I242" i="14"/>
  <c r="I243" i="14"/>
  <c r="I244" i="14"/>
  <c r="I245" i="14"/>
  <c r="I246" i="14"/>
  <c r="I247" i="14"/>
  <c r="I248" i="14"/>
  <c r="I249" i="14"/>
  <c r="I250" i="14"/>
  <c r="I251" i="14"/>
  <c r="I252" i="14"/>
  <c r="I253" i="14"/>
  <c r="I254" i="14"/>
  <c r="I255" i="14"/>
  <c r="I256" i="14"/>
  <c r="I257" i="14"/>
  <c r="I258" i="14"/>
  <c r="I259" i="14"/>
  <c r="I260" i="14"/>
  <c r="I261" i="14"/>
  <c r="I262" i="14"/>
  <c r="I263" i="14"/>
  <c r="I264" i="14"/>
  <c r="I265" i="14"/>
  <c r="I266" i="14"/>
  <c r="I267" i="14"/>
  <c r="I268" i="14"/>
  <c r="I269" i="14"/>
  <c r="I270" i="14"/>
  <c r="I271" i="14"/>
  <c r="I272" i="14"/>
  <c r="I273" i="14"/>
  <c r="I274" i="14"/>
  <c r="I275" i="14"/>
  <c r="I276" i="14"/>
  <c r="I277" i="14"/>
  <c r="I278" i="14"/>
  <c r="I279" i="14"/>
  <c r="I280" i="14"/>
  <c r="I281" i="14"/>
  <c r="I282" i="14"/>
  <c r="I283" i="14"/>
  <c r="I284" i="14"/>
  <c r="I285" i="14"/>
  <c r="I286" i="14"/>
  <c r="I287" i="14"/>
  <c r="I288" i="14"/>
  <c r="I289" i="14"/>
  <c r="I290" i="14"/>
  <c r="I291" i="14"/>
  <c r="I292" i="14"/>
  <c r="I293" i="14"/>
  <c r="I294" i="14"/>
  <c r="I295" i="14"/>
  <c r="I296" i="14"/>
  <c r="I297" i="14"/>
  <c r="I298" i="14"/>
  <c r="I299" i="14"/>
  <c r="I300" i="14"/>
  <c r="I301" i="14"/>
  <c r="I302" i="14"/>
  <c r="I303" i="14"/>
  <c r="I304" i="14"/>
  <c r="I305" i="14"/>
  <c r="I306" i="14"/>
  <c r="I307" i="14"/>
  <c r="I308" i="14"/>
  <c r="I309" i="14"/>
  <c r="I310" i="14"/>
  <c r="I311" i="14"/>
  <c r="I312" i="14"/>
  <c r="I313" i="14"/>
  <c r="I314" i="14"/>
  <c r="I315" i="14"/>
  <c r="I316" i="14"/>
  <c r="I317" i="14"/>
  <c r="I318" i="14"/>
  <c r="O15" i="12" l="1"/>
  <c r="P15" i="12" s="1"/>
  <c r="BT7" i="20" a="1"/>
  <c r="BT7" i="20" s="1"/>
  <c r="BT8" i="20" s="1"/>
  <c r="BX7" i="20" a="1"/>
  <c r="BX7" i="20" s="1"/>
  <c r="BX8" i="20" s="1"/>
  <c r="BY7" i="20" a="1"/>
  <c r="BY7" i="20" s="1"/>
  <c r="BY8" i="20" s="1"/>
  <c r="BQ7" i="20" a="1"/>
  <c r="BQ7" i="20" s="1"/>
  <c r="BQ8" i="20" s="1"/>
  <c r="BR7" i="20" a="1"/>
  <c r="BR7" i="20" s="1"/>
  <c r="BR8" i="20" s="1"/>
  <c r="BW7" i="20" a="1"/>
  <c r="BW7" i="20" s="1"/>
  <c r="BW8" i="20" s="1"/>
  <c r="BS7" i="20" a="1"/>
  <c r="BS7" i="20" s="1"/>
  <c r="BS8" i="20" s="1"/>
  <c r="BU7" i="20" a="1"/>
  <c r="BU7" i="20" s="1"/>
  <c r="BU8" i="20" s="1"/>
  <c r="BV7" i="20" a="1"/>
  <c r="BV7" i="20" s="1"/>
  <c r="BV8" i="20" s="1"/>
  <c r="AH7" i="20" a="1"/>
  <c r="AH7" i="20" s="1"/>
  <c r="J32" i="12" s="1"/>
  <c r="J33" i="12" s="1"/>
  <c r="AL7" i="20" a="1"/>
  <c r="AL7" i="20" s="1"/>
  <c r="L32" i="12" s="1"/>
  <c r="L33" i="12" s="1"/>
  <c r="N7" i="20" a="1"/>
  <c r="N7" i="20" s="1"/>
  <c r="R7" i="20" a="1"/>
  <c r="R7" i="20" s="1"/>
  <c r="T7" i="20" a="1"/>
  <c r="T7" i="20" s="1"/>
  <c r="P7" i="20" a="1"/>
  <c r="P7" i="20" s="1"/>
  <c r="AJ7" i="20" a="1"/>
  <c r="AJ7" i="20" s="1"/>
  <c r="K32" i="12" s="1"/>
  <c r="K33" i="1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<sst xmlns="http://schemas.openxmlformats.org/spreadsheetml/2006/main" count="731" uniqueCount="237">
  <si>
    <t>GSD</t>
  </si>
  <si>
    <t>Cum%</t>
  </si>
  <si>
    <t>MMAD, um</t>
  </si>
  <si>
    <t>Definition</t>
  </si>
  <si>
    <t xml:space="preserve"> - geometric standard deviation of particle size distribution</t>
  </si>
  <si>
    <t>Dp</t>
  </si>
  <si>
    <t xml:space="preserve"> - cumulative percent less than Dp</t>
  </si>
  <si>
    <t xml:space="preserve"> - particle diameter in microns</t>
  </si>
  <si>
    <t>Acronym or unit</t>
  </si>
  <si>
    <t xml:space="preserve"> Parameters</t>
  </si>
  <si>
    <t>Dist1</t>
  </si>
  <si>
    <t>Dist2</t>
  </si>
  <si>
    <t>Sum</t>
  </si>
  <si>
    <t>dM/dLn(Dp)</t>
  </si>
  <si>
    <r>
      <t>Concentration, ug/m</t>
    </r>
    <r>
      <rPr>
        <vertAlign val="superscript"/>
        <sz val="10"/>
        <rFont val="Arial"/>
        <family val="2"/>
      </rPr>
      <t>3</t>
    </r>
  </si>
  <si>
    <r>
      <t>ug/m</t>
    </r>
    <r>
      <rPr>
        <vertAlign val="superscript"/>
        <sz val="10"/>
        <rFont val="Arial"/>
        <family val="2"/>
      </rPr>
      <t>3</t>
    </r>
  </si>
  <si>
    <t xml:space="preserve"> - micrograms per cubic meter</t>
  </si>
  <si>
    <t>Cumulative Mass</t>
  </si>
  <si>
    <t>Mass</t>
  </si>
  <si>
    <t>Bin</t>
  </si>
  <si>
    <t>PM2.5</t>
  </si>
  <si>
    <t>PM10</t>
  </si>
  <si>
    <t>Total</t>
  </si>
  <si>
    <t>MMAD</t>
  </si>
  <si>
    <t xml:space="preserve"> - mass median aerodynamic diameter in microns</t>
  </si>
  <si>
    <t>Mass per Dp (Method 2, not used)</t>
  </si>
  <si>
    <t>Mass per Dp (Method 1, used in calcs)</t>
  </si>
  <si>
    <t>Child</t>
  </si>
  <si>
    <t>Adolescent</t>
  </si>
  <si>
    <t>Adult</t>
  </si>
  <si>
    <t>Male</t>
  </si>
  <si>
    <t>Female</t>
  </si>
  <si>
    <t>Sitting</t>
  </si>
  <si>
    <t>SEX</t>
  </si>
  <si>
    <t>AGE</t>
  </si>
  <si>
    <t>ACTIVITY</t>
  </si>
  <si>
    <t>Sex</t>
  </si>
  <si>
    <t>Age</t>
  </si>
  <si>
    <t>for</t>
  </si>
  <si>
    <t>Total Duration of Daily Exposure</t>
  </si>
  <si>
    <t>Aerosol 1a</t>
  </si>
  <si>
    <t>Aerosol 1b</t>
  </si>
  <si>
    <t>Aerosol 2a</t>
  </si>
  <si>
    <t>Aerosol 2b</t>
  </si>
  <si>
    <t>Aerosol 3a</t>
  </si>
  <si>
    <t>Aerosol 3b</t>
  </si>
  <si>
    <t>Activity 1</t>
  </si>
  <si>
    <t>Activity 2</t>
  </si>
  <si>
    <t>Activity 3</t>
  </si>
  <si>
    <t>Aerosol</t>
  </si>
  <si>
    <t>DF-ET</t>
  </si>
  <si>
    <t>DF-TB</t>
  </si>
  <si>
    <t>ET</t>
  </si>
  <si>
    <t>TB</t>
  </si>
  <si>
    <t>PU</t>
  </si>
  <si>
    <t>DF-PU</t>
  </si>
  <si>
    <t>LightEx</t>
  </si>
  <si>
    <t>HeavyEx</t>
  </si>
  <si>
    <t>ACTIVITY 1</t>
  </si>
  <si>
    <t>ACTIVITY 2</t>
  </si>
  <si>
    <t>ACTIVITY 3</t>
  </si>
  <si>
    <t>f, #/min</t>
  </si>
  <si>
    <t>Vt, L</t>
  </si>
  <si>
    <t>Child Male</t>
  </si>
  <si>
    <t>Child Female</t>
  </si>
  <si>
    <t>Adolescent Male</t>
  </si>
  <si>
    <t>Adolescent Female</t>
  </si>
  <si>
    <t>Adult Male</t>
  </si>
  <si>
    <t>Adult Female</t>
  </si>
  <si>
    <r>
      <t>B, 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/h</t>
    </r>
  </si>
  <si>
    <t>m3 inhaled</t>
  </si>
  <si>
    <t>ug inhaled</t>
  </si>
  <si>
    <t>ug/m3</t>
  </si>
  <si>
    <t>ug</t>
  </si>
  <si>
    <t>Exposed</t>
  </si>
  <si>
    <t>Dose-ET</t>
  </si>
  <si>
    <t>Dose-TB</t>
  </si>
  <si>
    <t>Dose-PU</t>
  </si>
  <si>
    <t>Time, h</t>
  </si>
  <si>
    <t>exposed</t>
  </si>
  <si>
    <t xml:space="preserve">Breathing conditions from ICRP (1994) are given in the below table. This table should not be modified as it is an input on Conditions and Dose tabs. </t>
  </si>
  <si>
    <t>Deposited</t>
  </si>
  <si>
    <t>Breathing conditions</t>
  </si>
  <si>
    <t>Deposition calculations are set up and run from the "Exposure Scenario" tab</t>
  </si>
  <si>
    <t>The user can select Sex, Age, and Activity from Column B dropdown boxes (created using data validation feature)</t>
  </si>
  <si>
    <t>Given</t>
  </si>
  <si>
    <t>Density</t>
  </si>
  <si>
    <r>
      <t>g/cm</t>
    </r>
    <r>
      <rPr>
        <vertAlign val="superscript"/>
        <sz val="11"/>
        <rFont val="Arial"/>
        <family val="2"/>
      </rPr>
      <t>3</t>
    </r>
  </si>
  <si>
    <t>Shape Factor</t>
  </si>
  <si>
    <t>MeanFreePath</t>
  </si>
  <si>
    <t>Find--&gt;</t>
  </si>
  <si>
    <t>De</t>
  </si>
  <si>
    <t xml:space="preserve">Given a median particle diameter (D) and geometric starndard deviation (GSD), find values of log normal </t>
  </si>
  <si>
    <t>Iteration</t>
  </si>
  <si>
    <t>D</t>
  </si>
  <si>
    <t>Cc(D)</t>
  </si>
  <si>
    <t>Median D</t>
  </si>
  <si>
    <t>D(Cum%)</t>
  </si>
  <si>
    <t>%&gt;=D</t>
  </si>
  <si>
    <t>Cum%(D)</t>
  </si>
  <si>
    <r>
      <t xml:space="preserve">Edit </t>
    </r>
    <r>
      <rPr>
        <b/>
        <sz val="11"/>
        <color rgb="FF0000FF"/>
        <rFont val="Arial"/>
        <family val="2"/>
      </rPr>
      <t>BLUE</t>
    </r>
    <r>
      <rPr>
        <b/>
        <sz val="11"/>
        <rFont val="Arial"/>
        <family val="2"/>
      </rPr>
      <t xml:space="preserve"> cells to set up an exposure scenario</t>
    </r>
  </si>
  <si>
    <t>Adult is 30 years of age</t>
  </si>
  <si>
    <t>Adolescent is 15 years of age</t>
  </si>
  <si>
    <t>Child is 10 years of age</t>
  </si>
  <si>
    <t>dM/d(Dp)</t>
  </si>
  <si>
    <t>Mass per Dp (Method 1, NOT used)</t>
  </si>
  <si>
    <t>Mass per Dp (Method 2, used in calcs)</t>
  </si>
  <si>
    <t>Method 2 sums to exactly the upper percentile cutoff</t>
  </si>
  <si>
    <r>
      <t xml:space="preserve">Conc, </t>
    </r>
    <r>
      <rPr>
        <sz val="10"/>
        <rFont val="Calibri"/>
        <family val="2"/>
      </rPr>
      <t>µ</t>
    </r>
    <r>
      <rPr>
        <sz val="10"/>
        <rFont val="Arial"/>
        <family val="2"/>
      </rPr>
      <t>g-Pb/m</t>
    </r>
    <r>
      <rPr>
        <vertAlign val="superscript"/>
        <sz val="10"/>
        <rFont val="Arial"/>
        <family val="2"/>
      </rPr>
      <t>3</t>
    </r>
  </si>
  <si>
    <r>
      <t xml:space="preserve">Dp range, </t>
    </r>
    <r>
      <rPr>
        <sz val="10"/>
        <rFont val="Calibri"/>
        <family val="2"/>
      </rPr>
      <t>µ</t>
    </r>
    <r>
      <rPr>
        <sz val="10"/>
        <rFont val="Arial"/>
        <family val="2"/>
      </rPr>
      <t>m</t>
    </r>
  </si>
  <si>
    <r>
      <t xml:space="preserve">Overall Dp range, </t>
    </r>
    <r>
      <rPr>
        <sz val="10"/>
        <rFont val="Calibri"/>
        <family val="2"/>
      </rPr>
      <t>µ</t>
    </r>
    <r>
      <rPr>
        <sz val="10"/>
        <rFont val="Arial"/>
        <family val="2"/>
      </rPr>
      <t>m</t>
    </r>
  </si>
  <si>
    <t>TOTAL</t>
  </si>
  <si>
    <t>Ln(Dp)</t>
  </si>
  <si>
    <t>GM Dp</t>
  </si>
  <si>
    <t>Inhaled</t>
  </si>
  <si>
    <r>
      <t>(</t>
    </r>
    <r>
      <rPr>
        <sz val="10"/>
        <color theme="1"/>
        <rFont val="Calibri"/>
        <family val="2"/>
      </rPr>
      <t>µm)</t>
    </r>
  </si>
  <si>
    <t>CC</t>
  </si>
  <si>
    <r>
      <t>Conc (</t>
    </r>
    <r>
      <rPr>
        <sz val="10"/>
        <rFont val="Calibri"/>
        <family val="2"/>
      </rPr>
      <t>µ</t>
    </r>
    <r>
      <rPr>
        <sz val="10"/>
        <rFont val="Arial"/>
        <family val="2"/>
      </rPr>
      <t>g-Pb/m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)</t>
    </r>
  </si>
  <si>
    <r>
      <t>Dp range (</t>
    </r>
    <r>
      <rPr>
        <sz val="10"/>
        <rFont val="Calibri"/>
        <family val="2"/>
      </rPr>
      <t>µ</t>
    </r>
    <r>
      <rPr>
        <sz val="10"/>
        <rFont val="Arial"/>
        <family val="2"/>
      </rPr>
      <t>m)</t>
    </r>
  </si>
  <si>
    <r>
      <t>Density (g/cm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)</t>
    </r>
  </si>
  <si>
    <r>
      <t>CMD (</t>
    </r>
    <r>
      <rPr>
        <sz val="10"/>
        <rFont val="Calibri"/>
        <family val="2"/>
      </rPr>
      <t>µ</t>
    </r>
    <r>
      <rPr>
        <sz val="10"/>
        <rFont val="Arial"/>
        <family val="2"/>
      </rPr>
      <t>m)</t>
    </r>
  </si>
  <si>
    <t>Columns AD thru AL copied in from calculation sheets (e.g., AdultMale.xls)</t>
  </si>
  <si>
    <r>
      <t>Dissolution (g/cm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/day)</t>
    </r>
  </si>
  <si>
    <t>Deposition Output</t>
  </si>
  <si>
    <t>Dissolution Output</t>
  </si>
  <si>
    <r>
      <t>GM Dp (</t>
    </r>
    <r>
      <rPr>
        <sz val="10"/>
        <rFont val="Calibri"/>
        <family val="2"/>
      </rPr>
      <t>µ</t>
    </r>
    <r>
      <rPr>
        <sz val="10"/>
        <rFont val="Arial"/>
        <family val="2"/>
      </rPr>
      <t>m)</t>
    </r>
  </si>
  <si>
    <r>
      <t>Dissolution rate (day</t>
    </r>
    <r>
      <rPr>
        <vertAlign val="superscript"/>
        <sz val="10"/>
        <rFont val="Arial"/>
        <family val="2"/>
      </rPr>
      <t>-1</t>
    </r>
    <r>
      <rPr>
        <sz val="10"/>
        <rFont val="Arial"/>
        <family val="2"/>
      </rPr>
      <t>)</t>
    </r>
  </si>
  <si>
    <t>Conc (µg-Pb/m3)</t>
  </si>
  <si>
    <t>CMD (µm)</t>
  </si>
  <si>
    <t>Density (g/cm3)</t>
  </si>
  <si>
    <t>Dissolution (g/cm2/day)</t>
  </si>
  <si>
    <t>Dep Frac</t>
  </si>
  <si>
    <t>CMD</t>
  </si>
  <si>
    <r>
      <rPr>
        <sz val="11"/>
        <rFont val="Calibri"/>
        <family val="2"/>
      </rPr>
      <t>µ</t>
    </r>
    <r>
      <rPr>
        <sz val="11"/>
        <rFont val="Arial"/>
        <family val="2"/>
      </rPr>
      <t>m</t>
    </r>
  </si>
  <si>
    <t xml:space="preserve"> [0.066 µm, 20C; 0.0712 µm, 37C]</t>
  </si>
  <si>
    <t>MMD</t>
  </si>
  <si>
    <t>Deposition Fractions=</t>
  </si>
  <si>
    <r>
      <rPr>
        <b/>
        <sz val="10"/>
        <rFont val="Arial"/>
        <family val="2"/>
      </rPr>
      <t>ET</t>
    </r>
    <r>
      <rPr>
        <sz val="10"/>
        <rFont val="Arial"/>
        <family val="2"/>
      </rPr>
      <t xml:space="preserve"> GM Dp</t>
    </r>
  </si>
  <si>
    <r>
      <rPr>
        <b/>
        <sz val="10"/>
        <rFont val="Arial"/>
        <family val="2"/>
      </rPr>
      <t>TB</t>
    </r>
    <r>
      <rPr>
        <sz val="10"/>
        <rFont val="Arial"/>
        <family val="2"/>
      </rPr>
      <t xml:space="preserve"> GM Dp</t>
    </r>
  </si>
  <si>
    <r>
      <rPr>
        <b/>
        <sz val="10"/>
        <rFont val="Arial"/>
        <family val="2"/>
      </rPr>
      <t>PU</t>
    </r>
    <r>
      <rPr>
        <sz val="10"/>
        <rFont val="Arial"/>
        <family val="2"/>
      </rPr>
      <t xml:space="preserve"> GM Dp</t>
    </r>
  </si>
  <si>
    <t>Note the curvature in plots of particle size versus z-values</t>
  </si>
  <si>
    <t>This curvature makes use of regression biased low, use median instead</t>
  </si>
  <si>
    <r>
      <t>MMD (</t>
    </r>
    <r>
      <rPr>
        <sz val="10"/>
        <rFont val="Calibri"/>
        <family val="2"/>
      </rPr>
      <t>µ</t>
    </r>
    <r>
      <rPr>
        <sz val="10"/>
        <rFont val="Arial"/>
        <family val="2"/>
      </rPr>
      <t>m)</t>
    </r>
  </si>
  <si>
    <t>De and MMD</t>
  </si>
  <si>
    <t>CMD=count median diameter</t>
  </si>
  <si>
    <t xml:space="preserve">  Conversion from CMD to MMD is based</t>
  </si>
  <si>
    <t xml:space="preserve">  purely on a lognormal distribution</t>
  </si>
  <si>
    <t xml:space="preserve">  NOTE: This conversion is based on aerodynamic properties</t>
  </si>
  <si>
    <r>
      <t xml:space="preserve">  and is best suited to MMAD &gt;1 </t>
    </r>
    <r>
      <rPr>
        <sz val="10"/>
        <rFont val="Calibri"/>
        <family val="2"/>
      </rPr>
      <t>µ</t>
    </r>
    <r>
      <rPr>
        <sz val="10"/>
        <rFont val="Arial"/>
        <family val="2"/>
      </rPr>
      <t xml:space="preserve">m </t>
    </r>
  </si>
  <si>
    <t xml:space="preserve"> - mass median diameter of particle size distribution</t>
  </si>
  <si>
    <t xml:space="preserve"> - Convert to MMD on "Dae&lt;--&gt;De" tab</t>
  </si>
  <si>
    <t>Deposition Fractions</t>
  </si>
  <si>
    <t>Regional Dose (µg/day)</t>
  </si>
  <si>
    <t>Deposition Fraction denominator</t>
  </si>
  <si>
    <t>is sum of dose across all particle sizes</t>
  </si>
  <si>
    <t xml:space="preserve"> Activity 1</t>
  </si>
  <si>
    <t xml:space="preserve"> Activity 2</t>
  </si>
  <si>
    <t xml:space="preserve"> Activity 3</t>
  </si>
  <si>
    <t>5%-tile</t>
  </si>
  <si>
    <t>95%-tile</t>
  </si>
  <si>
    <t>ACTIVITY1</t>
  </si>
  <si>
    <t>ACTIVITY2</t>
  </si>
  <si>
    <t>ACTIVITY3</t>
  </si>
  <si>
    <t>Custom</t>
  </si>
  <si>
    <r>
      <t xml:space="preserve">&lt;--- edit these </t>
    </r>
    <r>
      <rPr>
        <b/>
        <sz val="10"/>
        <color rgb="FF0000FF"/>
        <rFont val="Arial"/>
        <family val="2"/>
      </rPr>
      <t>BLUE</t>
    </r>
    <r>
      <rPr>
        <sz val="10"/>
        <rFont val="Arial"/>
        <family val="2"/>
      </rPr>
      <t xml:space="preserve"> cells for Custom run</t>
    </r>
  </si>
  <si>
    <t>Using Custom inputs, please assure Vt and f were entered on README tab</t>
  </si>
  <si>
    <t>De &amp; MMD</t>
  </si>
  <si>
    <t>Columns Z and AZ calculate particle diameters for an array of input diameters to solve for De and MMAD, respectively</t>
  </si>
  <si>
    <t>Given mass median aerodynamic diameter (MMAD) and particle density, find equivalent volume diameter (De) and mass median diameter (MMD) of particle and vice versa</t>
  </si>
  <si>
    <t>Up to three Activities may be setup in the "Exposure Scenario" tab</t>
  </si>
  <si>
    <r>
      <t>B, m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/day</t>
    </r>
  </si>
  <si>
    <t xml:space="preserve"> - physical particle diameter</t>
  </si>
  <si>
    <r>
      <rPr>
        <sz val="10"/>
        <rFont val="Aptos Narrow"/>
        <family val="2"/>
      </rPr>
      <t>µ</t>
    </r>
    <r>
      <rPr>
        <sz val="10"/>
        <rFont val="Arial"/>
        <family val="2"/>
      </rPr>
      <t>g-Pb/m</t>
    </r>
    <r>
      <rPr>
        <vertAlign val="superscript"/>
        <sz val="10"/>
        <rFont val="Arial"/>
        <family val="2"/>
      </rPr>
      <t>3</t>
    </r>
  </si>
  <si>
    <t xml:space="preserve"> - micrograms of Pb per cubic meter of air</t>
  </si>
  <si>
    <t>ET, TB, PU</t>
  </si>
  <si>
    <t xml:space="preserve"> - extrathoracic, tracheobronchial, pulmonary, respectively</t>
  </si>
  <si>
    <t>Acronyms and Abbreviations</t>
  </si>
  <si>
    <t>- ventilation rate</t>
  </si>
  <si>
    <t>B</t>
  </si>
  <si>
    <t>- breathing frequency</t>
  </si>
  <si>
    <t>f</t>
  </si>
  <si>
    <t>- tidal volume</t>
  </si>
  <si>
    <t>Vt</t>
  </si>
  <si>
    <t>µm</t>
  </si>
  <si>
    <r>
      <t>g/cm</t>
    </r>
    <r>
      <rPr>
        <vertAlign val="superscript"/>
        <sz val="10"/>
        <rFont val="Arial"/>
        <family val="2"/>
      </rPr>
      <t>3</t>
    </r>
  </si>
  <si>
    <r>
      <t>g/cm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/day</t>
    </r>
  </si>
  <si>
    <t xml:space="preserve"> - micron</t>
  </si>
  <si>
    <t xml:space="preserve"> - grams per cubic centimeter</t>
  </si>
  <si>
    <t xml:space="preserve"> - grams per square centimeter of particle surface dissolved per day</t>
  </si>
  <si>
    <t>Vt, f, B</t>
  </si>
  <si>
    <t xml:space="preserve"> - tidal volume, breathing frequency, ventilation rate, respectively</t>
  </si>
  <si>
    <t>Light Exercise (LightEx)</t>
  </si>
  <si>
    <t>Heavy Exercise (Heavy Ex)</t>
  </si>
  <si>
    <t>Enter the Pb concentration for each aerosol in Column C (use zero in Column D if only one aerosol)</t>
  </si>
  <si>
    <t>Column</t>
  </si>
  <si>
    <t>Expanation</t>
  </si>
  <si>
    <t>Activity level is selected from dropdown boxes</t>
  </si>
  <si>
    <t>C, D</t>
  </si>
  <si>
    <t>Diameter conversions to MMD (from CMD or MMAD) can be done on the "Dae&lt;--&gt;De" tab</t>
  </si>
  <si>
    <t>Enter the Mass Median Diameter (MMD) and geometric Standard Deviation (GSD) for each aerosol, which are assumed to be lognormal.</t>
  </si>
  <si>
    <t>The recommended range for GSD is between 1.01 and 3.</t>
  </si>
  <si>
    <r>
      <t>Enter particle density. Note that the same value will be automatically applied to the second aerosol. Density ranges from 3.25 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for Pb acetate to 11.34 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for pure Pb particles. </t>
    </r>
  </si>
  <si>
    <r>
      <t>Enter particle dissolution rate. Note that the same value will be automatically applied to the second aerosol. Typical values are between 10</t>
    </r>
    <r>
      <rPr>
        <vertAlign val="superscript"/>
        <sz val="10"/>
        <rFont val="Arial"/>
        <family val="2"/>
      </rPr>
      <t>-8</t>
    </r>
    <r>
      <rPr>
        <sz val="10"/>
        <rFont val="Arial"/>
        <family val="2"/>
      </rPr>
      <t xml:space="preserve"> to 10</t>
    </r>
    <r>
      <rPr>
        <vertAlign val="superscript"/>
        <sz val="10"/>
        <rFont val="Arial"/>
        <family val="2"/>
      </rPr>
      <t>-4</t>
    </r>
    <r>
      <rPr>
        <sz val="10"/>
        <rFont val="Arial"/>
        <family val="2"/>
      </rPr>
      <t xml:space="preserve"> g/cm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/day for poorly and highly soluble particles, respectively.</t>
    </r>
  </si>
  <si>
    <t>Enter the Hours (per day) engaged in each Activity, noting that the sum of hours for all 3 activities cannot exceed 24</t>
  </si>
  <si>
    <t>E</t>
  </si>
  <si>
    <t>Below boxes contain results for AALM inputs</t>
  </si>
  <si>
    <t xml:space="preserve">The below dose rates are provided for informational purposes. </t>
  </si>
  <si>
    <t xml:space="preserve">That is, they are not AALM inputs. </t>
  </si>
  <si>
    <t xml:space="preserve">Two aerosols to which individuals are exposed may be entered for each Activity. </t>
  </si>
  <si>
    <t>The output (deposition fractions, dissolution rates) need to be entered into AALM in the Lung Parameters tab.</t>
  </si>
  <si>
    <t xml:space="preserve">The output (daily ventilation rate) need to be entered into AALM in the Media tab with fractions of ventilation by source if multiple activities are used. </t>
  </si>
  <si>
    <t>Dp&gt;100um</t>
  </si>
  <si>
    <t>Fm</t>
  </si>
  <si>
    <t>Fn</t>
  </si>
  <si>
    <t>Flow (L/min)</t>
  </si>
  <si>
    <t>Inhalability</t>
  </si>
  <si>
    <t>fraction &gt;100 um inhaled</t>
  </si>
  <si>
    <r>
      <t>mass concetration (</t>
    </r>
    <r>
      <rPr>
        <sz val="10"/>
        <rFont val="Aptos Narrow"/>
        <family val="2"/>
      </rPr>
      <t>µ</t>
    </r>
    <r>
      <rPr>
        <sz val="10"/>
        <rFont val="Arial"/>
        <family val="2"/>
      </rPr>
      <t>g/m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)</t>
    </r>
  </si>
  <si>
    <r>
      <t>(</t>
    </r>
    <r>
      <rPr>
        <sz val="10"/>
        <rFont val="Aptos Narrow"/>
        <family val="2"/>
      </rPr>
      <t>µ</t>
    </r>
    <r>
      <rPr>
        <sz val="10"/>
        <rFont val="Arial"/>
        <family val="2"/>
      </rPr>
      <t>m)</t>
    </r>
  </si>
  <si>
    <r>
      <t xml:space="preserve">This page calculated the mass of inhaled particles over 100 </t>
    </r>
    <r>
      <rPr>
        <b/>
        <sz val="10"/>
        <rFont val="Aptos Narrow"/>
        <family val="2"/>
      </rPr>
      <t>µ</t>
    </r>
    <r>
      <rPr>
        <b/>
        <sz val="10"/>
        <rFont val="Arial"/>
        <family val="2"/>
      </rPr>
      <t>m (physical diameter)</t>
    </r>
  </si>
  <si>
    <r>
      <t>Inhaled volume (m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)</t>
    </r>
  </si>
  <si>
    <r>
      <t>Sum (</t>
    </r>
    <r>
      <rPr>
        <sz val="10"/>
        <rFont val="Aptos Narrow"/>
      </rPr>
      <t>µ</t>
    </r>
    <r>
      <rPr>
        <sz val="10"/>
        <rFont val="Arial"/>
        <family val="2"/>
      </rPr>
      <t>g/m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>)</t>
    </r>
  </si>
  <si>
    <t>&lt;-- Fraction inhaled through mouth</t>
  </si>
  <si>
    <t>&lt;-- Fraction inhaled through nose</t>
  </si>
  <si>
    <r>
      <t xml:space="preserve">Exposure of Dp &gt; 100 </t>
    </r>
    <r>
      <rPr>
        <sz val="10"/>
        <rFont val="Aptos Narrow"/>
        <family val="2"/>
      </rPr>
      <t>µ</t>
    </r>
    <r>
      <rPr>
        <sz val="10"/>
        <rFont val="Arial"/>
        <family val="2"/>
      </rPr>
      <t>m</t>
    </r>
  </si>
  <si>
    <r>
      <t xml:space="preserve">Intake of Dp &gt; 100 </t>
    </r>
    <r>
      <rPr>
        <sz val="10"/>
        <rFont val="Aptos Narrow"/>
        <family val="2"/>
      </rPr>
      <t>µ</t>
    </r>
    <r>
      <rPr>
        <sz val="10"/>
        <rFont val="Arial"/>
        <family val="2"/>
      </rPr>
      <t>m</t>
    </r>
  </si>
  <si>
    <r>
      <t xml:space="preserve">Exposure to Dp &gt; 100 </t>
    </r>
    <r>
      <rPr>
        <sz val="10"/>
        <rFont val="Aptos Narrow"/>
        <family val="2"/>
      </rPr>
      <t>µ</t>
    </r>
    <r>
      <rPr>
        <sz val="10"/>
        <rFont val="Arial"/>
        <family val="2"/>
      </rPr>
      <t>m (</t>
    </r>
    <r>
      <rPr>
        <sz val="10"/>
        <rFont val="Aptos Narrow"/>
        <family val="2"/>
      </rPr>
      <t>µ</t>
    </r>
    <r>
      <rPr>
        <sz val="10"/>
        <rFont val="Arial"/>
        <family val="2"/>
      </rPr>
      <t>g)</t>
    </r>
  </si>
  <si>
    <r>
      <t>Total Exposure (</t>
    </r>
    <r>
      <rPr>
        <sz val="10"/>
        <rFont val="Aptos Narrow"/>
        <family val="2"/>
      </rPr>
      <t>µ</t>
    </r>
    <r>
      <rPr>
        <sz val="10"/>
        <rFont val="Arial"/>
        <family val="2"/>
      </rPr>
      <t>g)</t>
    </r>
  </si>
  <si>
    <r>
      <t xml:space="preserve">Fraction Exposure from Dp &gt;100 </t>
    </r>
    <r>
      <rPr>
        <sz val="10"/>
        <rFont val="Aptos Narrow"/>
        <family val="2"/>
      </rPr>
      <t>µ</t>
    </r>
    <r>
      <rPr>
        <sz val="10"/>
        <rFont val="Arial"/>
        <family val="2"/>
      </rPr>
      <t>m</t>
    </r>
  </si>
  <si>
    <t>ET deposition potential not accounted for</t>
  </si>
  <si>
    <t>&lt;-- mass added to ET deposition in Dose tab</t>
  </si>
  <si>
    <t xml:space="preserve">Partical deposition fraction calculations are only for physical diameters &gt;= 0.001, lower range of MPPD simulations. </t>
  </si>
  <si>
    <t xml:space="preserve">ET dose of </t>
  </si>
  <si>
    <t>Dp&gt;100 µm</t>
  </si>
  <si>
    <r>
      <rPr>
        <sz val="10"/>
        <rFont val="Calibri"/>
        <family val="2"/>
      </rPr>
      <t>(µ</t>
    </r>
    <r>
      <rPr>
        <sz val="10"/>
        <rFont val="Arial"/>
        <family val="2"/>
      </rPr>
      <t>g/day)</t>
    </r>
  </si>
  <si>
    <t>of ET dose</t>
  </si>
  <si>
    <t>Percent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</si>
</sst>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General_)"/>
    <numFmt numFmtId="165" formatCode="0.000"/>
    <numFmt numFmtId="166" formatCode="0.00000"/>
    <numFmt numFmtId="167" formatCode="0.0"/>
    <numFmt numFmtId="168" formatCode="0.0000"/>
  </numFmts>
  <fonts count="3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2"/>
      <color indexed="39"/>
      <name val="Arial"/>
      <family val="2"/>
    </font>
    <font>
      <sz val="12"/>
      <color indexed="39"/>
      <name val="Arial"/>
      <family val="2"/>
    </font>
    <font>
      <sz val="8"/>
      <name val="Arial"/>
      <family val="2"/>
    </font>
    <font>
      <sz val="11"/>
      <color rgb="FF0000FF"/>
      <name val="Arial"/>
      <family val="2"/>
    </font>
    <font>
      <sz val="11"/>
      <color indexed="39"/>
      <name val="Arial"/>
      <family val="2"/>
    </font>
    <font>
      <sz val="11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vertAlign val="superscript"/>
      <sz val="11"/>
      <name val="Arial"/>
      <family val="2"/>
    </font>
    <font>
      <sz val="11"/>
      <color indexed="22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1"/>
      <color rgb="FF0000FF"/>
      <name val="Arial"/>
      <family val="2"/>
    </font>
    <font>
      <sz val="10"/>
      <color rgb="FFFF0000"/>
      <name val="Arial"/>
      <family val="2"/>
    </font>
    <font>
      <sz val="10"/>
      <name val="Calibri"/>
      <family val="2"/>
    </font>
    <font>
      <sz val="11"/>
      <name val="Calibri"/>
      <family val="2"/>
    </font>
    <font>
      <sz val="10"/>
      <color theme="1"/>
      <name val="Calibri"/>
      <family val="2"/>
    </font>
    <font>
      <sz val="10"/>
      <color theme="0" tint="-0.249977111117893"/>
      <name val="Arial"/>
      <family val="2"/>
    </font>
    <font>
      <b/>
      <sz val="12"/>
      <color rgb="FFFF0000"/>
      <name val="Arial"/>
      <family val="2"/>
    </font>
    <font>
      <sz val="14"/>
      <name val="Arial"/>
      <family val="2"/>
    </font>
    <font>
      <b/>
      <sz val="11"/>
      <color indexed="39"/>
      <name val="Arial"/>
      <family val="2"/>
    </font>
    <font>
      <b/>
      <sz val="10"/>
      <color rgb="FF0000FF"/>
      <name val="Arial"/>
      <family val="2"/>
    </font>
    <font>
      <b/>
      <sz val="10"/>
      <color rgb="FFFF0000"/>
      <name val="Arial"/>
      <family val="2"/>
    </font>
    <font>
      <sz val="10"/>
      <color rgb="FF0000FF"/>
      <name val="Arial"/>
      <family val="2"/>
    </font>
    <font>
      <b/>
      <vertAlign val="superscript"/>
      <sz val="10"/>
      <name val="Arial"/>
      <family val="2"/>
    </font>
    <font>
      <sz val="10"/>
      <name val="Aptos Narrow"/>
      <family val="2"/>
    </font>
    <font>
      <u/>
      <sz val="10"/>
      <name val="Arial"/>
      <family val="2"/>
    </font>
    <font>
      <b/>
      <sz val="10"/>
      <name val="Aptos Narrow"/>
      <family val="2"/>
    </font>
    <font>
      <sz val="10"/>
      <name val="Aptos Narrow"/>
    </font>
  </fonts>
  <fills count="5">
    <fill>
      <patternFill patternType="none"/>
    </fill>
    <fill>
      <patternFill patternType="gray125"/>
    </fill>
    <fill>
      <patternFill patternType="gray0625">
        <bgColor theme="6" tint="0.79998168889431442"/>
      </patternFill>
    </fill>
    <fill>
      <patternFill patternType="solid">
        <fgColor rgb="FFFFFF00"/>
        <bgColor indexed="64"/>
      </patternFill>
    </fill>
    <fill>
      <patternFill patternType="gray0625">
        <bgColor theme="0" tint="-4.9989318521683403E-2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dashed">
        <color auto="1"/>
      </bottom>
      <diagonal/>
    </border>
    <border>
      <left/>
      <right/>
      <top style="double">
        <color auto="1"/>
      </top>
      <bottom style="dashed">
        <color auto="1"/>
      </bottom>
      <diagonal/>
    </border>
    <border>
      <left/>
      <right style="double">
        <color auto="1"/>
      </right>
      <top style="double">
        <color auto="1"/>
      </top>
      <bottom style="dashed">
        <color auto="1"/>
      </bottom>
      <diagonal/>
    </border>
    <border>
      <left/>
      <right style="double">
        <color auto="1"/>
      </right>
      <top style="dashed">
        <color auto="1"/>
      </top>
      <bottom/>
      <diagonal/>
    </border>
    <border>
      <left/>
      <right/>
      <top style="dashed">
        <color auto="1"/>
      </top>
      <bottom/>
      <diagonal/>
    </border>
  </borders>
  <cellStyleXfs count="2">
    <xf numFmtId="0" fontId="0" fillId="0" borderId="0"/>
    <xf numFmtId="0" fontId="1" fillId="0" borderId="0"/>
  </cellStyleXfs>
  <cellXfs count="171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right"/>
    </xf>
    <xf numFmtId="164" fontId="2" fillId="0" borderId="0" xfId="0" applyNumberFormat="1" applyFont="1" applyBorder="1" applyAlignment="1" applyProtection="1">
      <alignment horizontal="right"/>
    </xf>
    <xf numFmtId="165" fontId="2" fillId="0" borderId="0" xfId="0" applyNumberFormat="1" applyFont="1" applyBorder="1" applyAlignment="1">
      <alignment horizontal="right"/>
    </xf>
    <xf numFmtId="2" fontId="2" fillId="0" borderId="0" xfId="0" applyNumberFormat="1" applyFont="1" applyBorder="1" applyAlignment="1" applyProtection="1">
      <alignment horizontal="right"/>
    </xf>
    <xf numFmtId="165" fontId="0" fillId="0" borderId="0" xfId="0" applyNumberFormat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Border="1" applyAlignment="1">
      <alignment horizontal="right"/>
    </xf>
    <xf numFmtId="0" fontId="6" fillId="0" borderId="0" xfId="0" applyFont="1" applyProtection="1">
      <protection locked="0"/>
    </xf>
    <xf numFmtId="0" fontId="0" fillId="0" borderId="0" xfId="0" applyAlignment="1" applyProtection="1">
      <alignment horizontal="right"/>
    </xf>
    <xf numFmtId="0" fontId="0" fillId="0" borderId="0" xfId="0" applyProtection="1"/>
    <xf numFmtId="0" fontId="2" fillId="0" borderId="1" xfId="0" applyFont="1" applyBorder="1" applyAlignment="1" applyProtection="1">
      <alignment horizontal="right"/>
    </xf>
    <xf numFmtId="0" fontId="0" fillId="0" borderId="2" xfId="0" applyBorder="1" applyProtection="1"/>
    <xf numFmtId="0" fontId="0" fillId="0" borderId="3" xfId="0" applyBorder="1" applyAlignment="1" applyProtection="1">
      <alignment horizontal="right"/>
    </xf>
    <xf numFmtId="0" fontId="0" fillId="0" borderId="0" xfId="0" applyBorder="1" applyProtection="1"/>
    <xf numFmtId="0" fontId="0" fillId="0" borderId="1" xfId="0" applyBorder="1" applyAlignment="1" applyProtection="1">
      <alignment horizontal="right"/>
    </xf>
    <xf numFmtId="0" fontId="2" fillId="0" borderId="0" xfId="0" applyFont="1" applyBorder="1" applyAlignment="1" applyProtection="1">
      <alignment horizontal="right"/>
    </xf>
    <xf numFmtId="165" fontId="0" fillId="0" borderId="0" xfId="0" applyNumberFormat="1" applyBorder="1" applyProtection="1"/>
    <xf numFmtId="0" fontId="5" fillId="0" borderId="0" xfId="0" applyFont="1" applyProtection="1">
      <protection locked="0"/>
    </xf>
    <xf numFmtId="0" fontId="0" fillId="0" borderId="0" xfId="0" applyFill="1" applyBorder="1" applyAlignment="1" applyProtection="1">
      <alignment horizontal="left"/>
    </xf>
    <xf numFmtId="0" fontId="0" fillId="0" borderId="0" xfId="0" applyBorder="1"/>
    <xf numFmtId="0" fontId="0" fillId="0" borderId="0" xfId="0" applyBorder="1" applyAlignment="1" applyProtection="1">
      <alignment horizontal="left"/>
    </xf>
    <xf numFmtId="0" fontId="0" fillId="0" borderId="0" xfId="0" applyBorder="1" applyAlignment="1" applyProtection="1">
      <alignment horizontal="right"/>
    </xf>
    <xf numFmtId="2" fontId="0" fillId="0" borderId="0" xfId="0" applyNumberFormat="1"/>
    <xf numFmtId="166" fontId="0" fillId="0" borderId="0" xfId="0" applyNumberFormat="1"/>
    <xf numFmtId="166" fontId="0" fillId="0" borderId="0" xfId="0" applyNumberFormat="1" applyBorder="1" applyProtection="1"/>
    <xf numFmtId="166" fontId="0" fillId="0" borderId="0" xfId="0" applyNumberFormat="1" applyFill="1" applyBorder="1" applyAlignment="1" applyProtection="1">
      <alignment horizontal="left"/>
    </xf>
    <xf numFmtId="167" fontId="2" fillId="0" borderId="0" xfId="0" applyNumberFormat="1" applyFont="1" applyBorder="1" applyAlignment="1">
      <alignment horizontal="right"/>
    </xf>
    <xf numFmtId="10" fontId="0" fillId="0" borderId="0" xfId="0" applyNumberFormat="1"/>
    <xf numFmtId="0" fontId="3" fillId="0" borderId="0" xfId="0" applyFont="1" applyProtection="1">
      <protection locked="0"/>
    </xf>
    <xf numFmtId="0" fontId="3" fillId="0" borderId="2" xfId="0" applyFont="1" applyBorder="1" applyAlignment="1" applyProtection="1">
      <alignment horizontal="right"/>
    </xf>
    <xf numFmtId="167" fontId="0" fillId="0" borderId="0" xfId="0" applyNumberFormat="1"/>
    <xf numFmtId="0" fontId="3" fillId="0" borderId="0" xfId="0" applyFont="1" applyAlignment="1" applyProtection="1">
      <alignment horizontal="right"/>
    </xf>
    <xf numFmtId="0" fontId="3" fillId="0" borderId="0" xfId="0" applyFont="1" applyProtection="1"/>
    <xf numFmtId="0" fontId="0" fillId="0" borderId="0" xfId="0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right"/>
    </xf>
    <xf numFmtId="167" fontId="3" fillId="0" borderId="0" xfId="0" applyNumberFormat="1" applyFont="1" applyBorder="1" applyAlignment="1">
      <alignment horizontal="right"/>
    </xf>
    <xf numFmtId="0" fontId="11" fillId="0" borderId="0" xfId="0" applyFont="1" applyProtection="1">
      <protection locked="0"/>
    </xf>
    <xf numFmtId="0" fontId="11" fillId="0" borderId="0" xfId="0" applyFont="1"/>
    <xf numFmtId="165" fontId="3" fillId="0" borderId="0" xfId="0" applyNumberFormat="1" applyFont="1" applyBorder="1" applyAlignment="1">
      <alignment horizontal="right"/>
    </xf>
    <xf numFmtId="167" fontId="3" fillId="0" borderId="0" xfId="0" applyNumberFormat="1" applyFont="1" applyProtection="1">
      <protection locked="0"/>
    </xf>
    <xf numFmtId="168" fontId="3" fillId="0" borderId="0" xfId="0" applyNumberFormat="1" applyFont="1" applyProtection="1">
      <protection locked="0"/>
    </xf>
    <xf numFmtId="0" fontId="3" fillId="0" borderId="0" xfId="0" applyFont="1" applyAlignment="1">
      <alignment horizontal="left"/>
    </xf>
    <xf numFmtId="168" fontId="0" fillId="0" borderId="0" xfId="0" applyNumberFormat="1"/>
    <xf numFmtId="0" fontId="2" fillId="0" borderId="0" xfId="0" applyFont="1"/>
    <xf numFmtId="0" fontId="2" fillId="0" borderId="0" xfId="0" applyFont="1" applyAlignment="1">
      <alignment horizontal="right"/>
    </xf>
    <xf numFmtId="2" fontId="2" fillId="0" borderId="0" xfId="0" applyNumberFormat="1" applyFont="1" applyAlignment="1">
      <alignment horizontal="right"/>
    </xf>
    <xf numFmtId="165" fontId="0" fillId="0" borderId="0" xfId="0" applyNumberFormat="1" applyAlignment="1">
      <alignment horizontal="right"/>
    </xf>
    <xf numFmtId="0" fontId="10" fillId="0" borderId="0" xfId="0" applyFont="1" applyProtection="1"/>
    <xf numFmtId="0" fontId="10" fillId="0" borderId="0" xfId="0" applyFont="1" applyProtection="1">
      <protection locked="0"/>
    </xf>
    <xf numFmtId="0" fontId="13" fillId="0" borderId="0" xfId="0" applyFont="1"/>
    <xf numFmtId="0" fontId="12" fillId="0" borderId="0" xfId="0" applyFont="1" applyAlignment="1" applyProtection="1">
      <alignment horizontal="right"/>
    </xf>
    <xf numFmtId="0" fontId="10" fillId="0" borderId="0" xfId="0" applyFont="1"/>
    <xf numFmtId="0" fontId="10" fillId="0" borderId="0" xfId="0" applyFont="1" applyAlignment="1" applyProtection="1">
      <alignment horizontal="right"/>
    </xf>
    <xf numFmtId="165" fontId="9" fillId="0" borderId="0" xfId="0" applyNumberFormat="1" applyFont="1" applyAlignment="1" applyProtection="1">
      <alignment horizontal="right"/>
      <protection locked="0"/>
    </xf>
    <xf numFmtId="2" fontId="9" fillId="0" borderId="0" xfId="0" applyNumberFormat="1" applyFont="1" applyAlignment="1" applyProtection="1">
      <alignment horizontal="right"/>
      <protection locked="0"/>
    </xf>
    <xf numFmtId="168" fontId="9" fillId="0" borderId="0" xfId="0" applyNumberFormat="1" applyFont="1" applyAlignment="1" applyProtection="1">
      <alignment horizontal="right"/>
      <protection locked="0"/>
    </xf>
    <xf numFmtId="165" fontId="10" fillId="0" borderId="0" xfId="0" applyNumberFormat="1" applyFont="1" applyProtection="1"/>
    <xf numFmtId="0" fontId="10" fillId="0" borderId="0" xfId="0" applyFont="1" applyAlignment="1">
      <alignment horizontal="left"/>
    </xf>
    <xf numFmtId="0" fontId="12" fillId="0" borderId="0" xfId="0" applyFont="1"/>
    <xf numFmtId="0" fontId="15" fillId="0" borderId="0" xfId="0" applyFont="1" applyAlignment="1">
      <alignment horizontal="right"/>
    </xf>
    <xf numFmtId="0" fontId="15" fillId="0" borderId="0" xfId="0" applyFont="1" applyAlignment="1" applyProtection="1">
      <alignment horizontal="right"/>
      <protection locked="0"/>
    </xf>
    <xf numFmtId="0" fontId="10" fillId="0" borderId="0" xfId="0" applyFont="1" applyAlignment="1">
      <alignment horizontal="right"/>
    </xf>
    <xf numFmtId="0" fontId="15" fillId="0" borderId="0" xfId="0" applyFont="1" applyProtection="1">
      <protection locked="0"/>
    </xf>
    <xf numFmtId="168" fontId="15" fillId="0" borderId="0" xfId="0" applyNumberFormat="1" applyFont="1" applyBorder="1"/>
    <xf numFmtId="0" fontId="15" fillId="0" borderId="0" xfId="0" applyFont="1"/>
    <xf numFmtId="166" fontId="15" fillId="0" borderId="0" xfId="0" applyNumberFormat="1" applyFont="1" applyAlignment="1">
      <alignment horizontal="right"/>
    </xf>
    <xf numFmtId="165" fontId="10" fillId="0" borderId="0" xfId="0" applyNumberFormat="1" applyFont="1"/>
    <xf numFmtId="2" fontId="10" fillId="0" borderId="0" xfId="0" applyNumberFormat="1" applyFont="1"/>
    <xf numFmtId="2" fontId="10" fillId="0" borderId="0" xfId="0" applyNumberFormat="1" applyFont="1" applyBorder="1"/>
    <xf numFmtId="2" fontId="8" fillId="0" borderId="0" xfId="0" applyNumberFormat="1" applyFont="1"/>
    <xf numFmtId="0" fontId="17" fillId="0" borderId="0" xfId="0" applyFont="1" applyProtection="1"/>
    <xf numFmtId="0" fontId="17" fillId="0" borderId="0" xfId="0" applyFont="1"/>
    <xf numFmtId="0" fontId="2" fillId="0" borderId="0" xfId="0" applyFont="1" applyProtection="1"/>
    <xf numFmtId="0" fontId="0" fillId="0" borderId="4" xfId="0" applyBorder="1"/>
    <xf numFmtId="0" fontId="19" fillId="0" borderId="0" xfId="0" applyFont="1"/>
    <xf numFmtId="0" fontId="2" fillId="0" borderId="0" xfId="0" applyFont="1" applyFill="1" applyBorder="1" applyAlignment="1">
      <alignment horizontal="right"/>
    </xf>
    <xf numFmtId="0" fontId="2" fillId="0" borderId="0" xfId="0" applyFont="1" applyFill="1" applyBorder="1" applyAlignment="1" applyProtection="1">
      <alignment horizontal="left"/>
    </xf>
    <xf numFmtId="0" fontId="2" fillId="0" borderId="0" xfId="0" applyFont="1" applyBorder="1" applyProtection="1"/>
    <xf numFmtId="0" fontId="2" fillId="0" borderId="0" xfId="0" applyFont="1" applyFill="1" applyBorder="1" applyAlignment="1" applyProtection="1">
      <alignment horizontal="right"/>
    </xf>
    <xf numFmtId="0" fontId="16" fillId="0" borderId="0" xfId="1" applyFont="1" applyAlignment="1">
      <alignment horizontal="right"/>
    </xf>
    <xf numFmtId="168" fontId="23" fillId="0" borderId="0" xfId="0" applyNumberFormat="1" applyFont="1"/>
    <xf numFmtId="0" fontId="23" fillId="0" borderId="0" xfId="0" applyFont="1"/>
    <xf numFmtId="0" fontId="23" fillId="0" borderId="0" xfId="0" applyFont="1" applyAlignment="1">
      <alignment horizontal="right"/>
    </xf>
    <xf numFmtId="0" fontId="24" fillId="0" borderId="0" xfId="0" applyFont="1"/>
    <xf numFmtId="167" fontId="3" fillId="2" borderId="0" xfId="0" applyNumberFormat="1" applyFont="1" applyFill="1" applyProtection="1">
      <protection locked="0"/>
    </xf>
    <xf numFmtId="168" fontId="3" fillId="2" borderId="0" xfId="0" applyNumberFormat="1" applyFont="1" applyFill="1" applyProtection="1">
      <protection locked="0"/>
    </xf>
    <xf numFmtId="0" fontId="2" fillId="0" borderId="2" xfId="0" applyFont="1" applyBorder="1" applyAlignment="1" applyProtection="1">
      <alignment horizontal="right"/>
    </xf>
    <xf numFmtId="11" fontId="0" fillId="0" borderId="0" xfId="0" applyNumberFormat="1"/>
    <xf numFmtId="2" fontId="11" fillId="0" borderId="0" xfId="0" applyNumberFormat="1" applyFont="1" applyBorder="1" applyAlignment="1">
      <alignment horizontal="right"/>
    </xf>
    <xf numFmtId="2" fontId="25" fillId="0" borderId="10" xfId="0" applyNumberFormat="1" applyFont="1" applyBorder="1" applyAlignment="1">
      <alignment horizontal="left"/>
    </xf>
    <xf numFmtId="2" fontId="11" fillId="0" borderId="10" xfId="0" applyNumberFormat="1" applyFont="1" applyBorder="1" applyAlignment="1">
      <alignment horizontal="right"/>
    </xf>
    <xf numFmtId="2" fontId="11" fillId="0" borderId="11" xfId="0" applyNumberFormat="1" applyFont="1" applyBorder="1" applyAlignment="1">
      <alignment horizontal="right"/>
    </xf>
    <xf numFmtId="0" fontId="11" fillId="0" borderId="9" xfId="0" applyFont="1" applyBorder="1"/>
    <xf numFmtId="0" fontId="17" fillId="0" borderId="4" xfId="0" applyFont="1" applyBorder="1" applyAlignment="1">
      <alignment horizontal="left"/>
    </xf>
    <xf numFmtId="0" fontId="17" fillId="0" borderId="4" xfId="0" applyFont="1" applyBorder="1" applyAlignment="1">
      <alignment horizontal="right"/>
    </xf>
    <xf numFmtId="0" fontId="0" fillId="0" borderId="6" xfId="0" applyBorder="1"/>
    <xf numFmtId="0" fontId="2" fillId="0" borderId="7" xfId="0" applyFont="1" applyBorder="1" applyAlignment="1">
      <alignment horizontal="right"/>
    </xf>
    <xf numFmtId="0" fontId="17" fillId="0" borderId="0" xfId="0" applyFont="1" applyAlignment="1">
      <alignment horizontal="center"/>
    </xf>
    <xf numFmtId="0" fontId="17" fillId="0" borderId="12" xfId="0" applyFont="1" applyBorder="1" applyAlignment="1">
      <alignment horizontal="center"/>
    </xf>
    <xf numFmtId="0" fontId="18" fillId="0" borderId="0" xfId="0" applyFont="1"/>
    <xf numFmtId="167" fontId="18" fillId="0" borderId="0" xfId="0" applyNumberFormat="1" applyFont="1" applyProtection="1">
      <protection locked="0"/>
    </xf>
    <xf numFmtId="0" fontId="26" fillId="0" borderId="0" xfId="0" applyFont="1" applyProtection="1">
      <protection locked="0"/>
    </xf>
    <xf numFmtId="11" fontId="26" fillId="0" borderId="0" xfId="0" applyNumberFormat="1" applyFont="1" applyProtection="1">
      <protection locked="0"/>
    </xf>
    <xf numFmtId="167" fontId="26" fillId="0" borderId="0" xfId="0" applyNumberFormat="1" applyFont="1" applyProtection="1">
      <protection locked="0"/>
    </xf>
    <xf numFmtId="2" fontId="2" fillId="0" borderId="0" xfId="0" applyNumberFormat="1" applyFont="1" applyFill="1" applyBorder="1" applyAlignment="1">
      <alignment horizontal="right"/>
    </xf>
    <xf numFmtId="0" fontId="17" fillId="0" borderId="0" xfId="0" applyFont="1" applyAlignment="1">
      <alignment horizontal="right"/>
    </xf>
    <xf numFmtId="168" fontId="17" fillId="0" borderId="0" xfId="0" applyNumberFormat="1" applyFont="1"/>
    <xf numFmtId="165" fontId="2" fillId="0" borderId="0" xfId="0" applyNumberFormat="1" applyFont="1" applyAlignment="1">
      <alignment horizontal="right"/>
    </xf>
    <xf numFmtId="165" fontId="3" fillId="0" borderId="0" xfId="0" applyNumberFormat="1" applyFont="1" applyAlignment="1">
      <alignment horizontal="right"/>
    </xf>
    <xf numFmtId="165" fontId="2" fillId="3" borderId="0" xfId="0" applyNumberFormat="1" applyFont="1" applyFill="1" applyAlignment="1">
      <alignment horizontal="right"/>
    </xf>
    <xf numFmtId="165" fontId="0" fillId="3" borderId="0" xfId="0" applyNumberFormat="1" applyFill="1"/>
    <xf numFmtId="165" fontId="2" fillId="3" borderId="0" xfId="0" applyNumberFormat="1" applyFont="1" applyFill="1"/>
    <xf numFmtId="165" fontId="2" fillId="0" borderId="0" xfId="0" applyNumberFormat="1" applyFont="1" applyBorder="1" applyAlignment="1">
      <alignment horizontal="left"/>
    </xf>
    <xf numFmtId="0" fontId="2" fillId="0" borderId="0" xfId="0" applyFont="1" applyAlignment="1" applyProtection="1">
      <alignment horizontal="right"/>
    </xf>
    <xf numFmtId="2" fontId="11" fillId="0" borderId="0" xfId="0" applyNumberFormat="1" applyFont="1" applyBorder="1" applyAlignment="1">
      <alignment horizontal="center"/>
    </xf>
    <xf numFmtId="2" fontId="11" fillId="0" borderId="12" xfId="0" applyNumberFormat="1" applyFont="1" applyBorder="1" applyAlignment="1">
      <alignment horizontal="right"/>
    </xf>
    <xf numFmtId="0" fontId="17" fillId="0" borderId="0" xfId="0" applyFont="1" applyBorder="1" applyAlignment="1">
      <alignment horizontal="center"/>
    </xf>
    <xf numFmtId="0" fontId="17" fillId="0" borderId="5" xfId="0" applyFont="1" applyBorder="1" applyAlignment="1">
      <alignment horizontal="center"/>
    </xf>
    <xf numFmtId="2" fontId="11" fillId="0" borderId="13" xfId="0" applyNumberFormat="1" applyFont="1" applyBorder="1" applyAlignment="1">
      <alignment horizontal="right"/>
    </xf>
    <xf numFmtId="0" fontId="17" fillId="0" borderId="6" xfId="0" applyFont="1" applyBorder="1" applyAlignment="1">
      <alignment horizontal="right"/>
    </xf>
    <xf numFmtId="165" fontId="0" fillId="0" borderId="0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5" xfId="0" applyNumberForma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5" xfId="0" applyNumberFormat="1" applyBorder="1" applyAlignment="1">
      <alignment horizontal="center"/>
    </xf>
    <xf numFmtId="11" fontId="0" fillId="0" borderId="7" xfId="0" applyNumberFormat="1" applyBorder="1" applyAlignment="1">
      <alignment horizontal="center"/>
    </xf>
    <xf numFmtId="11" fontId="0" fillId="0" borderId="8" xfId="0" applyNumberFormat="1" applyBorder="1" applyAlignment="1">
      <alignment horizontal="center"/>
    </xf>
    <xf numFmtId="2" fontId="26" fillId="0" borderId="0" xfId="0" applyNumberFormat="1" applyFont="1" applyProtection="1">
      <protection locked="0"/>
    </xf>
    <xf numFmtId="0" fontId="2" fillId="0" borderId="0" xfId="0" applyFont="1" applyAlignment="1">
      <alignment horizontal="left"/>
    </xf>
    <xf numFmtId="2" fontId="17" fillId="0" borderId="0" xfId="0" applyNumberFormat="1" applyFont="1"/>
    <xf numFmtId="0" fontId="27" fillId="0" borderId="0" xfId="0" applyFont="1"/>
    <xf numFmtId="165" fontId="16" fillId="0" borderId="0" xfId="0" applyNumberFormat="1" applyFont="1"/>
    <xf numFmtId="0" fontId="28" fillId="0" borderId="0" xfId="0" applyFont="1"/>
    <xf numFmtId="2" fontId="9" fillId="0" borderId="0" xfId="0" applyNumberFormat="1" applyFont="1" applyAlignment="1" applyProtection="1">
      <alignment horizontal="center"/>
      <protection locked="0"/>
    </xf>
    <xf numFmtId="2" fontId="8" fillId="0" borderId="0" xfId="0" applyNumberFormat="1" applyFont="1" applyAlignment="1" applyProtection="1">
      <alignment horizontal="center"/>
      <protection locked="0"/>
    </xf>
    <xf numFmtId="0" fontId="29" fillId="0" borderId="0" xfId="0" applyFont="1"/>
    <xf numFmtId="0" fontId="3" fillId="0" borderId="0" xfId="0" applyFont="1" applyBorder="1" applyAlignment="1">
      <alignment horizontal="right"/>
    </xf>
    <xf numFmtId="165" fontId="0" fillId="0" borderId="0" xfId="0" applyNumberFormat="1" applyBorder="1"/>
    <xf numFmtId="2" fontId="0" fillId="0" borderId="0" xfId="0" applyNumberFormat="1" applyBorder="1"/>
    <xf numFmtId="0" fontId="17" fillId="0" borderId="5" xfId="0" applyFont="1" applyBorder="1" applyAlignment="1">
      <alignment horizontal="right"/>
    </xf>
    <xf numFmtId="0" fontId="3" fillId="0" borderId="4" xfId="0" applyFont="1" applyBorder="1" applyAlignment="1">
      <alignment horizontal="right"/>
    </xf>
    <xf numFmtId="2" fontId="0" fillId="0" borderId="5" xfId="0" applyNumberFormat="1" applyBorder="1"/>
    <xf numFmtId="0" fontId="3" fillId="0" borderId="6" xfId="0" applyFont="1" applyBorder="1" applyAlignment="1">
      <alignment horizontal="right"/>
    </xf>
    <xf numFmtId="165" fontId="0" fillId="0" borderId="7" xfId="0" applyNumberFormat="1" applyBorder="1"/>
    <xf numFmtId="0" fontId="0" fillId="0" borderId="7" xfId="0" applyBorder="1"/>
    <xf numFmtId="2" fontId="0" fillId="0" borderId="7" xfId="0" applyNumberFormat="1" applyBorder="1"/>
    <xf numFmtId="2" fontId="0" fillId="0" borderId="8" xfId="0" applyNumberFormat="1" applyBorder="1"/>
    <xf numFmtId="0" fontId="0" fillId="0" borderId="10" xfId="0" applyBorder="1"/>
    <xf numFmtId="0" fontId="0" fillId="0" borderId="11" xfId="0" applyBorder="1"/>
    <xf numFmtId="0" fontId="0" fillId="0" borderId="0" xfId="0" applyFont="1" applyAlignment="1" applyProtection="1">
      <alignment horizontal="right"/>
    </xf>
    <xf numFmtId="2" fontId="32" fillId="0" borderId="0" xfId="0" applyNumberFormat="1" applyFont="1"/>
    <xf numFmtId="0" fontId="2" fillId="0" borderId="0" xfId="0" quotePrefix="1" applyFont="1"/>
    <xf numFmtId="0" fontId="32" fillId="0" borderId="0" xfId="0" applyFont="1"/>
    <xf numFmtId="0" fontId="3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67" fontId="10" fillId="4" borderId="0" xfId="0" applyNumberFormat="1" applyFont="1" applyFill="1"/>
    <xf numFmtId="167" fontId="2" fillId="4" borderId="0" xfId="0" applyNumberFormat="1" applyFont="1" applyFill="1" applyBorder="1" applyAlignment="1">
      <alignment horizontal="right"/>
    </xf>
    <xf numFmtId="0" fontId="2" fillId="4" borderId="0" xfId="0" applyNumberFormat="1" applyFont="1" applyFill="1" applyBorder="1" applyAlignment="1">
      <alignment horizontal="right"/>
    </xf>
    <xf numFmtId="11" fontId="2" fillId="4" borderId="0" xfId="0" applyNumberFormat="1" applyFont="1" applyFill="1" applyBorder="1" applyAlignment="1">
      <alignment horizontal="right"/>
    </xf>
    <xf numFmtId="167" fontId="3" fillId="4" borderId="0" xfId="0" applyNumberFormat="1" applyFont="1" applyFill="1" applyProtection="1">
      <protection locked="0"/>
    </xf>
    <xf numFmtId="168" fontId="3" fillId="4" borderId="0" xfId="0" applyNumberFormat="1" applyFont="1" applyFill="1" applyProtection="1">
      <protection locked="0"/>
    </xf>
    <xf numFmtId="165" fontId="15" fillId="0" borderId="0" xfId="0" applyNumberFormat="1" applyFont="1" applyBorder="1"/>
    <xf numFmtId="0" fontId="28" fillId="0" borderId="0" xfId="0" applyFont="1" applyAlignment="1">
      <alignment horizontal="right"/>
    </xf>
    <xf numFmtId="2" fontId="2" fillId="0" borderId="0" xfId="0" applyNumberFormat="1" applyFont="1" applyAlignment="1">
      <alignment horizontal="left"/>
    </xf>
  </cellXfs>
  <cellStyles count="2">
    <cellStyle name="Normal" xfId="0" builtinId="0"/>
    <cellStyle name="Normal 2" xfId="1" xr:uid="{00000000-0005-0000-0000-000001000000}"/>
  </cellStyles>
  <dxfs count="21">
    <dxf>
      <font>
        <color theme="2" tint="-9.9948118533890809E-2"/>
      </font>
    </dxf>
    <dxf>
      <font>
        <color theme="2" tint="-9.9948118533890809E-2"/>
      </font>
    </dxf>
    <dxf>
      <font>
        <b/>
        <i val="0"/>
        <color theme="1"/>
      </font>
      <border>
        <vertical/>
        <horizontal/>
      </border>
    </dxf>
    <dxf>
      <font>
        <b/>
        <i val="0"/>
        <color theme="1"/>
      </font>
      <border>
        <vertical/>
        <horizontal/>
      </border>
    </dxf>
    <dxf>
      <font>
        <color theme="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80853507574114"/>
          <c:y val="9.8976232922112786E-2"/>
          <c:w val="0.77169180674712001"/>
          <c:h val="0.73720228659228837"/>
        </c:manualLayout>
      </c:layout>
      <c:scatterChart>
        <c:scatterStyle val="smoothMarker"/>
        <c:varyColors val="0"/>
        <c:ser>
          <c:idx val="0"/>
          <c:order val="0"/>
          <c:tx>
            <c:v>Aerosol 1a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'Aerosol 1'!$A$17:$A$318</c:f>
              <c:numCache>
                <c:formatCode>0.000</c:formatCode>
                <c:ptCount val="302"/>
                <c:pt idx="0">
                  <c:v>5.4339016042139802E-2</c:v>
                </c:pt>
                <c:pt idx="1">
                  <c:v>5.6245220795161463E-2</c:v>
                </c:pt>
                <c:pt idx="2">
                  <c:v>5.8218294932745107E-2</c:v>
                </c:pt>
                <c:pt idx="3">
                  <c:v>6.0260584223142885E-2</c:v>
                </c:pt>
                <c:pt idx="4">
                  <c:v>6.2374516723814895E-2</c:v>
                </c:pt>
                <c:pt idx="5">
                  <c:v>6.4562605668122608E-2</c:v>
                </c:pt>
                <c:pt idx="6">
                  <c:v>6.6827452453287028E-2</c:v>
                </c:pt>
                <c:pt idx="7">
                  <c:v>6.917174973316409E-2</c:v>
                </c:pt>
                <c:pt idx="8">
                  <c:v>7.1598284619514063E-2</c:v>
                </c:pt>
                <c:pt idx="9">
                  <c:v>7.4109941995570985E-2</c:v>
                </c:pt>
                <c:pt idx="10">
                  <c:v>7.6709707945851788E-2</c:v>
                </c:pt>
                <c:pt idx="11">
                  <c:v>7.9400673306282518E-2</c:v>
                </c:pt>
                <c:pt idx="12">
                  <c:v>8.2186037338862386E-2</c:v>
                </c:pt>
                <c:pt idx="13">
                  <c:v>8.5069111535234707E-2</c:v>
                </c:pt>
                <c:pt idx="14">
                  <c:v>8.8053323553686447E-2</c:v>
                </c:pt>
                <c:pt idx="15">
                  <c:v>9.1142221294257017E-2</c:v>
                </c:pt>
                <c:pt idx="16">
                  <c:v>9.4339477116801421E-2</c:v>
                </c:pt>
                <c:pt idx="17">
                  <c:v>9.7648892207022539E-2</c:v>
                </c:pt>
                <c:pt idx="18">
                  <c:v>0.10107440109566297</c:v>
                </c:pt>
                <c:pt idx="19">
                  <c:v>0.10462007633622963</c:v>
                </c:pt>
                <c:pt idx="20">
                  <c:v>0.10829013334681213</c:v>
                </c:pt>
                <c:pt idx="21">
                  <c:v>0.11208893542175144</c:v>
                </c:pt>
                <c:pt idx="22">
                  <c:v>0.11602099891911737</c:v>
                </c:pt>
                <c:pt idx="23">
                  <c:v>0.12009099863016169</c:v>
                </c:pt>
                <c:pt idx="24">
                  <c:v>0.12430377333713111</c:v>
                </c:pt>
                <c:pt idx="25">
                  <c:v>0.12866433156604737</c:v>
                </c:pt>
                <c:pt idx="26">
                  <c:v>0.13317785754129421</c:v>
                </c:pt>
                <c:pt idx="27">
                  <c:v>0.13784971734909021</c:v>
                </c:pt>
                <c:pt idx="28">
                  <c:v>0.14268546531717544</c:v>
                </c:pt>
                <c:pt idx="29">
                  <c:v>0.14769085061829648</c:v>
                </c:pt>
                <c:pt idx="30">
                  <c:v>0.15287182410534089</c:v>
                </c:pt>
                <c:pt idx="31">
                  <c:v>0.15823454538624715</c:v>
                </c:pt>
                <c:pt idx="32">
                  <c:v>0.16378539014710136</c:v>
                </c:pt>
                <c:pt idx="33">
                  <c:v>0.16953095773212709</c:v>
                </c:pt>
                <c:pt idx="34">
                  <c:v>0.17547807898958018</c:v>
                </c:pt>
                <c:pt idx="35">
                  <c:v>0.18163382439287648</c:v>
                </c:pt>
                <c:pt idx="36">
                  <c:v>0.18800551244660751</c:v>
                </c:pt>
                <c:pt idx="37">
                  <c:v>0.19460071838743781</c:v>
                </c:pt>
                <c:pt idx="38">
                  <c:v>0.20142728319022873</c:v>
                </c:pt>
                <c:pt idx="39">
                  <c:v>0.20849332289009545</c:v>
                </c:pt>
                <c:pt idx="40">
                  <c:v>0.2158072382314806</c:v>
                </c:pt>
                <c:pt idx="41">
                  <c:v>0.22337772465571595</c:v>
                </c:pt>
                <c:pt idx="42">
                  <c:v>0.23121378263894624</c:v>
                </c:pt>
                <c:pt idx="43">
                  <c:v>0.23932472839270597</c:v>
                </c:pt>
                <c:pt idx="44">
                  <c:v>0.24772020493987071</c:v>
                </c:pt>
                <c:pt idx="45">
                  <c:v>0.25641019357915129</c:v>
                </c:pt>
                <c:pt idx="46">
                  <c:v>0.26540502575176073</c:v>
                </c:pt>
                <c:pt idx="47">
                  <c:v>0.27471539532436218</c:v>
                </c:pt>
                <c:pt idx="48">
                  <c:v>0.28435237130290081</c:v>
                </c:pt>
                <c:pt idx="49">
                  <c:v>0.29432741099243476</c:v>
                </c:pt>
                <c:pt idx="50">
                  <c:v>0.30465237361861197</c:v>
                </c:pt>
                <c:pt idx="51">
                  <c:v>0.31533953442698531</c:v>
                </c:pt>
                <c:pt idx="52">
                  <c:v>0.32640159927693047</c:v>
                </c:pt>
                <c:pt idx="53">
                  <c:v>0.3378517197475156</c:v>
                </c:pt>
                <c:pt idx="54">
                  <c:v>0.34970350877328349</c:v>
                </c:pt>
                <c:pt idx="55">
                  <c:v>0.3619710568285342</c:v>
                </c:pt>
                <c:pt idx="56">
                  <c:v>0.37466894867934986</c:v>
                </c:pt>
                <c:pt idx="57">
                  <c:v>0.3878122807232785</c:v>
                </c:pt>
                <c:pt idx="58">
                  <c:v>0.40141667893729105</c:v>
                </c:pt>
                <c:pt idx="59">
                  <c:v>0.41549831745535037</c:v>
                </c:pt>
                <c:pt idx="60">
                  <c:v>0.43007393779767822</c:v>
                </c:pt>
                <c:pt idx="61">
                  <c:v>0.44516086877458289</c:v>
                </c:pt>
                <c:pt idx="62">
                  <c:v>0.46077704708850942</c:v>
                </c:pt>
                <c:pt idx="63">
                  <c:v>0.47694103865880688</c:v>
                </c:pt>
                <c:pt idx="64">
                  <c:v>0.49367206069456598</c:v>
                </c:pt>
                <c:pt idx="65">
                  <c:v>0.51099000454176802</c:v>
                </c:pt>
                <c:pt idx="66">
                  <c:v>0.5289154593319082</c:v>
                </c:pt>
                <c:pt idx="67">
                  <c:v>0.54746973646021047</c:v>
                </c:pt>
                <c:pt idx="68">
                  <c:v>0.56667489492253287</c:v>
                </c:pt>
                <c:pt idx="69">
                  <c:v>0.58655376754108923</c:v>
                </c:pt>
                <c:pt idx="70">
                  <c:v>0.60712998811016461</c:v>
                </c:pt>
                <c:pt idx="71">
                  <c:v>0.62842801949409866</c:v>
                </c:pt>
                <c:pt idx="72">
                  <c:v>0.65047318271094212</c:v>
                </c:pt>
                <c:pt idx="73">
                  <c:v>0.67329168703636388</c:v>
                </c:pt>
                <c:pt idx="74">
                  <c:v>0.69691066116359857</c:v>
                </c:pt>
                <c:pt idx="75">
                  <c:v>0.72135818545648067</c:v>
                </c:pt>
                <c:pt idx="76">
                  <c:v>0.74666332533391011</c:v>
                </c:pt>
                <c:pt idx="77">
                  <c:v>0.77285616582544026</c:v>
                </c:pt>
                <c:pt idx="78">
                  <c:v>0.79996784733907078</c:v>
                </c:pt>
                <c:pt idx="79">
                  <c:v>0.82803060268377005</c:v>
                </c:pt>
                <c:pt idx="80">
                  <c:v>0.85707779539074058</c:v>
                </c:pt>
                <c:pt idx="81">
                  <c:v>0.88714395937899138</c:v>
                </c:pt>
                <c:pt idx="82">
                  <c:v>0.91826484001237041</c:v>
                </c:pt>
                <c:pt idx="83">
                  <c:v>0.950477436596873</c:v>
                </c:pt>
                <c:pt idx="84">
                  <c:v>0.98382004636874965</c:v>
                </c:pt>
                <c:pt idx="85">
                  <c:v>1.0183323100257098</c:v>
                </c:pt>
                <c:pt idx="86">
                  <c:v>1.0540552588553536</c:v>
                </c:pt>
                <c:pt idx="87">
                  <c:v>1.0910313635168623</c:v>
                </c:pt>
                <c:pt idx="88">
                  <c:v>1.1293045845339438</c:v>
                </c:pt>
                <c:pt idx="89">
                  <c:v>1.1689204245590625</c:v>
                </c:pt>
                <c:pt idx="90">
                  <c:v>1.2099259824710908</c:v>
                </c:pt>
                <c:pt idx="91">
                  <c:v>1.2523700093706989</c:v>
                </c:pt>
                <c:pt idx="92">
                  <c:v>1.2963029665400538</c:v>
                </c:pt>
                <c:pt idx="93">
                  <c:v>1.3417770854357378</c:v>
                </c:pt>
                <c:pt idx="94">
                  <c:v>1.3888464297862073</c:v>
                </c:pt>
                <c:pt idx="95">
                  <c:v>1.437566959867624</c:v>
                </c:pt>
                <c:pt idx="96">
                  <c:v>1.4879965990344703</c:v>
                </c:pt>
                <c:pt idx="97">
                  <c:v>1.5401953025840516</c:v>
                </c:pt>
                <c:pt idx="98">
                  <c:v>1.5942251290367531</c:v>
                </c:pt>
                <c:pt idx="99">
                  <c:v>1.650150313916799</c:v>
                </c:pt>
                <c:pt idx="100">
                  <c:v>1.7080373461212295</c:v>
                </c:pt>
                <c:pt idx="101">
                  <c:v>1.76795504696789</c:v>
                </c:pt>
                <c:pt idx="102">
                  <c:v>1.8299746520164126</c:v>
                </c:pt>
                <c:pt idx="103">
                  <c:v>1.8941698957594661</c:v>
                </c:pt>
                <c:pt idx="104">
                  <c:v>1.9606170992849625</c:v>
                </c:pt>
                <c:pt idx="105">
                  <c:v>2.0293952610134389</c:v>
                </c:pt>
                <c:pt idx="106">
                  <c:v>2.1005861506184975</c:v>
                </c:pt>
                <c:pt idx="107">
                  <c:v>2.1742744062419574</c:v>
                </c:pt>
                <c:pt idx="108">
                  <c:v>2.2505476351193017</c:v>
                </c:pt>
                <c:pt idx="109">
                  <c:v>2.3294965177350488</c:v>
                </c:pt>
                <c:pt idx="110">
                  <c:v>2.4112149156318821</c:v>
                </c:pt>
                <c:pt idx="111">
                  <c:v>2.4957999830017044</c:v>
                </c:pt>
                <c:pt idx="112">
                  <c:v>2.5833522821912931</c:v>
                </c:pt>
                <c:pt idx="113">
                  <c:v>2.6739759032598744</c:v>
                </c:pt>
                <c:pt idx="114">
                  <c:v>2.767778587730763</c:v>
                </c:pt>
                <c:pt idx="115">
                  <c:v>2.8648718566841889</c:v>
                </c:pt>
                <c:pt idx="116">
                  <c:v>2.9653711433436016</c:v>
                </c:pt>
                <c:pt idx="117">
                  <c:v>3.0693959303130844</c:v>
                </c:pt>
                <c:pt idx="118">
                  <c:v>3.1770698916290354</c:v>
                </c:pt>
                <c:pt idx="119">
                  <c:v>3.2885210397950018</c:v>
                </c:pt>
                <c:pt idx="120">
                  <c:v>3.4038818779744737</c:v>
                </c:pt>
                <c:pt idx="121">
                  <c:v>3.5232895575225811</c:v>
                </c:pt>
                <c:pt idx="122">
                  <c:v>3.6468860410439765</c:v>
                </c:pt>
                <c:pt idx="123">
                  <c:v>3.7748182711707674</c:v>
                </c:pt>
                <c:pt idx="124">
                  <c:v>3.9072383452611525</c:v>
                </c:pt>
                <c:pt idx="125">
                  <c:v>4.0443036962264589</c:v>
                </c:pt>
                <c:pt idx="126">
                  <c:v>4.1861772797015711</c:v>
                </c:pt>
                <c:pt idx="127">
                  <c:v>4.3330277677812639</c:v>
                </c:pt>
                <c:pt idx="128">
                  <c:v>4.4850297495527807</c:v>
                </c:pt>
                <c:pt idx="129">
                  <c:v>4.6423639386630704</c:v>
                </c:pt>
                <c:pt idx="130">
                  <c:v>4.8052173881674447</c:v>
                </c:pt>
                <c:pt idx="131">
                  <c:v>4.9737837129150959</c:v>
                </c:pt>
                <c:pt idx="132">
                  <c:v>5.1482633197358743</c:v>
                </c:pt>
                <c:pt idx="133">
                  <c:v>5.3288636457019765</c:v>
                </c:pt>
                <c:pt idx="134">
                  <c:v>5.5157994047478169</c:v>
                </c:pt>
                <c:pt idx="135">
                  <c:v>5.7092928429412986</c:v>
                </c:pt>
                <c:pt idx="136">
                  <c:v>5.9095740027099541</c:v>
                </c:pt>
                <c:pt idx="137">
                  <c:v>6.1168809963361008</c:v>
                </c:pt>
                <c:pt idx="138">
                  <c:v>6.3314602890461762</c:v>
                </c:pt>
                <c:pt idx="139">
                  <c:v>6.5535669920307917</c:v>
                </c:pt>
                <c:pt idx="140">
                  <c:v>6.7834651657438956</c:v>
                </c:pt>
                <c:pt idx="141">
                  <c:v>7.0214281338416287</c:v>
                </c:pt>
                <c:pt idx="142">
                  <c:v>7.2677388081341014</c:v>
                </c:pt>
                <c:pt idx="143">
                  <c:v>7.5226900249364386</c:v>
                </c:pt>
                <c:pt idx="144">
                  <c:v>7.7865848932189659</c:v>
                </c:pt>
                <c:pt idx="145">
                  <c:v>8.0597371549704526</c:v>
                </c:pt>
                <c:pt idx="146">
                  <c:v>8.342471558202849</c:v>
                </c:pt>
                <c:pt idx="147">
                  <c:v>8.6351242430409805</c:v>
                </c:pt>
                <c:pt idx="148">
                  <c:v>8.9380431413561876</c:v>
                </c:pt>
                <c:pt idx="149">
                  <c:v>9.2515883904190943</c:v>
                </c:pt>
                <c:pt idx="150">
                  <c:v>9.5761327610632154</c:v>
                </c:pt>
                <c:pt idx="151">
                  <c:v>9.9120621008685088</c:v>
                </c:pt>
                <c:pt idx="152">
                  <c:v>10.259775792891732</c:v>
                </c:pt>
                <c:pt idx="153">
                  <c:v>10.619687230488996</c:v>
                </c:pt>
                <c:pt idx="154">
                  <c:v>10.992224308795002</c:v>
                </c:pt>
                <c:pt idx="155">
                  <c:v>11.377829933443346</c:v>
                </c:pt>
                <c:pt idx="156">
                  <c:v>11.776962547132609</c:v>
                </c:pt>
                <c:pt idx="157">
                  <c:v>12.190096674664346</c:v>
                </c:pt>
                <c:pt idx="158">
                  <c:v>12.617723487100898</c:v>
                </c:pt>
                <c:pt idx="159">
                  <c:v>13.060351385713798</c:v>
                </c:pt>
                <c:pt idx="160">
                  <c:v>13.518506606416992</c:v>
                </c:pt>
                <c:pt idx="161">
                  <c:v>13.992733845403491</c:v>
                </c:pt>
                <c:pt idx="162">
                  <c:v>14.48359690672927</c:v>
                </c:pt>
                <c:pt idx="163">
                  <c:v>14.991679372614316</c:v>
                </c:pt>
                <c:pt idx="164">
                  <c:v>15.517585297257723</c:v>
                </c:pt>
                <c:pt idx="165">
                  <c:v>16.061939924991741</c:v>
                </c:pt>
                <c:pt idx="166">
                  <c:v>16.62539043362856</c:v>
                </c:pt>
                <c:pt idx="167">
                  <c:v>17.208606703883571</c:v>
                </c:pt>
                <c:pt idx="168">
                  <c:v>17.812282115789912</c:v>
                </c:pt>
                <c:pt idx="169">
                  <c:v>18.437134373051084</c:v>
                </c:pt>
                <c:pt idx="170">
                  <c:v>19.083906356311786</c:v>
                </c:pt>
                <c:pt idx="171">
                  <c:v>19.753367006361312</c:v>
                </c:pt>
                <c:pt idx="172">
                  <c:v>20.446312238319635</c:v>
                </c:pt>
                <c:pt idx="173">
                  <c:v>21.163565887892997</c:v>
                </c:pt>
                <c:pt idx="174">
                  <c:v>21.905980690823984</c:v>
                </c:pt>
                <c:pt idx="175">
                  <c:v>22.674439296700601</c:v>
                </c:pt>
                <c:pt idx="176">
                  <c:v>23.469855318329582</c:v>
                </c:pt>
                <c:pt idx="177">
                  <c:v>24.293174417921602</c:v>
                </c:pt>
                <c:pt idx="178">
                  <c:v>25.145375431379691</c:v>
                </c:pt>
                <c:pt idx="179">
                  <c:v>26.027471532027516</c:v>
                </c:pt>
                <c:pt idx="180">
                  <c:v>26.940511435161067</c:v>
                </c:pt>
                <c:pt idx="181">
                  <c:v>27.885580644855892</c:v>
                </c:pt>
                <c:pt idx="182">
                  <c:v>28.8638027445121</c:v>
                </c:pt>
                <c:pt idx="183">
                  <c:v>29.87634073267149</c:v>
                </c:pt>
                <c:pt idx="184">
                  <c:v>30.924398405695026</c:v>
                </c:pt>
                <c:pt idx="185">
                  <c:v>32.009221788944323</c:v>
                </c:pt>
                <c:pt idx="186">
                  <c:v>33.132100618168849</c:v>
                </c:pt>
                <c:pt idx="187">
                  <c:v>34.294369872859953</c:v>
                </c:pt>
                <c:pt idx="188">
                  <c:v>35.497411363394733</c:v>
                </c:pt>
                <c:pt idx="189">
                  <c:v>36.742655373856657</c:v>
                </c:pt>
                <c:pt idx="190">
                  <c:v>38.031582362486112</c:v>
                </c:pt>
                <c:pt idx="191">
                  <c:v>39.365724721782549</c:v>
                </c:pt>
                <c:pt idx="192">
                  <c:v>40.746668600350631</c:v>
                </c:pt>
                <c:pt idx="193">
                  <c:v>42.176055788656626</c:v>
                </c:pt>
                <c:pt idx="194">
                  <c:v>43.655585670936766</c:v>
                </c:pt>
                <c:pt idx="195">
                  <c:v>45.187017245578282</c:v>
                </c:pt>
                <c:pt idx="196">
                  <c:v>46.772171216375177</c:v>
                </c:pt>
                <c:pt idx="197">
                  <c:v>48.412932157144837</c:v>
                </c:pt>
                <c:pt idx="198">
                  <c:v>50.111250752279112</c:v>
                </c:pt>
                <c:pt idx="199">
                  <c:v>51.869146115893713</c:v>
                </c:pt>
                <c:pt idx="200">
                  <c:v>53.688708192332818</c:v>
                </c:pt>
                <c:pt idx="201">
                  <c:v>55.572100240883238</c:v>
                </c:pt>
                <c:pt idx="202">
                  <c:v>57.521561407651888</c:v>
                </c:pt>
                <c:pt idx="203">
                  <c:v>59.539409387664335</c:v>
                </c:pt>
                <c:pt idx="204">
                  <c:v>61.628043180349437</c:v>
                </c:pt>
                <c:pt idx="205">
                  <c:v>63.789945941685907</c:v>
                </c:pt>
                <c:pt idx="206">
                  <c:v>66.027687936401847</c:v>
                </c:pt>
                <c:pt idx="207">
                  <c:v>68.343929593736917</c:v>
                </c:pt>
                <c:pt idx="208">
                  <c:v>70.741424670400278</c:v>
                </c:pt>
                <c:pt idx="209">
                  <c:v>73.223023524484603</c:v>
                </c:pt>
                <c:pt idx="210">
                  <c:v>75.791676504228477</c:v>
                </c:pt>
                <c:pt idx="211">
                  <c:v>78.450437455656157</c:v>
                </c:pt>
                <c:pt idx="212">
                  <c:v>81.20246735326478</c:v>
                </c:pt>
                <c:pt idx="213">
                  <c:v>84.051038058075576</c:v>
                </c:pt>
                <c:pt idx="214">
                  <c:v>86.999536207516897</c:v>
                </c:pt>
                <c:pt idx="215">
                  <c:v>90.051467241763902</c:v>
                </c:pt>
                <c:pt idx="216">
                  <c:v>93.210459571321536</c:v>
                </c:pt>
                <c:pt idx="217">
                  <c:v>96.480268890805732</c:v>
                </c:pt>
                <c:pt idx="218">
                  <c:v>99.86478264405153</c:v>
                </c:pt>
                <c:pt idx="219">
                  <c:v>103.36802464585627</c:v>
                </c:pt>
                <c:pt idx="220">
                  <c:v>106.99415986585336</c:v>
                </c:pt>
                <c:pt idx="221">
                  <c:v>110.74749938020311</c:v>
                </c:pt>
                <c:pt idx="222">
                  <c:v>114.63250549698837</c:v>
                </c:pt>
                <c:pt idx="223">
                  <c:v>118.65379706140838</c:v>
                </c:pt>
                <c:pt idx="224">
                  <c:v>122.81615494707791</c:v>
                </c:pt>
                <c:pt idx="225">
                  <c:v>127.12452773996046</c:v>
                </c:pt>
                <c:pt idx="226">
                  <c:v>131.584037621693</c:v>
                </c:pt>
                <c:pt idx="227">
                  <c:v>136.19998645929684</c:v>
                </c:pt>
                <c:pt idx="228">
                  <c:v>140.97786210851478</c:v>
                </c:pt>
                <c:pt idx="229">
                  <c:v>145.92334493826789</c:v>
                </c:pt>
                <c:pt idx="230">
                  <c:v>151.04231458399045</c:v>
                </c:pt>
                <c:pt idx="231">
                  <c:v>156.34085693786957</c:v>
                </c:pt>
                <c:pt idx="232">
                  <c:v>161.82527138430234</c:v>
                </c:pt>
                <c:pt idx="233">
                  <c:v>167.50207828917075</c:v>
                </c:pt>
                <c:pt idx="234">
                  <c:v>173.37802675184096</c:v>
                </c:pt>
                <c:pt idx="235">
                  <c:v>179.46010262909985</c:v>
                </c:pt>
                <c:pt idx="236">
                  <c:v>185.75553684057058</c:v>
                </c:pt>
                <c:pt idx="237">
                  <c:v>192.2718139654819</c:v>
                </c:pt>
                <c:pt idx="238">
                  <c:v>199.01668114100951</c:v>
                </c:pt>
                <c:pt idx="239">
                  <c:v>205.99815727277087</c:v>
                </c:pt>
                <c:pt idx="240">
                  <c:v>213.22454256842178</c:v>
                </c:pt>
                <c:pt idx="241">
                  <c:v>220.70442840569206</c:v>
                </c:pt>
                <c:pt idx="242">
                  <c:v>228.44670754658779</c:v>
                </c:pt>
                <c:pt idx="243">
                  <c:v>236.46058470990909</c:v>
                </c:pt>
                <c:pt idx="244">
                  <c:v>244.75558751464831</c:v>
                </c:pt>
                <c:pt idx="245">
                  <c:v>253.34157780728108</c:v>
                </c:pt>
                <c:pt idx="246">
                  <c:v>262.2287633864189</c:v>
                </c:pt>
                <c:pt idx="247">
                  <c:v>271.4277101387587</c:v>
                </c:pt>
                <c:pt idx="248">
                  <c:v>280.94935460076113</c:v>
                </c:pt>
                <c:pt idx="249">
                  <c:v>290.80501696098924</c:v>
                </c:pt>
                <c:pt idx="250">
                  <c:v>301.00641451856916</c:v>
                </c:pt>
                <c:pt idx="251">
                  <c:v>311.56567561377102</c:v>
                </c:pt>
                <c:pt idx="252">
                  <c:v>322.49535404727078</c:v>
                </c:pt>
                <c:pt idx="253">
                  <c:v>333.80844400524091</c:v>
                </c:pt>
                <c:pt idx="254">
                  <c:v>345.5183955080085</c:v>
                </c:pt>
                <c:pt idx="255">
                  <c:v>357.63913040065023</c:v>
                </c:pt>
                <c:pt idx="256">
                  <c:v>370.18505890453713</c:v>
                </c:pt>
                <c:pt idx="257">
                  <c:v>383.17109674950291</c:v>
                </c:pt>
                <c:pt idx="258">
                  <c:v>396.61268290700741</c:v>
                </c:pt>
                <c:pt idx="259">
                  <c:v>410.52579794537525</c:v>
                </c:pt>
                <c:pt idx="260">
                  <c:v>424.92698302893729</c:v>
                </c:pt>
                <c:pt idx="261">
                  <c:v>439.8333595836537</c:v>
                </c:pt>
                <c:pt idx="262">
                  <c:v>455.26264965261038</c:v>
                </c:pt>
                <c:pt idx="263">
                  <c:v>471.23319696557684</c:v>
                </c:pt>
                <c:pt idx="264">
                  <c:v>487.76398874768722</c:v>
                </c:pt>
                <c:pt idx="265">
                  <c:v>504.87467829316228</c:v>
                </c:pt>
                <c:pt idx="266">
                  <c:v>522.58560833091622</c:v>
                </c:pt>
                <c:pt idx="267">
                  <c:v>540.91783520982381</c:v>
                </c:pt>
                <c:pt idx="268">
                  <c:v>559.89315393240724</c:v>
                </c:pt>
                <c:pt idx="269">
                  <c:v>579.53412406669474</c:v>
                </c:pt>
                <c:pt idx="270">
                  <c:v>599.86409656707042</c:v>
                </c:pt>
                <c:pt idx="271">
                  <c:v>620.90724153599047</c:v>
                </c:pt>
                <c:pt idx="272">
                  <c:v>642.68857695957649</c:v>
                </c:pt>
                <c:pt idx="273">
                  <c:v>665.23399845125459</c:v>
                </c:pt>
                <c:pt idx="274">
                  <c:v>688.57031003878853</c:v>
                </c:pt>
                <c:pt idx="275">
                  <c:v>712.72525603132635</c:v>
                </c:pt>
                <c:pt idx="276">
                  <c:v>737.72755400433221</c:v>
                </c:pt>
                <c:pt idx="277">
                  <c:v>763.6069289416248</c:v>
                </c:pt>
                <c:pt idx="278">
                  <c:v>790.39414857511952</c:v>
                </c:pt>
                <c:pt idx="279">
                  <c:v>818.1210599642767</c:v>
                </c:pt>
                <c:pt idx="280">
                  <c:v>846.82062735875547</c:v>
                </c:pt>
                <c:pt idx="281">
                  <c:v>876.52697138928079</c:v>
                </c:pt>
                <c:pt idx="282">
                  <c:v>907.27540963332683</c:v>
                </c:pt>
                <c:pt idx="283">
                  <c:v>939.10249860382874</c:v>
                </c:pt>
                <c:pt idx="284">
                  <c:v>972.04607721086302</c:v>
                </c:pt>
                <c:pt idx="285">
                  <c:v>1006.1453117479499</c:v>
                </c:pt>
                <c:pt idx="286">
                  <c:v>1041.4407424564688</c:v>
                </c:pt>
                <c:pt idx="287">
                  <c:v>1077.9743317235509</c:v>
                </c:pt>
                <c:pt idx="288">
                  <c:v>1115.7895139707459</c:v>
                </c:pt>
                <c:pt idx="289">
                  <c:v>1154.9312472927725</c:v>
                </c:pt>
                <c:pt idx="290">
                  <c:v>1195.4460669077519</c:v>
                </c:pt>
                <c:pt idx="291">
                  <c:v>1237.3821404824632</c:v>
                </c:pt>
                <c:pt idx="292">
                  <c:v>1280.7893253984103</c:v>
                </c:pt>
                <c:pt idx="293">
                  <c:v>1325.7192280267632</c:v>
                </c:pt>
                <c:pt idx="294">
                  <c:v>1372.2252650826629</c:v>
                </c:pt>
                <c:pt idx="295">
                  <c:v>1420.3627271318198</c:v>
                </c:pt>
                <c:pt idx="296">
                  <c:v>1470.1888443249213</c:v>
                </c:pt>
                <c:pt idx="297">
                  <c:v>1521.7628544379922</c:v>
                </c:pt>
                <c:pt idx="298">
                  <c:v>1575.1460732995915</c:v>
                </c:pt>
                <c:pt idx="299">
                  <c:v>1630.4019676885991</c:v>
                </c:pt>
                <c:pt idx="300">
                  <c:v>1687.596230789236</c:v>
                </c:pt>
                <c:pt idx="301">
                  <c:v>1746.7968602930189</c:v>
                </c:pt>
              </c:numCache>
            </c:numRef>
          </c:xVal>
          <c:yVal>
            <c:numRef>
              <c:f>'Aerosol 1'!$B$17:$B$318</c:f>
              <c:numCache>
                <c:formatCode>0.00</c:formatCode>
                <c:ptCount val="302"/>
                <c:pt idx="0">
                  <c:v>0.44186124245927633</c:v>
                </c:pt>
                <c:pt idx="1">
                  <c:v>0.46131210999061745</c:v>
                </c:pt>
                <c:pt idx="2">
                  <c:v>0.48140861666230927</c:v>
                </c:pt>
                <c:pt idx="3">
                  <c:v>0.50216093125413552</c:v>
                </c:pt>
                <c:pt idx="4">
                  <c:v>0.52357878441183359</c:v>
                </c:pt>
                <c:pt idx="5">
                  <c:v>0.5456714323813735</c:v>
                </c:pt>
                <c:pt idx="6">
                  <c:v>0.56844762024753248</c:v>
                </c:pt>
                <c:pt idx="7">
                  <c:v>0.59191554475411046</c:v>
                </c:pt>
                <c:pt idx="8">
                  <c:v>0.61608281678768284</c:v>
                </c:pt>
                <c:pt idx="9">
                  <c:v>0.640956423611309</c:v>
                </c:pt>
                <c:pt idx="10">
                  <c:v>0.66654269093894958</c:v>
                </c:pt>
                <c:pt idx="11">
                  <c:v>0.69284724494557703</c:v>
                </c:pt>
                <c:pt idx="12">
                  <c:v>0.71987497431205472</c:v>
                </c:pt>
                <c:pt idx="13">
                  <c:v>0.74762999240766514</c:v>
                </c:pt>
                <c:pt idx="14">
                  <c:v>0.77611559971686572</c:v>
                </c:pt>
                <c:pt idx="15">
                  <c:v>0.80533424662027397</c:v>
                </c:pt>
                <c:pt idx="16">
                  <c:v>0.83528749664299695</c:v>
                </c:pt>
                <c:pt idx="17">
                  <c:v>0.86597599028635586</c:v>
                </c:pt>
                <c:pt idx="18">
                  <c:v>0.89739940956159492</c:v>
                </c:pt>
                <c:pt idx="19">
                  <c:v>0.92955644334641507</c:v>
                </c:pt>
                <c:pt idx="20">
                  <c:v>0.96244475368708815</c:v>
                </c:pt>
                <c:pt idx="21">
                  <c:v>0.99606094317043981</c:v>
                </c:pt>
                <c:pt idx="22">
                  <c:v>1.0304005234911267</c:v>
                </c:pt>
                <c:pt idx="23">
                  <c:v>1.0654578853403807</c:v>
                </c:pt>
                <c:pt idx="24">
                  <c:v>1.1012262697427355</c:v>
                </c:pt>
                <c:pt idx="25">
                  <c:v>1.1376977409670872</c:v>
                </c:pt>
                <c:pt idx="26">
                  <c:v>1.1748631611379141</c:v>
                </c:pt>
                <c:pt idx="27">
                  <c:v>1.2127121666714109</c:v>
                </c:pt>
                <c:pt idx="28">
                  <c:v>1.2512331466597939</c:v>
                </c:pt>
                <c:pt idx="29">
                  <c:v>1.2904132233250187</c:v>
                </c:pt>
                <c:pt idx="30">
                  <c:v>1.3302382346606514</c:v>
                </c:pt>
                <c:pt idx="31">
                  <c:v>1.3706927193776288</c:v>
                </c:pt>
                <c:pt idx="32">
                  <c:v>1.4117599042661435</c:v>
                </c:pt>
                <c:pt idx="33">
                  <c:v>1.4534216940818485</c:v>
                </c:pt>
                <c:pt idx="34">
                  <c:v>1.4956586640600764</c:v>
                </c:pt>
                <c:pt idx="35">
                  <c:v>1.5384500551567053</c:v>
                </c:pt>
                <c:pt idx="36">
                  <c:v>1.5817737721087923</c:v>
                </c:pt>
                <c:pt idx="37">
                  <c:v>1.6256063844020647</c:v>
                </c:pt>
                <c:pt idx="38">
                  <c:v>1.6699231302258415</c:v>
                </c:pt>
                <c:pt idx="39">
                  <c:v>1.7146979234889446</c:v>
                </c:pt>
                <c:pt idx="40">
                  <c:v>1.759903363962817</c:v>
                </c:pt>
                <c:pt idx="41">
                  <c:v>1.8055107506100476</c:v>
                </c:pt>
                <c:pt idx="42">
                  <c:v>1.8514900981483005</c:v>
                </c:pt>
                <c:pt idx="43">
                  <c:v>1.8978101568909038</c:v>
                </c:pt>
                <c:pt idx="44">
                  <c:v>1.9444384358962847</c:v>
                </c:pt>
                <c:pt idx="45">
                  <c:v>1.9913412294490078</c:v>
                </c:pt>
                <c:pt idx="46">
                  <c:v>2.0384836468854131</c:v>
                </c:pt>
                <c:pt idx="47">
                  <c:v>2.0858296457668346</c:v>
                </c:pt>
                <c:pt idx="48">
                  <c:v>2.1333420683930817</c:v>
                </c:pt>
                <c:pt idx="49">
                  <c:v>2.1809826816383282</c:v>
                </c:pt>
                <c:pt idx="50">
                  <c:v>2.228712220080856</c:v>
                </c:pt>
                <c:pt idx="51">
                  <c:v>2.2764904323872996</c:v>
                </c:pt>
                <c:pt idx="52">
                  <c:v>2.3242761309009832</c:v>
                </c:pt>
                <c:pt idx="53">
                  <c:v>2.3720272443730042</c:v>
                </c:pt>
                <c:pt idx="54">
                  <c:v>2.4197008737636536</c:v>
                </c:pt>
                <c:pt idx="55">
                  <c:v>2.4672533510306454</c:v>
                </c:pt>
                <c:pt idx="56">
                  <c:v>2.5146403008098255</c:v>
                </c:pt>
                <c:pt idx="57">
                  <c:v>2.5618167048829941</c:v>
                </c:pt>
                <c:pt idx="58">
                  <c:v>2.6087369693169058</c:v>
                </c:pt>
                <c:pt idx="59">
                  <c:v>2.6553549941469203</c:v>
                </c:pt>
                <c:pt idx="60">
                  <c:v>2.7016242454685999</c:v>
                </c:pt>
                <c:pt idx="61">
                  <c:v>2.7474978297904649</c:v>
                </c:pt>
                <c:pt idx="62">
                  <c:v>2.7929285704915876</c:v>
                </c:pt>
                <c:pt idx="63">
                  <c:v>2.8378690862184355</c:v>
                </c:pt>
                <c:pt idx="64">
                  <c:v>2.8822718710464335</c:v>
                </c:pt>
                <c:pt idx="65">
                  <c:v>2.9260893762235214</c:v>
                </c:pt>
                <c:pt idx="66">
                  <c:v>2.9692740933049833</c:v>
                </c:pt>
                <c:pt idx="67">
                  <c:v>3.0117786384815415</c:v>
                </c:pt>
                <c:pt idx="68">
                  <c:v>3.0535558378960421</c:v>
                </c:pt>
                <c:pt idx="69">
                  <c:v>3.0945588137378577</c:v>
                </c:pt>
                <c:pt idx="70">
                  <c:v>3.1347410708986945</c:v>
                </c:pt>
                <c:pt idx="71">
                  <c:v>3.1740565839687793</c:v>
                </c:pt>
                <c:pt idx="72">
                  <c:v>3.2124598843482381</c:v>
                </c:pt>
                <c:pt idx="73">
                  <c:v>3.2499061472452042</c:v>
                </c:pt>
                <c:pt idx="74">
                  <c:v>3.2863512783296476</c:v>
                </c:pt>
                <c:pt idx="75">
                  <c:v>3.3217519998100826</c:v>
                </c:pt>
                <c:pt idx="76">
                  <c:v>3.3560659356993177</c:v>
                </c:pt>
                <c:pt idx="77">
                  <c:v>3.3892516960353243</c:v>
                </c:pt>
                <c:pt idx="78">
                  <c:v>3.4212689598238413</c:v>
                </c:pt>
                <c:pt idx="79">
                  <c:v>3.4520785564708141</c:v>
                </c:pt>
                <c:pt idx="80">
                  <c:v>3.4816425454751547</c:v>
                </c:pt>
                <c:pt idx="81">
                  <c:v>3.5099242941553546</c:v>
                </c:pt>
                <c:pt idx="82">
                  <c:v>3.5368885531874357</c:v>
                </c:pt>
                <c:pt idx="83">
                  <c:v>3.5625015297365521</c:v>
                </c:pt>
                <c:pt idx="84">
                  <c:v>3.5867309579701279</c:v>
                </c:pt>
                <c:pt idx="85">
                  <c:v>3.609546166746695</c:v>
                </c:pt>
                <c:pt idx="86">
                  <c:v>3.630918144281865</c:v>
                </c:pt>
                <c:pt idx="87">
                  <c:v>3.6508195996006427</c:v>
                </c:pt>
                <c:pt idx="88">
                  <c:v>3.66922502059399</c:v>
                </c:pt>
                <c:pt idx="89">
                  <c:v>3.6861107285067698</c:v>
                </c:pt>
                <c:pt idx="90">
                  <c:v>3.7014549286942424</c:v>
                </c:pt>
                <c:pt idx="91">
                  <c:v>3.7152377574948292</c:v>
                </c:pt>
                <c:pt idx="92">
                  <c:v>3.7274413250780198</c:v>
                </c:pt>
                <c:pt idx="93">
                  <c:v>3.7380497541381152</c:v>
                </c:pt>
                <c:pt idx="94">
                  <c:v>3.7470492143165992</c:v>
                </c:pt>
                <c:pt idx="95">
                  <c:v>3.7544279522487161</c:v>
                </c:pt>
                <c:pt idx="96">
                  <c:v>3.7601763171428693</c:v>
                </c:pt>
                <c:pt idx="97">
                  <c:v>3.7642867818149099</c:v>
                </c:pt>
                <c:pt idx="98">
                  <c:v>3.766753959113152</c:v>
                </c:pt>
                <c:pt idx="99">
                  <c:v>3.7675746136839425</c:v>
                </c:pt>
                <c:pt idx="100">
                  <c:v>3.7667476690418042</c:v>
                </c:pt>
                <c:pt idx="101">
                  <c:v>3.7642742099225499</c:v>
                </c:pt>
                <c:pt idx="102">
                  <c:v>3.7601574799121305</c:v>
                </c:pt>
                <c:pt idx="103">
                  <c:v>3.7544028743585272</c:v>
                </c:pt>
                <c:pt idx="104">
                  <c:v>3.7470179285882987</c:v>
                </c:pt>
                <c:pt idx="105">
                  <c:v>3.7380123014638706</c:v>
                </c:pt>
                <c:pt idx="106">
                  <c:v>3.7273977543317587</c:v>
                </c:pt>
                <c:pt idx="107">
                  <c:v>3.7151881254259633</c:v>
                </c:pt>
                <c:pt idx="108">
                  <c:v>3.7013992998044931</c:v>
                </c:pt>
                <c:pt idx="109">
                  <c:v>3.686049174910484</c:v>
                </c:pt>
                <c:pt idx="110">
                  <c:v>3.6691576218623672</c:v>
                </c:pt>
                <c:pt idx="111">
                  <c:v>3.6507464425903295</c:v>
                </c:pt>
                <c:pt idx="112">
                  <c:v>3.6308393229484563</c:v>
                </c:pt>
                <c:pt idx="113">
                  <c:v>3.6094617819436903</c:v>
                </c:pt>
                <c:pt idx="114">
                  <c:v>3.5866411172339343</c:v>
                </c:pt>
                <c:pt idx="115">
                  <c:v>3.562406347058205</c:v>
                </c:pt>
                <c:pt idx="116">
                  <c:v>3.536788148771687</c:v>
                </c:pt>
                <c:pt idx="117">
                  <c:v>3.5098187941678494</c:v>
                </c:pt>
                <c:pt idx="118">
                  <c:v>3.4815320817784419</c:v>
                </c:pt>
                <c:pt idx="119">
                  <c:v>3.4519632663499689</c:v>
                </c:pt>
                <c:pt idx="120">
                  <c:v>3.4211489857025024</c:v>
                </c:pt>
                <c:pt idx="121">
                  <c:v>3.3891271851829274</c:v>
                </c:pt>
                <c:pt idx="122">
                  <c:v>3.355937039930418</c:v>
                </c:pt>
                <c:pt idx="123">
                  <c:v>3.3216188751766098</c:v>
                </c:pt>
                <c:pt idx="124">
                  <c:v>3.2862140848069323</c:v>
                </c:pt>
                <c:pt idx="125">
                  <c:v>3.2497650484126934</c:v>
                </c:pt>
                <c:pt idx="126">
                  <c:v>3.2123150470657871</c:v>
                </c:pt>
                <c:pt idx="127">
                  <c:v>3.1739081780493863</c:v>
                </c:pt>
                <c:pt idx="128">
                  <c:v>3.1345892687785928</c:v>
                </c:pt>
                <c:pt idx="129">
                  <c:v>3.0944037901448533</c:v>
                </c:pt>
                <c:pt idx="130">
                  <c:v>3.0533977695169816</c:v>
                </c:pt>
                <c:pt idx="131">
                  <c:v>3.0116177036297791</c:v>
                </c:pt>
                <c:pt idx="132">
                  <c:v>2.9691104715887366</c:v>
                </c:pt>
                <c:pt idx="133">
                  <c:v>2.9259232482159381</c:v>
                </c:pt>
                <c:pt idx="134">
                  <c:v>2.8821034179582243</c:v>
                </c:pt>
                <c:pt idx="135">
                  <c:v>2.8376984895738926</c:v>
                </c:pt>
                <c:pt idx="136">
                  <c:v>2.7927560118087604</c:v>
                </c:pt>
                <c:pt idx="137">
                  <c:v>2.7473234902662829</c:v>
                </c:pt>
                <c:pt idx="138">
                  <c:v>2.7014483056696856</c:v>
                </c:pt>
                <c:pt idx="139">
                  <c:v>2.6551776337067761</c:v>
                </c:pt>
                <c:pt idx="140">
                  <c:v>2.6085583666402004</c:v>
                </c:pt>
                <c:pt idx="141">
                  <c:v>2.5616370368575714</c:v>
                </c:pt>
                <c:pt idx="142">
                  <c:v>2.5144597425270416</c:v>
                </c:pt>
                <c:pt idx="143">
                  <c:v>2.4670720755146456</c:v>
                </c:pt>
                <c:pt idx="144">
                  <c:v>2.4195190517101013</c:v>
                </c:pt>
                <c:pt idx="145">
                  <c:v>2.3718450438977809</c:v>
                </c:pt>
                <c:pt idx="146">
                  <c:v>2.3240937172993008</c:v>
                </c:pt>
                <c:pt idx="147">
                  <c:v>2.2763079679036884</c:v>
                </c:pt>
                <c:pt idx="148">
                  <c:v>2.2285298636903583</c:v>
                </c:pt>
                <c:pt idx="149">
                  <c:v>2.1808005888392805</c:v>
                </c:pt>
                <c:pt idx="150">
                  <c:v>2.1331603910117636</c:v>
                </c:pt>
                <c:pt idx="151">
                  <c:v>2.0856485317742313</c:v>
                </c:pt>
                <c:pt idx="152">
                  <c:v>2.0383032402263295</c:v>
                </c:pt>
                <c:pt idx="153">
                  <c:v>1.9911616698836792</c:v>
                </c:pt>
                <c:pt idx="154">
                  <c:v>1.94425985885463</c:v>
                </c:pt>
                <c:pt idx="155">
                  <c:v>1.8976326933395071</c:v>
                </c:pt>
                <c:pt idx="156">
                  <c:v>1.8513138744701663</c:v>
                </c:pt>
                <c:pt idx="157">
                  <c:v>1.8053358884971329</c:v>
                </c:pt>
                <c:pt idx="158">
                  <c:v>1.7597299803213207</c:v>
                </c:pt>
                <c:pt idx="159">
                  <c:v>1.7145261303572796</c:v>
                </c:pt>
                <c:pt idx="160">
                  <c:v>1.6697530347051837</c:v>
                </c:pt>
                <c:pt idx="161">
                  <c:v>1.6254380885993382</c:v>
                </c:pt>
                <c:pt idx="162">
                  <c:v>1.5816073730919125</c:v>
                </c:pt>
                <c:pt idx="163">
                  <c:v>1.5382856449218942</c:v>
                </c:pt>
                <c:pt idx="164">
                  <c:v>1.4954963295109787</c:v>
                </c:pt>
                <c:pt idx="165">
                  <c:v>1.4532615170202043</c:v>
                </c:pt>
                <c:pt idx="166">
                  <c:v>1.4116019613937212</c:v>
                </c:pt>
                <c:pt idx="167">
                  <c:v>1.3705370823090919</c:v>
                </c:pt>
                <c:pt idx="168">
                  <c:v>1.3300849699470119</c:v>
                </c:pt>
                <c:pt idx="169">
                  <c:v>1.2902623924873224</c:v>
                </c:pt>
                <c:pt idx="170">
                  <c:v>1.2510848062326405</c:v>
                </c:pt>
                <c:pt idx="171">
                  <c:v>1.2125663682559087</c:v>
                </c:pt>
                <c:pt idx="172">
                  <c:v>1.1747199514636475</c:v>
                </c:pt>
                <c:pt idx="173">
                  <c:v>1.1375571619626581</c:v>
                </c:pt>
                <c:pt idx="174">
                  <c:v>1.1010883586144373</c:v>
                </c:pt>
                <c:pt idx="175">
                  <c:v>1.0653226746585411</c:v>
                </c:pt>
                <c:pt idx="176">
                  <c:v>1.0302680412836542</c:v>
                </c:pt>
                <c:pt idx="177">
                  <c:v>0.99593121302309984</c:v>
                </c:pt>
                <c:pt idx="178">
                  <c:v>0.96231779485002644</c:v>
                </c:pt>
                <c:pt idx="179">
                  <c:v>0.92943227084645752</c:v>
                </c:pt>
                <c:pt idx="180">
                  <c:v>0.89727803431982789</c:v>
                </c:pt>
                <c:pt idx="181">
                  <c:v>0.86585741924051085</c:v>
                </c:pt>
                <c:pt idx="182">
                  <c:v>0.8351717328741588</c:v>
                </c:pt>
                <c:pt idx="183">
                  <c:v>0.80522128948343585</c:v>
                </c:pt>
                <c:pt idx="184">
                  <c:v>0.77600544497485402</c:v>
                </c:pt>
                <c:pt idx="185">
                  <c:v>0.747522632367977</c:v>
                </c:pt>
                <c:pt idx="186">
                  <c:v>0.71977039796614994</c:v>
                </c:pt>
                <c:pt idx="187">
                  <c:v>0.69274543811016442</c:v>
                </c:pt>
                <c:pt idx="188">
                  <c:v>0.66644363639884785</c:v>
                </c:pt>
                <c:pt idx="189">
                  <c:v>0.64086010126344251</c:v>
                </c:pt>
                <c:pt idx="190">
                  <c:v>0.61598920378580069</c:v>
                </c:pt>
                <c:pt idx="191">
                  <c:v>0.59182461565384048</c:v>
                </c:pt>
                <c:pt idx="192">
                  <c:v>0.56835934715136893</c:v>
                </c:pt>
                <c:pt idx="193">
                  <c:v>0.54558578508323363</c:v>
                </c:pt>
                <c:pt idx="194">
                  <c:v>0.52349573054083476</c:v>
                </c:pt>
                <c:pt idx="195">
                  <c:v>0.50208043641724442</c:v>
                </c:pt>
                <c:pt idx="196">
                  <c:v>0.48133064458554958</c:v>
                </c:pt>
                <c:pt idx="197">
                  <c:v>0.46123662265852483</c:v>
                </c:pt>
                <c:pt idx="198">
                  <c:v>0.44178820025232607</c:v>
                </c:pt>
                <c:pt idx="199">
                  <c:v>0.42297480468155857</c:v>
                </c:pt>
                <c:pt idx="200">
                  <c:v>0.40478549601780117</c:v>
                </c:pt>
                <c:pt idx="201">
                  <c:v>0.38720900144841131</c:v>
                </c:pt>
                <c:pt idx="202">
                  <c:v>0.3702337488772196</c:v>
                </c:pt>
                <c:pt idx="203">
                  <c:v>0.35384789971348357</c:v>
                </c:pt>
                <c:pt idx="204">
                  <c:v>0.33803938080021634</c:v>
                </c:pt>
                <c:pt idx="205">
                  <c:v>0.32279591543772024</c:v>
                </c:pt>
                <c:pt idx="206">
                  <c:v>0.30810505346279932</c:v>
                </c:pt>
                <c:pt idx="207">
                  <c:v>0.29395420034871345</c:v>
                </c:pt>
                <c:pt idx="208">
                  <c:v>0.28033064529542867</c:v>
                </c:pt>
                <c:pt idx="209">
                  <c:v>0.26722158828411935</c:v>
                </c:pt>
                <c:pt idx="210">
                  <c:v>0.2546141660741621</c:v>
                </c:pt>
                <c:pt idx="211">
                  <c:v>0.24249547712502706</c:v>
                </c:pt>
                <c:pt idx="212">
                  <c:v>0.23085260542950359</c:v>
                </c:pt>
                <c:pt idx="213">
                  <c:v>0.21967264324858532</c:v>
                </c:pt>
                <c:pt idx="214">
                  <c:v>0.20894271274208021</c:v>
                </c:pt>
                <c:pt idx="215">
                  <c:v>0.19864998649259011</c:v>
                </c:pt>
                <c:pt idx="216">
                  <c:v>0.18878170692392457</c:v>
                </c:pt>
                <c:pt idx="217">
                  <c:v>0.17932520461825843</c:v>
                </c:pt>
                <c:pt idx="218">
                  <c:v>0.17026791553942153</c:v>
                </c:pt>
                <c:pt idx="219">
                  <c:v>0.16159739717260269</c:v>
                </c:pt>
                <c:pt idx="220">
                  <c:v>0.15330134359347358</c:v>
                </c:pt>
                <c:pt idx="221">
                  <c:v>0.14536759948227493</c:v>
                </c:pt>
                <c:pt idx="222">
                  <c:v>0.13778417310076432</c:v>
                </c:pt>
                <c:pt idx="223">
                  <c:v>0.13053924825210331</c:v>
                </c:pt>
                <c:pt idx="224">
                  <c:v>0.12362119524575728</c:v>
                </c:pt>
                <c:pt idx="225">
                  <c:v>0.11701858089129905</c:v>
                </c:pt>
                <c:pt idx="226">
                  <c:v>0.11072017754664996</c:v>
                </c:pt>
                <c:pt idx="227">
                  <c:v>0.10471497124776093</c:v>
                </c:pt>
                <c:pt idx="228">
                  <c:v>9.8992168948033366E-2</c:v>
                </c:pt>
                <c:pt idx="229">
                  <c:v>9.3541204896916155E-2</c:v>
                </c:pt>
                <c:pt idx="230">
                  <c:v>8.8351746188082683E-2</c:v>
                </c:pt>
                <c:pt idx="231">
                  <c:v>8.3413697508413695E-2</c:v>
                </c:pt>
                <c:pt idx="232">
                  <c:v>7.8717205119671452E-2</c:v>
                </c:pt>
                <c:pt idx="233">
                  <c:v>7.4252660105275328E-2</c:v>
                </c:pt>
                <c:pt idx="234">
                  <c:v>7.0010700914966417E-2</c:v>
                </c:pt>
                <c:pt idx="235">
                  <c:v>6.5982215240401668E-2</c:v>
                </c:pt>
                <c:pt idx="236">
                  <c:v>6.2158341254836685E-2</c:v>
                </c:pt>
                <c:pt idx="237">
                  <c:v>5.8530468250059968E-2</c:v>
                </c:pt>
                <c:pt idx="238">
                  <c:v>5.5090236703633513E-2</c:v>
                </c:pt>
                <c:pt idx="239">
                  <c:v>5.1829537809275593E-2</c:v>
                </c:pt>
                <c:pt idx="240">
                  <c:v>4.8740512502909367E-2</c:v>
                </c:pt>
                <c:pt idx="241">
                  <c:v>4.5815550016491589E-2</c:v>
                </c:pt>
                <c:pt idx="242">
                  <c:v>4.3047285991246978E-2</c:v>
                </c:pt>
                <c:pt idx="243">
                  <c:v>4.0428600181359998E-2</c:v>
                </c:pt>
                <c:pt idx="244">
                  <c:v>3.7952613778537654E-2</c:v>
                </c:pt>
                <c:pt idx="245">
                  <c:v>3.5612686387149081E-2</c:v>
                </c:pt>
                <c:pt idx="246">
                  <c:v>3.3402412678883081E-2</c:v>
                </c:pt>
                <c:pt idx="247">
                  <c:v>3.1315618755051455E-2</c:v>
                </c:pt>
                <c:pt idx="248">
                  <c:v>2.9346358243801881E-2</c:v>
                </c:pt>
                <c:pt idx="249">
                  <c:v>2.7488908158606124E-2</c:v>
                </c:pt>
                <c:pt idx="250">
                  <c:v>2.5737764543453598E-2</c:v>
                </c:pt>
                <c:pt idx="251">
                  <c:v>2.4087637929220272E-2</c:v>
                </c:pt>
                <c:pt idx="252">
                  <c:v>2.2533448624698332E-2</c:v>
                </c:pt>
                <c:pt idx="253">
                  <c:v>2.107032186476971E-2</c:v>
                </c:pt>
                <c:pt idx="254">
                  <c:v>1.9693582837195078E-2</c:v>
                </c:pt>
                <c:pt idx="255">
                  <c:v>1.8398751608466976E-2</c:v>
                </c:pt>
                <c:pt idx="256">
                  <c:v>1.718153796815159E-2</c:v>
                </c:pt>
                <c:pt idx="257">
                  <c:v>1.6037836210120674E-2</c:v>
                </c:pt>
                <c:pt idx="258">
                  <c:v>1.4963719868055071E-2</c:v>
                </c:pt>
                <c:pt idx="259">
                  <c:v>1.3955436421591185E-2</c:v>
                </c:pt>
                <c:pt idx="260">
                  <c:v>1.3009401988481615E-2</c:v>
                </c:pt>
                <c:pt idx="261">
                  <c:v>1.2122196017157636E-2</c:v>
                </c:pt>
                <c:pt idx="262">
                  <c:v>1.1290555993112185E-2</c:v>
                </c:pt>
                <c:pt idx="263">
                  <c:v>1.0511372171576121E-2</c:v>
                </c:pt>
                <c:pt idx="264">
                  <c:v>9.7816823480333607E-3</c:v>
                </c:pt>
                <c:pt idx="265">
                  <c:v>9.0986666772206841E-3</c:v>
                </c:pt>
                <c:pt idx="266">
                  <c:v>8.4596425503812873E-3</c:v>
                </c:pt>
                <c:pt idx="267">
                  <c:v>7.8620595396939226E-3</c:v>
                </c:pt>
                <c:pt idx="268">
                  <c:v>7.3034944179795639E-3</c:v>
                </c:pt>
                <c:pt idx="269">
                  <c:v>6.7816462609988229E-3</c:v>
                </c:pt>
                <c:pt idx="270">
                  <c:v>6.2943316388937975E-3</c:v>
                </c:pt>
                <c:pt idx="271">
                  <c:v>5.8394799026016981E-3</c:v>
                </c:pt>
                <c:pt idx="272">
                  <c:v>5.4151285703718305E-3</c:v>
                </c:pt>
                <c:pt idx="273">
                  <c:v>5.0194188188548323E-3</c:v>
                </c:pt>
                <c:pt idx="274">
                  <c:v>4.6505910826031014E-3</c:v>
                </c:pt>
                <c:pt idx="275">
                  <c:v>4.3069807652231394E-3</c:v>
                </c:pt>
                <c:pt idx="276">
                  <c:v>3.9870140648559614E-3</c:v>
                </c:pt>
                <c:pt idx="277">
                  <c:v>3.6892039161284173E-3</c:v>
                </c:pt>
                <c:pt idx="278">
                  <c:v>3.4121460502174301E-3</c:v>
                </c:pt>
                <c:pt idx="279">
                  <c:v>3.1545151741998647E-3</c:v>
                </c:pt>
                <c:pt idx="280">
                  <c:v>2.9150612704219236E-3</c:v>
                </c:pt>
                <c:pt idx="281">
                  <c:v>2.692606016213846E-3</c:v>
                </c:pt>
                <c:pt idx="282">
                  <c:v>2.486039323896906E-3</c:v>
                </c:pt>
                <c:pt idx="283">
                  <c:v>2.2943160006798566E-3</c:v>
                </c:pt>
                <c:pt idx="284">
                  <c:v>2.1164525277197204E-3</c:v>
                </c:pt>
                <c:pt idx="285">
                  <c:v>1.9515239573270466E-3</c:v>
                </c:pt>
                <c:pt idx="286">
                  <c:v>1.7986609270265769E-3</c:v>
                </c:pt>
                <c:pt idx="287">
                  <c:v>1.657046788940417E-3</c:v>
                </c:pt>
                <c:pt idx="288">
                  <c:v>1.5259148527409915E-3</c:v>
                </c:pt>
                <c:pt idx="289">
                  <c:v>1.4045457402241815E-3</c:v>
                </c:pt>
                <c:pt idx="290">
                  <c:v>1.2922648493781438E-3</c:v>
                </c:pt>
                <c:pt idx="291">
                  <c:v>1.1884399256693746E-3</c:v>
                </c:pt>
                <c:pt idx="292">
                  <c:v>1.0924787381333678E-3</c:v>
                </c:pt>
                <c:pt idx="293">
                  <c:v>1.0038268577419031E-3</c:v>
                </c:pt>
                <c:pt idx="294">
                  <c:v>9.21965535421234E-4</c:v>
                </c:pt>
                <c:pt idx="295">
                  <c:v>8.4640967701447346E-4</c:v>
                </c:pt>
                <c:pt idx="296">
                  <c:v>7.7670591241600011E-4</c:v>
                </c:pt>
                <c:pt idx="297">
                  <c:v>7.1243075605497037E-4</c:v>
                </c:pt>
                <c:pt idx="298">
                  <c:v>6.5318885586775142E-4</c:v>
                </c:pt>
                <c:pt idx="299">
                  <c:v>5.9861132787451853E-4</c:v>
                </c:pt>
                <c:pt idx="300">
                  <c:v>5.4835417346243195E-4</c:v>
                </c:pt>
                <c:pt idx="301">
                  <c:v>5.0209677647564197E-4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E4-4C1E-AD23-229705F3919B}"/>
            </c:ext>
          </c:extLst>
        </c:ser>
        <c:ser>
          <c:idx val="1"/>
          <c:order val="1"/>
          <c:tx>
            <c:v>Aerosol 1b</c:v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'Aerosol 1'!$A$17:$A$318</c:f>
              <c:numCache>
                <c:formatCode>0.000</c:formatCode>
                <c:ptCount val="302"/>
                <c:pt idx="0">
                  <c:v>5.4339016042139802E-2</c:v>
                </c:pt>
                <c:pt idx="1">
                  <c:v>5.6245220795161463E-2</c:v>
                </c:pt>
                <c:pt idx="2">
                  <c:v>5.8218294932745107E-2</c:v>
                </c:pt>
                <c:pt idx="3">
                  <c:v>6.0260584223142885E-2</c:v>
                </c:pt>
                <c:pt idx="4">
                  <c:v>6.2374516723814895E-2</c:v>
                </c:pt>
                <c:pt idx="5">
                  <c:v>6.4562605668122608E-2</c:v>
                </c:pt>
                <c:pt idx="6">
                  <c:v>6.6827452453287028E-2</c:v>
                </c:pt>
                <c:pt idx="7">
                  <c:v>6.917174973316409E-2</c:v>
                </c:pt>
                <c:pt idx="8">
                  <c:v>7.1598284619514063E-2</c:v>
                </c:pt>
                <c:pt idx="9">
                  <c:v>7.4109941995570985E-2</c:v>
                </c:pt>
                <c:pt idx="10">
                  <c:v>7.6709707945851788E-2</c:v>
                </c:pt>
                <c:pt idx="11">
                  <c:v>7.9400673306282518E-2</c:v>
                </c:pt>
                <c:pt idx="12">
                  <c:v>8.2186037338862386E-2</c:v>
                </c:pt>
                <c:pt idx="13">
                  <c:v>8.5069111535234707E-2</c:v>
                </c:pt>
                <c:pt idx="14">
                  <c:v>8.8053323553686447E-2</c:v>
                </c:pt>
                <c:pt idx="15">
                  <c:v>9.1142221294257017E-2</c:v>
                </c:pt>
                <c:pt idx="16">
                  <c:v>9.4339477116801421E-2</c:v>
                </c:pt>
                <c:pt idx="17">
                  <c:v>9.7648892207022539E-2</c:v>
                </c:pt>
                <c:pt idx="18">
                  <c:v>0.10107440109566297</c:v>
                </c:pt>
                <c:pt idx="19">
                  <c:v>0.10462007633622963</c:v>
                </c:pt>
                <c:pt idx="20">
                  <c:v>0.10829013334681213</c:v>
                </c:pt>
                <c:pt idx="21">
                  <c:v>0.11208893542175144</c:v>
                </c:pt>
                <c:pt idx="22">
                  <c:v>0.11602099891911737</c:v>
                </c:pt>
                <c:pt idx="23">
                  <c:v>0.12009099863016169</c:v>
                </c:pt>
                <c:pt idx="24">
                  <c:v>0.12430377333713111</c:v>
                </c:pt>
                <c:pt idx="25">
                  <c:v>0.12866433156604737</c:v>
                </c:pt>
                <c:pt idx="26">
                  <c:v>0.13317785754129421</c:v>
                </c:pt>
                <c:pt idx="27">
                  <c:v>0.13784971734909021</c:v>
                </c:pt>
                <c:pt idx="28">
                  <c:v>0.14268546531717544</c:v>
                </c:pt>
                <c:pt idx="29">
                  <c:v>0.14769085061829648</c:v>
                </c:pt>
                <c:pt idx="30">
                  <c:v>0.15287182410534089</c:v>
                </c:pt>
                <c:pt idx="31">
                  <c:v>0.15823454538624715</c:v>
                </c:pt>
                <c:pt idx="32">
                  <c:v>0.16378539014710136</c:v>
                </c:pt>
                <c:pt idx="33">
                  <c:v>0.16953095773212709</c:v>
                </c:pt>
                <c:pt idx="34">
                  <c:v>0.17547807898958018</c:v>
                </c:pt>
                <c:pt idx="35">
                  <c:v>0.18163382439287648</c:v>
                </c:pt>
                <c:pt idx="36">
                  <c:v>0.18800551244660751</c:v>
                </c:pt>
                <c:pt idx="37">
                  <c:v>0.19460071838743781</c:v>
                </c:pt>
                <c:pt idx="38">
                  <c:v>0.20142728319022873</c:v>
                </c:pt>
                <c:pt idx="39">
                  <c:v>0.20849332289009545</c:v>
                </c:pt>
                <c:pt idx="40">
                  <c:v>0.2158072382314806</c:v>
                </c:pt>
                <c:pt idx="41">
                  <c:v>0.22337772465571595</c:v>
                </c:pt>
                <c:pt idx="42">
                  <c:v>0.23121378263894624</c:v>
                </c:pt>
                <c:pt idx="43">
                  <c:v>0.23932472839270597</c:v>
                </c:pt>
                <c:pt idx="44">
                  <c:v>0.24772020493987071</c:v>
                </c:pt>
                <c:pt idx="45">
                  <c:v>0.25641019357915129</c:v>
                </c:pt>
                <c:pt idx="46">
                  <c:v>0.26540502575176073</c:v>
                </c:pt>
                <c:pt idx="47">
                  <c:v>0.27471539532436218</c:v>
                </c:pt>
                <c:pt idx="48">
                  <c:v>0.28435237130290081</c:v>
                </c:pt>
                <c:pt idx="49">
                  <c:v>0.29432741099243476</c:v>
                </c:pt>
                <c:pt idx="50">
                  <c:v>0.30465237361861197</c:v>
                </c:pt>
                <c:pt idx="51">
                  <c:v>0.31533953442698531</c:v>
                </c:pt>
                <c:pt idx="52">
                  <c:v>0.32640159927693047</c:v>
                </c:pt>
                <c:pt idx="53">
                  <c:v>0.3378517197475156</c:v>
                </c:pt>
                <c:pt idx="54">
                  <c:v>0.34970350877328349</c:v>
                </c:pt>
                <c:pt idx="55">
                  <c:v>0.3619710568285342</c:v>
                </c:pt>
                <c:pt idx="56">
                  <c:v>0.37466894867934986</c:v>
                </c:pt>
                <c:pt idx="57">
                  <c:v>0.3878122807232785</c:v>
                </c:pt>
                <c:pt idx="58">
                  <c:v>0.40141667893729105</c:v>
                </c:pt>
                <c:pt idx="59">
                  <c:v>0.41549831745535037</c:v>
                </c:pt>
                <c:pt idx="60">
                  <c:v>0.43007393779767822</c:v>
                </c:pt>
                <c:pt idx="61">
                  <c:v>0.44516086877458289</c:v>
                </c:pt>
                <c:pt idx="62">
                  <c:v>0.46077704708850942</c:v>
                </c:pt>
                <c:pt idx="63">
                  <c:v>0.47694103865880688</c:v>
                </c:pt>
                <c:pt idx="64">
                  <c:v>0.49367206069456598</c:v>
                </c:pt>
                <c:pt idx="65">
                  <c:v>0.51099000454176802</c:v>
                </c:pt>
                <c:pt idx="66">
                  <c:v>0.5289154593319082</c:v>
                </c:pt>
                <c:pt idx="67">
                  <c:v>0.54746973646021047</c:v>
                </c:pt>
                <c:pt idx="68">
                  <c:v>0.56667489492253287</c:v>
                </c:pt>
                <c:pt idx="69">
                  <c:v>0.58655376754108923</c:v>
                </c:pt>
                <c:pt idx="70">
                  <c:v>0.60712998811016461</c:v>
                </c:pt>
                <c:pt idx="71">
                  <c:v>0.62842801949409866</c:v>
                </c:pt>
                <c:pt idx="72">
                  <c:v>0.65047318271094212</c:v>
                </c:pt>
                <c:pt idx="73">
                  <c:v>0.67329168703636388</c:v>
                </c:pt>
                <c:pt idx="74">
                  <c:v>0.69691066116359857</c:v>
                </c:pt>
                <c:pt idx="75">
                  <c:v>0.72135818545648067</c:v>
                </c:pt>
                <c:pt idx="76">
                  <c:v>0.74666332533391011</c:v>
                </c:pt>
                <c:pt idx="77">
                  <c:v>0.77285616582544026</c:v>
                </c:pt>
                <c:pt idx="78">
                  <c:v>0.79996784733907078</c:v>
                </c:pt>
                <c:pt idx="79">
                  <c:v>0.82803060268377005</c:v>
                </c:pt>
                <c:pt idx="80">
                  <c:v>0.85707779539074058</c:v>
                </c:pt>
                <c:pt idx="81">
                  <c:v>0.88714395937899138</c:v>
                </c:pt>
                <c:pt idx="82">
                  <c:v>0.91826484001237041</c:v>
                </c:pt>
                <c:pt idx="83">
                  <c:v>0.950477436596873</c:v>
                </c:pt>
                <c:pt idx="84">
                  <c:v>0.98382004636874965</c:v>
                </c:pt>
                <c:pt idx="85">
                  <c:v>1.0183323100257098</c:v>
                </c:pt>
                <c:pt idx="86">
                  <c:v>1.0540552588553536</c:v>
                </c:pt>
                <c:pt idx="87">
                  <c:v>1.0910313635168623</c:v>
                </c:pt>
                <c:pt idx="88">
                  <c:v>1.1293045845339438</c:v>
                </c:pt>
                <c:pt idx="89">
                  <c:v>1.1689204245590625</c:v>
                </c:pt>
                <c:pt idx="90">
                  <c:v>1.2099259824710908</c:v>
                </c:pt>
                <c:pt idx="91">
                  <c:v>1.2523700093706989</c:v>
                </c:pt>
                <c:pt idx="92">
                  <c:v>1.2963029665400538</c:v>
                </c:pt>
                <c:pt idx="93">
                  <c:v>1.3417770854357378</c:v>
                </c:pt>
                <c:pt idx="94">
                  <c:v>1.3888464297862073</c:v>
                </c:pt>
                <c:pt idx="95">
                  <c:v>1.437566959867624</c:v>
                </c:pt>
                <c:pt idx="96">
                  <c:v>1.4879965990344703</c:v>
                </c:pt>
                <c:pt idx="97">
                  <c:v>1.5401953025840516</c:v>
                </c:pt>
                <c:pt idx="98">
                  <c:v>1.5942251290367531</c:v>
                </c:pt>
                <c:pt idx="99">
                  <c:v>1.650150313916799</c:v>
                </c:pt>
                <c:pt idx="100">
                  <c:v>1.7080373461212295</c:v>
                </c:pt>
                <c:pt idx="101">
                  <c:v>1.76795504696789</c:v>
                </c:pt>
                <c:pt idx="102">
                  <c:v>1.8299746520164126</c:v>
                </c:pt>
                <c:pt idx="103">
                  <c:v>1.8941698957594661</c:v>
                </c:pt>
                <c:pt idx="104">
                  <c:v>1.9606170992849625</c:v>
                </c:pt>
                <c:pt idx="105">
                  <c:v>2.0293952610134389</c:v>
                </c:pt>
                <c:pt idx="106">
                  <c:v>2.1005861506184975</c:v>
                </c:pt>
                <c:pt idx="107">
                  <c:v>2.1742744062419574</c:v>
                </c:pt>
                <c:pt idx="108">
                  <c:v>2.2505476351193017</c:v>
                </c:pt>
                <c:pt idx="109">
                  <c:v>2.3294965177350488</c:v>
                </c:pt>
                <c:pt idx="110">
                  <c:v>2.4112149156318821</c:v>
                </c:pt>
                <c:pt idx="111">
                  <c:v>2.4957999830017044</c:v>
                </c:pt>
                <c:pt idx="112">
                  <c:v>2.5833522821912931</c:v>
                </c:pt>
                <c:pt idx="113">
                  <c:v>2.6739759032598744</c:v>
                </c:pt>
                <c:pt idx="114">
                  <c:v>2.767778587730763</c:v>
                </c:pt>
                <c:pt idx="115">
                  <c:v>2.8648718566841889</c:v>
                </c:pt>
                <c:pt idx="116">
                  <c:v>2.9653711433436016</c:v>
                </c:pt>
                <c:pt idx="117">
                  <c:v>3.0693959303130844</c:v>
                </c:pt>
                <c:pt idx="118">
                  <c:v>3.1770698916290354</c:v>
                </c:pt>
                <c:pt idx="119">
                  <c:v>3.2885210397950018</c:v>
                </c:pt>
                <c:pt idx="120">
                  <c:v>3.4038818779744737</c:v>
                </c:pt>
                <c:pt idx="121">
                  <c:v>3.5232895575225811</c:v>
                </c:pt>
                <c:pt idx="122">
                  <c:v>3.6468860410439765</c:v>
                </c:pt>
                <c:pt idx="123">
                  <c:v>3.7748182711707674</c:v>
                </c:pt>
                <c:pt idx="124">
                  <c:v>3.9072383452611525</c:v>
                </c:pt>
                <c:pt idx="125">
                  <c:v>4.0443036962264589</c:v>
                </c:pt>
                <c:pt idx="126">
                  <c:v>4.1861772797015711</c:v>
                </c:pt>
                <c:pt idx="127">
                  <c:v>4.3330277677812639</c:v>
                </c:pt>
                <c:pt idx="128">
                  <c:v>4.4850297495527807</c:v>
                </c:pt>
                <c:pt idx="129">
                  <c:v>4.6423639386630704</c:v>
                </c:pt>
                <c:pt idx="130">
                  <c:v>4.8052173881674447</c:v>
                </c:pt>
                <c:pt idx="131">
                  <c:v>4.9737837129150959</c:v>
                </c:pt>
                <c:pt idx="132">
                  <c:v>5.1482633197358743</c:v>
                </c:pt>
                <c:pt idx="133">
                  <c:v>5.3288636457019765</c:v>
                </c:pt>
                <c:pt idx="134">
                  <c:v>5.5157994047478169</c:v>
                </c:pt>
                <c:pt idx="135">
                  <c:v>5.7092928429412986</c:v>
                </c:pt>
                <c:pt idx="136">
                  <c:v>5.9095740027099541</c:v>
                </c:pt>
                <c:pt idx="137">
                  <c:v>6.1168809963361008</c:v>
                </c:pt>
                <c:pt idx="138">
                  <c:v>6.3314602890461762</c:v>
                </c:pt>
                <c:pt idx="139">
                  <c:v>6.5535669920307917</c:v>
                </c:pt>
                <c:pt idx="140">
                  <c:v>6.7834651657438956</c:v>
                </c:pt>
                <c:pt idx="141">
                  <c:v>7.0214281338416287</c:v>
                </c:pt>
                <c:pt idx="142">
                  <c:v>7.2677388081341014</c:v>
                </c:pt>
                <c:pt idx="143">
                  <c:v>7.5226900249364386</c:v>
                </c:pt>
                <c:pt idx="144">
                  <c:v>7.7865848932189659</c:v>
                </c:pt>
                <c:pt idx="145">
                  <c:v>8.0597371549704526</c:v>
                </c:pt>
                <c:pt idx="146">
                  <c:v>8.342471558202849</c:v>
                </c:pt>
                <c:pt idx="147">
                  <c:v>8.6351242430409805</c:v>
                </c:pt>
                <c:pt idx="148">
                  <c:v>8.9380431413561876</c:v>
                </c:pt>
                <c:pt idx="149">
                  <c:v>9.2515883904190943</c:v>
                </c:pt>
                <c:pt idx="150">
                  <c:v>9.5761327610632154</c:v>
                </c:pt>
                <c:pt idx="151">
                  <c:v>9.9120621008685088</c:v>
                </c:pt>
                <c:pt idx="152">
                  <c:v>10.259775792891732</c:v>
                </c:pt>
                <c:pt idx="153">
                  <c:v>10.619687230488996</c:v>
                </c:pt>
                <c:pt idx="154">
                  <c:v>10.992224308795002</c:v>
                </c:pt>
                <c:pt idx="155">
                  <c:v>11.377829933443346</c:v>
                </c:pt>
                <c:pt idx="156">
                  <c:v>11.776962547132609</c:v>
                </c:pt>
                <c:pt idx="157">
                  <c:v>12.190096674664346</c:v>
                </c:pt>
                <c:pt idx="158">
                  <c:v>12.617723487100898</c:v>
                </c:pt>
                <c:pt idx="159">
                  <c:v>13.060351385713798</c:v>
                </c:pt>
                <c:pt idx="160">
                  <c:v>13.518506606416992</c:v>
                </c:pt>
                <c:pt idx="161">
                  <c:v>13.992733845403491</c:v>
                </c:pt>
                <c:pt idx="162">
                  <c:v>14.48359690672927</c:v>
                </c:pt>
                <c:pt idx="163">
                  <c:v>14.991679372614316</c:v>
                </c:pt>
                <c:pt idx="164">
                  <c:v>15.517585297257723</c:v>
                </c:pt>
                <c:pt idx="165">
                  <c:v>16.061939924991741</c:v>
                </c:pt>
                <c:pt idx="166">
                  <c:v>16.62539043362856</c:v>
                </c:pt>
                <c:pt idx="167">
                  <c:v>17.208606703883571</c:v>
                </c:pt>
                <c:pt idx="168">
                  <c:v>17.812282115789912</c:v>
                </c:pt>
                <c:pt idx="169">
                  <c:v>18.437134373051084</c:v>
                </c:pt>
                <c:pt idx="170">
                  <c:v>19.083906356311786</c:v>
                </c:pt>
                <c:pt idx="171">
                  <c:v>19.753367006361312</c:v>
                </c:pt>
                <c:pt idx="172">
                  <c:v>20.446312238319635</c:v>
                </c:pt>
                <c:pt idx="173">
                  <c:v>21.163565887892997</c:v>
                </c:pt>
                <c:pt idx="174">
                  <c:v>21.905980690823984</c:v>
                </c:pt>
                <c:pt idx="175">
                  <c:v>22.674439296700601</c:v>
                </c:pt>
                <c:pt idx="176">
                  <c:v>23.469855318329582</c:v>
                </c:pt>
                <c:pt idx="177">
                  <c:v>24.293174417921602</c:v>
                </c:pt>
                <c:pt idx="178">
                  <c:v>25.145375431379691</c:v>
                </c:pt>
                <c:pt idx="179">
                  <c:v>26.027471532027516</c:v>
                </c:pt>
                <c:pt idx="180">
                  <c:v>26.940511435161067</c:v>
                </c:pt>
                <c:pt idx="181">
                  <c:v>27.885580644855892</c:v>
                </c:pt>
                <c:pt idx="182">
                  <c:v>28.8638027445121</c:v>
                </c:pt>
                <c:pt idx="183">
                  <c:v>29.87634073267149</c:v>
                </c:pt>
                <c:pt idx="184">
                  <c:v>30.924398405695026</c:v>
                </c:pt>
                <c:pt idx="185">
                  <c:v>32.009221788944323</c:v>
                </c:pt>
                <c:pt idx="186">
                  <c:v>33.132100618168849</c:v>
                </c:pt>
                <c:pt idx="187">
                  <c:v>34.294369872859953</c:v>
                </c:pt>
                <c:pt idx="188">
                  <c:v>35.497411363394733</c:v>
                </c:pt>
                <c:pt idx="189">
                  <c:v>36.742655373856657</c:v>
                </c:pt>
                <c:pt idx="190">
                  <c:v>38.031582362486112</c:v>
                </c:pt>
                <c:pt idx="191">
                  <c:v>39.365724721782549</c:v>
                </c:pt>
                <c:pt idx="192">
                  <c:v>40.746668600350631</c:v>
                </c:pt>
                <c:pt idx="193">
                  <c:v>42.176055788656626</c:v>
                </c:pt>
                <c:pt idx="194">
                  <c:v>43.655585670936766</c:v>
                </c:pt>
                <c:pt idx="195">
                  <c:v>45.187017245578282</c:v>
                </c:pt>
                <c:pt idx="196">
                  <c:v>46.772171216375177</c:v>
                </c:pt>
                <c:pt idx="197">
                  <c:v>48.412932157144837</c:v>
                </c:pt>
                <c:pt idx="198">
                  <c:v>50.111250752279112</c:v>
                </c:pt>
                <c:pt idx="199">
                  <c:v>51.869146115893713</c:v>
                </c:pt>
                <c:pt idx="200">
                  <c:v>53.688708192332818</c:v>
                </c:pt>
                <c:pt idx="201">
                  <c:v>55.572100240883238</c:v>
                </c:pt>
                <c:pt idx="202">
                  <c:v>57.521561407651888</c:v>
                </c:pt>
                <c:pt idx="203">
                  <c:v>59.539409387664335</c:v>
                </c:pt>
                <c:pt idx="204">
                  <c:v>61.628043180349437</c:v>
                </c:pt>
                <c:pt idx="205">
                  <c:v>63.789945941685907</c:v>
                </c:pt>
                <c:pt idx="206">
                  <c:v>66.027687936401847</c:v>
                </c:pt>
                <c:pt idx="207">
                  <c:v>68.343929593736917</c:v>
                </c:pt>
                <c:pt idx="208">
                  <c:v>70.741424670400278</c:v>
                </c:pt>
                <c:pt idx="209">
                  <c:v>73.223023524484603</c:v>
                </c:pt>
                <c:pt idx="210">
                  <c:v>75.791676504228477</c:v>
                </c:pt>
                <c:pt idx="211">
                  <c:v>78.450437455656157</c:v>
                </c:pt>
                <c:pt idx="212">
                  <c:v>81.20246735326478</c:v>
                </c:pt>
                <c:pt idx="213">
                  <c:v>84.051038058075576</c:v>
                </c:pt>
                <c:pt idx="214">
                  <c:v>86.999536207516897</c:v>
                </c:pt>
                <c:pt idx="215">
                  <c:v>90.051467241763902</c:v>
                </c:pt>
                <c:pt idx="216">
                  <c:v>93.210459571321536</c:v>
                </c:pt>
                <c:pt idx="217">
                  <c:v>96.480268890805732</c:v>
                </c:pt>
                <c:pt idx="218">
                  <c:v>99.86478264405153</c:v>
                </c:pt>
                <c:pt idx="219">
                  <c:v>103.36802464585627</c:v>
                </c:pt>
                <c:pt idx="220">
                  <c:v>106.99415986585336</c:v>
                </c:pt>
                <c:pt idx="221">
                  <c:v>110.74749938020311</c:v>
                </c:pt>
                <c:pt idx="222">
                  <c:v>114.63250549698837</c:v>
                </c:pt>
                <c:pt idx="223">
                  <c:v>118.65379706140838</c:v>
                </c:pt>
                <c:pt idx="224">
                  <c:v>122.81615494707791</c:v>
                </c:pt>
                <c:pt idx="225">
                  <c:v>127.12452773996046</c:v>
                </c:pt>
                <c:pt idx="226">
                  <c:v>131.584037621693</c:v>
                </c:pt>
                <c:pt idx="227">
                  <c:v>136.19998645929684</c:v>
                </c:pt>
                <c:pt idx="228">
                  <c:v>140.97786210851478</c:v>
                </c:pt>
                <c:pt idx="229">
                  <c:v>145.92334493826789</c:v>
                </c:pt>
                <c:pt idx="230">
                  <c:v>151.04231458399045</c:v>
                </c:pt>
                <c:pt idx="231">
                  <c:v>156.34085693786957</c:v>
                </c:pt>
                <c:pt idx="232">
                  <c:v>161.82527138430234</c:v>
                </c:pt>
                <c:pt idx="233">
                  <c:v>167.50207828917075</c:v>
                </c:pt>
                <c:pt idx="234">
                  <c:v>173.37802675184096</c:v>
                </c:pt>
                <c:pt idx="235">
                  <c:v>179.46010262909985</c:v>
                </c:pt>
                <c:pt idx="236">
                  <c:v>185.75553684057058</c:v>
                </c:pt>
                <c:pt idx="237">
                  <c:v>192.2718139654819</c:v>
                </c:pt>
                <c:pt idx="238">
                  <c:v>199.01668114100951</c:v>
                </c:pt>
                <c:pt idx="239">
                  <c:v>205.99815727277087</c:v>
                </c:pt>
                <c:pt idx="240">
                  <c:v>213.22454256842178</c:v>
                </c:pt>
                <c:pt idx="241">
                  <c:v>220.70442840569206</c:v>
                </c:pt>
                <c:pt idx="242">
                  <c:v>228.44670754658779</c:v>
                </c:pt>
                <c:pt idx="243">
                  <c:v>236.46058470990909</c:v>
                </c:pt>
                <c:pt idx="244">
                  <c:v>244.75558751464831</c:v>
                </c:pt>
                <c:pt idx="245">
                  <c:v>253.34157780728108</c:v>
                </c:pt>
                <c:pt idx="246">
                  <c:v>262.2287633864189</c:v>
                </c:pt>
                <c:pt idx="247">
                  <c:v>271.4277101387587</c:v>
                </c:pt>
                <c:pt idx="248">
                  <c:v>280.94935460076113</c:v>
                </c:pt>
                <c:pt idx="249">
                  <c:v>290.80501696098924</c:v>
                </c:pt>
                <c:pt idx="250">
                  <c:v>301.00641451856916</c:v>
                </c:pt>
                <c:pt idx="251">
                  <c:v>311.56567561377102</c:v>
                </c:pt>
                <c:pt idx="252">
                  <c:v>322.49535404727078</c:v>
                </c:pt>
                <c:pt idx="253">
                  <c:v>333.80844400524091</c:v>
                </c:pt>
                <c:pt idx="254">
                  <c:v>345.5183955080085</c:v>
                </c:pt>
                <c:pt idx="255">
                  <c:v>357.63913040065023</c:v>
                </c:pt>
                <c:pt idx="256">
                  <c:v>370.18505890453713</c:v>
                </c:pt>
                <c:pt idx="257">
                  <c:v>383.17109674950291</c:v>
                </c:pt>
                <c:pt idx="258">
                  <c:v>396.61268290700741</c:v>
                </c:pt>
                <c:pt idx="259">
                  <c:v>410.52579794537525</c:v>
                </c:pt>
                <c:pt idx="260">
                  <c:v>424.92698302893729</c:v>
                </c:pt>
                <c:pt idx="261">
                  <c:v>439.8333595836537</c:v>
                </c:pt>
                <c:pt idx="262">
                  <c:v>455.26264965261038</c:v>
                </c:pt>
                <c:pt idx="263">
                  <c:v>471.23319696557684</c:v>
                </c:pt>
                <c:pt idx="264">
                  <c:v>487.76398874768722</c:v>
                </c:pt>
                <c:pt idx="265">
                  <c:v>504.87467829316228</c:v>
                </c:pt>
                <c:pt idx="266">
                  <c:v>522.58560833091622</c:v>
                </c:pt>
                <c:pt idx="267">
                  <c:v>540.91783520982381</c:v>
                </c:pt>
                <c:pt idx="268">
                  <c:v>559.89315393240724</c:v>
                </c:pt>
                <c:pt idx="269">
                  <c:v>579.53412406669474</c:v>
                </c:pt>
                <c:pt idx="270">
                  <c:v>599.86409656707042</c:v>
                </c:pt>
                <c:pt idx="271">
                  <c:v>620.90724153599047</c:v>
                </c:pt>
                <c:pt idx="272">
                  <c:v>642.68857695957649</c:v>
                </c:pt>
                <c:pt idx="273">
                  <c:v>665.23399845125459</c:v>
                </c:pt>
                <c:pt idx="274">
                  <c:v>688.57031003878853</c:v>
                </c:pt>
                <c:pt idx="275">
                  <c:v>712.72525603132635</c:v>
                </c:pt>
                <c:pt idx="276">
                  <c:v>737.72755400433221</c:v>
                </c:pt>
                <c:pt idx="277">
                  <c:v>763.6069289416248</c:v>
                </c:pt>
                <c:pt idx="278">
                  <c:v>790.39414857511952</c:v>
                </c:pt>
                <c:pt idx="279">
                  <c:v>818.1210599642767</c:v>
                </c:pt>
                <c:pt idx="280">
                  <c:v>846.82062735875547</c:v>
                </c:pt>
                <c:pt idx="281">
                  <c:v>876.52697138928079</c:v>
                </c:pt>
                <c:pt idx="282">
                  <c:v>907.27540963332683</c:v>
                </c:pt>
                <c:pt idx="283">
                  <c:v>939.10249860382874</c:v>
                </c:pt>
                <c:pt idx="284">
                  <c:v>972.04607721086302</c:v>
                </c:pt>
                <c:pt idx="285">
                  <c:v>1006.1453117479499</c:v>
                </c:pt>
                <c:pt idx="286">
                  <c:v>1041.4407424564688</c:v>
                </c:pt>
                <c:pt idx="287">
                  <c:v>1077.9743317235509</c:v>
                </c:pt>
                <c:pt idx="288">
                  <c:v>1115.7895139707459</c:v>
                </c:pt>
                <c:pt idx="289">
                  <c:v>1154.9312472927725</c:v>
                </c:pt>
                <c:pt idx="290">
                  <c:v>1195.4460669077519</c:v>
                </c:pt>
                <c:pt idx="291">
                  <c:v>1237.3821404824632</c:v>
                </c:pt>
                <c:pt idx="292">
                  <c:v>1280.7893253984103</c:v>
                </c:pt>
                <c:pt idx="293">
                  <c:v>1325.7192280267632</c:v>
                </c:pt>
                <c:pt idx="294">
                  <c:v>1372.2252650826629</c:v>
                </c:pt>
                <c:pt idx="295">
                  <c:v>1420.3627271318198</c:v>
                </c:pt>
                <c:pt idx="296">
                  <c:v>1470.1888443249213</c:v>
                </c:pt>
                <c:pt idx="297">
                  <c:v>1521.7628544379922</c:v>
                </c:pt>
                <c:pt idx="298">
                  <c:v>1575.1460732995915</c:v>
                </c:pt>
                <c:pt idx="299">
                  <c:v>1630.4019676885991</c:v>
                </c:pt>
                <c:pt idx="300">
                  <c:v>1687.596230789236</c:v>
                </c:pt>
                <c:pt idx="301">
                  <c:v>1746.7968602930189</c:v>
                </c:pt>
              </c:numCache>
            </c:numRef>
          </c:xVal>
          <c:yVal>
            <c:numRef>
              <c:f>'Aerosol 1'!$C$17:$C$318</c:f>
              <c:numCache>
                <c:formatCode>0.00</c:formatCode>
                <c:ptCount val="3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E4-4C1E-AD23-229705F3919B}"/>
            </c:ext>
          </c:extLst>
        </c:ser>
        <c:ser>
          <c:idx val="2"/>
          <c:order val="2"/>
          <c:tx>
            <c:v>Total</c:v>
          </c:tx>
          <c:spPr>
            <a:ln w="25400">
              <a:solidFill>
                <a:srgbClr val="FF9900"/>
              </a:solidFill>
              <a:prstDash val="solid"/>
            </a:ln>
          </c:spPr>
          <c:marker>
            <c:symbol val="none"/>
          </c:marker>
          <c:xVal>
            <c:numRef>
              <c:f>'Aerosol 1'!$A$17:$A$318</c:f>
              <c:numCache>
                <c:formatCode>0.000</c:formatCode>
                <c:ptCount val="302"/>
                <c:pt idx="0">
                  <c:v>5.4339016042139802E-2</c:v>
                </c:pt>
                <c:pt idx="1">
                  <c:v>5.6245220795161463E-2</c:v>
                </c:pt>
                <c:pt idx="2">
                  <c:v>5.8218294932745107E-2</c:v>
                </c:pt>
                <c:pt idx="3">
                  <c:v>6.0260584223142885E-2</c:v>
                </c:pt>
                <c:pt idx="4">
                  <c:v>6.2374516723814895E-2</c:v>
                </c:pt>
                <c:pt idx="5">
                  <c:v>6.4562605668122608E-2</c:v>
                </c:pt>
                <c:pt idx="6">
                  <c:v>6.6827452453287028E-2</c:v>
                </c:pt>
                <c:pt idx="7">
                  <c:v>6.917174973316409E-2</c:v>
                </c:pt>
                <c:pt idx="8">
                  <c:v>7.1598284619514063E-2</c:v>
                </c:pt>
                <c:pt idx="9">
                  <c:v>7.4109941995570985E-2</c:v>
                </c:pt>
                <c:pt idx="10">
                  <c:v>7.6709707945851788E-2</c:v>
                </c:pt>
                <c:pt idx="11">
                  <c:v>7.9400673306282518E-2</c:v>
                </c:pt>
                <c:pt idx="12">
                  <c:v>8.2186037338862386E-2</c:v>
                </c:pt>
                <c:pt idx="13">
                  <c:v>8.5069111535234707E-2</c:v>
                </c:pt>
                <c:pt idx="14">
                  <c:v>8.8053323553686447E-2</c:v>
                </c:pt>
                <c:pt idx="15">
                  <c:v>9.1142221294257017E-2</c:v>
                </c:pt>
                <c:pt idx="16">
                  <c:v>9.4339477116801421E-2</c:v>
                </c:pt>
                <c:pt idx="17">
                  <c:v>9.7648892207022539E-2</c:v>
                </c:pt>
                <c:pt idx="18">
                  <c:v>0.10107440109566297</c:v>
                </c:pt>
                <c:pt idx="19">
                  <c:v>0.10462007633622963</c:v>
                </c:pt>
                <c:pt idx="20">
                  <c:v>0.10829013334681213</c:v>
                </c:pt>
                <c:pt idx="21">
                  <c:v>0.11208893542175144</c:v>
                </c:pt>
                <c:pt idx="22">
                  <c:v>0.11602099891911737</c:v>
                </c:pt>
                <c:pt idx="23">
                  <c:v>0.12009099863016169</c:v>
                </c:pt>
                <c:pt idx="24">
                  <c:v>0.12430377333713111</c:v>
                </c:pt>
                <c:pt idx="25">
                  <c:v>0.12866433156604737</c:v>
                </c:pt>
                <c:pt idx="26">
                  <c:v>0.13317785754129421</c:v>
                </c:pt>
                <c:pt idx="27">
                  <c:v>0.13784971734909021</c:v>
                </c:pt>
                <c:pt idx="28">
                  <c:v>0.14268546531717544</c:v>
                </c:pt>
                <c:pt idx="29">
                  <c:v>0.14769085061829648</c:v>
                </c:pt>
                <c:pt idx="30">
                  <c:v>0.15287182410534089</c:v>
                </c:pt>
                <c:pt idx="31">
                  <c:v>0.15823454538624715</c:v>
                </c:pt>
                <c:pt idx="32">
                  <c:v>0.16378539014710136</c:v>
                </c:pt>
                <c:pt idx="33">
                  <c:v>0.16953095773212709</c:v>
                </c:pt>
                <c:pt idx="34">
                  <c:v>0.17547807898958018</c:v>
                </c:pt>
                <c:pt idx="35">
                  <c:v>0.18163382439287648</c:v>
                </c:pt>
                <c:pt idx="36">
                  <c:v>0.18800551244660751</c:v>
                </c:pt>
                <c:pt idx="37">
                  <c:v>0.19460071838743781</c:v>
                </c:pt>
                <c:pt idx="38">
                  <c:v>0.20142728319022873</c:v>
                </c:pt>
                <c:pt idx="39">
                  <c:v>0.20849332289009545</c:v>
                </c:pt>
                <c:pt idx="40">
                  <c:v>0.2158072382314806</c:v>
                </c:pt>
                <c:pt idx="41">
                  <c:v>0.22337772465571595</c:v>
                </c:pt>
                <c:pt idx="42">
                  <c:v>0.23121378263894624</c:v>
                </c:pt>
                <c:pt idx="43">
                  <c:v>0.23932472839270597</c:v>
                </c:pt>
                <c:pt idx="44">
                  <c:v>0.24772020493987071</c:v>
                </c:pt>
                <c:pt idx="45">
                  <c:v>0.25641019357915129</c:v>
                </c:pt>
                <c:pt idx="46">
                  <c:v>0.26540502575176073</c:v>
                </c:pt>
                <c:pt idx="47">
                  <c:v>0.27471539532436218</c:v>
                </c:pt>
                <c:pt idx="48">
                  <c:v>0.28435237130290081</c:v>
                </c:pt>
                <c:pt idx="49">
                  <c:v>0.29432741099243476</c:v>
                </c:pt>
                <c:pt idx="50">
                  <c:v>0.30465237361861197</c:v>
                </c:pt>
                <c:pt idx="51">
                  <c:v>0.31533953442698531</c:v>
                </c:pt>
                <c:pt idx="52">
                  <c:v>0.32640159927693047</c:v>
                </c:pt>
                <c:pt idx="53">
                  <c:v>0.3378517197475156</c:v>
                </c:pt>
                <c:pt idx="54">
                  <c:v>0.34970350877328349</c:v>
                </c:pt>
                <c:pt idx="55">
                  <c:v>0.3619710568285342</c:v>
                </c:pt>
                <c:pt idx="56">
                  <c:v>0.37466894867934986</c:v>
                </c:pt>
                <c:pt idx="57">
                  <c:v>0.3878122807232785</c:v>
                </c:pt>
                <c:pt idx="58">
                  <c:v>0.40141667893729105</c:v>
                </c:pt>
                <c:pt idx="59">
                  <c:v>0.41549831745535037</c:v>
                </c:pt>
                <c:pt idx="60">
                  <c:v>0.43007393779767822</c:v>
                </c:pt>
                <c:pt idx="61">
                  <c:v>0.44516086877458289</c:v>
                </c:pt>
                <c:pt idx="62">
                  <c:v>0.46077704708850942</c:v>
                </c:pt>
                <c:pt idx="63">
                  <c:v>0.47694103865880688</c:v>
                </c:pt>
                <c:pt idx="64">
                  <c:v>0.49367206069456598</c:v>
                </c:pt>
                <c:pt idx="65">
                  <c:v>0.51099000454176802</c:v>
                </c:pt>
                <c:pt idx="66">
                  <c:v>0.5289154593319082</c:v>
                </c:pt>
                <c:pt idx="67">
                  <c:v>0.54746973646021047</c:v>
                </c:pt>
                <c:pt idx="68">
                  <c:v>0.56667489492253287</c:v>
                </c:pt>
                <c:pt idx="69">
                  <c:v>0.58655376754108923</c:v>
                </c:pt>
                <c:pt idx="70">
                  <c:v>0.60712998811016461</c:v>
                </c:pt>
                <c:pt idx="71">
                  <c:v>0.62842801949409866</c:v>
                </c:pt>
                <c:pt idx="72">
                  <c:v>0.65047318271094212</c:v>
                </c:pt>
                <c:pt idx="73">
                  <c:v>0.67329168703636388</c:v>
                </c:pt>
                <c:pt idx="74">
                  <c:v>0.69691066116359857</c:v>
                </c:pt>
                <c:pt idx="75">
                  <c:v>0.72135818545648067</c:v>
                </c:pt>
                <c:pt idx="76">
                  <c:v>0.74666332533391011</c:v>
                </c:pt>
                <c:pt idx="77">
                  <c:v>0.77285616582544026</c:v>
                </c:pt>
                <c:pt idx="78">
                  <c:v>0.79996784733907078</c:v>
                </c:pt>
                <c:pt idx="79">
                  <c:v>0.82803060268377005</c:v>
                </c:pt>
                <c:pt idx="80">
                  <c:v>0.85707779539074058</c:v>
                </c:pt>
                <c:pt idx="81">
                  <c:v>0.88714395937899138</c:v>
                </c:pt>
                <c:pt idx="82">
                  <c:v>0.91826484001237041</c:v>
                </c:pt>
                <c:pt idx="83">
                  <c:v>0.950477436596873</c:v>
                </c:pt>
                <c:pt idx="84">
                  <c:v>0.98382004636874965</c:v>
                </c:pt>
                <c:pt idx="85">
                  <c:v>1.0183323100257098</c:v>
                </c:pt>
                <c:pt idx="86">
                  <c:v>1.0540552588553536</c:v>
                </c:pt>
                <c:pt idx="87">
                  <c:v>1.0910313635168623</c:v>
                </c:pt>
                <c:pt idx="88">
                  <c:v>1.1293045845339438</c:v>
                </c:pt>
                <c:pt idx="89">
                  <c:v>1.1689204245590625</c:v>
                </c:pt>
                <c:pt idx="90">
                  <c:v>1.2099259824710908</c:v>
                </c:pt>
                <c:pt idx="91">
                  <c:v>1.2523700093706989</c:v>
                </c:pt>
                <c:pt idx="92">
                  <c:v>1.2963029665400538</c:v>
                </c:pt>
                <c:pt idx="93">
                  <c:v>1.3417770854357378</c:v>
                </c:pt>
                <c:pt idx="94">
                  <c:v>1.3888464297862073</c:v>
                </c:pt>
                <c:pt idx="95">
                  <c:v>1.437566959867624</c:v>
                </c:pt>
                <c:pt idx="96">
                  <c:v>1.4879965990344703</c:v>
                </c:pt>
                <c:pt idx="97">
                  <c:v>1.5401953025840516</c:v>
                </c:pt>
                <c:pt idx="98">
                  <c:v>1.5942251290367531</c:v>
                </c:pt>
                <c:pt idx="99">
                  <c:v>1.650150313916799</c:v>
                </c:pt>
                <c:pt idx="100">
                  <c:v>1.7080373461212295</c:v>
                </c:pt>
                <c:pt idx="101">
                  <c:v>1.76795504696789</c:v>
                </c:pt>
                <c:pt idx="102">
                  <c:v>1.8299746520164126</c:v>
                </c:pt>
                <c:pt idx="103">
                  <c:v>1.8941698957594661</c:v>
                </c:pt>
                <c:pt idx="104">
                  <c:v>1.9606170992849625</c:v>
                </c:pt>
                <c:pt idx="105">
                  <c:v>2.0293952610134389</c:v>
                </c:pt>
                <c:pt idx="106">
                  <c:v>2.1005861506184975</c:v>
                </c:pt>
                <c:pt idx="107">
                  <c:v>2.1742744062419574</c:v>
                </c:pt>
                <c:pt idx="108">
                  <c:v>2.2505476351193017</c:v>
                </c:pt>
                <c:pt idx="109">
                  <c:v>2.3294965177350488</c:v>
                </c:pt>
                <c:pt idx="110">
                  <c:v>2.4112149156318821</c:v>
                </c:pt>
                <c:pt idx="111">
                  <c:v>2.4957999830017044</c:v>
                </c:pt>
                <c:pt idx="112">
                  <c:v>2.5833522821912931</c:v>
                </c:pt>
                <c:pt idx="113">
                  <c:v>2.6739759032598744</c:v>
                </c:pt>
                <c:pt idx="114">
                  <c:v>2.767778587730763</c:v>
                </c:pt>
                <c:pt idx="115">
                  <c:v>2.8648718566841889</c:v>
                </c:pt>
                <c:pt idx="116">
                  <c:v>2.9653711433436016</c:v>
                </c:pt>
                <c:pt idx="117">
                  <c:v>3.0693959303130844</c:v>
                </c:pt>
                <c:pt idx="118">
                  <c:v>3.1770698916290354</c:v>
                </c:pt>
                <c:pt idx="119">
                  <c:v>3.2885210397950018</c:v>
                </c:pt>
                <c:pt idx="120">
                  <c:v>3.4038818779744737</c:v>
                </c:pt>
                <c:pt idx="121">
                  <c:v>3.5232895575225811</c:v>
                </c:pt>
                <c:pt idx="122">
                  <c:v>3.6468860410439765</c:v>
                </c:pt>
                <c:pt idx="123">
                  <c:v>3.7748182711707674</c:v>
                </c:pt>
                <c:pt idx="124">
                  <c:v>3.9072383452611525</c:v>
                </c:pt>
                <c:pt idx="125">
                  <c:v>4.0443036962264589</c:v>
                </c:pt>
                <c:pt idx="126">
                  <c:v>4.1861772797015711</c:v>
                </c:pt>
                <c:pt idx="127">
                  <c:v>4.3330277677812639</c:v>
                </c:pt>
                <c:pt idx="128">
                  <c:v>4.4850297495527807</c:v>
                </c:pt>
                <c:pt idx="129">
                  <c:v>4.6423639386630704</c:v>
                </c:pt>
                <c:pt idx="130">
                  <c:v>4.8052173881674447</c:v>
                </c:pt>
                <c:pt idx="131">
                  <c:v>4.9737837129150959</c:v>
                </c:pt>
                <c:pt idx="132">
                  <c:v>5.1482633197358743</c:v>
                </c:pt>
                <c:pt idx="133">
                  <c:v>5.3288636457019765</c:v>
                </c:pt>
                <c:pt idx="134">
                  <c:v>5.5157994047478169</c:v>
                </c:pt>
                <c:pt idx="135">
                  <c:v>5.7092928429412986</c:v>
                </c:pt>
                <c:pt idx="136">
                  <c:v>5.9095740027099541</c:v>
                </c:pt>
                <c:pt idx="137">
                  <c:v>6.1168809963361008</c:v>
                </c:pt>
                <c:pt idx="138">
                  <c:v>6.3314602890461762</c:v>
                </c:pt>
                <c:pt idx="139">
                  <c:v>6.5535669920307917</c:v>
                </c:pt>
                <c:pt idx="140">
                  <c:v>6.7834651657438956</c:v>
                </c:pt>
                <c:pt idx="141">
                  <c:v>7.0214281338416287</c:v>
                </c:pt>
                <c:pt idx="142">
                  <c:v>7.2677388081341014</c:v>
                </c:pt>
                <c:pt idx="143">
                  <c:v>7.5226900249364386</c:v>
                </c:pt>
                <c:pt idx="144">
                  <c:v>7.7865848932189659</c:v>
                </c:pt>
                <c:pt idx="145">
                  <c:v>8.0597371549704526</c:v>
                </c:pt>
                <c:pt idx="146">
                  <c:v>8.342471558202849</c:v>
                </c:pt>
                <c:pt idx="147">
                  <c:v>8.6351242430409805</c:v>
                </c:pt>
                <c:pt idx="148">
                  <c:v>8.9380431413561876</c:v>
                </c:pt>
                <c:pt idx="149">
                  <c:v>9.2515883904190943</c:v>
                </c:pt>
                <c:pt idx="150">
                  <c:v>9.5761327610632154</c:v>
                </c:pt>
                <c:pt idx="151">
                  <c:v>9.9120621008685088</c:v>
                </c:pt>
                <c:pt idx="152">
                  <c:v>10.259775792891732</c:v>
                </c:pt>
                <c:pt idx="153">
                  <c:v>10.619687230488996</c:v>
                </c:pt>
                <c:pt idx="154">
                  <c:v>10.992224308795002</c:v>
                </c:pt>
                <c:pt idx="155">
                  <c:v>11.377829933443346</c:v>
                </c:pt>
                <c:pt idx="156">
                  <c:v>11.776962547132609</c:v>
                </c:pt>
                <c:pt idx="157">
                  <c:v>12.190096674664346</c:v>
                </c:pt>
                <c:pt idx="158">
                  <c:v>12.617723487100898</c:v>
                </c:pt>
                <c:pt idx="159">
                  <c:v>13.060351385713798</c:v>
                </c:pt>
                <c:pt idx="160">
                  <c:v>13.518506606416992</c:v>
                </c:pt>
                <c:pt idx="161">
                  <c:v>13.992733845403491</c:v>
                </c:pt>
                <c:pt idx="162">
                  <c:v>14.48359690672927</c:v>
                </c:pt>
                <c:pt idx="163">
                  <c:v>14.991679372614316</c:v>
                </c:pt>
                <c:pt idx="164">
                  <c:v>15.517585297257723</c:v>
                </c:pt>
                <c:pt idx="165">
                  <c:v>16.061939924991741</c:v>
                </c:pt>
                <c:pt idx="166">
                  <c:v>16.62539043362856</c:v>
                </c:pt>
                <c:pt idx="167">
                  <c:v>17.208606703883571</c:v>
                </c:pt>
                <c:pt idx="168">
                  <c:v>17.812282115789912</c:v>
                </c:pt>
                <c:pt idx="169">
                  <c:v>18.437134373051084</c:v>
                </c:pt>
                <c:pt idx="170">
                  <c:v>19.083906356311786</c:v>
                </c:pt>
                <c:pt idx="171">
                  <c:v>19.753367006361312</c:v>
                </c:pt>
                <c:pt idx="172">
                  <c:v>20.446312238319635</c:v>
                </c:pt>
                <c:pt idx="173">
                  <c:v>21.163565887892997</c:v>
                </c:pt>
                <c:pt idx="174">
                  <c:v>21.905980690823984</c:v>
                </c:pt>
                <c:pt idx="175">
                  <c:v>22.674439296700601</c:v>
                </c:pt>
                <c:pt idx="176">
                  <c:v>23.469855318329582</c:v>
                </c:pt>
                <c:pt idx="177">
                  <c:v>24.293174417921602</c:v>
                </c:pt>
                <c:pt idx="178">
                  <c:v>25.145375431379691</c:v>
                </c:pt>
                <c:pt idx="179">
                  <c:v>26.027471532027516</c:v>
                </c:pt>
                <c:pt idx="180">
                  <c:v>26.940511435161067</c:v>
                </c:pt>
                <c:pt idx="181">
                  <c:v>27.885580644855892</c:v>
                </c:pt>
                <c:pt idx="182">
                  <c:v>28.8638027445121</c:v>
                </c:pt>
                <c:pt idx="183">
                  <c:v>29.87634073267149</c:v>
                </c:pt>
                <c:pt idx="184">
                  <c:v>30.924398405695026</c:v>
                </c:pt>
                <c:pt idx="185">
                  <c:v>32.009221788944323</c:v>
                </c:pt>
                <c:pt idx="186">
                  <c:v>33.132100618168849</c:v>
                </c:pt>
                <c:pt idx="187">
                  <c:v>34.294369872859953</c:v>
                </c:pt>
                <c:pt idx="188">
                  <c:v>35.497411363394733</c:v>
                </c:pt>
                <c:pt idx="189">
                  <c:v>36.742655373856657</c:v>
                </c:pt>
                <c:pt idx="190">
                  <c:v>38.031582362486112</c:v>
                </c:pt>
                <c:pt idx="191">
                  <c:v>39.365724721782549</c:v>
                </c:pt>
                <c:pt idx="192">
                  <c:v>40.746668600350631</c:v>
                </c:pt>
                <c:pt idx="193">
                  <c:v>42.176055788656626</c:v>
                </c:pt>
                <c:pt idx="194">
                  <c:v>43.655585670936766</c:v>
                </c:pt>
                <c:pt idx="195">
                  <c:v>45.187017245578282</c:v>
                </c:pt>
                <c:pt idx="196">
                  <c:v>46.772171216375177</c:v>
                </c:pt>
                <c:pt idx="197">
                  <c:v>48.412932157144837</c:v>
                </c:pt>
                <c:pt idx="198">
                  <c:v>50.111250752279112</c:v>
                </c:pt>
                <c:pt idx="199">
                  <c:v>51.869146115893713</c:v>
                </c:pt>
                <c:pt idx="200">
                  <c:v>53.688708192332818</c:v>
                </c:pt>
                <c:pt idx="201">
                  <c:v>55.572100240883238</c:v>
                </c:pt>
                <c:pt idx="202">
                  <c:v>57.521561407651888</c:v>
                </c:pt>
                <c:pt idx="203">
                  <c:v>59.539409387664335</c:v>
                </c:pt>
                <c:pt idx="204">
                  <c:v>61.628043180349437</c:v>
                </c:pt>
                <c:pt idx="205">
                  <c:v>63.789945941685907</c:v>
                </c:pt>
                <c:pt idx="206">
                  <c:v>66.027687936401847</c:v>
                </c:pt>
                <c:pt idx="207">
                  <c:v>68.343929593736917</c:v>
                </c:pt>
                <c:pt idx="208">
                  <c:v>70.741424670400278</c:v>
                </c:pt>
                <c:pt idx="209">
                  <c:v>73.223023524484603</c:v>
                </c:pt>
                <c:pt idx="210">
                  <c:v>75.791676504228477</c:v>
                </c:pt>
                <c:pt idx="211">
                  <c:v>78.450437455656157</c:v>
                </c:pt>
                <c:pt idx="212">
                  <c:v>81.20246735326478</c:v>
                </c:pt>
                <c:pt idx="213">
                  <c:v>84.051038058075576</c:v>
                </c:pt>
                <c:pt idx="214">
                  <c:v>86.999536207516897</c:v>
                </c:pt>
                <c:pt idx="215">
                  <c:v>90.051467241763902</c:v>
                </c:pt>
                <c:pt idx="216">
                  <c:v>93.210459571321536</c:v>
                </c:pt>
                <c:pt idx="217">
                  <c:v>96.480268890805732</c:v>
                </c:pt>
                <c:pt idx="218">
                  <c:v>99.86478264405153</c:v>
                </c:pt>
                <c:pt idx="219">
                  <c:v>103.36802464585627</c:v>
                </c:pt>
                <c:pt idx="220">
                  <c:v>106.99415986585336</c:v>
                </c:pt>
                <c:pt idx="221">
                  <c:v>110.74749938020311</c:v>
                </c:pt>
                <c:pt idx="222">
                  <c:v>114.63250549698837</c:v>
                </c:pt>
                <c:pt idx="223">
                  <c:v>118.65379706140838</c:v>
                </c:pt>
                <c:pt idx="224">
                  <c:v>122.81615494707791</c:v>
                </c:pt>
                <c:pt idx="225">
                  <c:v>127.12452773996046</c:v>
                </c:pt>
                <c:pt idx="226">
                  <c:v>131.584037621693</c:v>
                </c:pt>
                <c:pt idx="227">
                  <c:v>136.19998645929684</c:v>
                </c:pt>
                <c:pt idx="228">
                  <c:v>140.97786210851478</c:v>
                </c:pt>
                <c:pt idx="229">
                  <c:v>145.92334493826789</c:v>
                </c:pt>
                <c:pt idx="230">
                  <c:v>151.04231458399045</c:v>
                </c:pt>
                <c:pt idx="231">
                  <c:v>156.34085693786957</c:v>
                </c:pt>
                <c:pt idx="232">
                  <c:v>161.82527138430234</c:v>
                </c:pt>
                <c:pt idx="233">
                  <c:v>167.50207828917075</c:v>
                </c:pt>
                <c:pt idx="234">
                  <c:v>173.37802675184096</c:v>
                </c:pt>
                <c:pt idx="235">
                  <c:v>179.46010262909985</c:v>
                </c:pt>
                <c:pt idx="236">
                  <c:v>185.75553684057058</c:v>
                </c:pt>
                <c:pt idx="237">
                  <c:v>192.2718139654819</c:v>
                </c:pt>
                <c:pt idx="238">
                  <c:v>199.01668114100951</c:v>
                </c:pt>
                <c:pt idx="239">
                  <c:v>205.99815727277087</c:v>
                </c:pt>
                <c:pt idx="240">
                  <c:v>213.22454256842178</c:v>
                </c:pt>
                <c:pt idx="241">
                  <c:v>220.70442840569206</c:v>
                </c:pt>
                <c:pt idx="242">
                  <c:v>228.44670754658779</c:v>
                </c:pt>
                <c:pt idx="243">
                  <c:v>236.46058470990909</c:v>
                </c:pt>
                <c:pt idx="244">
                  <c:v>244.75558751464831</c:v>
                </c:pt>
                <c:pt idx="245">
                  <c:v>253.34157780728108</c:v>
                </c:pt>
                <c:pt idx="246">
                  <c:v>262.2287633864189</c:v>
                </c:pt>
                <c:pt idx="247">
                  <c:v>271.4277101387587</c:v>
                </c:pt>
                <c:pt idx="248">
                  <c:v>280.94935460076113</c:v>
                </c:pt>
                <c:pt idx="249">
                  <c:v>290.80501696098924</c:v>
                </c:pt>
                <c:pt idx="250">
                  <c:v>301.00641451856916</c:v>
                </c:pt>
                <c:pt idx="251">
                  <c:v>311.56567561377102</c:v>
                </c:pt>
                <c:pt idx="252">
                  <c:v>322.49535404727078</c:v>
                </c:pt>
                <c:pt idx="253">
                  <c:v>333.80844400524091</c:v>
                </c:pt>
                <c:pt idx="254">
                  <c:v>345.5183955080085</c:v>
                </c:pt>
                <c:pt idx="255">
                  <c:v>357.63913040065023</c:v>
                </c:pt>
                <c:pt idx="256">
                  <c:v>370.18505890453713</c:v>
                </c:pt>
                <c:pt idx="257">
                  <c:v>383.17109674950291</c:v>
                </c:pt>
                <c:pt idx="258">
                  <c:v>396.61268290700741</c:v>
                </c:pt>
                <c:pt idx="259">
                  <c:v>410.52579794537525</c:v>
                </c:pt>
                <c:pt idx="260">
                  <c:v>424.92698302893729</c:v>
                </c:pt>
                <c:pt idx="261">
                  <c:v>439.8333595836537</c:v>
                </c:pt>
                <c:pt idx="262">
                  <c:v>455.26264965261038</c:v>
                </c:pt>
                <c:pt idx="263">
                  <c:v>471.23319696557684</c:v>
                </c:pt>
                <c:pt idx="264">
                  <c:v>487.76398874768722</c:v>
                </c:pt>
                <c:pt idx="265">
                  <c:v>504.87467829316228</c:v>
                </c:pt>
                <c:pt idx="266">
                  <c:v>522.58560833091622</c:v>
                </c:pt>
                <c:pt idx="267">
                  <c:v>540.91783520982381</c:v>
                </c:pt>
                <c:pt idx="268">
                  <c:v>559.89315393240724</c:v>
                </c:pt>
                <c:pt idx="269">
                  <c:v>579.53412406669474</c:v>
                </c:pt>
                <c:pt idx="270">
                  <c:v>599.86409656707042</c:v>
                </c:pt>
                <c:pt idx="271">
                  <c:v>620.90724153599047</c:v>
                </c:pt>
                <c:pt idx="272">
                  <c:v>642.68857695957649</c:v>
                </c:pt>
                <c:pt idx="273">
                  <c:v>665.23399845125459</c:v>
                </c:pt>
                <c:pt idx="274">
                  <c:v>688.57031003878853</c:v>
                </c:pt>
                <c:pt idx="275">
                  <c:v>712.72525603132635</c:v>
                </c:pt>
                <c:pt idx="276">
                  <c:v>737.72755400433221</c:v>
                </c:pt>
                <c:pt idx="277">
                  <c:v>763.6069289416248</c:v>
                </c:pt>
                <c:pt idx="278">
                  <c:v>790.39414857511952</c:v>
                </c:pt>
                <c:pt idx="279">
                  <c:v>818.1210599642767</c:v>
                </c:pt>
                <c:pt idx="280">
                  <c:v>846.82062735875547</c:v>
                </c:pt>
                <c:pt idx="281">
                  <c:v>876.52697138928079</c:v>
                </c:pt>
                <c:pt idx="282">
                  <c:v>907.27540963332683</c:v>
                </c:pt>
                <c:pt idx="283">
                  <c:v>939.10249860382874</c:v>
                </c:pt>
                <c:pt idx="284">
                  <c:v>972.04607721086302</c:v>
                </c:pt>
                <c:pt idx="285">
                  <c:v>1006.1453117479499</c:v>
                </c:pt>
                <c:pt idx="286">
                  <c:v>1041.4407424564688</c:v>
                </c:pt>
                <c:pt idx="287">
                  <c:v>1077.9743317235509</c:v>
                </c:pt>
                <c:pt idx="288">
                  <c:v>1115.7895139707459</c:v>
                </c:pt>
                <c:pt idx="289">
                  <c:v>1154.9312472927725</c:v>
                </c:pt>
                <c:pt idx="290">
                  <c:v>1195.4460669077519</c:v>
                </c:pt>
                <c:pt idx="291">
                  <c:v>1237.3821404824632</c:v>
                </c:pt>
                <c:pt idx="292">
                  <c:v>1280.7893253984103</c:v>
                </c:pt>
                <c:pt idx="293">
                  <c:v>1325.7192280267632</c:v>
                </c:pt>
                <c:pt idx="294">
                  <c:v>1372.2252650826629</c:v>
                </c:pt>
                <c:pt idx="295">
                  <c:v>1420.3627271318198</c:v>
                </c:pt>
                <c:pt idx="296">
                  <c:v>1470.1888443249213</c:v>
                </c:pt>
                <c:pt idx="297">
                  <c:v>1521.7628544379922</c:v>
                </c:pt>
                <c:pt idx="298">
                  <c:v>1575.1460732995915</c:v>
                </c:pt>
                <c:pt idx="299">
                  <c:v>1630.4019676885991</c:v>
                </c:pt>
                <c:pt idx="300">
                  <c:v>1687.596230789236</c:v>
                </c:pt>
                <c:pt idx="301">
                  <c:v>1746.7968602930189</c:v>
                </c:pt>
              </c:numCache>
            </c:numRef>
          </c:xVal>
          <c:yVal>
            <c:numRef>
              <c:f>'Aerosol 1'!$D$17:$D$318</c:f>
              <c:numCache>
                <c:formatCode>0.00000</c:formatCode>
                <c:ptCount val="302"/>
                <c:pt idx="0">
                  <c:v>0.44186124245927633</c:v>
                </c:pt>
                <c:pt idx="1">
                  <c:v>0.46131210999061745</c:v>
                </c:pt>
                <c:pt idx="2">
                  <c:v>0.48140861666230927</c:v>
                </c:pt>
                <c:pt idx="3">
                  <c:v>0.50216093125413552</c:v>
                </c:pt>
                <c:pt idx="4">
                  <c:v>0.52357878441183359</c:v>
                </c:pt>
                <c:pt idx="5">
                  <c:v>0.5456714323813735</c:v>
                </c:pt>
                <c:pt idx="6">
                  <c:v>0.56844762024753248</c:v>
                </c:pt>
                <c:pt idx="7">
                  <c:v>0.59191554475411046</c:v>
                </c:pt>
                <c:pt idx="8">
                  <c:v>0.61608281678768284</c:v>
                </c:pt>
                <c:pt idx="9">
                  <c:v>0.640956423611309</c:v>
                </c:pt>
                <c:pt idx="10">
                  <c:v>0.66654269093894958</c:v>
                </c:pt>
                <c:pt idx="11">
                  <c:v>0.69284724494557703</c:v>
                </c:pt>
                <c:pt idx="12">
                  <c:v>0.71987497431205472</c:v>
                </c:pt>
                <c:pt idx="13">
                  <c:v>0.74762999240766514</c:v>
                </c:pt>
                <c:pt idx="14">
                  <c:v>0.77611559971686572</c:v>
                </c:pt>
                <c:pt idx="15">
                  <c:v>0.80533424662027397</c:v>
                </c:pt>
                <c:pt idx="16">
                  <c:v>0.83528749664299695</c:v>
                </c:pt>
                <c:pt idx="17">
                  <c:v>0.86597599028635586</c:v>
                </c:pt>
                <c:pt idx="18">
                  <c:v>0.89739940956159492</c:v>
                </c:pt>
                <c:pt idx="19">
                  <c:v>0.92955644334641507</c:v>
                </c:pt>
                <c:pt idx="20">
                  <c:v>0.96244475368708815</c:v>
                </c:pt>
                <c:pt idx="21">
                  <c:v>0.99606094317043981</c:v>
                </c:pt>
                <c:pt idx="22">
                  <c:v>1.0304005234911267</c:v>
                </c:pt>
                <c:pt idx="23">
                  <c:v>1.0654578853403807</c:v>
                </c:pt>
                <c:pt idx="24">
                  <c:v>1.1012262697427355</c:v>
                </c:pt>
                <c:pt idx="25">
                  <c:v>1.1376977409670872</c:v>
                </c:pt>
                <c:pt idx="26">
                  <c:v>1.1748631611379141</c:v>
                </c:pt>
                <c:pt idx="27">
                  <c:v>1.2127121666714109</c:v>
                </c:pt>
                <c:pt idx="28">
                  <c:v>1.2512331466597939</c:v>
                </c:pt>
                <c:pt idx="29">
                  <c:v>1.2904132233250187</c:v>
                </c:pt>
                <c:pt idx="30">
                  <c:v>1.3302382346606514</c:v>
                </c:pt>
                <c:pt idx="31">
                  <c:v>1.3706927193776288</c:v>
                </c:pt>
                <c:pt idx="32">
                  <c:v>1.4117599042661435</c:v>
                </c:pt>
                <c:pt idx="33">
                  <c:v>1.4534216940818485</c:v>
                </c:pt>
                <c:pt idx="34">
                  <c:v>1.4956586640600764</c:v>
                </c:pt>
                <c:pt idx="35">
                  <c:v>1.5384500551567053</c:v>
                </c:pt>
                <c:pt idx="36">
                  <c:v>1.5817737721087923</c:v>
                </c:pt>
                <c:pt idx="37">
                  <c:v>1.6256063844020647</c:v>
                </c:pt>
                <c:pt idx="38">
                  <c:v>1.6699231302258415</c:v>
                </c:pt>
                <c:pt idx="39">
                  <c:v>1.7146979234889446</c:v>
                </c:pt>
                <c:pt idx="40">
                  <c:v>1.759903363962817</c:v>
                </c:pt>
                <c:pt idx="41">
                  <c:v>1.8055107506100476</c:v>
                </c:pt>
                <c:pt idx="42">
                  <c:v>1.8514900981483005</c:v>
                </c:pt>
                <c:pt idx="43">
                  <c:v>1.8978101568909038</c:v>
                </c:pt>
                <c:pt idx="44">
                  <c:v>1.9444384358962847</c:v>
                </c:pt>
                <c:pt idx="45">
                  <c:v>1.9913412294490078</c:v>
                </c:pt>
                <c:pt idx="46">
                  <c:v>2.0384836468854131</c:v>
                </c:pt>
                <c:pt idx="47">
                  <c:v>2.0858296457668346</c:v>
                </c:pt>
                <c:pt idx="48">
                  <c:v>2.1333420683930817</c:v>
                </c:pt>
                <c:pt idx="49">
                  <c:v>2.1809826816383282</c:v>
                </c:pt>
                <c:pt idx="50">
                  <c:v>2.228712220080856</c:v>
                </c:pt>
                <c:pt idx="51">
                  <c:v>2.2764904323872996</c:v>
                </c:pt>
                <c:pt idx="52">
                  <c:v>2.3242761309009832</c:v>
                </c:pt>
                <c:pt idx="53">
                  <c:v>2.3720272443730042</c:v>
                </c:pt>
                <c:pt idx="54">
                  <c:v>2.4197008737636536</c:v>
                </c:pt>
                <c:pt idx="55">
                  <c:v>2.4672533510306454</c:v>
                </c:pt>
                <c:pt idx="56">
                  <c:v>2.5146403008098255</c:v>
                </c:pt>
                <c:pt idx="57">
                  <c:v>2.5618167048829941</c:v>
                </c:pt>
                <c:pt idx="58">
                  <c:v>2.6087369693169058</c:v>
                </c:pt>
                <c:pt idx="59">
                  <c:v>2.6553549941469203</c:v>
                </c:pt>
                <c:pt idx="60">
                  <c:v>2.7016242454685999</c:v>
                </c:pt>
                <c:pt idx="61">
                  <c:v>2.7474978297904649</c:v>
                </c:pt>
                <c:pt idx="62">
                  <c:v>2.7929285704915876</c:v>
                </c:pt>
                <c:pt idx="63">
                  <c:v>2.8378690862184355</c:v>
                </c:pt>
                <c:pt idx="64">
                  <c:v>2.8822718710464335</c:v>
                </c:pt>
                <c:pt idx="65">
                  <c:v>2.9260893762235214</c:v>
                </c:pt>
                <c:pt idx="66">
                  <c:v>2.9692740933049833</c:v>
                </c:pt>
                <c:pt idx="67">
                  <c:v>3.0117786384815415</c:v>
                </c:pt>
                <c:pt idx="68">
                  <c:v>3.0535558378960421</c:v>
                </c:pt>
                <c:pt idx="69">
                  <c:v>3.0945588137378577</c:v>
                </c:pt>
                <c:pt idx="70">
                  <c:v>3.1347410708986945</c:v>
                </c:pt>
                <c:pt idx="71">
                  <c:v>3.1740565839687793</c:v>
                </c:pt>
                <c:pt idx="72">
                  <c:v>3.2124598843482381</c:v>
                </c:pt>
                <c:pt idx="73">
                  <c:v>3.2499061472452042</c:v>
                </c:pt>
                <c:pt idx="74">
                  <c:v>3.2863512783296476</c:v>
                </c:pt>
                <c:pt idx="75">
                  <c:v>3.3217519998100826</c:v>
                </c:pt>
                <c:pt idx="76">
                  <c:v>3.3560659356993177</c:v>
                </c:pt>
                <c:pt idx="77">
                  <c:v>3.3892516960353243</c:v>
                </c:pt>
                <c:pt idx="78">
                  <c:v>3.4212689598238413</c:v>
                </c:pt>
                <c:pt idx="79">
                  <c:v>3.4520785564708141</c:v>
                </c:pt>
                <c:pt idx="80">
                  <c:v>3.4816425454751547</c:v>
                </c:pt>
                <c:pt idx="81">
                  <c:v>3.5099242941553546</c:v>
                </c:pt>
                <c:pt idx="82">
                  <c:v>3.5368885531874357</c:v>
                </c:pt>
                <c:pt idx="83">
                  <c:v>3.5625015297365521</c:v>
                </c:pt>
                <c:pt idx="84">
                  <c:v>3.5867309579701279</c:v>
                </c:pt>
                <c:pt idx="85">
                  <c:v>3.609546166746695</c:v>
                </c:pt>
                <c:pt idx="86">
                  <c:v>3.630918144281865</c:v>
                </c:pt>
                <c:pt idx="87">
                  <c:v>3.6508195996006427</c:v>
                </c:pt>
                <c:pt idx="88">
                  <c:v>3.66922502059399</c:v>
                </c:pt>
                <c:pt idx="89">
                  <c:v>3.6861107285067698</c:v>
                </c:pt>
                <c:pt idx="90">
                  <c:v>3.7014549286942424</c:v>
                </c:pt>
                <c:pt idx="91">
                  <c:v>3.7152377574948292</c:v>
                </c:pt>
                <c:pt idx="92">
                  <c:v>3.7274413250780198</c:v>
                </c:pt>
                <c:pt idx="93">
                  <c:v>3.7380497541381152</c:v>
                </c:pt>
                <c:pt idx="94">
                  <c:v>3.7470492143165992</c:v>
                </c:pt>
                <c:pt idx="95">
                  <c:v>3.7544279522487161</c:v>
                </c:pt>
                <c:pt idx="96">
                  <c:v>3.7601763171428693</c:v>
                </c:pt>
                <c:pt idx="97">
                  <c:v>3.7642867818149099</c:v>
                </c:pt>
                <c:pt idx="98">
                  <c:v>3.766753959113152</c:v>
                </c:pt>
                <c:pt idx="99">
                  <c:v>3.7675746136839425</c:v>
                </c:pt>
                <c:pt idx="100">
                  <c:v>3.7667476690418042</c:v>
                </c:pt>
                <c:pt idx="101">
                  <c:v>3.7642742099225499</c:v>
                </c:pt>
                <c:pt idx="102">
                  <c:v>3.7601574799121305</c:v>
                </c:pt>
                <c:pt idx="103">
                  <c:v>3.7544028743585272</c:v>
                </c:pt>
                <c:pt idx="104">
                  <c:v>3.7470179285882987</c:v>
                </c:pt>
                <c:pt idx="105">
                  <c:v>3.7380123014638706</c:v>
                </c:pt>
                <c:pt idx="106">
                  <c:v>3.7273977543317587</c:v>
                </c:pt>
                <c:pt idx="107">
                  <c:v>3.7151881254259633</c:v>
                </c:pt>
                <c:pt idx="108">
                  <c:v>3.7013992998044931</c:v>
                </c:pt>
                <c:pt idx="109">
                  <c:v>3.686049174910484</c:v>
                </c:pt>
                <c:pt idx="110">
                  <c:v>3.6691576218623672</c:v>
                </c:pt>
                <c:pt idx="111">
                  <c:v>3.6507464425903295</c:v>
                </c:pt>
                <c:pt idx="112">
                  <c:v>3.6308393229484563</c:v>
                </c:pt>
                <c:pt idx="113">
                  <c:v>3.6094617819436903</c:v>
                </c:pt>
                <c:pt idx="114">
                  <c:v>3.5866411172339343</c:v>
                </c:pt>
                <c:pt idx="115">
                  <c:v>3.562406347058205</c:v>
                </c:pt>
                <c:pt idx="116">
                  <c:v>3.536788148771687</c:v>
                </c:pt>
                <c:pt idx="117">
                  <c:v>3.5098187941678494</c:v>
                </c:pt>
                <c:pt idx="118">
                  <c:v>3.4815320817784419</c:v>
                </c:pt>
                <c:pt idx="119">
                  <c:v>3.4519632663499689</c:v>
                </c:pt>
                <c:pt idx="120">
                  <c:v>3.4211489857025024</c:v>
                </c:pt>
                <c:pt idx="121">
                  <c:v>3.3891271851829274</c:v>
                </c:pt>
                <c:pt idx="122">
                  <c:v>3.355937039930418</c:v>
                </c:pt>
                <c:pt idx="123">
                  <c:v>3.3216188751766098</c:v>
                </c:pt>
                <c:pt idx="124">
                  <c:v>3.2862140848069323</c:v>
                </c:pt>
                <c:pt idx="125">
                  <c:v>3.2497650484126934</c:v>
                </c:pt>
                <c:pt idx="126">
                  <c:v>3.2123150470657871</c:v>
                </c:pt>
                <c:pt idx="127">
                  <c:v>3.1739081780493863</c:v>
                </c:pt>
                <c:pt idx="128">
                  <c:v>3.1345892687785928</c:v>
                </c:pt>
                <c:pt idx="129">
                  <c:v>3.0944037901448533</c:v>
                </c:pt>
                <c:pt idx="130">
                  <c:v>3.0533977695169816</c:v>
                </c:pt>
                <c:pt idx="131">
                  <c:v>3.0116177036297791</c:v>
                </c:pt>
                <c:pt idx="132">
                  <c:v>2.9691104715887366</c:v>
                </c:pt>
                <c:pt idx="133">
                  <c:v>2.9259232482159381</c:v>
                </c:pt>
                <c:pt idx="134">
                  <c:v>2.8821034179582243</c:v>
                </c:pt>
                <c:pt idx="135">
                  <c:v>2.8376984895738926</c:v>
                </c:pt>
                <c:pt idx="136">
                  <c:v>2.7927560118087604</c:v>
                </c:pt>
                <c:pt idx="137">
                  <c:v>2.7473234902662829</c:v>
                </c:pt>
                <c:pt idx="138">
                  <c:v>2.7014483056696856</c:v>
                </c:pt>
                <c:pt idx="139">
                  <c:v>2.6551776337067761</c:v>
                </c:pt>
                <c:pt idx="140">
                  <c:v>2.6085583666402004</c:v>
                </c:pt>
                <c:pt idx="141">
                  <c:v>2.5616370368575714</c:v>
                </c:pt>
                <c:pt idx="142">
                  <c:v>2.5144597425270416</c:v>
                </c:pt>
                <c:pt idx="143">
                  <c:v>2.4670720755146456</c:v>
                </c:pt>
                <c:pt idx="144">
                  <c:v>2.4195190517101013</c:v>
                </c:pt>
                <c:pt idx="145">
                  <c:v>2.3718450438977809</c:v>
                </c:pt>
                <c:pt idx="146">
                  <c:v>2.3240937172993008</c:v>
                </c:pt>
                <c:pt idx="147">
                  <c:v>2.2763079679036884</c:v>
                </c:pt>
                <c:pt idx="148">
                  <c:v>2.2285298636903583</c:v>
                </c:pt>
                <c:pt idx="149">
                  <c:v>2.1808005888392805</c:v>
                </c:pt>
                <c:pt idx="150">
                  <c:v>2.1331603910117636</c:v>
                </c:pt>
                <c:pt idx="151">
                  <c:v>2.0856485317742313</c:v>
                </c:pt>
                <c:pt idx="152">
                  <c:v>2.0383032402263295</c:v>
                </c:pt>
                <c:pt idx="153">
                  <c:v>1.9911616698836792</c:v>
                </c:pt>
                <c:pt idx="154">
                  <c:v>1.94425985885463</c:v>
                </c:pt>
                <c:pt idx="155">
                  <c:v>1.8976326933395071</c:v>
                </c:pt>
                <c:pt idx="156">
                  <c:v>1.8513138744701663</c:v>
                </c:pt>
                <c:pt idx="157">
                  <c:v>1.8053358884971329</c:v>
                </c:pt>
                <c:pt idx="158">
                  <c:v>1.7597299803213207</c:v>
                </c:pt>
                <c:pt idx="159">
                  <c:v>1.7145261303572796</c:v>
                </c:pt>
                <c:pt idx="160">
                  <c:v>1.6697530347051837</c:v>
                </c:pt>
                <c:pt idx="161">
                  <c:v>1.6254380885993382</c:v>
                </c:pt>
                <c:pt idx="162">
                  <c:v>1.5816073730919125</c:v>
                </c:pt>
                <c:pt idx="163">
                  <c:v>1.5382856449218942</c:v>
                </c:pt>
                <c:pt idx="164">
                  <c:v>1.4954963295109787</c:v>
                </c:pt>
                <c:pt idx="165">
                  <c:v>1.4532615170202043</c:v>
                </c:pt>
                <c:pt idx="166">
                  <c:v>1.4116019613937212</c:v>
                </c:pt>
                <c:pt idx="167">
                  <c:v>1.3705370823090919</c:v>
                </c:pt>
                <c:pt idx="168">
                  <c:v>1.3300849699470119</c:v>
                </c:pt>
                <c:pt idx="169">
                  <c:v>1.2902623924873224</c:v>
                </c:pt>
                <c:pt idx="170">
                  <c:v>1.2510848062326405</c:v>
                </c:pt>
                <c:pt idx="171">
                  <c:v>1.2125663682559087</c:v>
                </c:pt>
                <c:pt idx="172">
                  <c:v>1.1747199514636475</c:v>
                </c:pt>
                <c:pt idx="173">
                  <c:v>1.1375571619626581</c:v>
                </c:pt>
                <c:pt idx="174">
                  <c:v>1.1010883586144373</c:v>
                </c:pt>
                <c:pt idx="175">
                  <c:v>1.0653226746585411</c:v>
                </c:pt>
                <c:pt idx="176">
                  <c:v>1.0302680412836542</c:v>
                </c:pt>
                <c:pt idx="177">
                  <c:v>0.99593121302309984</c:v>
                </c:pt>
                <c:pt idx="178">
                  <c:v>0.96231779485002644</c:v>
                </c:pt>
                <c:pt idx="179">
                  <c:v>0.92943227084645752</c:v>
                </c:pt>
                <c:pt idx="180">
                  <c:v>0.89727803431982789</c:v>
                </c:pt>
                <c:pt idx="181">
                  <c:v>0.86585741924051085</c:v>
                </c:pt>
                <c:pt idx="182">
                  <c:v>0.8351717328741588</c:v>
                </c:pt>
                <c:pt idx="183">
                  <c:v>0.80522128948343585</c:v>
                </c:pt>
                <c:pt idx="184">
                  <c:v>0.77600544497485402</c:v>
                </c:pt>
                <c:pt idx="185">
                  <c:v>0.747522632367977</c:v>
                </c:pt>
                <c:pt idx="186">
                  <c:v>0.71977039796614994</c:v>
                </c:pt>
                <c:pt idx="187">
                  <c:v>0.69274543811016442</c:v>
                </c:pt>
                <c:pt idx="188">
                  <c:v>0.66644363639884785</c:v>
                </c:pt>
                <c:pt idx="189">
                  <c:v>0.64086010126344251</c:v>
                </c:pt>
                <c:pt idx="190">
                  <c:v>0.61598920378580069</c:v>
                </c:pt>
                <c:pt idx="191">
                  <c:v>0.59182461565384048</c:v>
                </c:pt>
                <c:pt idx="192">
                  <c:v>0.56835934715136893</c:v>
                </c:pt>
                <c:pt idx="193">
                  <c:v>0.54558578508323363</c:v>
                </c:pt>
                <c:pt idx="194">
                  <c:v>0.52349573054083476</c:v>
                </c:pt>
                <c:pt idx="195">
                  <c:v>0.50208043641724442</c:v>
                </c:pt>
                <c:pt idx="196">
                  <c:v>0.48133064458554958</c:v>
                </c:pt>
                <c:pt idx="197">
                  <c:v>0.46123662265852483</c:v>
                </c:pt>
                <c:pt idx="198">
                  <c:v>0.44178820025232607</c:v>
                </c:pt>
                <c:pt idx="199">
                  <c:v>0.42297480468155857</c:v>
                </c:pt>
                <c:pt idx="200">
                  <c:v>0.40478549601780117</c:v>
                </c:pt>
                <c:pt idx="201">
                  <c:v>0.38720900144841131</c:v>
                </c:pt>
                <c:pt idx="202">
                  <c:v>0.3702337488772196</c:v>
                </c:pt>
                <c:pt idx="203">
                  <c:v>0.35384789971348357</c:v>
                </c:pt>
                <c:pt idx="204">
                  <c:v>0.33803938080021634</c:v>
                </c:pt>
                <c:pt idx="205">
                  <c:v>0.32279591543772024</c:v>
                </c:pt>
                <c:pt idx="206">
                  <c:v>0.30810505346279932</c:v>
                </c:pt>
                <c:pt idx="207">
                  <c:v>0.29395420034871345</c:v>
                </c:pt>
                <c:pt idx="208">
                  <c:v>0.28033064529542867</c:v>
                </c:pt>
                <c:pt idx="209">
                  <c:v>0.26722158828411935</c:v>
                </c:pt>
                <c:pt idx="210">
                  <c:v>0.2546141660741621</c:v>
                </c:pt>
                <c:pt idx="211">
                  <c:v>0.24249547712502706</c:v>
                </c:pt>
                <c:pt idx="212">
                  <c:v>0.23085260542950359</c:v>
                </c:pt>
                <c:pt idx="213">
                  <c:v>0.21967264324858532</c:v>
                </c:pt>
                <c:pt idx="214">
                  <c:v>0.20894271274208021</c:v>
                </c:pt>
                <c:pt idx="215">
                  <c:v>0.19864998649259011</c:v>
                </c:pt>
                <c:pt idx="216">
                  <c:v>0.18878170692392457</c:v>
                </c:pt>
                <c:pt idx="217">
                  <c:v>0.17932520461825843</c:v>
                </c:pt>
                <c:pt idx="218">
                  <c:v>0.17026791553942153</c:v>
                </c:pt>
                <c:pt idx="219">
                  <c:v>0.16159739717260269</c:v>
                </c:pt>
                <c:pt idx="220">
                  <c:v>0.15330134359347358</c:v>
                </c:pt>
                <c:pt idx="221">
                  <c:v>0.14536759948227493</c:v>
                </c:pt>
                <c:pt idx="222">
                  <c:v>0.13778417310076432</c:v>
                </c:pt>
                <c:pt idx="223">
                  <c:v>0.13053924825210331</c:v>
                </c:pt>
                <c:pt idx="224">
                  <c:v>0.12362119524575728</c:v>
                </c:pt>
                <c:pt idx="225">
                  <c:v>0.11701858089129905</c:v>
                </c:pt>
                <c:pt idx="226">
                  <c:v>0.11072017754664996</c:v>
                </c:pt>
                <c:pt idx="227">
                  <c:v>0.10471497124776093</c:v>
                </c:pt>
                <c:pt idx="228">
                  <c:v>9.8992168948033366E-2</c:v>
                </c:pt>
                <c:pt idx="229">
                  <c:v>9.3541204896916155E-2</c:v>
                </c:pt>
                <c:pt idx="230">
                  <c:v>8.8351746188082683E-2</c:v>
                </c:pt>
                <c:pt idx="231">
                  <c:v>8.3413697508413695E-2</c:v>
                </c:pt>
                <c:pt idx="232">
                  <c:v>7.8717205119671452E-2</c:v>
                </c:pt>
                <c:pt idx="233">
                  <c:v>7.4252660105275328E-2</c:v>
                </c:pt>
                <c:pt idx="234">
                  <c:v>7.0010700914966417E-2</c:v>
                </c:pt>
                <c:pt idx="235">
                  <c:v>6.5982215240401668E-2</c:v>
                </c:pt>
                <c:pt idx="236">
                  <c:v>6.2158341254836685E-2</c:v>
                </c:pt>
                <c:pt idx="237">
                  <c:v>5.8530468250059968E-2</c:v>
                </c:pt>
                <c:pt idx="238">
                  <c:v>5.5090236703633513E-2</c:v>
                </c:pt>
                <c:pt idx="239">
                  <c:v>5.1829537809275593E-2</c:v>
                </c:pt>
                <c:pt idx="240">
                  <c:v>4.8740512502909367E-2</c:v>
                </c:pt>
                <c:pt idx="241">
                  <c:v>4.5815550016491589E-2</c:v>
                </c:pt>
                <c:pt idx="242">
                  <c:v>4.3047285991246978E-2</c:v>
                </c:pt>
                <c:pt idx="243">
                  <c:v>4.0428600181359998E-2</c:v>
                </c:pt>
                <c:pt idx="244">
                  <c:v>3.7952613778537654E-2</c:v>
                </c:pt>
                <c:pt idx="245">
                  <c:v>3.5612686387149081E-2</c:v>
                </c:pt>
                <c:pt idx="246">
                  <c:v>3.3402412678883081E-2</c:v>
                </c:pt>
                <c:pt idx="247">
                  <c:v>3.1315618755051455E-2</c:v>
                </c:pt>
                <c:pt idx="248">
                  <c:v>2.9346358243801881E-2</c:v>
                </c:pt>
                <c:pt idx="249">
                  <c:v>2.7488908158606124E-2</c:v>
                </c:pt>
                <c:pt idx="250">
                  <c:v>2.5737764543453598E-2</c:v>
                </c:pt>
                <c:pt idx="251">
                  <c:v>2.4087637929220272E-2</c:v>
                </c:pt>
                <c:pt idx="252">
                  <c:v>2.2533448624698332E-2</c:v>
                </c:pt>
                <c:pt idx="253">
                  <c:v>2.107032186476971E-2</c:v>
                </c:pt>
                <c:pt idx="254">
                  <c:v>1.9693582837195078E-2</c:v>
                </c:pt>
                <c:pt idx="255">
                  <c:v>1.8398751608466976E-2</c:v>
                </c:pt>
                <c:pt idx="256">
                  <c:v>1.718153796815159E-2</c:v>
                </c:pt>
                <c:pt idx="257">
                  <c:v>1.6037836210120674E-2</c:v>
                </c:pt>
                <c:pt idx="258">
                  <c:v>1.4963719868055071E-2</c:v>
                </c:pt>
                <c:pt idx="259">
                  <c:v>1.3955436421591185E-2</c:v>
                </c:pt>
                <c:pt idx="260">
                  <c:v>1.3009401988481615E-2</c:v>
                </c:pt>
                <c:pt idx="261">
                  <c:v>1.2122196017157636E-2</c:v>
                </c:pt>
                <c:pt idx="262">
                  <c:v>1.1290555993112185E-2</c:v>
                </c:pt>
                <c:pt idx="263">
                  <c:v>1.0511372171576121E-2</c:v>
                </c:pt>
                <c:pt idx="264">
                  <c:v>9.7816823480333607E-3</c:v>
                </c:pt>
                <c:pt idx="265">
                  <c:v>9.0986666772206841E-3</c:v>
                </c:pt>
                <c:pt idx="266">
                  <c:v>8.4596425503812873E-3</c:v>
                </c:pt>
                <c:pt idx="267">
                  <c:v>7.8620595396939226E-3</c:v>
                </c:pt>
                <c:pt idx="268">
                  <c:v>7.3034944179795639E-3</c:v>
                </c:pt>
                <c:pt idx="269">
                  <c:v>6.7816462609988229E-3</c:v>
                </c:pt>
                <c:pt idx="270">
                  <c:v>6.2943316388937975E-3</c:v>
                </c:pt>
                <c:pt idx="271">
                  <c:v>5.8394799026016981E-3</c:v>
                </c:pt>
                <c:pt idx="272">
                  <c:v>5.4151285703718305E-3</c:v>
                </c:pt>
                <c:pt idx="273">
                  <c:v>5.0194188188548323E-3</c:v>
                </c:pt>
                <c:pt idx="274">
                  <c:v>4.6505910826031014E-3</c:v>
                </c:pt>
                <c:pt idx="275">
                  <c:v>4.3069807652231394E-3</c:v>
                </c:pt>
                <c:pt idx="276">
                  <c:v>3.9870140648559614E-3</c:v>
                </c:pt>
                <c:pt idx="277">
                  <c:v>3.6892039161284173E-3</c:v>
                </c:pt>
                <c:pt idx="278">
                  <c:v>3.4121460502174301E-3</c:v>
                </c:pt>
                <c:pt idx="279">
                  <c:v>3.1545151741998647E-3</c:v>
                </c:pt>
                <c:pt idx="280">
                  <c:v>2.9150612704219236E-3</c:v>
                </c:pt>
                <c:pt idx="281">
                  <c:v>2.692606016213846E-3</c:v>
                </c:pt>
                <c:pt idx="282">
                  <c:v>2.486039323896906E-3</c:v>
                </c:pt>
                <c:pt idx="283">
                  <c:v>2.2943160006798566E-3</c:v>
                </c:pt>
                <c:pt idx="284">
                  <c:v>2.1164525277197204E-3</c:v>
                </c:pt>
                <c:pt idx="285">
                  <c:v>1.9515239573270466E-3</c:v>
                </c:pt>
                <c:pt idx="286">
                  <c:v>1.7986609270265769E-3</c:v>
                </c:pt>
                <c:pt idx="287">
                  <c:v>1.657046788940417E-3</c:v>
                </c:pt>
                <c:pt idx="288">
                  <c:v>1.5259148527409915E-3</c:v>
                </c:pt>
                <c:pt idx="289">
                  <c:v>1.4045457402241815E-3</c:v>
                </c:pt>
                <c:pt idx="290">
                  <c:v>1.2922648493781438E-3</c:v>
                </c:pt>
                <c:pt idx="291">
                  <c:v>1.1884399256693746E-3</c:v>
                </c:pt>
                <c:pt idx="292">
                  <c:v>1.0924787381333678E-3</c:v>
                </c:pt>
                <c:pt idx="293">
                  <c:v>1.0038268577419031E-3</c:v>
                </c:pt>
                <c:pt idx="294">
                  <c:v>9.21965535421234E-4</c:v>
                </c:pt>
                <c:pt idx="295">
                  <c:v>8.4640967701447346E-4</c:v>
                </c:pt>
                <c:pt idx="296">
                  <c:v>7.7670591241600011E-4</c:v>
                </c:pt>
                <c:pt idx="297">
                  <c:v>7.1243075605497037E-4</c:v>
                </c:pt>
                <c:pt idx="298">
                  <c:v>6.5318885586775142E-4</c:v>
                </c:pt>
                <c:pt idx="299">
                  <c:v>5.9861132787451853E-4</c:v>
                </c:pt>
                <c:pt idx="300">
                  <c:v>5.4835417346243195E-4</c:v>
                </c:pt>
                <c:pt idx="301">
                  <c:v>5.0209677647564197E-4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E4-4C1E-AD23-229705F39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224352"/>
        <c:axId val="387225136"/>
      </c:scatterChart>
      <c:valAx>
        <c:axId val="387224352"/>
        <c:scaling>
          <c:orientation val="minMax"/>
          <c:max val="3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2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Dp, </a:t>
                </a:r>
                <a:r>
                  <a:rPr lang="en-US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µm</a:t>
                </a:r>
              </a:p>
            </c:rich>
          </c:tx>
          <c:overlay val="0"/>
        </c:title>
        <c:numFmt formatCode="0.000" sourceLinked="1"/>
        <c:majorTickMark val="cross"/>
        <c:minorTickMark val="out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25136"/>
        <c:crosses val="autoZero"/>
        <c:crossBetween val="midCat"/>
      </c:valAx>
      <c:valAx>
        <c:axId val="3872251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dM/d(Dp)</a:t>
                </a:r>
              </a:p>
            </c:rich>
          </c:tx>
          <c:layout>
            <c:manualLayout>
              <c:xMode val="edge"/>
              <c:yMode val="edge"/>
              <c:x val="1.1376494604841062E-2"/>
              <c:y val="0.306574428196475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24352"/>
        <c:crossesAt val="0.01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4293506789912134"/>
          <c:y val="8.9605934674832299E-2"/>
          <c:w val="0.22925915906081359"/>
          <c:h val="0.1863805774278215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80853507574114"/>
          <c:y val="9.8976232922112786E-2"/>
          <c:w val="0.77169180674712001"/>
          <c:h val="0.73720228659228837"/>
        </c:manualLayout>
      </c:layout>
      <c:scatterChart>
        <c:scatterStyle val="smoothMarker"/>
        <c:varyColors val="0"/>
        <c:ser>
          <c:idx val="0"/>
          <c:order val="0"/>
          <c:tx>
            <c:v>Aerosol 2a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'Aerosol 2'!$A$17:$A$318</c:f>
              <c:numCache>
                <c:formatCode>0.000</c:formatCode>
                <c:ptCount val="302"/>
                <c:pt idx="0">
                  <c:v>5.4339016042139802E-2</c:v>
                </c:pt>
                <c:pt idx="1">
                  <c:v>5.6245220795161463E-2</c:v>
                </c:pt>
                <c:pt idx="2">
                  <c:v>5.8218294932745107E-2</c:v>
                </c:pt>
                <c:pt idx="3">
                  <c:v>6.0260584223142885E-2</c:v>
                </c:pt>
                <c:pt idx="4">
                  <c:v>6.2374516723814895E-2</c:v>
                </c:pt>
                <c:pt idx="5">
                  <c:v>6.4562605668122608E-2</c:v>
                </c:pt>
                <c:pt idx="6">
                  <c:v>6.6827452453287028E-2</c:v>
                </c:pt>
                <c:pt idx="7">
                  <c:v>6.917174973316409E-2</c:v>
                </c:pt>
                <c:pt idx="8">
                  <c:v>7.1598284619514063E-2</c:v>
                </c:pt>
                <c:pt idx="9">
                  <c:v>7.4109941995570985E-2</c:v>
                </c:pt>
                <c:pt idx="10">
                  <c:v>7.6709707945851788E-2</c:v>
                </c:pt>
                <c:pt idx="11">
                  <c:v>7.9400673306282518E-2</c:v>
                </c:pt>
                <c:pt idx="12">
                  <c:v>8.2186037338862386E-2</c:v>
                </c:pt>
                <c:pt idx="13">
                  <c:v>8.5069111535234707E-2</c:v>
                </c:pt>
                <c:pt idx="14">
                  <c:v>8.8053323553686447E-2</c:v>
                </c:pt>
                <c:pt idx="15">
                  <c:v>9.1142221294257017E-2</c:v>
                </c:pt>
                <c:pt idx="16">
                  <c:v>9.4339477116801421E-2</c:v>
                </c:pt>
                <c:pt idx="17">
                  <c:v>9.7648892207022539E-2</c:v>
                </c:pt>
                <c:pt idx="18">
                  <c:v>0.10107440109566297</c:v>
                </c:pt>
                <c:pt idx="19">
                  <c:v>0.10462007633622963</c:v>
                </c:pt>
                <c:pt idx="20">
                  <c:v>0.10829013334681213</c:v>
                </c:pt>
                <c:pt idx="21">
                  <c:v>0.11208893542175144</c:v>
                </c:pt>
                <c:pt idx="22">
                  <c:v>0.11602099891911737</c:v>
                </c:pt>
                <c:pt idx="23">
                  <c:v>0.12009099863016169</c:v>
                </c:pt>
                <c:pt idx="24">
                  <c:v>0.12430377333713111</c:v>
                </c:pt>
                <c:pt idx="25">
                  <c:v>0.12866433156604737</c:v>
                </c:pt>
                <c:pt idx="26">
                  <c:v>0.13317785754129421</c:v>
                </c:pt>
                <c:pt idx="27">
                  <c:v>0.13784971734909021</c:v>
                </c:pt>
                <c:pt idx="28">
                  <c:v>0.14268546531717544</c:v>
                </c:pt>
                <c:pt idx="29">
                  <c:v>0.14769085061829648</c:v>
                </c:pt>
                <c:pt idx="30">
                  <c:v>0.15287182410534089</c:v>
                </c:pt>
                <c:pt idx="31">
                  <c:v>0.15823454538624715</c:v>
                </c:pt>
                <c:pt idx="32">
                  <c:v>0.16378539014710136</c:v>
                </c:pt>
                <c:pt idx="33">
                  <c:v>0.16953095773212709</c:v>
                </c:pt>
                <c:pt idx="34">
                  <c:v>0.17547807898958018</c:v>
                </c:pt>
                <c:pt idx="35">
                  <c:v>0.18163382439287648</c:v>
                </c:pt>
                <c:pt idx="36">
                  <c:v>0.18800551244660751</c:v>
                </c:pt>
                <c:pt idx="37">
                  <c:v>0.19460071838743781</c:v>
                </c:pt>
                <c:pt idx="38">
                  <c:v>0.20142728319022873</c:v>
                </c:pt>
                <c:pt idx="39">
                  <c:v>0.20849332289009545</c:v>
                </c:pt>
                <c:pt idx="40">
                  <c:v>0.2158072382314806</c:v>
                </c:pt>
                <c:pt idx="41">
                  <c:v>0.22337772465571595</c:v>
                </c:pt>
                <c:pt idx="42">
                  <c:v>0.23121378263894624</c:v>
                </c:pt>
                <c:pt idx="43">
                  <c:v>0.23932472839270597</c:v>
                </c:pt>
                <c:pt idx="44">
                  <c:v>0.24772020493987071</c:v>
                </c:pt>
                <c:pt idx="45">
                  <c:v>0.25641019357915129</c:v>
                </c:pt>
                <c:pt idx="46">
                  <c:v>0.26540502575176073</c:v>
                </c:pt>
                <c:pt idx="47">
                  <c:v>0.27471539532436218</c:v>
                </c:pt>
                <c:pt idx="48">
                  <c:v>0.28435237130290081</c:v>
                </c:pt>
                <c:pt idx="49">
                  <c:v>0.29432741099243476</c:v>
                </c:pt>
                <c:pt idx="50">
                  <c:v>0.30465237361861197</c:v>
                </c:pt>
                <c:pt idx="51">
                  <c:v>0.31533953442698531</c:v>
                </c:pt>
                <c:pt idx="52">
                  <c:v>0.32640159927693047</c:v>
                </c:pt>
                <c:pt idx="53">
                  <c:v>0.3378517197475156</c:v>
                </c:pt>
                <c:pt idx="54">
                  <c:v>0.34970350877328349</c:v>
                </c:pt>
                <c:pt idx="55">
                  <c:v>0.3619710568285342</c:v>
                </c:pt>
                <c:pt idx="56">
                  <c:v>0.37466894867934986</c:v>
                </c:pt>
                <c:pt idx="57">
                  <c:v>0.3878122807232785</c:v>
                </c:pt>
                <c:pt idx="58">
                  <c:v>0.40141667893729105</c:v>
                </c:pt>
                <c:pt idx="59">
                  <c:v>0.41549831745535037</c:v>
                </c:pt>
                <c:pt idx="60">
                  <c:v>0.43007393779767822</c:v>
                </c:pt>
                <c:pt idx="61">
                  <c:v>0.44516086877458289</c:v>
                </c:pt>
                <c:pt idx="62">
                  <c:v>0.46077704708850942</c:v>
                </c:pt>
                <c:pt idx="63">
                  <c:v>0.47694103865880688</c:v>
                </c:pt>
                <c:pt idx="64">
                  <c:v>0.49367206069456598</c:v>
                </c:pt>
                <c:pt idx="65">
                  <c:v>0.51099000454176802</c:v>
                </c:pt>
                <c:pt idx="66">
                  <c:v>0.5289154593319082</c:v>
                </c:pt>
                <c:pt idx="67">
                  <c:v>0.54746973646021047</c:v>
                </c:pt>
                <c:pt idx="68">
                  <c:v>0.56667489492253287</c:v>
                </c:pt>
                <c:pt idx="69">
                  <c:v>0.58655376754108923</c:v>
                </c:pt>
                <c:pt idx="70">
                  <c:v>0.60712998811016461</c:v>
                </c:pt>
                <c:pt idx="71">
                  <c:v>0.62842801949409866</c:v>
                </c:pt>
                <c:pt idx="72">
                  <c:v>0.65047318271094212</c:v>
                </c:pt>
                <c:pt idx="73">
                  <c:v>0.67329168703636388</c:v>
                </c:pt>
                <c:pt idx="74">
                  <c:v>0.69691066116359857</c:v>
                </c:pt>
                <c:pt idx="75">
                  <c:v>0.72135818545648067</c:v>
                </c:pt>
                <c:pt idx="76">
                  <c:v>0.74666332533391011</c:v>
                </c:pt>
                <c:pt idx="77">
                  <c:v>0.77285616582544026</c:v>
                </c:pt>
                <c:pt idx="78">
                  <c:v>0.79996784733907078</c:v>
                </c:pt>
                <c:pt idx="79">
                  <c:v>0.82803060268377005</c:v>
                </c:pt>
                <c:pt idx="80">
                  <c:v>0.85707779539074058</c:v>
                </c:pt>
                <c:pt idx="81">
                  <c:v>0.88714395937899138</c:v>
                </c:pt>
                <c:pt idx="82">
                  <c:v>0.91826484001237041</c:v>
                </c:pt>
                <c:pt idx="83">
                  <c:v>0.950477436596873</c:v>
                </c:pt>
                <c:pt idx="84">
                  <c:v>0.98382004636874965</c:v>
                </c:pt>
                <c:pt idx="85">
                  <c:v>1.0183323100257098</c:v>
                </c:pt>
                <c:pt idx="86">
                  <c:v>1.0540552588553536</c:v>
                </c:pt>
                <c:pt idx="87">
                  <c:v>1.0910313635168623</c:v>
                </c:pt>
                <c:pt idx="88">
                  <c:v>1.1293045845339438</c:v>
                </c:pt>
                <c:pt idx="89">
                  <c:v>1.1689204245590625</c:v>
                </c:pt>
                <c:pt idx="90">
                  <c:v>1.2099259824710908</c:v>
                </c:pt>
                <c:pt idx="91">
                  <c:v>1.2523700093706989</c:v>
                </c:pt>
                <c:pt idx="92">
                  <c:v>1.2963029665400538</c:v>
                </c:pt>
                <c:pt idx="93">
                  <c:v>1.3417770854357378</c:v>
                </c:pt>
                <c:pt idx="94">
                  <c:v>1.3888464297862073</c:v>
                </c:pt>
                <c:pt idx="95">
                  <c:v>1.437566959867624</c:v>
                </c:pt>
                <c:pt idx="96">
                  <c:v>1.4879965990344703</c:v>
                </c:pt>
                <c:pt idx="97">
                  <c:v>1.5401953025840516</c:v>
                </c:pt>
                <c:pt idx="98">
                  <c:v>1.5942251290367531</c:v>
                </c:pt>
                <c:pt idx="99">
                  <c:v>1.650150313916799</c:v>
                </c:pt>
                <c:pt idx="100">
                  <c:v>1.7080373461212295</c:v>
                </c:pt>
                <c:pt idx="101">
                  <c:v>1.76795504696789</c:v>
                </c:pt>
                <c:pt idx="102">
                  <c:v>1.8299746520164126</c:v>
                </c:pt>
                <c:pt idx="103">
                  <c:v>1.8941698957594661</c:v>
                </c:pt>
                <c:pt idx="104">
                  <c:v>1.9606170992849625</c:v>
                </c:pt>
                <c:pt idx="105">
                  <c:v>2.0293952610134389</c:v>
                </c:pt>
                <c:pt idx="106">
                  <c:v>2.1005861506184975</c:v>
                </c:pt>
                <c:pt idx="107">
                  <c:v>2.1742744062419574</c:v>
                </c:pt>
                <c:pt idx="108">
                  <c:v>2.2505476351193017</c:v>
                </c:pt>
                <c:pt idx="109">
                  <c:v>2.3294965177350488</c:v>
                </c:pt>
                <c:pt idx="110">
                  <c:v>2.4112149156318821</c:v>
                </c:pt>
                <c:pt idx="111">
                  <c:v>2.4957999830017044</c:v>
                </c:pt>
                <c:pt idx="112">
                  <c:v>2.5833522821912931</c:v>
                </c:pt>
                <c:pt idx="113">
                  <c:v>2.6739759032598744</c:v>
                </c:pt>
                <c:pt idx="114">
                  <c:v>2.767778587730763</c:v>
                </c:pt>
                <c:pt idx="115">
                  <c:v>2.8648718566841889</c:v>
                </c:pt>
                <c:pt idx="116">
                  <c:v>2.9653711433436016</c:v>
                </c:pt>
                <c:pt idx="117">
                  <c:v>3.0693959303130844</c:v>
                </c:pt>
                <c:pt idx="118">
                  <c:v>3.1770698916290354</c:v>
                </c:pt>
                <c:pt idx="119">
                  <c:v>3.2885210397950018</c:v>
                </c:pt>
                <c:pt idx="120">
                  <c:v>3.4038818779744737</c:v>
                </c:pt>
                <c:pt idx="121">
                  <c:v>3.5232895575225811</c:v>
                </c:pt>
                <c:pt idx="122">
                  <c:v>3.6468860410439765</c:v>
                </c:pt>
                <c:pt idx="123">
                  <c:v>3.7748182711707674</c:v>
                </c:pt>
                <c:pt idx="124">
                  <c:v>3.9072383452611525</c:v>
                </c:pt>
                <c:pt idx="125">
                  <c:v>4.0443036962264589</c:v>
                </c:pt>
                <c:pt idx="126">
                  <c:v>4.1861772797015711</c:v>
                </c:pt>
                <c:pt idx="127">
                  <c:v>4.3330277677812639</c:v>
                </c:pt>
                <c:pt idx="128">
                  <c:v>4.4850297495527807</c:v>
                </c:pt>
                <c:pt idx="129">
                  <c:v>4.6423639386630704</c:v>
                </c:pt>
                <c:pt idx="130">
                  <c:v>4.8052173881674447</c:v>
                </c:pt>
                <c:pt idx="131">
                  <c:v>4.9737837129150959</c:v>
                </c:pt>
                <c:pt idx="132">
                  <c:v>5.1482633197358743</c:v>
                </c:pt>
                <c:pt idx="133">
                  <c:v>5.3288636457019765</c:v>
                </c:pt>
                <c:pt idx="134">
                  <c:v>5.5157994047478169</c:v>
                </c:pt>
                <c:pt idx="135">
                  <c:v>5.7092928429412986</c:v>
                </c:pt>
                <c:pt idx="136">
                  <c:v>5.9095740027099541</c:v>
                </c:pt>
                <c:pt idx="137">
                  <c:v>6.1168809963361008</c:v>
                </c:pt>
                <c:pt idx="138">
                  <c:v>6.3314602890461762</c:v>
                </c:pt>
                <c:pt idx="139">
                  <c:v>6.5535669920307917</c:v>
                </c:pt>
                <c:pt idx="140">
                  <c:v>6.7834651657438956</c:v>
                </c:pt>
                <c:pt idx="141">
                  <c:v>7.0214281338416287</c:v>
                </c:pt>
                <c:pt idx="142">
                  <c:v>7.2677388081341014</c:v>
                </c:pt>
                <c:pt idx="143">
                  <c:v>7.5226900249364386</c:v>
                </c:pt>
                <c:pt idx="144">
                  <c:v>7.7865848932189659</c:v>
                </c:pt>
                <c:pt idx="145">
                  <c:v>8.0597371549704526</c:v>
                </c:pt>
                <c:pt idx="146">
                  <c:v>8.342471558202849</c:v>
                </c:pt>
                <c:pt idx="147">
                  <c:v>8.6351242430409805</c:v>
                </c:pt>
                <c:pt idx="148">
                  <c:v>8.9380431413561876</c:v>
                </c:pt>
                <c:pt idx="149">
                  <c:v>9.2515883904190943</c:v>
                </c:pt>
                <c:pt idx="150">
                  <c:v>9.5761327610632154</c:v>
                </c:pt>
                <c:pt idx="151">
                  <c:v>9.9120621008685088</c:v>
                </c:pt>
                <c:pt idx="152">
                  <c:v>10.259775792891732</c:v>
                </c:pt>
                <c:pt idx="153">
                  <c:v>10.619687230488996</c:v>
                </c:pt>
                <c:pt idx="154">
                  <c:v>10.992224308795002</c:v>
                </c:pt>
                <c:pt idx="155">
                  <c:v>11.377829933443346</c:v>
                </c:pt>
                <c:pt idx="156">
                  <c:v>11.776962547132609</c:v>
                </c:pt>
                <c:pt idx="157">
                  <c:v>12.190096674664346</c:v>
                </c:pt>
                <c:pt idx="158">
                  <c:v>12.617723487100898</c:v>
                </c:pt>
                <c:pt idx="159">
                  <c:v>13.060351385713798</c:v>
                </c:pt>
                <c:pt idx="160">
                  <c:v>13.518506606416992</c:v>
                </c:pt>
                <c:pt idx="161">
                  <c:v>13.992733845403491</c:v>
                </c:pt>
                <c:pt idx="162">
                  <c:v>14.48359690672927</c:v>
                </c:pt>
                <c:pt idx="163">
                  <c:v>14.991679372614316</c:v>
                </c:pt>
                <c:pt idx="164">
                  <c:v>15.517585297257723</c:v>
                </c:pt>
                <c:pt idx="165">
                  <c:v>16.061939924991741</c:v>
                </c:pt>
                <c:pt idx="166">
                  <c:v>16.62539043362856</c:v>
                </c:pt>
                <c:pt idx="167">
                  <c:v>17.208606703883571</c:v>
                </c:pt>
                <c:pt idx="168">
                  <c:v>17.812282115789912</c:v>
                </c:pt>
                <c:pt idx="169">
                  <c:v>18.437134373051084</c:v>
                </c:pt>
                <c:pt idx="170">
                  <c:v>19.083906356311786</c:v>
                </c:pt>
                <c:pt idx="171">
                  <c:v>19.753367006361312</c:v>
                </c:pt>
                <c:pt idx="172">
                  <c:v>20.446312238319635</c:v>
                </c:pt>
                <c:pt idx="173">
                  <c:v>21.163565887892997</c:v>
                </c:pt>
                <c:pt idx="174">
                  <c:v>21.905980690823984</c:v>
                </c:pt>
                <c:pt idx="175">
                  <c:v>22.674439296700601</c:v>
                </c:pt>
                <c:pt idx="176">
                  <c:v>23.469855318329582</c:v>
                </c:pt>
                <c:pt idx="177">
                  <c:v>24.293174417921602</c:v>
                </c:pt>
                <c:pt idx="178">
                  <c:v>25.145375431379691</c:v>
                </c:pt>
                <c:pt idx="179">
                  <c:v>26.027471532027516</c:v>
                </c:pt>
                <c:pt idx="180">
                  <c:v>26.940511435161067</c:v>
                </c:pt>
                <c:pt idx="181">
                  <c:v>27.885580644855892</c:v>
                </c:pt>
                <c:pt idx="182">
                  <c:v>28.8638027445121</c:v>
                </c:pt>
                <c:pt idx="183">
                  <c:v>29.87634073267149</c:v>
                </c:pt>
                <c:pt idx="184">
                  <c:v>30.924398405695026</c:v>
                </c:pt>
                <c:pt idx="185">
                  <c:v>32.009221788944323</c:v>
                </c:pt>
                <c:pt idx="186">
                  <c:v>33.132100618168849</c:v>
                </c:pt>
                <c:pt idx="187">
                  <c:v>34.294369872859953</c:v>
                </c:pt>
                <c:pt idx="188">
                  <c:v>35.497411363394733</c:v>
                </c:pt>
                <c:pt idx="189">
                  <c:v>36.742655373856657</c:v>
                </c:pt>
                <c:pt idx="190">
                  <c:v>38.031582362486112</c:v>
                </c:pt>
                <c:pt idx="191">
                  <c:v>39.365724721782549</c:v>
                </c:pt>
                <c:pt idx="192">
                  <c:v>40.746668600350631</c:v>
                </c:pt>
                <c:pt idx="193">
                  <c:v>42.176055788656626</c:v>
                </c:pt>
                <c:pt idx="194">
                  <c:v>43.655585670936766</c:v>
                </c:pt>
                <c:pt idx="195">
                  <c:v>45.187017245578282</c:v>
                </c:pt>
                <c:pt idx="196">
                  <c:v>46.772171216375177</c:v>
                </c:pt>
                <c:pt idx="197">
                  <c:v>48.412932157144837</c:v>
                </c:pt>
                <c:pt idx="198">
                  <c:v>50.111250752279112</c:v>
                </c:pt>
                <c:pt idx="199">
                  <c:v>51.869146115893713</c:v>
                </c:pt>
                <c:pt idx="200">
                  <c:v>53.688708192332818</c:v>
                </c:pt>
                <c:pt idx="201">
                  <c:v>55.572100240883238</c:v>
                </c:pt>
                <c:pt idx="202">
                  <c:v>57.521561407651888</c:v>
                </c:pt>
                <c:pt idx="203">
                  <c:v>59.539409387664335</c:v>
                </c:pt>
                <c:pt idx="204">
                  <c:v>61.628043180349437</c:v>
                </c:pt>
                <c:pt idx="205">
                  <c:v>63.789945941685907</c:v>
                </c:pt>
                <c:pt idx="206">
                  <c:v>66.027687936401847</c:v>
                </c:pt>
                <c:pt idx="207">
                  <c:v>68.343929593736917</c:v>
                </c:pt>
                <c:pt idx="208">
                  <c:v>70.741424670400278</c:v>
                </c:pt>
                <c:pt idx="209">
                  <c:v>73.223023524484603</c:v>
                </c:pt>
                <c:pt idx="210">
                  <c:v>75.791676504228477</c:v>
                </c:pt>
                <c:pt idx="211">
                  <c:v>78.450437455656157</c:v>
                </c:pt>
                <c:pt idx="212">
                  <c:v>81.20246735326478</c:v>
                </c:pt>
                <c:pt idx="213">
                  <c:v>84.051038058075576</c:v>
                </c:pt>
                <c:pt idx="214">
                  <c:v>86.999536207516897</c:v>
                </c:pt>
                <c:pt idx="215">
                  <c:v>90.051467241763902</c:v>
                </c:pt>
                <c:pt idx="216">
                  <c:v>93.210459571321536</c:v>
                </c:pt>
                <c:pt idx="217">
                  <c:v>96.480268890805732</c:v>
                </c:pt>
                <c:pt idx="218">
                  <c:v>99.86478264405153</c:v>
                </c:pt>
                <c:pt idx="219">
                  <c:v>103.36802464585627</c:v>
                </c:pt>
                <c:pt idx="220">
                  <c:v>106.99415986585336</c:v>
                </c:pt>
                <c:pt idx="221">
                  <c:v>110.74749938020311</c:v>
                </c:pt>
                <c:pt idx="222">
                  <c:v>114.63250549698837</c:v>
                </c:pt>
                <c:pt idx="223">
                  <c:v>118.65379706140838</c:v>
                </c:pt>
                <c:pt idx="224">
                  <c:v>122.81615494707791</c:v>
                </c:pt>
                <c:pt idx="225">
                  <c:v>127.12452773996046</c:v>
                </c:pt>
                <c:pt idx="226">
                  <c:v>131.584037621693</c:v>
                </c:pt>
                <c:pt idx="227">
                  <c:v>136.19998645929684</c:v>
                </c:pt>
                <c:pt idx="228">
                  <c:v>140.97786210851478</c:v>
                </c:pt>
                <c:pt idx="229">
                  <c:v>145.92334493826789</c:v>
                </c:pt>
                <c:pt idx="230">
                  <c:v>151.04231458399045</c:v>
                </c:pt>
                <c:pt idx="231">
                  <c:v>156.34085693786957</c:v>
                </c:pt>
                <c:pt idx="232">
                  <c:v>161.82527138430234</c:v>
                </c:pt>
                <c:pt idx="233">
                  <c:v>167.50207828917075</c:v>
                </c:pt>
                <c:pt idx="234">
                  <c:v>173.37802675184096</c:v>
                </c:pt>
                <c:pt idx="235">
                  <c:v>179.46010262909985</c:v>
                </c:pt>
                <c:pt idx="236">
                  <c:v>185.75553684057058</c:v>
                </c:pt>
                <c:pt idx="237">
                  <c:v>192.2718139654819</c:v>
                </c:pt>
                <c:pt idx="238">
                  <c:v>199.01668114100951</c:v>
                </c:pt>
                <c:pt idx="239">
                  <c:v>205.99815727277087</c:v>
                </c:pt>
                <c:pt idx="240">
                  <c:v>213.22454256842178</c:v>
                </c:pt>
                <c:pt idx="241">
                  <c:v>220.70442840569206</c:v>
                </c:pt>
                <c:pt idx="242">
                  <c:v>228.44670754658779</c:v>
                </c:pt>
                <c:pt idx="243">
                  <c:v>236.46058470990909</c:v>
                </c:pt>
                <c:pt idx="244">
                  <c:v>244.75558751464831</c:v>
                </c:pt>
                <c:pt idx="245">
                  <c:v>253.34157780728108</c:v>
                </c:pt>
                <c:pt idx="246">
                  <c:v>262.2287633864189</c:v>
                </c:pt>
                <c:pt idx="247">
                  <c:v>271.4277101387587</c:v>
                </c:pt>
                <c:pt idx="248">
                  <c:v>280.94935460076113</c:v>
                </c:pt>
                <c:pt idx="249">
                  <c:v>290.80501696098924</c:v>
                </c:pt>
                <c:pt idx="250">
                  <c:v>301.00641451856916</c:v>
                </c:pt>
                <c:pt idx="251">
                  <c:v>311.56567561377102</c:v>
                </c:pt>
                <c:pt idx="252">
                  <c:v>322.49535404727078</c:v>
                </c:pt>
                <c:pt idx="253">
                  <c:v>333.80844400524091</c:v>
                </c:pt>
                <c:pt idx="254">
                  <c:v>345.5183955080085</c:v>
                </c:pt>
                <c:pt idx="255">
                  <c:v>357.63913040065023</c:v>
                </c:pt>
                <c:pt idx="256">
                  <c:v>370.18505890453713</c:v>
                </c:pt>
                <c:pt idx="257">
                  <c:v>383.17109674950291</c:v>
                </c:pt>
                <c:pt idx="258">
                  <c:v>396.61268290700741</c:v>
                </c:pt>
                <c:pt idx="259">
                  <c:v>410.52579794537525</c:v>
                </c:pt>
                <c:pt idx="260">
                  <c:v>424.92698302893729</c:v>
                </c:pt>
                <c:pt idx="261">
                  <c:v>439.8333595836537</c:v>
                </c:pt>
                <c:pt idx="262">
                  <c:v>455.26264965261038</c:v>
                </c:pt>
                <c:pt idx="263">
                  <c:v>471.23319696557684</c:v>
                </c:pt>
                <c:pt idx="264">
                  <c:v>487.76398874768722</c:v>
                </c:pt>
                <c:pt idx="265">
                  <c:v>504.87467829316228</c:v>
                </c:pt>
                <c:pt idx="266">
                  <c:v>522.58560833091622</c:v>
                </c:pt>
                <c:pt idx="267">
                  <c:v>540.91783520982381</c:v>
                </c:pt>
                <c:pt idx="268">
                  <c:v>559.89315393240724</c:v>
                </c:pt>
                <c:pt idx="269">
                  <c:v>579.53412406669474</c:v>
                </c:pt>
                <c:pt idx="270">
                  <c:v>599.86409656707042</c:v>
                </c:pt>
                <c:pt idx="271">
                  <c:v>620.90724153599047</c:v>
                </c:pt>
                <c:pt idx="272">
                  <c:v>642.68857695957649</c:v>
                </c:pt>
                <c:pt idx="273">
                  <c:v>665.23399845125459</c:v>
                </c:pt>
                <c:pt idx="274">
                  <c:v>688.57031003878853</c:v>
                </c:pt>
                <c:pt idx="275">
                  <c:v>712.72525603132635</c:v>
                </c:pt>
                <c:pt idx="276">
                  <c:v>737.72755400433221</c:v>
                </c:pt>
                <c:pt idx="277">
                  <c:v>763.6069289416248</c:v>
                </c:pt>
                <c:pt idx="278">
                  <c:v>790.39414857511952</c:v>
                </c:pt>
                <c:pt idx="279">
                  <c:v>818.1210599642767</c:v>
                </c:pt>
                <c:pt idx="280">
                  <c:v>846.82062735875547</c:v>
                </c:pt>
                <c:pt idx="281">
                  <c:v>876.52697138928079</c:v>
                </c:pt>
                <c:pt idx="282">
                  <c:v>907.27540963332683</c:v>
                </c:pt>
                <c:pt idx="283">
                  <c:v>939.10249860382874</c:v>
                </c:pt>
                <c:pt idx="284">
                  <c:v>972.04607721086302</c:v>
                </c:pt>
                <c:pt idx="285">
                  <c:v>1006.1453117479499</c:v>
                </c:pt>
                <c:pt idx="286">
                  <c:v>1041.4407424564688</c:v>
                </c:pt>
                <c:pt idx="287">
                  <c:v>1077.9743317235509</c:v>
                </c:pt>
                <c:pt idx="288">
                  <c:v>1115.7895139707459</c:v>
                </c:pt>
                <c:pt idx="289">
                  <c:v>1154.9312472927725</c:v>
                </c:pt>
                <c:pt idx="290">
                  <c:v>1195.4460669077519</c:v>
                </c:pt>
                <c:pt idx="291">
                  <c:v>1237.3821404824632</c:v>
                </c:pt>
                <c:pt idx="292">
                  <c:v>1280.7893253984103</c:v>
                </c:pt>
                <c:pt idx="293">
                  <c:v>1325.7192280267632</c:v>
                </c:pt>
                <c:pt idx="294">
                  <c:v>1372.2252650826629</c:v>
                </c:pt>
                <c:pt idx="295">
                  <c:v>1420.3627271318198</c:v>
                </c:pt>
                <c:pt idx="296">
                  <c:v>1470.1888443249213</c:v>
                </c:pt>
                <c:pt idx="297">
                  <c:v>1521.7628544379922</c:v>
                </c:pt>
                <c:pt idx="298">
                  <c:v>1575.1460732995915</c:v>
                </c:pt>
                <c:pt idx="299">
                  <c:v>1630.4019676885991</c:v>
                </c:pt>
                <c:pt idx="300">
                  <c:v>1687.596230789236</c:v>
                </c:pt>
                <c:pt idx="301">
                  <c:v>1746.7968602930189</c:v>
                </c:pt>
              </c:numCache>
            </c:numRef>
          </c:xVal>
          <c:yVal>
            <c:numRef>
              <c:f>'Aerosol 2'!$B$17:$B$318</c:f>
              <c:numCache>
                <c:formatCode>0.00</c:formatCode>
                <c:ptCount val="302"/>
                <c:pt idx="0">
                  <c:v>0.44186124245927633</c:v>
                </c:pt>
                <c:pt idx="1">
                  <c:v>0.46131210999061745</c:v>
                </c:pt>
                <c:pt idx="2">
                  <c:v>0.48140861666230927</c:v>
                </c:pt>
                <c:pt idx="3">
                  <c:v>0.50216093125413552</c:v>
                </c:pt>
                <c:pt idx="4">
                  <c:v>0.52357878441183359</c:v>
                </c:pt>
                <c:pt idx="5">
                  <c:v>0.5456714323813735</c:v>
                </c:pt>
                <c:pt idx="6">
                  <c:v>0.56844762024753248</c:v>
                </c:pt>
                <c:pt idx="7">
                  <c:v>0.59191554475411046</c:v>
                </c:pt>
                <c:pt idx="8">
                  <c:v>0.61608281678768284</c:v>
                </c:pt>
                <c:pt idx="9">
                  <c:v>0.640956423611309</c:v>
                </c:pt>
                <c:pt idx="10">
                  <c:v>0.66654269093894958</c:v>
                </c:pt>
                <c:pt idx="11">
                  <c:v>0.69284724494557703</c:v>
                </c:pt>
                <c:pt idx="12">
                  <c:v>0.71987497431205472</c:v>
                </c:pt>
                <c:pt idx="13">
                  <c:v>0.74762999240766514</c:v>
                </c:pt>
                <c:pt idx="14">
                  <c:v>0.77611559971686572</c:v>
                </c:pt>
                <c:pt idx="15">
                  <c:v>0.80533424662027397</c:v>
                </c:pt>
                <c:pt idx="16">
                  <c:v>0.83528749664299695</c:v>
                </c:pt>
                <c:pt idx="17">
                  <c:v>0.86597599028635586</c:v>
                </c:pt>
                <c:pt idx="18">
                  <c:v>0.89739940956159492</c:v>
                </c:pt>
                <c:pt idx="19">
                  <c:v>0.92955644334641507</c:v>
                </c:pt>
                <c:pt idx="20">
                  <c:v>0.96244475368708815</c:v>
                </c:pt>
                <c:pt idx="21">
                  <c:v>0.99606094317043981</c:v>
                </c:pt>
                <c:pt idx="22">
                  <c:v>1.0304005234911267</c:v>
                </c:pt>
                <c:pt idx="23">
                  <c:v>1.0654578853403807</c:v>
                </c:pt>
                <c:pt idx="24">
                  <c:v>1.1012262697427355</c:v>
                </c:pt>
                <c:pt idx="25">
                  <c:v>1.1376977409670872</c:v>
                </c:pt>
                <c:pt idx="26">
                  <c:v>1.1748631611379141</c:v>
                </c:pt>
                <c:pt idx="27">
                  <c:v>1.2127121666714109</c:v>
                </c:pt>
                <c:pt idx="28">
                  <c:v>1.2512331466597939</c:v>
                </c:pt>
                <c:pt idx="29">
                  <c:v>1.2904132233250187</c:v>
                </c:pt>
                <c:pt idx="30">
                  <c:v>1.3302382346606514</c:v>
                </c:pt>
                <c:pt idx="31">
                  <c:v>1.3706927193776288</c:v>
                </c:pt>
                <c:pt idx="32">
                  <c:v>1.4117599042661435</c:v>
                </c:pt>
                <c:pt idx="33">
                  <c:v>1.4534216940818485</c:v>
                </c:pt>
                <c:pt idx="34">
                  <c:v>1.4956586640600764</c:v>
                </c:pt>
                <c:pt idx="35">
                  <c:v>1.5384500551567053</c:v>
                </c:pt>
                <c:pt idx="36">
                  <c:v>1.5817737721087923</c:v>
                </c:pt>
                <c:pt idx="37">
                  <c:v>1.6256063844020647</c:v>
                </c:pt>
                <c:pt idx="38">
                  <c:v>1.6699231302258415</c:v>
                </c:pt>
                <c:pt idx="39">
                  <c:v>1.7146979234889446</c:v>
                </c:pt>
                <c:pt idx="40">
                  <c:v>1.759903363962817</c:v>
                </c:pt>
                <c:pt idx="41">
                  <c:v>1.8055107506100476</c:v>
                </c:pt>
                <c:pt idx="42">
                  <c:v>1.8514900981483005</c:v>
                </c:pt>
                <c:pt idx="43">
                  <c:v>1.8978101568909038</c:v>
                </c:pt>
                <c:pt idx="44">
                  <c:v>1.9444384358962847</c:v>
                </c:pt>
                <c:pt idx="45">
                  <c:v>1.9913412294490078</c:v>
                </c:pt>
                <c:pt idx="46">
                  <c:v>2.0384836468854131</c:v>
                </c:pt>
                <c:pt idx="47">
                  <c:v>2.0858296457668346</c:v>
                </c:pt>
                <c:pt idx="48">
                  <c:v>2.1333420683930817</c:v>
                </c:pt>
                <c:pt idx="49">
                  <c:v>2.1809826816383282</c:v>
                </c:pt>
                <c:pt idx="50">
                  <c:v>2.228712220080856</c:v>
                </c:pt>
                <c:pt idx="51">
                  <c:v>2.2764904323872996</c:v>
                </c:pt>
                <c:pt idx="52">
                  <c:v>2.3242761309009832</c:v>
                </c:pt>
                <c:pt idx="53">
                  <c:v>2.3720272443730042</c:v>
                </c:pt>
                <c:pt idx="54">
                  <c:v>2.4197008737636536</c:v>
                </c:pt>
                <c:pt idx="55">
                  <c:v>2.4672533510306454</c:v>
                </c:pt>
                <c:pt idx="56">
                  <c:v>2.5146403008098255</c:v>
                </c:pt>
                <c:pt idx="57">
                  <c:v>2.5618167048829941</c:v>
                </c:pt>
                <c:pt idx="58">
                  <c:v>2.6087369693169058</c:v>
                </c:pt>
                <c:pt idx="59">
                  <c:v>2.6553549941469203</c:v>
                </c:pt>
                <c:pt idx="60">
                  <c:v>2.7016242454685999</c:v>
                </c:pt>
                <c:pt idx="61">
                  <c:v>2.7474978297904649</c:v>
                </c:pt>
                <c:pt idx="62">
                  <c:v>2.7929285704915876</c:v>
                </c:pt>
                <c:pt idx="63">
                  <c:v>2.8378690862184355</c:v>
                </c:pt>
                <c:pt idx="64">
                  <c:v>2.8822718710464335</c:v>
                </c:pt>
                <c:pt idx="65">
                  <c:v>2.9260893762235214</c:v>
                </c:pt>
                <c:pt idx="66">
                  <c:v>2.9692740933049833</c:v>
                </c:pt>
                <c:pt idx="67">
                  <c:v>3.0117786384815415</c:v>
                </c:pt>
                <c:pt idx="68">
                  <c:v>3.0535558378960421</c:v>
                </c:pt>
                <c:pt idx="69">
                  <c:v>3.0945588137378577</c:v>
                </c:pt>
                <c:pt idx="70">
                  <c:v>3.1347410708986945</c:v>
                </c:pt>
                <c:pt idx="71">
                  <c:v>3.1740565839687793</c:v>
                </c:pt>
                <c:pt idx="72">
                  <c:v>3.2124598843482381</c:v>
                </c:pt>
                <c:pt idx="73">
                  <c:v>3.2499061472452042</c:v>
                </c:pt>
                <c:pt idx="74">
                  <c:v>3.2863512783296476</c:v>
                </c:pt>
                <c:pt idx="75">
                  <c:v>3.3217519998100826</c:v>
                </c:pt>
                <c:pt idx="76">
                  <c:v>3.3560659356993177</c:v>
                </c:pt>
                <c:pt idx="77">
                  <c:v>3.3892516960353243</c:v>
                </c:pt>
                <c:pt idx="78">
                  <c:v>3.4212689598238413</c:v>
                </c:pt>
                <c:pt idx="79">
                  <c:v>3.4520785564708141</c:v>
                </c:pt>
                <c:pt idx="80">
                  <c:v>3.4816425454751547</c:v>
                </c:pt>
                <c:pt idx="81">
                  <c:v>3.5099242941553546</c:v>
                </c:pt>
                <c:pt idx="82">
                  <c:v>3.5368885531874357</c:v>
                </c:pt>
                <c:pt idx="83">
                  <c:v>3.5625015297365521</c:v>
                </c:pt>
                <c:pt idx="84">
                  <c:v>3.5867309579701279</c:v>
                </c:pt>
                <c:pt idx="85">
                  <c:v>3.609546166746695</c:v>
                </c:pt>
                <c:pt idx="86">
                  <c:v>3.630918144281865</c:v>
                </c:pt>
                <c:pt idx="87">
                  <c:v>3.6508195996006427</c:v>
                </c:pt>
                <c:pt idx="88">
                  <c:v>3.66922502059399</c:v>
                </c:pt>
                <c:pt idx="89">
                  <c:v>3.6861107285067698</c:v>
                </c:pt>
                <c:pt idx="90">
                  <c:v>3.7014549286942424</c:v>
                </c:pt>
                <c:pt idx="91">
                  <c:v>3.7152377574948292</c:v>
                </c:pt>
                <c:pt idx="92">
                  <c:v>3.7274413250780198</c:v>
                </c:pt>
                <c:pt idx="93">
                  <c:v>3.7380497541381152</c:v>
                </c:pt>
                <c:pt idx="94">
                  <c:v>3.7470492143165992</c:v>
                </c:pt>
                <c:pt idx="95">
                  <c:v>3.7544279522487161</c:v>
                </c:pt>
                <c:pt idx="96">
                  <c:v>3.7601763171428693</c:v>
                </c:pt>
                <c:pt idx="97">
                  <c:v>3.7642867818149099</c:v>
                </c:pt>
                <c:pt idx="98">
                  <c:v>3.766753959113152</c:v>
                </c:pt>
                <c:pt idx="99">
                  <c:v>3.7675746136839425</c:v>
                </c:pt>
                <c:pt idx="100">
                  <c:v>3.7667476690418042</c:v>
                </c:pt>
                <c:pt idx="101">
                  <c:v>3.7642742099225499</c:v>
                </c:pt>
                <c:pt idx="102">
                  <c:v>3.7601574799121305</c:v>
                </c:pt>
                <c:pt idx="103">
                  <c:v>3.7544028743585272</c:v>
                </c:pt>
                <c:pt idx="104">
                  <c:v>3.7470179285882987</c:v>
                </c:pt>
                <c:pt idx="105">
                  <c:v>3.7380123014638706</c:v>
                </c:pt>
                <c:pt idx="106">
                  <c:v>3.7273977543317587</c:v>
                </c:pt>
                <c:pt idx="107">
                  <c:v>3.7151881254259633</c:v>
                </c:pt>
                <c:pt idx="108">
                  <c:v>3.7013992998044931</c:v>
                </c:pt>
                <c:pt idx="109">
                  <c:v>3.686049174910484</c:v>
                </c:pt>
                <c:pt idx="110">
                  <c:v>3.6691576218623672</c:v>
                </c:pt>
                <c:pt idx="111">
                  <c:v>3.6507464425903295</c:v>
                </c:pt>
                <c:pt idx="112">
                  <c:v>3.6308393229484563</c:v>
                </c:pt>
                <c:pt idx="113">
                  <c:v>3.6094617819436903</c:v>
                </c:pt>
                <c:pt idx="114">
                  <c:v>3.5866411172339343</c:v>
                </c:pt>
                <c:pt idx="115">
                  <c:v>3.562406347058205</c:v>
                </c:pt>
                <c:pt idx="116">
                  <c:v>3.536788148771687</c:v>
                </c:pt>
                <c:pt idx="117">
                  <c:v>3.5098187941678494</c:v>
                </c:pt>
                <c:pt idx="118">
                  <c:v>3.4815320817784419</c:v>
                </c:pt>
                <c:pt idx="119">
                  <c:v>3.4519632663499689</c:v>
                </c:pt>
                <c:pt idx="120">
                  <c:v>3.4211489857025024</c:v>
                </c:pt>
                <c:pt idx="121">
                  <c:v>3.3891271851829274</c:v>
                </c:pt>
                <c:pt idx="122">
                  <c:v>3.355937039930418</c:v>
                </c:pt>
                <c:pt idx="123">
                  <c:v>3.3216188751766098</c:v>
                </c:pt>
                <c:pt idx="124">
                  <c:v>3.2862140848069323</c:v>
                </c:pt>
                <c:pt idx="125">
                  <c:v>3.2497650484126934</c:v>
                </c:pt>
                <c:pt idx="126">
                  <c:v>3.2123150470657871</c:v>
                </c:pt>
                <c:pt idx="127">
                  <c:v>3.1739081780493863</c:v>
                </c:pt>
                <c:pt idx="128">
                  <c:v>3.1345892687785928</c:v>
                </c:pt>
                <c:pt idx="129">
                  <c:v>3.0944037901448533</c:v>
                </c:pt>
                <c:pt idx="130">
                  <c:v>3.0533977695169816</c:v>
                </c:pt>
                <c:pt idx="131">
                  <c:v>3.0116177036297791</c:v>
                </c:pt>
                <c:pt idx="132">
                  <c:v>2.9691104715887366</c:v>
                </c:pt>
                <c:pt idx="133">
                  <c:v>2.9259232482159381</c:v>
                </c:pt>
                <c:pt idx="134">
                  <c:v>2.8821034179582243</c:v>
                </c:pt>
                <c:pt idx="135">
                  <c:v>2.8376984895738926</c:v>
                </c:pt>
                <c:pt idx="136">
                  <c:v>2.7927560118087604</c:v>
                </c:pt>
                <c:pt idx="137">
                  <c:v>2.7473234902662829</c:v>
                </c:pt>
                <c:pt idx="138">
                  <c:v>2.7014483056696856</c:v>
                </c:pt>
                <c:pt idx="139">
                  <c:v>2.6551776337067761</c:v>
                </c:pt>
                <c:pt idx="140">
                  <c:v>2.6085583666402004</c:v>
                </c:pt>
                <c:pt idx="141">
                  <c:v>2.5616370368575714</c:v>
                </c:pt>
                <c:pt idx="142">
                  <c:v>2.5144597425270416</c:v>
                </c:pt>
                <c:pt idx="143">
                  <c:v>2.4670720755146456</c:v>
                </c:pt>
                <c:pt idx="144">
                  <c:v>2.4195190517101013</c:v>
                </c:pt>
                <c:pt idx="145">
                  <c:v>2.3718450438977809</c:v>
                </c:pt>
                <c:pt idx="146">
                  <c:v>2.3240937172993008</c:v>
                </c:pt>
                <c:pt idx="147">
                  <c:v>2.2763079679036884</c:v>
                </c:pt>
                <c:pt idx="148">
                  <c:v>2.2285298636903583</c:v>
                </c:pt>
                <c:pt idx="149">
                  <c:v>2.1808005888392805</c:v>
                </c:pt>
                <c:pt idx="150">
                  <c:v>2.1331603910117636</c:v>
                </c:pt>
                <c:pt idx="151">
                  <c:v>2.0856485317742313</c:v>
                </c:pt>
                <c:pt idx="152">
                  <c:v>2.0383032402263295</c:v>
                </c:pt>
                <c:pt idx="153">
                  <c:v>1.9911616698836792</c:v>
                </c:pt>
                <c:pt idx="154">
                  <c:v>1.94425985885463</c:v>
                </c:pt>
                <c:pt idx="155">
                  <c:v>1.8976326933395071</c:v>
                </c:pt>
                <c:pt idx="156">
                  <c:v>1.8513138744701663</c:v>
                </c:pt>
                <c:pt idx="157">
                  <c:v>1.8053358884971329</c:v>
                </c:pt>
                <c:pt idx="158">
                  <c:v>1.7597299803213207</c:v>
                </c:pt>
                <c:pt idx="159">
                  <c:v>1.7145261303572796</c:v>
                </c:pt>
                <c:pt idx="160">
                  <c:v>1.6697530347051837</c:v>
                </c:pt>
                <c:pt idx="161">
                  <c:v>1.6254380885993382</c:v>
                </c:pt>
                <c:pt idx="162">
                  <c:v>1.5816073730919125</c:v>
                </c:pt>
                <c:pt idx="163">
                  <c:v>1.5382856449218942</c:v>
                </c:pt>
                <c:pt idx="164">
                  <c:v>1.4954963295109787</c:v>
                </c:pt>
                <c:pt idx="165">
                  <c:v>1.4532615170202043</c:v>
                </c:pt>
                <c:pt idx="166">
                  <c:v>1.4116019613937212</c:v>
                </c:pt>
                <c:pt idx="167">
                  <c:v>1.3705370823090919</c:v>
                </c:pt>
                <c:pt idx="168">
                  <c:v>1.3300849699470119</c:v>
                </c:pt>
                <c:pt idx="169">
                  <c:v>1.2902623924873224</c:v>
                </c:pt>
                <c:pt idx="170">
                  <c:v>1.2510848062326405</c:v>
                </c:pt>
                <c:pt idx="171">
                  <c:v>1.2125663682559087</c:v>
                </c:pt>
                <c:pt idx="172">
                  <c:v>1.1747199514636475</c:v>
                </c:pt>
                <c:pt idx="173">
                  <c:v>1.1375571619626581</c:v>
                </c:pt>
                <c:pt idx="174">
                  <c:v>1.1010883586144373</c:v>
                </c:pt>
                <c:pt idx="175">
                  <c:v>1.0653226746585411</c:v>
                </c:pt>
                <c:pt idx="176">
                  <c:v>1.0302680412836542</c:v>
                </c:pt>
                <c:pt idx="177">
                  <c:v>0.99593121302309984</c:v>
                </c:pt>
                <c:pt idx="178">
                  <c:v>0.96231779485002644</c:v>
                </c:pt>
                <c:pt idx="179">
                  <c:v>0.92943227084645752</c:v>
                </c:pt>
                <c:pt idx="180">
                  <c:v>0.89727803431982789</c:v>
                </c:pt>
                <c:pt idx="181">
                  <c:v>0.86585741924051085</c:v>
                </c:pt>
                <c:pt idx="182">
                  <c:v>0.8351717328741588</c:v>
                </c:pt>
                <c:pt idx="183">
                  <c:v>0.80522128948343585</c:v>
                </c:pt>
                <c:pt idx="184">
                  <c:v>0.77600544497485402</c:v>
                </c:pt>
                <c:pt idx="185">
                  <c:v>0.747522632367977</c:v>
                </c:pt>
                <c:pt idx="186">
                  <c:v>0.71977039796614994</c:v>
                </c:pt>
                <c:pt idx="187">
                  <c:v>0.69274543811016442</c:v>
                </c:pt>
                <c:pt idx="188">
                  <c:v>0.66644363639884785</c:v>
                </c:pt>
                <c:pt idx="189">
                  <c:v>0.64086010126344251</c:v>
                </c:pt>
                <c:pt idx="190">
                  <c:v>0.61598920378580069</c:v>
                </c:pt>
                <c:pt idx="191">
                  <c:v>0.59182461565384048</c:v>
                </c:pt>
                <c:pt idx="192">
                  <c:v>0.56835934715136893</c:v>
                </c:pt>
                <c:pt idx="193">
                  <c:v>0.54558578508323363</c:v>
                </c:pt>
                <c:pt idx="194">
                  <c:v>0.52349573054083476</c:v>
                </c:pt>
                <c:pt idx="195">
                  <c:v>0.50208043641724442</c:v>
                </c:pt>
                <c:pt idx="196">
                  <c:v>0.48133064458554958</c:v>
                </c:pt>
                <c:pt idx="197">
                  <c:v>0.46123662265852483</c:v>
                </c:pt>
                <c:pt idx="198">
                  <c:v>0.44178820025232607</c:v>
                </c:pt>
                <c:pt idx="199">
                  <c:v>0.42297480468155857</c:v>
                </c:pt>
                <c:pt idx="200">
                  <c:v>0.40478549601780117</c:v>
                </c:pt>
                <c:pt idx="201">
                  <c:v>0.38720900144841131</c:v>
                </c:pt>
                <c:pt idx="202">
                  <c:v>0.3702337488772196</c:v>
                </c:pt>
                <c:pt idx="203">
                  <c:v>0.35384789971348357</c:v>
                </c:pt>
                <c:pt idx="204">
                  <c:v>0.33803938080021634</c:v>
                </c:pt>
                <c:pt idx="205">
                  <c:v>0.32279591543772024</c:v>
                </c:pt>
                <c:pt idx="206">
                  <c:v>0.30810505346279932</c:v>
                </c:pt>
                <c:pt idx="207">
                  <c:v>0.29395420034871345</c:v>
                </c:pt>
                <c:pt idx="208">
                  <c:v>0.28033064529542867</c:v>
                </c:pt>
                <c:pt idx="209">
                  <c:v>0.26722158828411935</c:v>
                </c:pt>
                <c:pt idx="210">
                  <c:v>0.2546141660741621</c:v>
                </c:pt>
                <c:pt idx="211">
                  <c:v>0.24249547712502706</c:v>
                </c:pt>
                <c:pt idx="212">
                  <c:v>0.23085260542950359</c:v>
                </c:pt>
                <c:pt idx="213">
                  <c:v>0.21967264324858532</c:v>
                </c:pt>
                <c:pt idx="214">
                  <c:v>0.20894271274208021</c:v>
                </c:pt>
                <c:pt idx="215">
                  <c:v>0.19864998649259011</c:v>
                </c:pt>
                <c:pt idx="216">
                  <c:v>0.18878170692392457</c:v>
                </c:pt>
                <c:pt idx="217">
                  <c:v>0.17932520461825843</c:v>
                </c:pt>
                <c:pt idx="218">
                  <c:v>0.17026791553942153</c:v>
                </c:pt>
                <c:pt idx="219">
                  <c:v>0.16159739717260269</c:v>
                </c:pt>
                <c:pt idx="220">
                  <c:v>0.15330134359347358</c:v>
                </c:pt>
                <c:pt idx="221">
                  <c:v>0.14536759948227493</c:v>
                </c:pt>
                <c:pt idx="222">
                  <c:v>0.13778417310076432</c:v>
                </c:pt>
                <c:pt idx="223">
                  <c:v>0.13053924825210331</c:v>
                </c:pt>
                <c:pt idx="224">
                  <c:v>0.12362119524575728</c:v>
                </c:pt>
                <c:pt idx="225">
                  <c:v>0.11701858089129905</c:v>
                </c:pt>
                <c:pt idx="226">
                  <c:v>0.11072017754664996</c:v>
                </c:pt>
                <c:pt idx="227">
                  <c:v>0.10471497124776093</c:v>
                </c:pt>
                <c:pt idx="228">
                  <c:v>9.8992168948033366E-2</c:v>
                </c:pt>
                <c:pt idx="229">
                  <c:v>9.3541204896916155E-2</c:v>
                </c:pt>
                <c:pt idx="230">
                  <c:v>8.8351746188082683E-2</c:v>
                </c:pt>
                <c:pt idx="231">
                  <c:v>8.3413697508413695E-2</c:v>
                </c:pt>
                <c:pt idx="232">
                  <c:v>7.8717205119671452E-2</c:v>
                </c:pt>
                <c:pt idx="233">
                  <c:v>7.4252660105275328E-2</c:v>
                </c:pt>
                <c:pt idx="234">
                  <c:v>7.0010700914966417E-2</c:v>
                </c:pt>
                <c:pt idx="235">
                  <c:v>6.5982215240401668E-2</c:v>
                </c:pt>
                <c:pt idx="236">
                  <c:v>6.2158341254836685E-2</c:v>
                </c:pt>
                <c:pt idx="237">
                  <c:v>5.8530468250059968E-2</c:v>
                </c:pt>
                <c:pt idx="238">
                  <c:v>5.5090236703633513E-2</c:v>
                </c:pt>
                <c:pt idx="239">
                  <c:v>5.1829537809275593E-2</c:v>
                </c:pt>
                <c:pt idx="240">
                  <c:v>4.8740512502909367E-2</c:v>
                </c:pt>
                <c:pt idx="241">
                  <c:v>4.5815550016491589E-2</c:v>
                </c:pt>
                <c:pt idx="242">
                  <c:v>4.3047285991246978E-2</c:v>
                </c:pt>
                <c:pt idx="243">
                  <c:v>4.0428600181359998E-2</c:v>
                </c:pt>
                <c:pt idx="244">
                  <c:v>3.7952613778537654E-2</c:v>
                </c:pt>
                <c:pt idx="245">
                  <c:v>3.5612686387149081E-2</c:v>
                </c:pt>
                <c:pt idx="246">
                  <c:v>3.3402412678883081E-2</c:v>
                </c:pt>
                <c:pt idx="247">
                  <c:v>3.1315618755051455E-2</c:v>
                </c:pt>
                <c:pt idx="248">
                  <c:v>2.9346358243801881E-2</c:v>
                </c:pt>
                <c:pt idx="249">
                  <c:v>2.7488908158606124E-2</c:v>
                </c:pt>
                <c:pt idx="250">
                  <c:v>2.5737764543453598E-2</c:v>
                </c:pt>
                <c:pt idx="251">
                  <c:v>2.4087637929220272E-2</c:v>
                </c:pt>
                <c:pt idx="252">
                  <c:v>2.2533448624698332E-2</c:v>
                </c:pt>
                <c:pt idx="253">
                  <c:v>2.107032186476971E-2</c:v>
                </c:pt>
                <c:pt idx="254">
                  <c:v>1.9693582837195078E-2</c:v>
                </c:pt>
                <c:pt idx="255">
                  <c:v>1.8398751608466976E-2</c:v>
                </c:pt>
                <c:pt idx="256">
                  <c:v>1.718153796815159E-2</c:v>
                </c:pt>
                <c:pt idx="257">
                  <c:v>1.6037836210120674E-2</c:v>
                </c:pt>
                <c:pt idx="258">
                  <c:v>1.4963719868055071E-2</c:v>
                </c:pt>
                <c:pt idx="259">
                  <c:v>1.3955436421591185E-2</c:v>
                </c:pt>
                <c:pt idx="260">
                  <c:v>1.3009401988481615E-2</c:v>
                </c:pt>
                <c:pt idx="261">
                  <c:v>1.2122196017157636E-2</c:v>
                </c:pt>
                <c:pt idx="262">
                  <c:v>1.1290555993112185E-2</c:v>
                </c:pt>
                <c:pt idx="263">
                  <c:v>1.0511372171576121E-2</c:v>
                </c:pt>
                <c:pt idx="264">
                  <c:v>9.7816823480333607E-3</c:v>
                </c:pt>
                <c:pt idx="265">
                  <c:v>9.0986666772206841E-3</c:v>
                </c:pt>
                <c:pt idx="266">
                  <c:v>8.4596425503812873E-3</c:v>
                </c:pt>
                <c:pt idx="267">
                  <c:v>7.8620595396939226E-3</c:v>
                </c:pt>
                <c:pt idx="268">
                  <c:v>7.3034944179795639E-3</c:v>
                </c:pt>
                <c:pt idx="269">
                  <c:v>6.7816462609988229E-3</c:v>
                </c:pt>
                <c:pt idx="270">
                  <c:v>6.2943316388937975E-3</c:v>
                </c:pt>
                <c:pt idx="271">
                  <c:v>5.8394799026016981E-3</c:v>
                </c:pt>
                <c:pt idx="272">
                  <c:v>5.4151285703718305E-3</c:v>
                </c:pt>
                <c:pt idx="273">
                  <c:v>5.0194188188548323E-3</c:v>
                </c:pt>
                <c:pt idx="274">
                  <c:v>4.6505910826031014E-3</c:v>
                </c:pt>
                <c:pt idx="275">
                  <c:v>4.3069807652231394E-3</c:v>
                </c:pt>
                <c:pt idx="276">
                  <c:v>3.9870140648559614E-3</c:v>
                </c:pt>
                <c:pt idx="277">
                  <c:v>3.6892039161284173E-3</c:v>
                </c:pt>
                <c:pt idx="278">
                  <c:v>3.4121460502174301E-3</c:v>
                </c:pt>
                <c:pt idx="279">
                  <c:v>3.1545151741998647E-3</c:v>
                </c:pt>
                <c:pt idx="280">
                  <c:v>2.9150612704219236E-3</c:v>
                </c:pt>
                <c:pt idx="281">
                  <c:v>2.692606016213846E-3</c:v>
                </c:pt>
                <c:pt idx="282">
                  <c:v>2.486039323896906E-3</c:v>
                </c:pt>
                <c:pt idx="283">
                  <c:v>2.2943160006798566E-3</c:v>
                </c:pt>
                <c:pt idx="284">
                  <c:v>2.1164525277197204E-3</c:v>
                </c:pt>
                <c:pt idx="285">
                  <c:v>1.9515239573270466E-3</c:v>
                </c:pt>
                <c:pt idx="286">
                  <c:v>1.7986609270265769E-3</c:v>
                </c:pt>
                <c:pt idx="287">
                  <c:v>1.657046788940417E-3</c:v>
                </c:pt>
                <c:pt idx="288">
                  <c:v>1.5259148527409915E-3</c:v>
                </c:pt>
                <c:pt idx="289">
                  <c:v>1.4045457402241815E-3</c:v>
                </c:pt>
                <c:pt idx="290">
                  <c:v>1.2922648493781438E-3</c:v>
                </c:pt>
                <c:pt idx="291">
                  <c:v>1.1884399256693746E-3</c:v>
                </c:pt>
                <c:pt idx="292">
                  <c:v>1.0924787381333678E-3</c:v>
                </c:pt>
                <c:pt idx="293">
                  <c:v>1.0038268577419031E-3</c:v>
                </c:pt>
                <c:pt idx="294">
                  <c:v>9.21965535421234E-4</c:v>
                </c:pt>
                <c:pt idx="295">
                  <c:v>8.4640967701447346E-4</c:v>
                </c:pt>
                <c:pt idx="296">
                  <c:v>7.7670591241600011E-4</c:v>
                </c:pt>
                <c:pt idx="297">
                  <c:v>7.1243075605497037E-4</c:v>
                </c:pt>
                <c:pt idx="298">
                  <c:v>6.5318885586775142E-4</c:v>
                </c:pt>
                <c:pt idx="299">
                  <c:v>5.9861132787451853E-4</c:v>
                </c:pt>
                <c:pt idx="300">
                  <c:v>5.4835417346243195E-4</c:v>
                </c:pt>
                <c:pt idx="301">
                  <c:v>5.0209677647564197E-4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53-44D7-BBC1-C5EC93B7183D}"/>
            </c:ext>
          </c:extLst>
        </c:ser>
        <c:ser>
          <c:idx val="1"/>
          <c:order val="1"/>
          <c:tx>
            <c:v>Aerosol 2b</c:v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'Aerosol 2'!$A$17:$A$318</c:f>
              <c:numCache>
                <c:formatCode>0.000</c:formatCode>
                <c:ptCount val="302"/>
                <c:pt idx="0">
                  <c:v>5.4339016042139802E-2</c:v>
                </c:pt>
                <c:pt idx="1">
                  <c:v>5.6245220795161463E-2</c:v>
                </c:pt>
                <c:pt idx="2">
                  <c:v>5.8218294932745107E-2</c:v>
                </c:pt>
                <c:pt idx="3">
                  <c:v>6.0260584223142885E-2</c:v>
                </c:pt>
                <c:pt idx="4">
                  <c:v>6.2374516723814895E-2</c:v>
                </c:pt>
                <c:pt idx="5">
                  <c:v>6.4562605668122608E-2</c:v>
                </c:pt>
                <c:pt idx="6">
                  <c:v>6.6827452453287028E-2</c:v>
                </c:pt>
                <c:pt idx="7">
                  <c:v>6.917174973316409E-2</c:v>
                </c:pt>
                <c:pt idx="8">
                  <c:v>7.1598284619514063E-2</c:v>
                </c:pt>
                <c:pt idx="9">
                  <c:v>7.4109941995570985E-2</c:v>
                </c:pt>
                <c:pt idx="10">
                  <c:v>7.6709707945851788E-2</c:v>
                </c:pt>
                <c:pt idx="11">
                  <c:v>7.9400673306282518E-2</c:v>
                </c:pt>
                <c:pt idx="12">
                  <c:v>8.2186037338862386E-2</c:v>
                </c:pt>
                <c:pt idx="13">
                  <c:v>8.5069111535234707E-2</c:v>
                </c:pt>
                <c:pt idx="14">
                  <c:v>8.8053323553686447E-2</c:v>
                </c:pt>
                <c:pt idx="15">
                  <c:v>9.1142221294257017E-2</c:v>
                </c:pt>
                <c:pt idx="16">
                  <c:v>9.4339477116801421E-2</c:v>
                </c:pt>
                <c:pt idx="17">
                  <c:v>9.7648892207022539E-2</c:v>
                </c:pt>
                <c:pt idx="18">
                  <c:v>0.10107440109566297</c:v>
                </c:pt>
                <c:pt idx="19">
                  <c:v>0.10462007633622963</c:v>
                </c:pt>
                <c:pt idx="20">
                  <c:v>0.10829013334681213</c:v>
                </c:pt>
                <c:pt idx="21">
                  <c:v>0.11208893542175144</c:v>
                </c:pt>
                <c:pt idx="22">
                  <c:v>0.11602099891911737</c:v>
                </c:pt>
                <c:pt idx="23">
                  <c:v>0.12009099863016169</c:v>
                </c:pt>
                <c:pt idx="24">
                  <c:v>0.12430377333713111</c:v>
                </c:pt>
                <c:pt idx="25">
                  <c:v>0.12866433156604737</c:v>
                </c:pt>
                <c:pt idx="26">
                  <c:v>0.13317785754129421</c:v>
                </c:pt>
                <c:pt idx="27">
                  <c:v>0.13784971734909021</c:v>
                </c:pt>
                <c:pt idx="28">
                  <c:v>0.14268546531717544</c:v>
                </c:pt>
                <c:pt idx="29">
                  <c:v>0.14769085061829648</c:v>
                </c:pt>
                <c:pt idx="30">
                  <c:v>0.15287182410534089</c:v>
                </c:pt>
                <c:pt idx="31">
                  <c:v>0.15823454538624715</c:v>
                </c:pt>
                <c:pt idx="32">
                  <c:v>0.16378539014710136</c:v>
                </c:pt>
                <c:pt idx="33">
                  <c:v>0.16953095773212709</c:v>
                </c:pt>
                <c:pt idx="34">
                  <c:v>0.17547807898958018</c:v>
                </c:pt>
                <c:pt idx="35">
                  <c:v>0.18163382439287648</c:v>
                </c:pt>
                <c:pt idx="36">
                  <c:v>0.18800551244660751</c:v>
                </c:pt>
                <c:pt idx="37">
                  <c:v>0.19460071838743781</c:v>
                </c:pt>
                <c:pt idx="38">
                  <c:v>0.20142728319022873</c:v>
                </c:pt>
                <c:pt idx="39">
                  <c:v>0.20849332289009545</c:v>
                </c:pt>
                <c:pt idx="40">
                  <c:v>0.2158072382314806</c:v>
                </c:pt>
                <c:pt idx="41">
                  <c:v>0.22337772465571595</c:v>
                </c:pt>
                <c:pt idx="42">
                  <c:v>0.23121378263894624</c:v>
                </c:pt>
                <c:pt idx="43">
                  <c:v>0.23932472839270597</c:v>
                </c:pt>
                <c:pt idx="44">
                  <c:v>0.24772020493987071</c:v>
                </c:pt>
                <c:pt idx="45">
                  <c:v>0.25641019357915129</c:v>
                </c:pt>
                <c:pt idx="46">
                  <c:v>0.26540502575176073</c:v>
                </c:pt>
                <c:pt idx="47">
                  <c:v>0.27471539532436218</c:v>
                </c:pt>
                <c:pt idx="48">
                  <c:v>0.28435237130290081</c:v>
                </c:pt>
                <c:pt idx="49">
                  <c:v>0.29432741099243476</c:v>
                </c:pt>
                <c:pt idx="50">
                  <c:v>0.30465237361861197</c:v>
                </c:pt>
                <c:pt idx="51">
                  <c:v>0.31533953442698531</c:v>
                </c:pt>
                <c:pt idx="52">
                  <c:v>0.32640159927693047</c:v>
                </c:pt>
                <c:pt idx="53">
                  <c:v>0.3378517197475156</c:v>
                </c:pt>
                <c:pt idx="54">
                  <c:v>0.34970350877328349</c:v>
                </c:pt>
                <c:pt idx="55">
                  <c:v>0.3619710568285342</c:v>
                </c:pt>
                <c:pt idx="56">
                  <c:v>0.37466894867934986</c:v>
                </c:pt>
                <c:pt idx="57">
                  <c:v>0.3878122807232785</c:v>
                </c:pt>
                <c:pt idx="58">
                  <c:v>0.40141667893729105</c:v>
                </c:pt>
                <c:pt idx="59">
                  <c:v>0.41549831745535037</c:v>
                </c:pt>
                <c:pt idx="60">
                  <c:v>0.43007393779767822</c:v>
                </c:pt>
                <c:pt idx="61">
                  <c:v>0.44516086877458289</c:v>
                </c:pt>
                <c:pt idx="62">
                  <c:v>0.46077704708850942</c:v>
                </c:pt>
                <c:pt idx="63">
                  <c:v>0.47694103865880688</c:v>
                </c:pt>
                <c:pt idx="64">
                  <c:v>0.49367206069456598</c:v>
                </c:pt>
                <c:pt idx="65">
                  <c:v>0.51099000454176802</c:v>
                </c:pt>
                <c:pt idx="66">
                  <c:v>0.5289154593319082</c:v>
                </c:pt>
                <c:pt idx="67">
                  <c:v>0.54746973646021047</c:v>
                </c:pt>
                <c:pt idx="68">
                  <c:v>0.56667489492253287</c:v>
                </c:pt>
                <c:pt idx="69">
                  <c:v>0.58655376754108923</c:v>
                </c:pt>
                <c:pt idx="70">
                  <c:v>0.60712998811016461</c:v>
                </c:pt>
                <c:pt idx="71">
                  <c:v>0.62842801949409866</c:v>
                </c:pt>
                <c:pt idx="72">
                  <c:v>0.65047318271094212</c:v>
                </c:pt>
                <c:pt idx="73">
                  <c:v>0.67329168703636388</c:v>
                </c:pt>
                <c:pt idx="74">
                  <c:v>0.69691066116359857</c:v>
                </c:pt>
                <c:pt idx="75">
                  <c:v>0.72135818545648067</c:v>
                </c:pt>
                <c:pt idx="76">
                  <c:v>0.74666332533391011</c:v>
                </c:pt>
                <c:pt idx="77">
                  <c:v>0.77285616582544026</c:v>
                </c:pt>
                <c:pt idx="78">
                  <c:v>0.79996784733907078</c:v>
                </c:pt>
                <c:pt idx="79">
                  <c:v>0.82803060268377005</c:v>
                </c:pt>
                <c:pt idx="80">
                  <c:v>0.85707779539074058</c:v>
                </c:pt>
                <c:pt idx="81">
                  <c:v>0.88714395937899138</c:v>
                </c:pt>
                <c:pt idx="82">
                  <c:v>0.91826484001237041</c:v>
                </c:pt>
                <c:pt idx="83">
                  <c:v>0.950477436596873</c:v>
                </c:pt>
                <c:pt idx="84">
                  <c:v>0.98382004636874965</c:v>
                </c:pt>
                <c:pt idx="85">
                  <c:v>1.0183323100257098</c:v>
                </c:pt>
                <c:pt idx="86">
                  <c:v>1.0540552588553536</c:v>
                </c:pt>
                <c:pt idx="87">
                  <c:v>1.0910313635168623</c:v>
                </c:pt>
                <c:pt idx="88">
                  <c:v>1.1293045845339438</c:v>
                </c:pt>
                <c:pt idx="89">
                  <c:v>1.1689204245590625</c:v>
                </c:pt>
                <c:pt idx="90">
                  <c:v>1.2099259824710908</c:v>
                </c:pt>
                <c:pt idx="91">
                  <c:v>1.2523700093706989</c:v>
                </c:pt>
                <c:pt idx="92">
                  <c:v>1.2963029665400538</c:v>
                </c:pt>
                <c:pt idx="93">
                  <c:v>1.3417770854357378</c:v>
                </c:pt>
                <c:pt idx="94">
                  <c:v>1.3888464297862073</c:v>
                </c:pt>
                <c:pt idx="95">
                  <c:v>1.437566959867624</c:v>
                </c:pt>
                <c:pt idx="96">
                  <c:v>1.4879965990344703</c:v>
                </c:pt>
                <c:pt idx="97">
                  <c:v>1.5401953025840516</c:v>
                </c:pt>
                <c:pt idx="98">
                  <c:v>1.5942251290367531</c:v>
                </c:pt>
                <c:pt idx="99">
                  <c:v>1.650150313916799</c:v>
                </c:pt>
                <c:pt idx="100">
                  <c:v>1.7080373461212295</c:v>
                </c:pt>
                <c:pt idx="101">
                  <c:v>1.76795504696789</c:v>
                </c:pt>
                <c:pt idx="102">
                  <c:v>1.8299746520164126</c:v>
                </c:pt>
                <c:pt idx="103">
                  <c:v>1.8941698957594661</c:v>
                </c:pt>
                <c:pt idx="104">
                  <c:v>1.9606170992849625</c:v>
                </c:pt>
                <c:pt idx="105">
                  <c:v>2.0293952610134389</c:v>
                </c:pt>
                <c:pt idx="106">
                  <c:v>2.1005861506184975</c:v>
                </c:pt>
                <c:pt idx="107">
                  <c:v>2.1742744062419574</c:v>
                </c:pt>
                <c:pt idx="108">
                  <c:v>2.2505476351193017</c:v>
                </c:pt>
                <c:pt idx="109">
                  <c:v>2.3294965177350488</c:v>
                </c:pt>
                <c:pt idx="110">
                  <c:v>2.4112149156318821</c:v>
                </c:pt>
                <c:pt idx="111">
                  <c:v>2.4957999830017044</c:v>
                </c:pt>
                <c:pt idx="112">
                  <c:v>2.5833522821912931</c:v>
                </c:pt>
                <c:pt idx="113">
                  <c:v>2.6739759032598744</c:v>
                </c:pt>
                <c:pt idx="114">
                  <c:v>2.767778587730763</c:v>
                </c:pt>
                <c:pt idx="115">
                  <c:v>2.8648718566841889</c:v>
                </c:pt>
                <c:pt idx="116">
                  <c:v>2.9653711433436016</c:v>
                </c:pt>
                <c:pt idx="117">
                  <c:v>3.0693959303130844</c:v>
                </c:pt>
                <c:pt idx="118">
                  <c:v>3.1770698916290354</c:v>
                </c:pt>
                <c:pt idx="119">
                  <c:v>3.2885210397950018</c:v>
                </c:pt>
                <c:pt idx="120">
                  <c:v>3.4038818779744737</c:v>
                </c:pt>
                <c:pt idx="121">
                  <c:v>3.5232895575225811</c:v>
                </c:pt>
                <c:pt idx="122">
                  <c:v>3.6468860410439765</c:v>
                </c:pt>
                <c:pt idx="123">
                  <c:v>3.7748182711707674</c:v>
                </c:pt>
                <c:pt idx="124">
                  <c:v>3.9072383452611525</c:v>
                </c:pt>
                <c:pt idx="125">
                  <c:v>4.0443036962264589</c:v>
                </c:pt>
                <c:pt idx="126">
                  <c:v>4.1861772797015711</c:v>
                </c:pt>
                <c:pt idx="127">
                  <c:v>4.3330277677812639</c:v>
                </c:pt>
                <c:pt idx="128">
                  <c:v>4.4850297495527807</c:v>
                </c:pt>
                <c:pt idx="129">
                  <c:v>4.6423639386630704</c:v>
                </c:pt>
                <c:pt idx="130">
                  <c:v>4.8052173881674447</c:v>
                </c:pt>
                <c:pt idx="131">
                  <c:v>4.9737837129150959</c:v>
                </c:pt>
                <c:pt idx="132">
                  <c:v>5.1482633197358743</c:v>
                </c:pt>
                <c:pt idx="133">
                  <c:v>5.3288636457019765</c:v>
                </c:pt>
                <c:pt idx="134">
                  <c:v>5.5157994047478169</c:v>
                </c:pt>
                <c:pt idx="135">
                  <c:v>5.7092928429412986</c:v>
                </c:pt>
                <c:pt idx="136">
                  <c:v>5.9095740027099541</c:v>
                </c:pt>
                <c:pt idx="137">
                  <c:v>6.1168809963361008</c:v>
                </c:pt>
                <c:pt idx="138">
                  <c:v>6.3314602890461762</c:v>
                </c:pt>
                <c:pt idx="139">
                  <c:v>6.5535669920307917</c:v>
                </c:pt>
                <c:pt idx="140">
                  <c:v>6.7834651657438956</c:v>
                </c:pt>
                <c:pt idx="141">
                  <c:v>7.0214281338416287</c:v>
                </c:pt>
                <c:pt idx="142">
                  <c:v>7.2677388081341014</c:v>
                </c:pt>
                <c:pt idx="143">
                  <c:v>7.5226900249364386</c:v>
                </c:pt>
                <c:pt idx="144">
                  <c:v>7.7865848932189659</c:v>
                </c:pt>
                <c:pt idx="145">
                  <c:v>8.0597371549704526</c:v>
                </c:pt>
                <c:pt idx="146">
                  <c:v>8.342471558202849</c:v>
                </c:pt>
                <c:pt idx="147">
                  <c:v>8.6351242430409805</c:v>
                </c:pt>
                <c:pt idx="148">
                  <c:v>8.9380431413561876</c:v>
                </c:pt>
                <c:pt idx="149">
                  <c:v>9.2515883904190943</c:v>
                </c:pt>
                <c:pt idx="150">
                  <c:v>9.5761327610632154</c:v>
                </c:pt>
                <c:pt idx="151">
                  <c:v>9.9120621008685088</c:v>
                </c:pt>
                <c:pt idx="152">
                  <c:v>10.259775792891732</c:v>
                </c:pt>
                <c:pt idx="153">
                  <c:v>10.619687230488996</c:v>
                </c:pt>
                <c:pt idx="154">
                  <c:v>10.992224308795002</c:v>
                </c:pt>
                <c:pt idx="155">
                  <c:v>11.377829933443346</c:v>
                </c:pt>
                <c:pt idx="156">
                  <c:v>11.776962547132609</c:v>
                </c:pt>
                <c:pt idx="157">
                  <c:v>12.190096674664346</c:v>
                </c:pt>
                <c:pt idx="158">
                  <c:v>12.617723487100898</c:v>
                </c:pt>
                <c:pt idx="159">
                  <c:v>13.060351385713798</c:v>
                </c:pt>
                <c:pt idx="160">
                  <c:v>13.518506606416992</c:v>
                </c:pt>
                <c:pt idx="161">
                  <c:v>13.992733845403491</c:v>
                </c:pt>
                <c:pt idx="162">
                  <c:v>14.48359690672927</c:v>
                </c:pt>
                <c:pt idx="163">
                  <c:v>14.991679372614316</c:v>
                </c:pt>
                <c:pt idx="164">
                  <c:v>15.517585297257723</c:v>
                </c:pt>
                <c:pt idx="165">
                  <c:v>16.061939924991741</c:v>
                </c:pt>
                <c:pt idx="166">
                  <c:v>16.62539043362856</c:v>
                </c:pt>
                <c:pt idx="167">
                  <c:v>17.208606703883571</c:v>
                </c:pt>
                <c:pt idx="168">
                  <c:v>17.812282115789912</c:v>
                </c:pt>
                <c:pt idx="169">
                  <c:v>18.437134373051084</c:v>
                </c:pt>
                <c:pt idx="170">
                  <c:v>19.083906356311786</c:v>
                </c:pt>
                <c:pt idx="171">
                  <c:v>19.753367006361312</c:v>
                </c:pt>
                <c:pt idx="172">
                  <c:v>20.446312238319635</c:v>
                </c:pt>
                <c:pt idx="173">
                  <c:v>21.163565887892997</c:v>
                </c:pt>
                <c:pt idx="174">
                  <c:v>21.905980690823984</c:v>
                </c:pt>
                <c:pt idx="175">
                  <c:v>22.674439296700601</c:v>
                </c:pt>
                <c:pt idx="176">
                  <c:v>23.469855318329582</c:v>
                </c:pt>
                <c:pt idx="177">
                  <c:v>24.293174417921602</c:v>
                </c:pt>
                <c:pt idx="178">
                  <c:v>25.145375431379691</c:v>
                </c:pt>
                <c:pt idx="179">
                  <c:v>26.027471532027516</c:v>
                </c:pt>
                <c:pt idx="180">
                  <c:v>26.940511435161067</c:v>
                </c:pt>
                <c:pt idx="181">
                  <c:v>27.885580644855892</c:v>
                </c:pt>
                <c:pt idx="182">
                  <c:v>28.8638027445121</c:v>
                </c:pt>
                <c:pt idx="183">
                  <c:v>29.87634073267149</c:v>
                </c:pt>
                <c:pt idx="184">
                  <c:v>30.924398405695026</c:v>
                </c:pt>
                <c:pt idx="185">
                  <c:v>32.009221788944323</c:v>
                </c:pt>
                <c:pt idx="186">
                  <c:v>33.132100618168849</c:v>
                </c:pt>
                <c:pt idx="187">
                  <c:v>34.294369872859953</c:v>
                </c:pt>
                <c:pt idx="188">
                  <c:v>35.497411363394733</c:v>
                </c:pt>
                <c:pt idx="189">
                  <c:v>36.742655373856657</c:v>
                </c:pt>
                <c:pt idx="190">
                  <c:v>38.031582362486112</c:v>
                </c:pt>
                <c:pt idx="191">
                  <c:v>39.365724721782549</c:v>
                </c:pt>
                <c:pt idx="192">
                  <c:v>40.746668600350631</c:v>
                </c:pt>
                <c:pt idx="193">
                  <c:v>42.176055788656626</c:v>
                </c:pt>
                <c:pt idx="194">
                  <c:v>43.655585670936766</c:v>
                </c:pt>
                <c:pt idx="195">
                  <c:v>45.187017245578282</c:v>
                </c:pt>
                <c:pt idx="196">
                  <c:v>46.772171216375177</c:v>
                </c:pt>
                <c:pt idx="197">
                  <c:v>48.412932157144837</c:v>
                </c:pt>
                <c:pt idx="198">
                  <c:v>50.111250752279112</c:v>
                </c:pt>
                <c:pt idx="199">
                  <c:v>51.869146115893713</c:v>
                </c:pt>
                <c:pt idx="200">
                  <c:v>53.688708192332818</c:v>
                </c:pt>
                <c:pt idx="201">
                  <c:v>55.572100240883238</c:v>
                </c:pt>
                <c:pt idx="202">
                  <c:v>57.521561407651888</c:v>
                </c:pt>
                <c:pt idx="203">
                  <c:v>59.539409387664335</c:v>
                </c:pt>
                <c:pt idx="204">
                  <c:v>61.628043180349437</c:v>
                </c:pt>
                <c:pt idx="205">
                  <c:v>63.789945941685907</c:v>
                </c:pt>
                <c:pt idx="206">
                  <c:v>66.027687936401847</c:v>
                </c:pt>
                <c:pt idx="207">
                  <c:v>68.343929593736917</c:v>
                </c:pt>
                <c:pt idx="208">
                  <c:v>70.741424670400278</c:v>
                </c:pt>
                <c:pt idx="209">
                  <c:v>73.223023524484603</c:v>
                </c:pt>
                <c:pt idx="210">
                  <c:v>75.791676504228477</c:v>
                </c:pt>
                <c:pt idx="211">
                  <c:v>78.450437455656157</c:v>
                </c:pt>
                <c:pt idx="212">
                  <c:v>81.20246735326478</c:v>
                </c:pt>
                <c:pt idx="213">
                  <c:v>84.051038058075576</c:v>
                </c:pt>
                <c:pt idx="214">
                  <c:v>86.999536207516897</c:v>
                </c:pt>
                <c:pt idx="215">
                  <c:v>90.051467241763902</c:v>
                </c:pt>
                <c:pt idx="216">
                  <c:v>93.210459571321536</c:v>
                </c:pt>
                <c:pt idx="217">
                  <c:v>96.480268890805732</c:v>
                </c:pt>
                <c:pt idx="218">
                  <c:v>99.86478264405153</c:v>
                </c:pt>
                <c:pt idx="219">
                  <c:v>103.36802464585627</c:v>
                </c:pt>
                <c:pt idx="220">
                  <c:v>106.99415986585336</c:v>
                </c:pt>
                <c:pt idx="221">
                  <c:v>110.74749938020311</c:v>
                </c:pt>
                <c:pt idx="222">
                  <c:v>114.63250549698837</c:v>
                </c:pt>
                <c:pt idx="223">
                  <c:v>118.65379706140838</c:v>
                </c:pt>
                <c:pt idx="224">
                  <c:v>122.81615494707791</c:v>
                </c:pt>
                <c:pt idx="225">
                  <c:v>127.12452773996046</c:v>
                </c:pt>
                <c:pt idx="226">
                  <c:v>131.584037621693</c:v>
                </c:pt>
                <c:pt idx="227">
                  <c:v>136.19998645929684</c:v>
                </c:pt>
                <c:pt idx="228">
                  <c:v>140.97786210851478</c:v>
                </c:pt>
                <c:pt idx="229">
                  <c:v>145.92334493826789</c:v>
                </c:pt>
                <c:pt idx="230">
                  <c:v>151.04231458399045</c:v>
                </c:pt>
                <c:pt idx="231">
                  <c:v>156.34085693786957</c:v>
                </c:pt>
                <c:pt idx="232">
                  <c:v>161.82527138430234</c:v>
                </c:pt>
                <c:pt idx="233">
                  <c:v>167.50207828917075</c:v>
                </c:pt>
                <c:pt idx="234">
                  <c:v>173.37802675184096</c:v>
                </c:pt>
                <c:pt idx="235">
                  <c:v>179.46010262909985</c:v>
                </c:pt>
                <c:pt idx="236">
                  <c:v>185.75553684057058</c:v>
                </c:pt>
                <c:pt idx="237">
                  <c:v>192.2718139654819</c:v>
                </c:pt>
                <c:pt idx="238">
                  <c:v>199.01668114100951</c:v>
                </c:pt>
                <c:pt idx="239">
                  <c:v>205.99815727277087</c:v>
                </c:pt>
                <c:pt idx="240">
                  <c:v>213.22454256842178</c:v>
                </c:pt>
                <c:pt idx="241">
                  <c:v>220.70442840569206</c:v>
                </c:pt>
                <c:pt idx="242">
                  <c:v>228.44670754658779</c:v>
                </c:pt>
                <c:pt idx="243">
                  <c:v>236.46058470990909</c:v>
                </c:pt>
                <c:pt idx="244">
                  <c:v>244.75558751464831</c:v>
                </c:pt>
                <c:pt idx="245">
                  <c:v>253.34157780728108</c:v>
                </c:pt>
                <c:pt idx="246">
                  <c:v>262.2287633864189</c:v>
                </c:pt>
                <c:pt idx="247">
                  <c:v>271.4277101387587</c:v>
                </c:pt>
                <c:pt idx="248">
                  <c:v>280.94935460076113</c:v>
                </c:pt>
                <c:pt idx="249">
                  <c:v>290.80501696098924</c:v>
                </c:pt>
                <c:pt idx="250">
                  <c:v>301.00641451856916</c:v>
                </c:pt>
                <c:pt idx="251">
                  <c:v>311.56567561377102</c:v>
                </c:pt>
                <c:pt idx="252">
                  <c:v>322.49535404727078</c:v>
                </c:pt>
                <c:pt idx="253">
                  <c:v>333.80844400524091</c:v>
                </c:pt>
                <c:pt idx="254">
                  <c:v>345.5183955080085</c:v>
                </c:pt>
                <c:pt idx="255">
                  <c:v>357.63913040065023</c:v>
                </c:pt>
                <c:pt idx="256">
                  <c:v>370.18505890453713</c:v>
                </c:pt>
                <c:pt idx="257">
                  <c:v>383.17109674950291</c:v>
                </c:pt>
                <c:pt idx="258">
                  <c:v>396.61268290700741</c:v>
                </c:pt>
                <c:pt idx="259">
                  <c:v>410.52579794537525</c:v>
                </c:pt>
                <c:pt idx="260">
                  <c:v>424.92698302893729</c:v>
                </c:pt>
                <c:pt idx="261">
                  <c:v>439.8333595836537</c:v>
                </c:pt>
                <c:pt idx="262">
                  <c:v>455.26264965261038</c:v>
                </c:pt>
                <c:pt idx="263">
                  <c:v>471.23319696557684</c:v>
                </c:pt>
                <c:pt idx="264">
                  <c:v>487.76398874768722</c:v>
                </c:pt>
                <c:pt idx="265">
                  <c:v>504.87467829316228</c:v>
                </c:pt>
                <c:pt idx="266">
                  <c:v>522.58560833091622</c:v>
                </c:pt>
                <c:pt idx="267">
                  <c:v>540.91783520982381</c:v>
                </c:pt>
                <c:pt idx="268">
                  <c:v>559.89315393240724</c:v>
                </c:pt>
                <c:pt idx="269">
                  <c:v>579.53412406669474</c:v>
                </c:pt>
                <c:pt idx="270">
                  <c:v>599.86409656707042</c:v>
                </c:pt>
                <c:pt idx="271">
                  <c:v>620.90724153599047</c:v>
                </c:pt>
                <c:pt idx="272">
                  <c:v>642.68857695957649</c:v>
                </c:pt>
                <c:pt idx="273">
                  <c:v>665.23399845125459</c:v>
                </c:pt>
                <c:pt idx="274">
                  <c:v>688.57031003878853</c:v>
                </c:pt>
                <c:pt idx="275">
                  <c:v>712.72525603132635</c:v>
                </c:pt>
                <c:pt idx="276">
                  <c:v>737.72755400433221</c:v>
                </c:pt>
                <c:pt idx="277">
                  <c:v>763.6069289416248</c:v>
                </c:pt>
                <c:pt idx="278">
                  <c:v>790.39414857511952</c:v>
                </c:pt>
                <c:pt idx="279">
                  <c:v>818.1210599642767</c:v>
                </c:pt>
                <c:pt idx="280">
                  <c:v>846.82062735875547</c:v>
                </c:pt>
                <c:pt idx="281">
                  <c:v>876.52697138928079</c:v>
                </c:pt>
                <c:pt idx="282">
                  <c:v>907.27540963332683</c:v>
                </c:pt>
                <c:pt idx="283">
                  <c:v>939.10249860382874</c:v>
                </c:pt>
                <c:pt idx="284">
                  <c:v>972.04607721086302</c:v>
                </c:pt>
                <c:pt idx="285">
                  <c:v>1006.1453117479499</c:v>
                </c:pt>
                <c:pt idx="286">
                  <c:v>1041.4407424564688</c:v>
                </c:pt>
                <c:pt idx="287">
                  <c:v>1077.9743317235509</c:v>
                </c:pt>
                <c:pt idx="288">
                  <c:v>1115.7895139707459</c:v>
                </c:pt>
                <c:pt idx="289">
                  <c:v>1154.9312472927725</c:v>
                </c:pt>
                <c:pt idx="290">
                  <c:v>1195.4460669077519</c:v>
                </c:pt>
                <c:pt idx="291">
                  <c:v>1237.3821404824632</c:v>
                </c:pt>
                <c:pt idx="292">
                  <c:v>1280.7893253984103</c:v>
                </c:pt>
                <c:pt idx="293">
                  <c:v>1325.7192280267632</c:v>
                </c:pt>
                <c:pt idx="294">
                  <c:v>1372.2252650826629</c:v>
                </c:pt>
                <c:pt idx="295">
                  <c:v>1420.3627271318198</c:v>
                </c:pt>
                <c:pt idx="296">
                  <c:v>1470.1888443249213</c:v>
                </c:pt>
                <c:pt idx="297">
                  <c:v>1521.7628544379922</c:v>
                </c:pt>
                <c:pt idx="298">
                  <c:v>1575.1460732995915</c:v>
                </c:pt>
                <c:pt idx="299">
                  <c:v>1630.4019676885991</c:v>
                </c:pt>
                <c:pt idx="300">
                  <c:v>1687.596230789236</c:v>
                </c:pt>
                <c:pt idx="301">
                  <c:v>1746.7968602930189</c:v>
                </c:pt>
              </c:numCache>
            </c:numRef>
          </c:xVal>
          <c:yVal>
            <c:numRef>
              <c:f>'Aerosol 2'!$C$17:$C$318</c:f>
              <c:numCache>
                <c:formatCode>0.00</c:formatCode>
                <c:ptCount val="3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53-44D7-BBC1-C5EC93B7183D}"/>
            </c:ext>
          </c:extLst>
        </c:ser>
        <c:ser>
          <c:idx val="2"/>
          <c:order val="2"/>
          <c:tx>
            <c:v>Total</c:v>
          </c:tx>
          <c:spPr>
            <a:ln w="25400">
              <a:solidFill>
                <a:srgbClr val="FF9900"/>
              </a:solidFill>
              <a:prstDash val="solid"/>
            </a:ln>
          </c:spPr>
          <c:marker>
            <c:symbol val="none"/>
          </c:marker>
          <c:xVal>
            <c:numRef>
              <c:f>'Aerosol 2'!$A$17:$A$318</c:f>
              <c:numCache>
                <c:formatCode>0.000</c:formatCode>
                <c:ptCount val="302"/>
                <c:pt idx="0">
                  <c:v>5.4339016042139802E-2</c:v>
                </c:pt>
                <c:pt idx="1">
                  <c:v>5.6245220795161463E-2</c:v>
                </c:pt>
                <c:pt idx="2">
                  <c:v>5.8218294932745107E-2</c:v>
                </c:pt>
                <c:pt idx="3">
                  <c:v>6.0260584223142885E-2</c:v>
                </c:pt>
                <c:pt idx="4">
                  <c:v>6.2374516723814895E-2</c:v>
                </c:pt>
                <c:pt idx="5">
                  <c:v>6.4562605668122608E-2</c:v>
                </c:pt>
                <c:pt idx="6">
                  <c:v>6.6827452453287028E-2</c:v>
                </c:pt>
                <c:pt idx="7">
                  <c:v>6.917174973316409E-2</c:v>
                </c:pt>
                <c:pt idx="8">
                  <c:v>7.1598284619514063E-2</c:v>
                </c:pt>
                <c:pt idx="9">
                  <c:v>7.4109941995570985E-2</c:v>
                </c:pt>
                <c:pt idx="10">
                  <c:v>7.6709707945851788E-2</c:v>
                </c:pt>
                <c:pt idx="11">
                  <c:v>7.9400673306282518E-2</c:v>
                </c:pt>
                <c:pt idx="12">
                  <c:v>8.2186037338862386E-2</c:v>
                </c:pt>
                <c:pt idx="13">
                  <c:v>8.5069111535234707E-2</c:v>
                </c:pt>
                <c:pt idx="14">
                  <c:v>8.8053323553686447E-2</c:v>
                </c:pt>
                <c:pt idx="15">
                  <c:v>9.1142221294257017E-2</c:v>
                </c:pt>
                <c:pt idx="16">
                  <c:v>9.4339477116801421E-2</c:v>
                </c:pt>
                <c:pt idx="17">
                  <c:v>9.7648892207022539E-2</c:v>
                </c:pt>
                <c:pt idx="18">
                  <c:v>0.10107440109566297</c:v>
                </c:pt>
                <c:pt idx="19">
                  <c:v>0.10462007633622963</c:v>
                </c:pt>
                <c:pt idx="20">
                  <c:v>0.10829013334681213</c:v>
                </c:pt>
                <c:pt idx="21">
                  <c:v>0.11208893542175144</c:v>
                </c:pt>
                <c:pt idx="22">
                  <c:v>0.11602099891911737</c:v>
                </c:pt>
                <c:pt idx="23">
                  <c:v>0.12009099863016169</c:v>
                </c:pt>
                <c:pt idx="24">
                  <c:v>0.12430377333713111</c:v>
                </c:pt>
                <c:pt idx="25">
                  <c:v>0.12866433156604737</c:v>
                </c:pt>
                <c:pt idx="26">
                  <c:v>0.13317785754129421</c:v>
                </c:pt>
                <c:pt idx="27">
                  <c:v>0.13784971734909021</c:v>
                </c:pt>
                <c:pt idx="28">
                  <c:v>0.14268546531717544</c:v>
                </c:pt>
                <c:pt idx="29">
                  <c:v>0.14769085061829648</c:v>
                </c:pt>
                <c:pt idx="30">
                  <c:v>0.15287182410534089</c:v>
                </c:pt>
                <c:pt idx="31">
                  <c:v>0.15823454538624715</c:v>
                </c:pt>
                <c:pt idx="32">
                  <c:v>0.16378539014710136</c:v>
                </c:pt>
                <c:pt idx="33">
                  <c:v>0.16953095773212709</c:v>
                </c:pt>
                <c:pt idx="34">
                  <c:v>0.17547807898958018</c:v>
                </c:pt>
                <c:pt idx="35">
                  <c:v>0.18163382439287648</c:v>
                </c:pt>
                <c:pt idx="36">
                  <c:v>0.18800551244660751</c:v>
                </c:pt>
                <c:pt idx="37">
                  <c:v>0.19460071838743781</c:v>
                </c:pt>
                <c:pt idx="38">
                  <c:v>0.20142728319022873</c:v>
                </c:pt>
                <c:pt idx="39">
                  <c:v>0.20849332289009545</c:v>
                </c:pt>
                <c:pt idx="40">
                  <c:v>0.2158072382314806</c:v>
                </c:pt>
                <c:pt idx="41">
                  <c:v>0.22337772465571595</c:v>
                </c:pt>
                <c:pt idx="42">
                  <c:v>0.23121378263894624</c:v>
                </c:pt>
                <c:pt idx="43">
                  <c:v>0.23932472839270597</c:v>
                </c:pt>
                <c:pt idx="44">
                  <c:v>0.24772020493987071</c:v>
                </c:pt>
                <c:pt idx="45">
                  <c:v>0.25641019357915129</c:v>
                </c:pt>
                <c:pt idx="46">
                  <c:v>0.26540502575176073</c:v>
                </c:pt>
                <c:pt idx="47">
                  <c:v>0.27471539532436218</c:v>
                </c:pt>
                <c:pt idx="48">
                  <c:v>0.28435237130290081</c:v>
                </c:pt>
                <c:pt idx="49">
                  <c:v>0.29432741099243476</c:v>
                </c:pt>
                <c:pt idx="50">
                  <c:v>0.30465237361861197</c:v>
                </c:pt>
                <c:pt idx="51">
                  <c:v>0.31533953442698531</c:v>
                </c:pt>
                <c:pt idx="52">
                  <c:v>0.32640159927693047</c:v>
                </c:pt>
                <c:pt idx="53">
                  <c:v>0.3378517197475156</c:v>
                </c:pt>
                <c:pt idx="54">
                  <c:v>0.34970350877328349</c:v>
                </c:pt>
                <c:pt idx="55">
                  <c:v>0.3619710568285342</c:v>
                </c:pt>
                <c:pt idx="56">
                  <c:v>0.37466894867934986</c:v>
                </c:pt>
                <c:pt idx="57">
                  <c:v>0.3878122807232785</c:v>
                </c:pt>
                <c:pt idx="58">
                  <c:v>0.40141667893729105</c:v>
                </c:pt>
                <c:pt idx="59">
                  <c:v>0.41549831745535037</c:v>
                </c:pt>
                <c:pt idx="60">
                  <c:v>0.43007393779767822</c:v>
                </c:pt>
                <c:pt idx="61">
                  <c:v>0.44516086877458289</c:v>
                </c:pt>
                <c:pt idx="62">
                  <c:v>0.46077704708850942</c:v>
                </c:pt>
                <c:pt idx="63">
                  <c:v>0.47694103865880688</c:v>
                </c:pt>
                <c:pt idx="64">
                  <c:v>0.49367206069456598</c:v>
                </c:pt>
                <c:pt idx="65">
                  <c:v>0.51099000454176802</c:v>
                </c:pt>
                <c:pt idx="66">
                  <c:v>0.5289154593319082</c:v>
                </c:pt>
                <c:pt idx="67">
                  <c:v>0.54746973646021047</c:v>
                </c:pt>
                <c:pt idx="68">
                  <c:v>0.56667489492253287</c:v>
                </c:pt>
                <c:pt idx="69">
                  <c:v>0.58655376754108923</c:v>
                </c:pt>
                <c:pt idx="70">
                  <c:v>0.60712998811016461</c:v>
                </c:pt>
                <c:pt idx="71">
                  <c:v>0.62842801949409866</c:v>
                </c:pt>
                <c:pt idx="72">
                  <c:v>0.65047318271094212</c:v>
                </c:pt>
                <c:pt idx="73">
                  <c:v>0.67329168703636388</c:v>
                </c:pt>
                <c:pt idx="74">
                  <c:v>0.69691066116359857</c:v>
                </c:pt>
                <c:pt idx="75">
                  <c:v>0.72135818545648067</c:v>
                </c:pt>
                <c:pt idx="76">
                  <c:v>0.74666332533391011</c:v>
                </c:pt>
                <c:pt idx="77">
                  <c:v>0.77285616582544026</c:v>
                </c:pt>
                <c:pt idx="78">
                  <c:v>0.79996784733907078</c:v>
                </c:pt>
                <c:pt idx="79">
                  <c:v>0.82803060268377005</c:v>
                </c:pt>
                <c:pt idx="80">
                  <c:v>0.85707779539074058</c:v>
                </c:pt>
                <c:pt idx="81">
                  <c:v>0.88714395937899138</c:v>
                </c:pt>
                <c:pt idx="82">
                  <c:v>0.91826484001237041</c:v>
                </c:pt>
                <c:pt idx="83">
                  <c:v>0.950477436596873</c:v>
                </c:pt>
                <c:pt idx="84">
                  <c:v>0.98382004636874965</c:v>
                </c:pt>
                <c:pt idx="85">
                  <c:v>1.0183323100257098</c:v>
                </c:pt>
                <c:pt idx="86">
                  <c:v>1.0540552588553536</c:v>
                </c:pt>
                <c:pt idx="87">
                  <c:v>1.0910313635168623</c:v>
                </c:pt>
                <c:pt idx="88">
                  <c:v>1.1293045845339438</c:v>
                </c:pt>
                <c:pt idx="89">
                  <c:v>1.1689204245590625</c:v>
                </c:pt>
                <c:pt idx="90">
                  <c:v>1.2099259824710908</c:v>
                </c:pt>
                <c:pt idx="91">
                  <c:v>1.2523700093706989</c:v>
                </c:pt>
                <c:pt idx="92">
                  <c:v>1.2963029665400538</c:v>
                </c:pt>
                <c:pt idx="93">
                  <c:v>1.3417770854357378</c:v>
                </c:pt>
                <c:pt idx="94">
                  <c:v>1.3888464297862073</c:v>
                </c:pt>
                <c:pt idx="95">
                  <c:v>1.437566959867624</c:v>
                </c:pt>
                <c:pt idx="96">
                  <c:v>1.4879965990344703</c:v>
                </c:pt>
                <c:pt idx="97">
                  <c:v>1.5401953025840516</c:v>
                </c:pt>
                <c:pt idx="98">
                  <c:v>1.5942251290367531</c:v>
                </c:pt>
                <c:pt idx="99">
                  <c:v>1.650150313916799</c:v>
                </c:pt>
                <c:pt idx="100">
                  <c:v>1.7080373461212295</c:v>
                </c:pt>
                <c:pt idx="101">
                  <c:v>1.76795504696789</c:v>
                </c:pt>
                <c:pt idx="102">
                  <c:v>1.8299746520164126</c:v>
                </c:pt>
                <c:pt idx="103">
                  <c:v>1.8941698957594661</c:v>
                </c:pt>
                <c:pt idx="104">
                  <c:v>1.9606170992849625</c:v>
                </c:pt>
                <c:pt idx="105">
                  <c:v>2.0293952610134389</c:v>
                </c:pt>
                <c:pt idx="106">
                  <c:v>2.1005861506184975</c:v>
                </c:pt>
                <c:pt idx="107">
                  <c:v>2.1742744062419574</c:v>
                </c:pt>
                <c:pt idx="108">
                  <c:v>2.2505476351193017</c:v>
                </c:pt>
                <c:pt idx="109">
                  <c:v>2.3294965177350488</c:v>
                </c:pt>
                <c:pt idx="110">
                  <c:v>2.4112149156318821</c:v>
                </c:pt>
                <c:pt idx="111">
                  <c:v>2.4957999830017044</c:v>
                </c:pt>
                <c:pt idx="112">
                  <c:v>2.5833522821912931</c:v>
                </c:pt>
                <c:pt idx="113">
                  <c:v>2.6739759032598744</c:v>
                </c:pt>
                <c:pt idx="114">
                  <c:v>2.767778587730763</c:v>
                </c:pt>
                <c:pt idx="115">
                  <c:v>2.8648718566841889</c:v>
                </c:pt>
                <c:pt idx="116">
                  <c:v>2.9653711433436016</c:v>
                </c:pt>
                <c:pt idx="117">
                  <c:v>3.0693959303130844</c:v>
                </c:pt>
                <c:pt idx="118">
                  <c:v>3.1770698916290354</c:v>
                </c:pt>
                <c:pt idx="119">
                  <c:v>3.2885210397950018</c:v>
                </c:pt>
                <c:pt idx="120">
                  <c:v>3.4038818779744737</c:v>
                </c:pt>
                <c:pt idx="121">
                  <c:v>3.5232895575225811</c:v>
                </c:pt>
                <c:pt idx="122">
                  <c:v>3.6468860410439765</c:v>
                </c:pt>
                <c:pt idx="123">
                  <c:v>3.7748182711707674</c:v>
                </c:pt>
                <c:pt idx="124">
                  <c:v>3.9072383452611525</c:v>
                </c:pt>
                <c:pt idx="125">
                  <c:v>4.0443036962264589</c:v>
                </c:pt>
                <c:pt idx="126">
                  <c:v>4.1861772797015711</c:v>
                </c:pt>
                <c:pt idx="127">
                  <c:v>4.3330277677812639</c:v>
                </c:pt>
                <c:pt idx="128">
                  <c:v>4.4850297495527807</c:v>
                </c:pt>
                <c:pt idx="129">
                  <c:v>4.6423639386630704</c:v>
                </c:pt>
                <c:pt idx="130">
                  <c:v>4.8052173881674447</c:v>
                </c:pt>
                <c:pt idx="131">
                  <c:v>4.9737837129150959</c:v>
                </c:pt>
                <c:pt idx="132">
                  <c:v>5.1482633197358743</c:v>
                </c:pt>
                <c:pt idx="133">
                  <c:v>5.3288636457019765</c:v>
                </c:pt>
                <c:pt idx="134">
                  <c:v>5.5157994047478169</c:v>
                </c:pt>
                <c:pt idx="135">
                  <c:v>5.7092928429412986</c:v>
                </c:pt>
                <c:pt idx="136">
                  <c:v>5.9095740027099541</c:v>
                </c:pt>
                <c:pt idx="137">
                  <c:v>6.1168809963361008</c:v>
                </c:pt>
                <c:pt idx="138">
                  <c:v>6.3314602890461762</c:v>
                </c:pt>
                <c:pt idx="139">
                  <c:v>6.5535669920307917</c:v>
                </c:pt>
                <c:pt idx="140">
                  <c:v>6.7834651657438956</c:v>
                </c:pt>
                <c:pt idx="141">
                  <c:v>7.0214281338416287</c:v>
                </c:pt>
                <c:pt idx="142">
                  <c:v>7.2677388081341014</c:v>
                </c:pt>
                <c:pt idx="143">
                  <c:v>7.5226900249364386</c:v>
                </c:pt>
                <c:pt idx="144">
                  <c:v>7.7865848932189659</c:v>
                </c:pt>
                <c:pt idx="145">
                  <c:v>8.0597371549704526</c:v>
                </c:pt>
                <c:pt idx="146">
                  <c:v>8.342471558202849</c:v>
                </c:pt>
                <c:pt idx="147">
                  <c:v>8.6351242430409805</c:v>
                </c:pt>
                <c:pt idx="148">
                  <c:v>8.9380431413561876</c:v>
                </c:pt>
                <c:pt idx="149">
                  <c:v>9.2515883904190943</c:v>
                </c:pt>
                <c:pt idx="150">
                  <c:v>9.5761327610632154</c:v>
                </c:pt>
                <c:pt idx="151">
                  <c:v>9.9120621008685088</c:v>
                </c:pt>
                <c:pt idx="152">
                  <c:v>10.259775792891732</c:v>
                </c:pt>
                <c:pt idx="153">
                  <c:v>10.619687230488996</c:v>
                </c:pt>
                <c:pt idx="154">
                  <c:v>10.992224308795002</c:v>
                </c:pt>
                <c:pt idx="155">
                  <c:v>11.377829933443346</c:v>
                </c:pt>
                <c:pt idx="156">
                  <c:v>11.776962547132609</c:v>
                </c:pt>
                <c:pt idx="157">
                  <c:v>12.190096674664346</c:v>
                </c:pt>
                <c:pt idx="158">
                  <c:v>12.617723487100898</c:v>
                </c:pt>
                <c:pt idx="159">
                  <c:v>13.060351385713798</c:v>
                </c:pt>
                <c:pt idx="160">
                  <c:v>13.518506606416992</c:v>
                </c:pt>
                <c:pt idx="161">
                  <c:v>13.992733845403491</c:v>
                </c:pt>
                <c:pt idx="162">
                  <c:v>14.48359690672927</c:v>
                </c:pt>
                <c:pt idx="163">
                  <c:v>14.991679372614316</c:v>
                </c:pt>
                <c:pt idx="164">
                  <c:v>15.517585297257723</c:v>
                </c:pt>
                <c:pt idx="165">
                  <c:v>16.061939924991741</c:v>
                </c:pt>
                <c:pt idx="166">
                  <c:v>16.62539043362856</c:v>
                </c:pt>
                <c:pt idx="167">
                  <c:v>17.208606703883571</c:v>
                </c:pt>
                <c:pt idx="168">
                  <c:v>17.812282115789912</c:v>
                </c:pt>
                <c:pt idx="169">
                  <c:v>18.437134373051084</c:v>
                </c:pt>
                <c:pt idx="170">
                  <c:v>19.083906356311786</c:v>
                </c:pt>
                <c:pt idx="171">
                  <c:v>19.753367006361312</c:v>
                </c:pt>
                <c:pt idx="172">
                  <c:v>20.446312238319635</c:v>
                </c:pt>
                <c:pt idx="173">
                  <c:v>21.163565887892997</c:v>
                </c:pt>
                <c:pt idx="174">
                  <c:v>21.905980690823984</c:v>
                </c:pt>
                <c:pt idx="175">
                  <c:v>22.674439296700601</c:v>
                </c:pt>
                <c:pt idx="176">
                  <c:v>23.469855318329582</c:v>
                </c:pt>
                <c:pt idx="177">
                  <c:v>24.293174417921602</c:v>
                </c:pt>
                <c:pt idx="178">
                  <c:v>25.145375431379691</c:v>
                </c:pt>
                <c:pt idx="179">
                  <c:v>26.027471532027516</c:v>
                </c:pt>
                <c:pt idx="180">
                  <c:v>26.940511435161067</c:v>
                </c:pt>
                <c:pt idx="181">
                  <c:v>27.885580644855892</c:v>
                </c:pt>
                <c:pt idx="182">
                  <c:v>28.8638027445121</c:v>
                </c:pt>
                <c:pt idx="183">
                  <c:v>29.87634073267149</c:v>
                </c:pt>
                <c:pt idx="184">
                  <c:v>30.924398405695026</c:v>
                </c:pt>
                <c:pt idx="185">
                  <c:v>32.009221788944323</c:v>
                </c:pt>
                <c:pt idx="186">
                  <c:v>33.132100618168849</c:v>
                </c:pt>
                <c:pt idx="187">
                  <c:v>34.294369872859953</c:v>
                </c:pt>
                <c:pt idx="188">
                  <c:v>35.497411363394733</c:v>
                </c:pt>
                <c:pt idx="189">
                  <c:v>36.742655373856657</c:v>
                </c:pt>
                <c:pt idx="190">
                  <c:v>38.031582362486112</c:v>
                </c:pt>
                <c:pt idx="191">
                  <c:v>39.365724721782549</c:v>
                </c:pt>
                <c:pt idx="192">
                  <c:v>40.746668600350631</c:v>
                </c:pt>
                <c:pt idx="193">
                  <c:v>42.176055788656626</c:v>
                </c:pt>
                <c:pt idx="194">
                  <c:v>43.655585670936766</c:v>
                </c:pt>
                <c:pt idx="195">
                  <c:v>45.187017245578282</c:v>
                </c:pt>
                <c:pt idx="196">
                  <c:v>46.772171216375177</c:v>
                </c:pt>
                <c:pt idx="197">
                  <c:v>48.412932157144837</c:v>
                </c:pt>
                <c:pt idx="198">
                  <c:v>50.111250752279112</c:v>
                </c:pt>
                <c:pt idx="199">
                  <c:v>51.869146115893713</c:v>
                </c:pt>
                <c:pt idx="200">
                  <c:v>53.688708192332818</c:v>
                </c:pt>
                <c:pt idx="201">
                  <c:v>55.572100240883238</c:v>
                </c:pt>
                <c:pt idx="202">
                  <c:v>57.521561407651888</c:v>
                </c:pt>
                <c:pt idx="203">
                  <c:v>59.539409387664335</c:v>
                </c:pt>
                <c:pt idx="204">
                  <c:v>61.628043180349437</c:v>
                </c:pt>
                <c:pt idx="205">
                  <c:v>63.789945941685907</c:v>
                </c:pt>
                <c:pt idx="206">
                  <c:v>66.027687936401847</c:v>
                </c:pt>
                <c:pt idx="207">
                  <c:v>68.343929593736917</c:v>
                </c:pt>
                <c:pt idx="208">
                  <c:v>70.741424670400278</c:v>
                </c:pt>
                <c:pt idx="209">
                  <c:v>73.223023524484603</c:v>
                </c:pt>
                <c:pt idx="210">
                  <c:v>75.791676504228477</c:v>
                </c:pt>
                <c:pt idx="211">
                  <c:v>78.450437455656157</c:v>
                </c:pt>
                <c:pt idx="212">
                  <c:v>81.20246735326478</c:v>
                </c:pt>
                <c:pt idx="213">
                  <c:v>84.051038058075576</c:v>
                </c:pt>
                <c:pt idx="214">
                  <c:v>86.999536207516897</c:v>
                </c:pt>
                <c:pt idx="215">
                  <c:v>90.051467241763902</c:v>
                </c:pt>
                <c:pt idx="216">
                  <c:v>93.210459571321536</c:v>
                </c:pt>
                <c:pt idx="217">
                  <c:v>96.480268890805732</c:v>
                </c:pt>
                <c:pt idx="218">
                  <c:v>99.86478264405153</c:v>
                </c:pt>
                <c:pt idx="219">
                  <c:v>103.36802464585627</c:v>
                </c:pt>
                <c:pt idx="220">
                  <c:v>106.99415986585336</c:v>
                </c:pt>
                <c:pt idx="221">
                  <c:v>110.74749938020311</c:v>
                </c:pt>
                <c:pt idx="222">
                  <c:v>114.63250549698837</c:v>
                </c:pt>
                <c:pt idx="223">
                  <c:v>118.65379706140838</c:v>
                </c:pt>
                <c:pt idx="224">
                  <c:v>122.81615494707791</c:v>
                </c:pt>
                <c:pt idx="225">
                  <c:v>127.12452773996046</c:v>
                </c:pt>
                <c:pt idx="226">
                  <c:v>131.584037621693</c:v>
                </c:pt>
                <c:pt idx="227">
                  <c:v>136.19998645929684</c:v>
                </c:pt>
                <c:pt idx="228">
                  <c:v>140.97786210851478</c:v>
                </c:pt>
                <c:pt idx="229">
                  <c:v>145.92334493826789</c:v>
                </c:pt>
                <c:pt idx="230">
                  <c:v>151.04231458399045</c:v>
                </c:pt>
                <c:pt idx="231">
                  <c:v>156.34085693786957</c:v>
                </c:pt>
                <c:pt idx="232">
                  <c:v>161.82527138430234</c:v>
                </c:pt>
                <c:pt idx="233">
                  <c:v>167.50207828917075</c:v>
                </c:pt>
                <c:pt idx="234">
                  <c:v>173.37802675184096</c:v>
                </c:pt>
                <c:pt idx="235">
                  <c:v>179.46010262909985</c:v>
                </c:pt>
                <c:pt idx="236">
                  <c:v>185.75553684057058</c:v>
                </c:pt>
                <c:pt idx="237">
                  <c:v>192.2718139654819</c:v>
                </c:pt>
                <c:pt idx="238">
                  <c:v>199.01668114100951</c:v>
                </c:pt>
                <c:pt idx="239">
                  <c:v>205.99815727277087</c:v>
                </c:pt>
                <c:pt idx="240">
                  <c:v>213.22454256842178</c:v>
                </c:pt>
                <c:pt idx="241">
                  <c:v>220.70442840569206</c:v>
                </c:pt>
                <c:pt idx="242">
                  <c:v>228.44670754658779</c:v>
                </c:pt>
                <c:pt idx="243">
                  <c:v>236.46058470990909</c:v>
                </c:pt>
                <c:pt idx="244">
                  <c:v>244.75558751464831</c:v>
                </c:pt>
                <c:pt idx="245">
                  <c:v>253.34157780728108</c:v>
                </c:pt>
                <c:pt idx="246">
                  <c:v>262.2287633864189</c:v>
                </c:pt>
                <c:pt idx="247">
                  <c:v>271.4277101387587</c:v>
                </c:pt>
                <c:pt idx="248">
                  <c:v>280.94935460076113</c:v>
                </c:pt>
                <c:pt idx="249">
                  <c:v>290.80501696098924</c:v>
                </c:pt>
                <c:pt idx="250">
                  <c:v>301.00641451856916</c:v>
                </c:pt>
                <c:pt idx="251">
                  <c:v>311.56567561377102</c:v>
                </c:pt>
                <c:pt idx="252">
                  <c:v>322.49535404727078</c:v>
                </c:pt>
                <c:pt idx="253">
                  <c:v>333.80844400524091</c:v>
                </c:pt>
                <c:pt idx="254">
                  <c:v>345.5183955080085</c:v>
                </c:pt>
                <c:pt idx="255">
                  <c:v>357.63913040065023</c:v>
                </c:pt>
                <c:pt idx="256">
                  <c:v>370.18505890453713</c:v>
                </c:pt>
                <c:pt idx="257">
                  <c:v>383.17109674950291</c:v>
                </c:pt>
                <c:pt idx="258">
                  <c:v>396.61268290700741</c:v>
                </c:pt>
                <c:pt idx="259">
                  <c:v>410.52579794537525</c:v>
                </c:pt>
                <c:pt idx="260">
                  <c:v>424.92698302893729</c:v>
                </c:pt>
                <c:pt idx="261">
                  <c:v>439.8333595836537</c:v>
                </c:pt>
                <c:pt idx="262">
                  <c:v>455.26264965261038</c:v>
                </c:pt>
                <c:pt idx="263">
                  <c:v>471.23319696557684</c:v>
                </c:pt>
                <c:pt idx="264">
                  <c:v>487.76398874768722</c:v>
                </c:pt>
                <c:pt idx="265">
                  <c:v>504.87467829316228</c:v>
                </c:pt>
                <c:pt idx="266">
                  <c:v>522.58560833091622</c:v>
                </c:pt>
                <c:pt idx="267">
                  <c:v>540.91783520982381</c:v>
                </c:pt>
                <c:pt idx="268">
                  <c:v>559.89315393240724</c:v>
                </c:pt>
                <c:pt idx="269">
                  <c:v>579.53412406669474</c:v>
                </c:pt>
                <c:pt idx="270">
                  <c:v>599.86409656707042</c:v>
                </c:pt>
                <c:pt idx="271">
                  <c:v>620.90724153599047</c:v>
                </c:pt>
                <c:pt idx="272">
                  <c:v>642.68857695957649</c:v>
                </c:pt>
                <c:pt idx="273">
                  <c:v>665.23399845125459</c:v>
                </c:pt>
                <c:pt idx="274">
                  <c:v>688.57031003878853</c:v>
                </c:pt>
                <c:pt idx="275">
                  <c:v>712.72525603132635</c:v>
                </c:pt>
                <c:pt idx="276">
                  <c:v>737.72755400433221</c:v>
                </c:pt>
                <c:pt idx="277">
                  <c:v>763.6069289416248</c:v>
                </c:pt>
                <c:pt idx="278">
                  <c:v>790.39414857511952</c:v>
                </c:pt>
                <c:pt idx="279">
                  <c:v>818.1210599642767</c:v>
                </c:pt>
                <c:pt idx="280">
                  <c:v>846.82062735875547</c:v>
                </c:pt>
                <c:pt idx="281">
                  <c:v>876.52697138928079</c:v>
                </c:pt>
                <c:pt idx="282">
                  <c:v>907.27540963332683</c:v>
                </c:pt>
                <c:pt idx="283">
                  <c:v>939.10249860382874</c:v>
                </c:pt>
                <c:pt idx="284">
                  <c:v>972.04607721086302</c:v>
                </c:pt>
                <c:pt idx="285">
                  <c:v>1006.1453117479499</c:v>
                </c:pt>
                <c:pt idx="286">
                  <c:v>1041.4407424564688</c:v>
                </c:pt>
                <c:pt idx="287">
                  <c:v>1077.9743317235509</c:v>
                </c:pt>
                <c:pt idx="288">
                  <c:v>1115.7895139707459</c:v>
                </c:pt>
                <c:pt idx="289">
                  <c:v>1154.9312472927725</c:v>
                </c:pt>
                <c:pt idx="290">
                  <c:v>1195.4460669077519</c:v>
                </c:pt>
                <c:pt idx="291">
                  <c:v>1237.3821404824632</c:v>
                </c:pt>
                <c:pt idx="292">
                  <c:v>1280.7893253984103</c:v>
                </c:pt>
                <c:pt idx="293">
                  <c:v>1325.7192280267632</c:v>
                </c:pt>
                <c:pt idx="294">
                  <c:v>1372.2252650826629</c:v>
                </c:pt>
                <c:pt idx="295">
                  <c:v>1420.3627271318198</c:v>
                </c:pt>
                <c:pt idx="296">
                  <c:v>1470.1888443249213</c:v>
                </c:pt>
                <c:pt idx="297">
                  <c:v>1521.7628544379922</c:v>
                </c:pt>
                <c:pt idx="298">
                  <c:v>1575.1460732995915</c:v>
                </c:pt>
                <c:pt idx="299">
                  <c:v>1630.4019676885991</c:v>
                </c:pt>
                <c:pt idx="300">
                  <c:v>1687.596230789236</c:v>
                </c:pt>
                <c:pt idx="301">
                  <c:v>1746.7968602930189</c:v>
                </c:pt>
              </c:numCache>
            </c:numRef>
          </c:xVal>
          <c:yVal>
            <c:numRef>
              <c:f>'Aerosol 2'!$D$17:$D$318</c:f>
              <c:numCache>
                <c:formatCode>0.00000</c:formatCode>
                <c:ptCount val="302"/>
                <c:pt idx="0">
                  <c:v>0.44186124245927633</c:v>
                </c:pt>
                <c:pt idx="1">
                  <c:v>0.46131210999061745</c:v>
                </c:pt>
                <c:pt idx="2">
                  <c:v>0.48140861666230927</c:v>
                </c:pt>
                <c:pt idx="3">
                  <c:v>0.50216093125413552</c:v>
                </c:pt>
                <c:pt idx="4">
                  <c:v>0.52357878441183359</c:v>
                </c:pt>
                <c:pt idx="5">
                  <c:v>0.5456714323813735</c:v>
                </c:pt>
                <c:pt idx="6">
                  <c:v>0.56844762024753248</c:v>
                </c:pt>
                <c:pt idx="7">
                  <c:v>0.59191554475411046</c:v>
                </c:pt>
                <c:pt idx="8">
                  <c:v>0.61608281678768284</c:v>
                </c:pt>
                <c:pt idx="9">
                  <c:v>0.640956423611309</c:v>
                </c:pt>
                <c:pt idx="10">
                  <c:v>0.66654269093894958</c:v>
                </c:pt>
                <c:pt idx="11">
                  <c:v>0.69284724494557703</c:v>
                </c:pt>
                <c:pt idx="12">
                  <c:v>0.71987497431205472</c:v>
                </c:pt>
                <c:pt idx="13">
                  <c:v>0.74762999240766514</c:v>
                </c:pt>
                <c:pt idx="14">
                  <c:v>0.77611559971686572</c:v>
                </c:pt>
                <c:pt idx="15">
                  <c:v>0.80533424662027397</c:v>
                </c:pt>
                <c:pt idx="16">
                  <c:v>0.83528749664299695</c:v>
                </c:pt>
                <c:pt idx="17">
                  <c:v>0.86597599028635586</c:v>
                </c:pt>
                <c:pt idx="18">
                  <c:v>0.89739940956159492</c:v>
                </c:pt>
                <c:pt idx="19">
                  <c:v>0.92955644334641507</c:v>
                </c:pt>
                <c:pt idx="20">
                  <c:v>0.96244475368708815</c:v>
                </c:pt>
                <c:pt idx="21">
                  <c:v>0.99606094317043981</c:v>
                </c:pt>
                <c:pt idx="22">
                  <c:v>1.0304005234911267</c:v>
                </c:pt>
                <c:pt idx="23">
                  <c:v>1.0654578853403807</c:v>
                </c:pt>
                <c:pt idx="24">
                  <c:v>1.1012262697427355</c:v>
                </c:pt>
                <c:pt idx="25">
                  <c:v>1.1376977409670872</c:v>
                </c:pt>
                <c:pt idx="26">
                  <c:v>1.1748631611379141</c:v>
                </c:pt>
                <c:pt idx="27">
                  <c:v>1.2127121666714109</c:v>
                </c:pt>
                <c:pt idx="28">
                  <c:v>1.2512331466597939</c:v>
                </c:pt>
                <c:pt idx="29">
                  <c:v>1.2904132233250187</c:v>
                </c:pt>
                <c:pt idx="30">
                  <c:v>1.3302382346606514</c:v>
                </c:pt>
                <c:pt idx="31">
                  <c:v>1.3706927193776288</c:v>
                </c:pt>
                <c:pt idx="32">
                  <c:v>1.4117599042661435</c:v>
                </c:pt>
                <c:pt idx="33">
                  <c:v>1.4534216940818485</c:v>
                </c:pt>
                <c:pt idx="34">
                  <c:v>1.4956586640600764</c:v>
                </c:pt>
                <c:pt idx="35">
                  <c:v>1.5384500551567053</c:v>
                </c:pt>
                <c:pt idx="36">
                  <c:v>1.5817737721087923</c:v>
                </c:pt>
                <c:pt idx="37">
                  <c:v>1.6256063844020647</c:v>
                </c:pt>
                <c:pt idx="38">
                  <c:v>1.6699231302258415</c:v>
                </c:pt>
                <c:pt idx="39">
                  <c:v>1.7146979234889446</c:v>
                </c:pt>
                <c:pt idx="40">
                  <c:v>1.759903363962817</c:v>
                </c:pt>
                <c:pt idx="41">
                  <c:v>1.8055107506100476</c:v>
                </c:pt>
                <c:pt idx="42">
                  <c:v>1.8514900981483005</c:v>
                </c:pt>
                <c:pt idx="43">
                  <c:v>1.8978101568909038</c:v>
                </c:pt>
                <c:pt idx="44">
                  <c:v>1.9444384358962847</c:v>
                </c:pt>
                <c:pt idx="45">
                  <c:v>1.9913412294490078</c:v>
                </c:pt>
                <c:pt idx="46">
                  <c:v>2.0384836468854131</c:v>
                </c:pt>
                <c:pt idx="47">
                  <c:v>2.0858296457668346</c:v>
                </c:pt>
                <c:pt idx="48">
                  <c:v>2.1333420683930817</c:v>
                </c:pt>
                <c:pt idx="49">
                  <c:v>2.1809826816383282</c:v>
                </c:pt>
                <c:pt idx="50">
                  <c:v>2.228712220080856</c:v>
                </c:pt>
                <c:pt idx="51">
                  <c:v>2.2764904323872996</c:v>
                </c:pt>
                <c:pt idx="52">
                  <c:v>2.3242761309009832</c:v>
                </c:pt>
                <c:pt idx="53">
                  <c:v>2.3720272443730042</c:v>
                </c:pt>
                <c:pt idx="54">
                  <c:v>2.4197008737636536</c:v>
                </c:pt>
                <c:pt idx="55">
                  <c:v>2.4672533510306454</c:v>
                </c:pt>
                <c:pt idx="56">
                  <c:v>2.5146403008098255</c:v>
                </c:pt>
                <c:pt idx="57">
                  <c:v>2.5618167048829941</c:v>
                </c:pt>
                <c:pt idx="58">
                  <c:v>2.6087369693169058</c:v>
                </c:pt>
                <c:pt idx="59">
                  <c:v>2.6553549941469203</c:v>
                </c:pt>
                <c:pt idx="60">
                  <c:v>2.7016242454685999</c:v>
                </c:pt>
                <c:pt idx="61">
                  <c:v>2.7474978297904649</c:v>
                </c:pt>
                <c:pt idx="62">
                  <c:v>2.7929285704915876</c:v>
                </c:pt>
                <c:pt idx="63">
                  <c:v>2.8378690862184355</c:v>
                </c:pt>
                <c:pt idx="64">
                  <c:v>2.8822718710464335</c:v>
                </c:pt>
                <c:pt idx="65">
                  <c:v>2.9260893762235214</c:v>
                </c:pt>
                <c:pt idx="66">
                  <c:v>2.9692740933049833</c:v>
                </c:pt>
                <c:pt idx="67">
                  <c:v>3.0117786384815415</c:v>
                </c:pt>
                <c:pt idx="68">
                  <c:v>3.0535558378960421</c:v>
                </c:pt>
                <c:pt idx="69">
                  <c:v>3.0945588137378577</c:v>
                </c:pt>
                <c:pt idx="70">
                  <c:v>3.1347410708986945</c:v>
                </c:pt>
                <c:pt idx="71">
                  <c:v>3.1740565839687793</c:v>
                </c:pt>
                <c:pt idx="72">
                  <c:v>3.2124598843482381</c:v>
                </c:pt>
                <c:pt idx="73">
                  <c:v>3.2499061472452042</c:v>
                </c:pt>
                <c:pt idx="74">
                  <c:v>3.2863512783296476</c:v>
                </c:pt>
                <c:pt idx="75">
                  <c:v>3.3217519998100826</c:v>
                </c:pt>
                <c:pt idx="76">
                  <c:v>3.3560659356993177</c:v>
                </c:pt>
                <c:pt idx="77">
                  <c:v>3.3892516960353243</c:v>
                </c:pt>
                <c:pt idx="78">
                  <c:v>3.4212689598238413</c:v>
                </c:pt>
                <c:pt idx="79">
                  <c:v>3.4520785564708141</c:v>
                </c:pt>
                <c:pt idx="80">
                  <c:v>3.4816425454751547</c:v>
                </c:pt>
                <c:pt idx="81">
                  <c:v>3.5099242941553546</c:v>
                </c:pt>
                <c:pt idx="82">
                  <c:v>3.5368885531874357</c:v>
                </c:pt>
                <c:pt idx="83">
                  <c:v>3.5625015297365521</c:v>
                </c:pt>
                <c:pt idx="84">
                  <c:v>3.5867309579701279</c:v>
                </c:pt>
                <c:pt idx="85">
                  <c:v>3.609546166746695</c:v>
                </c:pt>
                <c:pt idx="86">
                  <c:v>3.630918144281865</c:v>
                </c:pt>
                <c:pt idx="87">
                  <c:v>3.6508195996006427</c:v>
                </c:pt>
                <c:pt idx="88">
                  <c:v>3.66922502059399</c:v>
                </c:pt>
                <c:pt idx="89">
                  <c:v>3.6861107285067698</c:v>
                </c:pt>
                <c:pt idx="90">
                  <c:v>3.7014549286942424</c:v>
                </c:pt>
                <c:pt idx="91">
                  <c:v>3.7152377574948292</c:v>
                </c:pt>
                <c:pt idx="92">
                  <c:v>3.7274413250780198</c:v>
                </c:pt>
                <c:pt idx="93">
                  <c:v>3.7380497541381152</c:v>
                </c:pt>
                <c:pt idx="94">
                  <c:v>3.7470492143165992</c:v>
                </c:pt>
                <c:pt idx="95">
                  <c:v>3.7544279522487161</c:v>
                </c:pt>
                <c:pt idx="96">
                  <c:v>3.7601763171428693</c:v>
                </c:pt>
                <c:pt idx="97">
                  <c:v>3.7642867818149099</c:v>
                </c:pt>
                <c:pt idx="98">
                  <c:v>3.766753959113152</c:v>
                </c:pt>
                <c:pt idx="99">
                  <c:v>3.7675746136839425</c:v>
                </c:pt>
                <c:pt idx="100">
                  <c:v>3.7667476690418042</c:v>
                </c:pt>
                <c:pt idx="101">
                  <c:v>3.7642742099225499</c:v>
                </c:pt>
                <c:pt idx="102">
                  <c:v>3.7601574799121305</c:v>
                </c:pt>
                <c:pt idx="103">
                  <c:v>3.7544028743585272</c:v>
                </c:pt>
                <c:pt idx="104">
                  <c:v>3.7470179285882987</c:v>
                </c:pt>
                <c:pt idx="105">
                  <c:v>3.7380123014638706</c:v>
                </c:pt>
                <c:pt idx="106">
                  <c:v>3.7273977543317587</c:v>
                </c:pt>
                <c:pt idx="107">
                  <c:v>3.7151881254259633</c:v>
                </c:pt>
                <c:pt idx="108">
                  <c:v>3.7013992998044931</c:v>
                </c:pt>
                <c:pt idx="109">
                  <c:v>3.686049174910484</c:v>
                </c:pt>
                <c:pt idx="110">
                  <c:v>3.6691576218623672</c:v>
                </c:pt>
                <c:pt idx="111">
                  <c:v>3.6507464425903295</c:v>
                </c:pt>
                <c:pt idx="112">
                  <c:v>3.6308393229484563</c:v>
                </c:pt>
                <c:pt idx="113">
                  <c:v>3.6094617819436903</c:v>
                </c:pt>
                <c:pt idx="114">
                  <c:v>3.5866411172339343</c:v>
                </c:pt>
                <c:pt idx="115">
                  <c:v>3.562406347058205</c:v>
                </c:pt>
                <c:pt idx="116">
                  <c:v>3.536788148771687</c:v>
                </c:pt>
                <c:pt idx="117">
                  <c:v>3.5098187941678494</c:v>
                </c:pt>
                <c:pt idx="118">
                  <c:v>3.4815320817784419</c:v>
                </c:pt>
                <c:pt idx="119">
                  <c:v>3.4519632663499689</c:v>
                </c:pt>
                <c:pt idx="120">
                  <c:v>3.4211489857025024</c:v>
                </c:pt>
                <c:pt idx="121">
                  <c:v>3.3891271851829274</c:v>
                </c:pt>
                <c:pt idx="122">
                  <c:v>3.355937039930418</c:v>
                </c:pt>
                <c:pt idx="123">
                  <c:v>3.3216188751766098</c:v>
                </c:pt>
                <c:pt idx="124">
                  <c:v>3.2862140848069323</c:v>
                </c:pt>
                <c:pt idx="125">
                  <c:v>3.2497650484126934</c:v>
                </c:pt>
                <c:pt idx="126">
                  <c:v>3.2123150470657871</c:v>
                </c:pt>
                <c:pt idx="127">
                  <c:v>3.1739081780493863</c:v>
                </c:pt>
                <c:pt idx="128">
                  <c:v>3.1345892687785928</c:v>
                </c:pt>
                <c:pt idx="129">
                  <c:v>3.0944037901448533</c:v>
                </c:pt>
                <c:pt idx="130">
                  <c:v>3.0533977695169816</c:v>
                </c:pt>
                <c:pt idx="131">
                  <c:v>3.0116177036297791</c:v>
                </c:pt>
                <c:pt idx="132">
                  <c:v>2.9691104715887366</c:v>
                </c:pt>
                <c:pt idx="133">
                  <c:v>2.9259232482159381</c:v>
                </c:pt>
                <c:pt idx="134">
                  <c:v>2.8821034179582243</c:v>
                </c:pt>
                <c:pt idx="135">
                  <c:v>2.8376984895738926</c:v>
                </c:pt>
                <c:pt idx="136">
                  <c:v>2.7927560118087604</c:v>
                </c:pt>
                <c:pt idx="137">
                  <c:v>2.7473234902662829</c:v>
                </c:pt>
                <c:pt idx="138">
                  <c:v>2.7014483056696856</c:v>
                </c:pt>
                <c:pt idx="139">
                  <c:v>2.6551776337067761</c:v>
                </c:pt>
                <c:pt idx="140">
                  <c:v>2.6085583666402004</c:v>
                </c:pt>
                <c:pt idx="141">
                  <c:v>2.5616370368575714</c:v>
                </c:pt>
                <c:pt idx="142">
                  <c:v>2.5144597425270416</c:v>
                </c:pt>
                <c:pt idx="143">
                  <c:v>2.4670720755146456</c:v>
                </c:pt>
                <c:pt idx="144">
                  <c:v>2.4195190517101013</c:v>
                </c:pt>
                <c:pt idx="145">
                  <c:v>2.3718450438977809</c:v>
                </c:pt>
                <c:pt idx="146">
                  <c:v>2.3240937172993008</c:v>
                </c:pt>
                <c:pt idx="147">
                  <c:v>2.2763079679036884</c:v>
                </c:pt>
                <c:pt idx="148">
                  <c:v>2.2285298636903583</c:v>
                </c:pt>
                <c:pt idx="149">
                  <c:v>2.1808005888392805</c:v>
                </c:pt>
                <c:pt idx="150">
                  <c:v>2.1331603910117636</c:v>
                </c:pt>
                <c:pt idx="151">
                  <c:v>2.0856485317742313</c:v>
                </c:pt>
                <c:pt idx="152">
                  <c:v>2.0383032402263295</c:v>
                </c:pt>
                <c:pt idx="153">
                  <c:v>1.9911616698836792</c:v>
                </c:pt>
                <c:pt idx="154">
                  <c:v>1.94425985885463</c:v>
                </c:pt>
                <c:pt idx="155">
                  <c:v>1.8976326933395071</c:v>
                </c:pt>
                <c:pt idx="156">
                  <c:v>1.8513138744701663</c:v>
                </c:pt>
                <c:pt idx="157">
                  <c:v>1.8053358884971329</c:v>
                </c:pt>
                <c:pt idx="158">
                  <c:v>1.7597299803213207</c:v>
                </c:pt>
                <c:pt idx="159">
                  <c:v>1.7145261303572796</c:v>
                </c:pt>
                <c:pt idx="160">
                  <c:v>1.6697530347051837</c:v>
                </c:pt>
                <c:pt idx="161">
                  <c:v>1.6254380885993382</c:v>
                </c:pt>
                <c:pt idx="162">
                  <c:v>1.5816073730919125</c:v>
                </c:pt>
                <c:pt idx="163">
                  <c:v>1.5382856449218942</c:v>
                </c:pt>
                <c:pt idx="164">
                  <c:v>1.4954963295109787</c:v>
                </c:pt>
                <c:pt idx="165">
                  <c:v>1.4532615170202043</c:v>
                </c:pt>
                <c:pt idx="166">
                  <c:v>1.4116019613937212</c:v>
                </c:pt>
                <c:pt idx="167">
                  <c:v>1.3705370823090919</c:v>
                </c:pt>
                <c:pt idx="168">
                  <c:v>1.3300849699470119</c:v>
                </c:pt>
                <c:pt idx="169">
                  <c:v>1.2902623924873224</c:v>
                </c:pt>
                <c:pt idx="170">
                  <c:v>1.2510848062326405</c:v>
                </c:pt>
                <c:pt idx="171">
                  <c:v>1.2125663682559087</c:v>
                </c:pt>
                <c:pt idx="172">
                  <c:v>1.1747199514636475</c:v>
                </c:pt>
                <c:pt idx="173">
                  <c:v>1.1375571619626581</c:v>
                </c:pt>
                <c:pt idx="174">
                  <c:v>1.1010883586144373</c:v>
                </c:pt>
                <c:pt idx="175">
                  <c:v>1.0653226746585411</c:v>
                </c:pt>
                <c:pt idx="176">
                  <c:v>1.0302680412836542</c:v>
                </c:pt>
                <c:pt idx="177">
                  <c:v>0.99593121302309984</c:v>
                </c:pt>
                <c:pt idx="178">
                  <c:v>0.96231779485002644</c:v>
                </c:pt>
                <c:pt idx="179">
                  <c:v>0.92943227084645752</c:v>
                </c:pt>
                <c:pt idx="180">
                  <c:v>0.89727803431982789</c:v>
                </c:pt>
                <c:pt idx="181">
                  <c:v>0.86585741924051085</c:v>
                </c:pt>
                <c:pt idx="182">
                  <c:v>0.8351717328741588</c:v>
                </c:pt>
                <c:pt idx="183">
                  <c:v>0.80522128948343585</c:v>
                </c:pt>
                <c:pt idx="184">
                  <c:v>0.77600544497485402</c:v>
                </c:pt>
                <c:pt idx="185">
                  <c:v>0.747522632367977</c:v>
                </c:pt>
                <c:pt idx="186">
                  <c:v>0.71977039796614994</c:v>
                </c:pt>
                <c:pt idx="187">
                  <c:v>0.69274543811016442</c:v>
                </c:pt>
                <c:pt idx="188">
                  <c:v>0.66644363639884785</c:v>
                </c:pt>
                <c:pt idx="189">
                  <c:v>0.64086010126344251</c:v>
                </c:pt>
                <c:pt idx="190">
                  <c:v>0.61598920378580069</c:v>
                </c:pt>
                <c:pt idx="191">
                  <c:v>0.59182461565384048</c:v>
                </c:pt>
                <c:pt idx="192">
                  <c:v>0.56835934715136893</c:v>
                </c:pt>
                <c:pt idx="193">
                  <c:v>0.54558578508323363</c:v>
                </c:pt>
                <c:pt idx="194">
                  <c:v>0.52349573054083476</c:v>
                </c:pt>
                <c:pt idx="195">
                  <c:v>0.50208043641724442</c:v>
                </c:pt>
                <c:pt idx="196">
                  <c:v>0.48133064458554958</c:v>
                </c:pt>
                <c:pt idx="197">
                  <c:v>0.46123662265852483</c:v>
                </c:pt>
                <c:pt idx="198">
                  <c:v>0.44178820025232607</c:v>
                </c:pt>
                <c:pt idx="199">
                  <c:v>0.42297480468155857</c:v>
                </c:pt>
                <c:pt idx="200">
                  <c:v>0.40478549601780117</c:v>
                </c:pt>
                <c:pt idx="201">
                  <c:v>0.38720900144841131</c:v>
                </c:pt>
                <c:pt idx="202">
                  <c:v>0.3702337488772196</c:v>
                </c:pt>
                <c:pt idx="203">
                  <c:v>0.35384789971348357</c:v>
                </c:pt>
                <c:pt idx="204">
                  <c:v>0.33803938080021634</c:v>
                </c:pt>
                <c:pt idx="205">
                  <c:v>0.32279591543772024</c:v>
                </c:pt>
                <c:pt idx="206">
                  <c:v>0.30810505346279932</c:v>
                </c:pt>
                <c:pt idx="207">
                  <c:v>0.29395420034871345</c:v>
                </c:pt>
                <c:pt idx="208">
                  <c:v>0.28033064529542867</c:v>
                </c:pt>
                <c:pt idx="209">
                  <c:v>0.26722158828411935</c:v>
                </c:pt>
                <c:pt idx="210">
                  <c:v>0.2546141660741621</c:v>
                </c:pt>
                <c:pt idx="211">
                  <c:v>0.24249547712502706</c:v>
                </c:pt>
                <c:pt idx="212">
                  <c:v>0.23085260542950359</c:v>
                </c:pt>
                <c:pt idx="213">
                  <c:v>0.21967264324858532</c:v>
                </c:pt>
                <c:pt idx="214">
                  <c:v>0.20894271274208021</c:v>
                </c:pt>
                <c:pt idx="215">
                  <c:v>0.19864998649259011</c:v>
                </c:pt>
                <c:pt idx="216">
                  <c:v>0.18878170692392457</c:v>
                </c:pt>
                <c:pt idx="217">
                  <c:v>0.17932520461825843</c:v>
                </c:pt>
                <c:pt idx="218">
                  <c:v>0.17026791553942153</c:v>
                </c:pt>
                <c:pt idx="219">
                  <c:v>0.16159739717260269</c:v>
                </c:pt>
                <c:pt idx="220">
                  <c:v>0.15330134359347358</c:v>
                </c:pt>
                <c:pt idx="221">
                  <c:v>0.14536759948227493</c:v>
                </c:pt>
                <c:pt idx="222">
                  <c:v>0.13778417310076432</c:v>
                </c:pt>
                <c:pt idx="223">
                  <c:v>0.13053924825210331</c:v>
                </c:pt>
                <c:pt idx="224">
                  <c:v>0.12362119524575728</c:v>
                </c:pt>
                <c:pt idx="225">
                  <c:v>0.11701858089129905</c:v>
                </c:pt>
                <c:pt idx="226">
                  <c:v>0.11072017754664996</c:v>
                </c:pt>
                <c:pt idx="227">
                  <c:v>0.10471497124776093</c:v>
                </c:pt>
                <c:pt idx="228">
                  <c:v>9.8992168948033366E-2</c:v>
                </c:pt>
                <c:pt idx="229">
                  <c:v>9.3541204896916155E-2</c:v>
                </c:pt>
                <c:pt idx="230">
                  <c:v>8.8351746188082683E-2</c:v>
                </c:pt>
                <c:pt idx="231">
                  <c:v>8.3413697508413695E-2</c:v>
                </c:pt>
                <c:pt idx="232">
                  <c:v>7.8717205119671452E-2</c:v>
                </c:pt>
                <c:pt idx="233">
                  <c:v>7.4252660105275328E-2</c:v>
                </c:pt>
                <c:pt idx="234">
                  <c:v>7.0010700914966417E-2</c:v>
                </c:pt>
                <c:pt idx="235">
                  <c:v>6.5982215240401668E-2</c:v>
                </c:pt>
                <c:pt idx="236">
                  <c:v>6.2158341254836685E-2</c:v>
                </c:pt>
                <c:pt idx="237">
                  <c:v>5.8530468250059968E-2</c:v>
                </c:pt>
                <c:pt idx="238">
                  <c:v>5.5090236703633513E-2</c:v>
                </c:pt>
                <c:pt idx="239">
                  <c:v>5.1829537809275593E-2</c:v>
                </c:pt>
                <c:pt idx="240">
                  <c:v>4.8740512502909367E-2</c:v>
                </c:pt>
                <c:pt idx="241">
                  <c:v>4.5815550016491589E-2</c:v>
                </c:pt>
                <c:pt idx="242">
                  <c:v>4.3047285991246978E-2</c:v>
                </c:pt>
                <c:pt idx="243">
                  <c:v>4.0428600181359998E-2</c:v>
                </c:pt>
                <c:pt idx="244">
                  <c:v>3.7952613778537654E-2</c:v>
                </c:pt>
                <c:pt idx="245">
                  <c:v>3.5612686387149081E-2</c:v>
                </c:pt>
                <c:pt idx="246">
                  <c:v>3.3402412678883081E-2</c:v>
                </c:pt>
                <c:pt idx="247">
                  <c:v>3.1315618755051455E-2</c:v>
                </c:pt>
                <c:pt idx="248">
                  <c:v>2.9346358243801881E-2</c:v>
                </c:pt>
                <c:pt idx="249">
                  <c:v>2.7488908158606124E-2</c:v>
                </c:pt>
                <c:pt idx="250">
                  <c:v>2.5737764543453598E-2</c:v>
                </c:pt>
                <c:pt idx="251">
                  <c:v>2.4087637929220272E-2</c:v>
                </c:pt>
                <c:pt idx="252">
                  <c:v>2.2533448624698332E-2</c:v>
                </c:pt>
                <c:pt idx="253">
                  <c:v>2.107032186476971E-2</c:v>
                </c:pt>
                <c:pt idx="254">
                  <c:v>1.9693582837195078E-2</c:v>
                </c:pt>
                <c:pt idx="255">
                  <c:v>1.8398751608466976E-2</c:v>
                </c:pt>
                <c:pt idx="256">
                  <c:v>1.718153796815159E-2</c:v>
                </c:pt>
                <c:pt idx="257">
                  <c:v>1.6037836210120674E-2</c:v>
                </c:pt>
                <c:pt idx="258">
                  <c:v>1.4963719868055071E-2</c:v>
                </c:pt>
                <c:pt idx="259">
                  <c:v>1.3955436421591185E-2</c:v>
                </c:pt>
                <c:pt idx="260">
                  <c:v>1.3009401988481615E-2</c:v>
                </c:pt>
                <c:pt idx="261">
                  <c:v>1.2122196017157636E-2</c:v>
                </c:pt>
                <c:pt idx="262">
                  <c:v>1.1290555993112185E-2</c:v>
                </c:pt>
                <c:pt idx="263">
                  <c:v>1.0511372171576121E-2</c:v>
                </c:pt>
                <c:pt idx="264">
                  <c:v>9.7816823480333607E-3</c:v>
                </c:pt>
                <c:pt idx="265">
                  <c:v>9.0986666772206841E-3</c:v>
                </c:pt>
                <c:pt idx="266">
                  <c:v>8.4596425503812873E-3</c:v>
                </c:pt>
                <c:pt idx="267">
                  <c:v>7.8620595396939226E-3</c:v>
                </c:pt>
                <c:pt idx="268">
                  <c:v>7.3034944179795639E-3</c:v>
                </c:pt>
                <c:pt idx="269">
                  <c:v>6.7816462609988229E-3</c:v>
                </c:pt>
                <c:pt idx="270">
                  <c:v>6.2943316388937975E-3</c:v>
                </c:pt>
                <c:pt idx="271">
                  <c:v>5.8394799026016981E-3</c:v>
                </c:pt>
                <c:pt idx="272">
                  <c:v>5.4151285703718305E-3</c:v>
                </c:pt>
                <c:pt idx="273">
                  <c:v>5.0194188188548323E-3</c:v>
                </c:pt>
                <c:pt idx="274">
                  <c:v>4.6505910826031014E-3</c:v>
                </c:pt>
                <c:pt idx="275">
                  <c:v>4.3069807652231394E-3</c:v>
                </c:pt>
                <c:pt idx="276">
                  <c:v>3.9870140648559614E-3</c:v>
                </c:pt>
                <c:pt idx="277">
                  <c:v>3.6892039161284173E-3</c:v>
                </c:pt>
                <c:pt idx="278">
                  <c:v>3.4121460502174301E-3</c:v>
                </c:pt>
                <c:pt idx="279">
                  <c:v>3.1545151741998647E-3</c:v>
                </c:pt>
                <c:pt idx="280">
                  <c:v>2.9150612704219236E-3</c:v>
                </c:pt>
                <c:pt idx="281">
                  <c:v>2.692606016213846E-3</c:v>
                </c:pt>
                <c:pt idx="282">
                  <c:v>2.486039323896906E-3</c:v>
                </c:pt>
                <c:pt idx="283">
                  <c:v>2.2943160006798566E-3</c:v>
                </c:pt>
                <c:pt idx="284">
                  <c:v>2.1164525277197204E-3</c:v>
                </c:pt>
                <c:pt idx="285">
                  <c:v>1.9515239573270466E-3</c:v>
                </c:pt>
                <c:pt idx="286">
                  <c:v>1.7986609270265769E-3</c:v>
                </c:pt>
                <c:pt idx="287">
                  <c:v>1.657046788940417E-3</c:v>
                </c:pt>
                <c:pt idx="288">
                  <c:v>1.5259148527409915E-3</c:v>
                </c:pt>
                <c:pt idx="289">
                  <c:v>1.4045457402241815E-3</c:v>
                </c:pt>
                <c:pt idx="290">
                  <c:v>1.2922648493781438E-3</c:v>
                </c:pt>
                <c:pt idx="291">
                  <c:v>1.1884399256693746E-3</c:v>
                </c:pt>
                <c:pt idx="292">
                  <c:v>1.0924787381333678E-3</c:v>
                </c:pt>
                <c:pt idx="293">
                  <c:v>1.0038268577419031E-3</c:v>
                </c:pt>
                <c:pt idx="294">
                  <c:v>9.21965535421234E-4</c:v>
                </c:pt>
                <c:pt idx="295">
                  <c:v>8.4640967701447346E-4</c:v>
                </c:pt>
                <c:pt idx="296">
                  <c:v>7.7670591241600011E-4</c:v>
                </c:pt>
                <c:pt idx="297">
                  <c:v>7.1243075605497037E-4</c:v>
                </c:pt>
                <c:pt idx="298">
                  <c:v>6.5318885586775142E-4</c:v>
                </c:pt>
                <c:pt idx="299">
                  <c:v>5.9861132787451853E-4</c:v>
                </c:pt>
                <c:pt idx="300">
                  <c:v>5.4835417346243195E-4</c:v>
                </c:pt>
                <c:pt idx="301">
                  <c:v>5.0209677647564197E-4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053-44D7-BBC1-C5EC93B71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218864"/>
        <c:axId val="387219256"/>
      </c:scatterChart>
      <c:valAx>
        <c:axId val="387218864"/>
        <c:scaling>
          <c:logBase val="10"/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2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Dp, </a:t>
                </a:r>
                <a:r>
                  <a:rPr lang="en-US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µm</a:t>
                </a:r>
              </a:p>
            </c:rich>
          </c:tx>
          <c:overlay val="0"/>
        </c:title>
        <c:numFmt formatCode="0.000" sourceLinked="1"/>
        <c:majorTickMark val="cross"/>
        <c:minorTickMark val="out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19256"/>
        <c:crosses val="autoZero"/>
        <c:crossBetween val="midCat"/>
      </c:valAx>
      <c:valAx>
        <c:axId val="3872192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dM/dLn(Dp)</a:t>
                </a:r>
              </a:p>
            </c:rich>
          </c:tx>
          <c:layout>
            <c:manualLayout>
              <c:xMode val="edge"/>
              <c:yMode val="edge"/>
              <c:x val="1.1376494604841062E-2"/>
              <c:y val="0.306574428196475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7218864"/>
        <c:crossesAt val="0.01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4583357635851074"/>
          <c:y val="8.9605924259467562E-2"/>
          <c:w val="0.22925915906081359"/>
          <c:h val="0.1863805774278215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80853507574114"/>
          <c:y val="9.8976232922112786E-2"/>
          <c:w val="0.77169180674712001"/>
          <c:h val="0.73720228659228837"/>
        </c:manualLayout>
      </c:layout>
      <c:scatterChart>
        <c:scatterStyle val="smoothMarker"/>
        <c:varyColors val="0"/>
        <c:ser>
          <c:idx val="0"/>
          <c:order val="0"/>
          <c:tx>
            <c:v>Aerosol 3a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'Aerosol 3'!$A$17:$A$318</c:f>
              <c:numCache>
                <c:formatCode>0.000</c:formatCode>
                <c:ptCount val="302"/>
                <c:pt idx="0">
                  <c:v>5.4339016042139802E-2</c:v>
                </c:pt>
                <c:pt idx="1">
                  <c:v>5.6245220795161463E-2</c:v>
                </c:pt>
                <c:pt idx="2">
                  <c:v>5.8218294932745107E-2</c:v>
                </c:pt>
                <c:pt idx="3">
                  <c:v>6.0260584223142885E-2</c:v>
                </c:pt>
                <c:pt idx="4">
                  <c:v>6.2374516723814895E-2</c:v>
                </c:pt>
                <c:pt idx="5">
                  <c:v>6.4562605668122608E-2</c:v>
                </c:pt>
                <c:pt idx="6">
                  <c:v>6.6827452453287028E-2</c:v>
                </c:pt>
                <c:pt idx="7">
                  <c:v>6.917174973316409E-2</c:v>
                </c:pt>
                <c:pt idx="8">
                  <c:v>7.1598284619514063E-2</c:v>
                </c:pt>
                <c:pt idx="9">
                  <c:v>7.4109941995570985E-2</c:v>
                </c:pt>
                <c:pt idx="10">
                  <c:v>7.6709707945851788E-2</c:v>
                </c:pt>
                <c:pt idx="11">
                  <c:v>7.9400673306282518E-2</c:v>
                </c:pt>
                <c:pt idx="12">
                  <c:v>8.2186037338862386E-2</c:v>
                </c:pt>
                <c:pt idx="13">
                  <c:v>8.5069111535234707E-2</c:v>
                </c:pt>
                <c:pt idx="14">
                  <c:v>8.8053323553686447E-2</c:v>
                </c:pt>
                <c:pt idx="15">
                  <c:v>9.1142221294257017E-2</c:v>
                </c:pt>
                <c:pt idx="16">
                  <c:v>9.4339477116801421E-2</c:v>
                </c:pt>
                <c:pt idx="17">
                  <c:v>9.7648892207022539E-2</c:v>
                </c:pt>
                <c:pt idx="18">
                  <c:v>0.10107440109566297</c:v>
                </c:pt>
                <c:pt idx="19">
                  <c:v>0.10462007633622963</c:v>
                </c:pt>
                <c:pt idx="20">
                  <c:v>0.10829013334681213</c:v>
                </c:pt>
                <c:pt idx="21">
                  <c:v>0.11208893542175144</c:v>
                </c:pt>
                <c:pt idx="22">
                  <c:v>0.11602099891911737</c:v>
                </c:pt>
                <c:pt idx="23">
                  <c:v>0.12009099863016169</c:v>
                </c:pt>
                <c:pt idx="24">
                  <c:v>0.12430377333713111</c:v>
                </c:pt>
                <c:pt idx="25">
                  <c:v>0.12866433156604737</c:v>
                </c:pt>
                <c:pt idx="26">
                  <c:v>0.13317785754129421</c:v>
                </c:pt>
                <c:pt idx="27">
                  <c:v>0.13784971734909021</c:v>
                </c:pt>
                <c:pt idx="28">
                  <c:v>0.14268546531717544</c:v>
                </c:pt>
                <c:pt idx="29">
                  <c:v>0.14769085061829648</c:v>
                </c:pt>
                <c:pt idx="30">
                  <c:v>0.15287182410534089</c:v>
                </c:pt>
                <c:pt idx="31">
                  <c:v>0.15823454538624715</c:v>
                </c:pt>
                <c:pt idx="32">
                  <c:v>0.16378539014710136</c:v>
                </c:pt>
                <c:pt idx="33">
                  <c:v>0.16953095773212709</c:v>
                </c:pt>
                <c:pt idx="34">
                  <c:v>0.17547807898958018</c:v>
                </c:pt>
                <c:pt idx="35">
                  <c:v>0.18163382439287648</c:v>
                </c:pt>
                <c:pt idx="36">
                  <c:v>0.18800551244660751</c:v>
                </c:pt>
                <c:pt idx="37">
                  <c:v>0.19460071838743781</c:v>
                </c:pt>
                <c:pt idx="38">
                  <c:v>0.20142728319022873</c:v>
                </c:pt>
                <c:pt idx="39">
                  <c:v>0.20849332289009545</c:v>
                </c:pt>
                <c:pt idx="40">
                  <c:v>0.2158072382314806</c:v>
                </c:pt>
                <c:pt idx="41">
                  <c:v>0.22337772465571595</c:v>
                </c:pt>
                <c:pt idx="42">
                  <c:v>0.23121378263894624</c:v>
                </c:pt>
                <c:pt idx="43">
                  <c:v>0.23932472839270597</c:v>
                </c:pt>
                <c:pt idx="44">
                  <c:v>0.24772020493987071</c:v>
                </c:pt>
                <c:pt idx="45">
                  <c:v>0.25641019357915129</c:v>
                </c:pt>
                <c:pt idx="46">
                  <c:v>0.26540502575176073</c:v>
                </c:pt>
                <c:pt idx="47">
                  <c:v>0.27471539532436218</c:v>
                </c:pt>
                <c:pt idx="48">
                  <c:v>0.28435237130290081</c:v>
                </c:pt>
                <c:pt idx="49">
                  <c:v>0.29432741099243476</c:v>
                </c:pt>
                <c:pt idx="50">
                  <c:v>0.30465237361861197</c:v>
                </c:pt>
                <c:pt idx="51">
                  <c:v>0.31533953442698531</c:v>
                </c:pt>
                <c:pt idx="52">
                  <c:v>0.32640159927693047</c:v>
                </c:pt>
                <c:pt idx="53">
                  <c:v>0.3378517197475156</c:v>
                </c:pt>
                <c:pt idx="54">
                  <c:v>0.34970350877328349</c:v>
                </c:pt>
                <c:pt idx="55">
                  <c:v>0.3619710568285342</c:v>
                </c:pt>
                <c:pt idx="56">
                  <c:v>0.37466894867934986</c:v>
                </c:pt>
                <c:pt idx="57">
                  <c:v>0.3878122807232785</c:v>
                </c:pt>
                <c:pt idx="58">
                  <c:v>0.40141667893729105</c:v>
                </c:pt>
                <c:pt idx="59">
                  <c:v>0.41549831745535037</c:v>
                </c:pt>
                <c:pt idx="60">
                  <c:v>0.43007393779767822</c:v>
                </c:pt>
                <c:pt idx="61">
                  <c:v>0.44516086877458289</c:v>
                </c:pt>
                <c:pt idx="62">
                  <c:v>0.46077704708850942</c:v>
                </c:pt>
                <c:pt idx="63">
                  <c:v>0.47694103865880688</c:v>
                </c:pt>
                <c:pt idx="64">
                  <c:v>0.49367206069456598</c:v>
                </c:pt>
                <c:pt idx="65">
                  <c:v>0.51099000454176802</c:v>
                </c:pt>
                <c:pt idx="66">
                  <c:v>0.5289154593319082</c:v>
                </c:pt>
                <c:pt idx="67">
                  <c:v>0.54746973646021047</c:v>
                </c:pt>
                <c:pt idx="68">
                  <c:v>0.56667489492253287</c:v>
                </c:pt>
                <c:pt idx="69">
                  <c:v>0.58655376754108923</c:v>
                </c:pt>
                <c:pt idx="70">
                  <c:v>0.60712998811016461</c:v>
                </c:pt>
                <c:pt idx="71">
                  <c:v>0.62842801949409866</c:v>
                </c:pt>
                <c:pt idx="72">
                  <c:v>0.65047318271094212</c:v>
                </c:pt>
                <c:pt idx="73">
                  <c:v>0.67329168703636388</c:v>
                </c:pt>
                <c:pt idx="74">
                  <c:v>0.69691066116359857</c:v>
                </c:pt>
                <c:pt idx="75">
                  <c:v>0.72135818545648067</c:v>
                </c:pt>
                <c:pt idx="76">
                  <c:v>0.74666332533391011</c:v>
                </c:pt>
                <c:pt idx="77">
                  <c:v>0.77285616582544026</c:v>
                </c:pt>
                <c:pt idx="78">
                  <c:v>0.79996784733907078</c:v>
                </c:pt>
                <c:pt idx="79">
                  <c:v>0.82803060268377005</c:v>
                </c:pt>
                <c:pt idx="80">
                  <c:v>0.85707779539074058</c:v>
                </c:pt>
                <c:pt idx="81">
                  <c:v>0.88714395937899138</c:v>
                </c:pt>
                <c:pt idx="82">
                  <c:v>0.91826484001237041</c:v>
                </c:pt>
                <c:pt idx="83">
                  <c:v>0.950477436596873</c:v>
                </c:pt>
                <c:pt idx="84">
                  <c:v>0.98382004636874965</c:v>
                </c:pt>
                <c:pt idx="85">
                  <c:v>1.0183323100257098</c:v>
                </c:pt>
                <c:pt idx="86">
                  <c:v>1.0540552588553536</c:v>
                </c:pt>
                <c:pt idx="87">
                  <c:v>1.0910313635168623</c:v>
                </c:pt>
                <c:pt idx="88">
                  <c:v>1.1293045845339438</c:v>
                </c:pt>
                <c:pt idx="89">
                  <c:v>1.1689204245590625</c:v>
                </c:pt>
                <c:pt idx="90">
                  <c:v>1.2099259824710908</c:v>
                </c:pt>
                <c:pt idx="91">
                  <c:v>1.2523700093706989</c:v>
                </c:pt>
                <c:pt idx="92">
                  <c:v>1.2963029665400538</c:v>
                </c:pt>
                <c:pt idx="93">
                  <c:v>1.3417770854357378</c:v>
                </c:pt>
                <c:pt idx="94">
                  <c:v>1.3888464297862073</c:v>
                </c:pt>
                <c:pt idx="95">
                  <c:v>1.437566959867624</c:v>
                </c:pt>
                <c:pt idx="96">
                  <c:v>1.4879965990344703</c:v>
                </c:pt>
                <c:pt idx="97">
                  <c:v>1.5401953025840516</c:v>
                </c:pt>
                <c:pt idx="98">
                  <c:v>1.5942251290367531</c:v>
                </c:pt>
                <c:pt idx="99">
                  <c:v>1.650150313916799</c:v>
                </c:pt>
                <c:pt idx="100">
                  <c:v>1.7080373461212295</c:v>
                </c:pt>
                <c:pt idx="101">
                  <c:v>1.76795504696789</c:v>
                </c:pt>
                <c:pt idx="102">
                  <c:v>1.8299746520164126</c:v>
                </c:pt>
                <c:pt idx="103">
                  <c:v>1.8941698957594661</c:v>
                </c:pt>
                <c:pt idx="104">
                  <c:v>1.9606170992849625</c:v>
                </c:pt>
                <c:pt idx="105">
                  <c:v>2.0293952610134389</c:v>
                </c:pt>
                <c:pt idx="106">
                  <c:v>2.1005861506184975</c:v>
                </c:pt>
                <c:pt idx="107">
                  <c:v>2.1742744062419574</c:v>
                </c:pt>
                <c:pt idx="108">
                  <c:v>2.2505476351193017</c:v>
                </c:pt>
                <c:pt idx="109">
                  <c:v>2.3294965177350488</c:v>
                </c:pt>
                <c:pt idx="110">
                  <c:v>2.4112149156318821</c:v>
                </c:pt>
                <c:pt idx="111">
                  <c:v>2.4957999830017044</c:v>
                </c:pt>
                <c:pt idx="112">
                  <c:v>2.5833522821912931</c:v>
                </c:pt>
                <c:pt idx="113">
                  <c:v>2.6739759032598744</c:v>
                </c:pt>
                <c:pt idx="114">
                  <c:v>2.767778587730763</c:v>
                </c:pt>
                <c:pt idx="115">
                  <c:v>2.8648718566841889</c:v>
                </c:pt>
                <c:pt idx="116">
                  <c:v>2.9653711433436016</c:v>
                </c:pt>
                <c:pt idx="117">
                  <c:v>3.0693959303130844</c:v>
                </c:pt>
                <c:pt idx="118">
                  <c:v>3.1770698916290354</c:v>
                </c:pt>
                <c:pt idx="119">
                  <c:v>3.2885210397950018</c:v>
                </c:pt>
                <c:pt idx="120">
                  <c:v>3.4038818779744737</c:v>
                </c:pt>
                <c:pt idx="121">
                  <c:v>3.5232895575225811</c:v>
                </c:pt>
                <c:pt idx="122">
                  <c:v>3.6468860410439765</c:v>
                </c:pt>
                <c:pt idx="123">
                  <c:v>3.7748182711707674</c:v>
                </c:pt>
                <c:pt idx="124">
                  <c:v>3.9072383452611525</c:v>
                </c:pt>
                <c:pt idx="125">
                  <c:v>4.0443036962264589</c:v>
                </c:pt>
                <c:pt idx="126">
                  <c:v>4.1861772797015711</c:v>
                </c:pt>
                <c:pt idx="127">
                  <c:v>4.3330277677812639</c:v>
                </c:pt>
                <c:pt idx="128">
                  <c:v>4.4850297495527807</c:v>
                </c:pt>
                <c:pt idx="129">
                  <c:v>4.6423639386630704</c:v>
                </c:pt>
                <c:pt idx="130">
                  <c:v>4.8052173881674447</c:v>
                </c:pt>
                <c:pt idx="131">
                  <c:v>4.9737837129150959</c:v>
                </c:pt>
                <c:pt idx="132">
                  <c:v>5.1482633197358743</c:v>
                </c:pt>
                <c:pt idx="133">
                  <c:v>5.3288636457019765</c:v>
                </c:pt>
                <c:pt idx="134">
                  <c:v>5.5157994047478169</c:v>
                </c:pt>
                <c:pt idx="135">
                  <c:v>5.7092928429412986</c:v>
                </c:pt>
                <c:pt idx="136">
                  <c:v>5.9095740027099541</c:v>
                </c:pt>
                <c:pt idx="137">
                  <c:v>6.1168809963361008</c:v>
                </c:pt>
                <c:pt idx="138">
                  <c:v>6.3314602890461762</c:v>
                </c:pt>
                <c:pt idx="139">
                  <c:v>6.5535669920307917</c:v>
                </c:pt>
                <c:pt idx="140">
                  <c:v>6.7834651657438956</c:v>
                </c:pt>
                <c:pt idx="141">
                  <c:v>7.0214281338416287</c:v>
                </c:pt>
                <c:pt idx="142">
                  <c:v>7.2677388081341014</c:v>
                </c:pt>
                <c:pt idx="143">
                  <c:v>7.5226900249364386</c:v>
                </c:pt>
                <c:pt idx="144">
                  <c:v>7.7865848932189659</c:v>
                </c:pt>
                <c:pt idx="145">
                  <c:v>8.0597371549704526</c:v>
                </c:pt>
                <c:pt idx="146">
                  <c:v>8.342471558202849</c:v>
                </c:pt>
                <c:pt idx="147">
                  <c:v>8.6351242430409805</c:v>
                </c:pt>
                <c:pt idx="148">
                  <c:v>8.9380431413561876</c:v>
                </c:pt>
                <c:pt idx="149">
                  <c:v>9.2515883904190943</c:v>
                </c:pt>
                <c:pt idx="150">
                  <c:v>9.5761327610632154</c:v>
                </c:pt>
                <c:pt idx="151">
                  <c:v>9.9120621008685088</c:v>
                </c:pt>
                <c:pt idx="152">
                  <c:v>10.259775792891732</c:v>
                </c:pt>
                <c:pt idx="153">
                  <c:v>10.619687230488996</c:v>
                </c:pt>
                <c:pt idx="154">
                  <c:v>10.992224308795002</c:v>
                </c:pt>
                <c:pt idx="155">
                  <c:v>11.377829933443346</c:v>
                </c:pt>
                <c:pt idx="156">
                  <c:v>11.776962547132609</c:v>
                </c:pt>
                <c:pt idx="157">
                  <c:v>12.190096674664346</c:v>
                </c:pt>
                <c:pt idx="158">
                  <c:v>12.617723487100898</c:v>
                </c:pt>
                <c:pt idx="159">
                  <c:v>13.060351385713798</c:v>
                </c:pt>
                <c:pt idx="160">
                  <c:v>13.518506606416992</c:v>
                </c:pt>
                <c:pt idx="161">
                  <c:v>13.992733845403491</c:v>
                </c:pt>
                <c:pt idx="162">
                  <c:v>14.48359690672927</c:v>
                </c:pt>
                <c:pt idx="163">
                  <c:v>14.991679372614316</c:v>
                </c:pt>
                <c:pt idx="164">
                  <c:v>15.517585297257723</c:v>
                </c:pt>
                <c:pt idx="165">
                  <c:v>16.061939924991741</c:v>
                </c:pt>
                <c:pt idx="166">
                  <c:v>16.62539043362856</c:v>
                </c:pt>
                <c:pt idx="167">
                  <c:v>17.208606703883571</c:v>
                </c:pt>
                <c:pt idx="168">
                  <c:v>17.812282115789912</c:v>
                </c:pt>
                <c:pt idx="169">
                  <c:v>18.437134373051084</c:v>
                </c:pt>
                <c:pt idx="170">
                  <c:v>19.083906356311786</c:v>
                </c:pt>
                <c:pt idx="171">
                  <c:v>19.753367006361312</c:v>
                </c:pt>
                <c:pt idx="172">
                  <c:v>20.446312238319635</c:v>
                </c:pt>
                <c:pt idx="173">
                  <c:v>21.163565887892997</c:v>
                </c:pt>
                <c:pt idx="174">
                  <c:v>21.905980690823984</c:v>
                </c:pt>
                <c:pt idx="175">
                  <c:v>22.674439296700601</c:v>
                </c:pt>
                <c:pt idx="176">
                  <c:v>23.469855318329582</c:v>
                </c:pt>
                <c:pt idx="177">
                  <c:v>24.293174417921602</c:v>
                </c:pt>
                <c:pt idx="178">
                  <c:v>25.145375431379691</c:v>
                </c:pt>
                <c:pt idx="179">
                  <c:v>26.027471532027516</c:v>
                </c:pt>
                <c:pt idx="180">
                  <c:v>26.940511435161067</c:v>
                </c:pt>
                <c:pt idx="181">
                  <c:v>27.885580644855892</c:v>
                </c:pt>
                <c:pt idx="182">
                  <c:v>28.8638027445121</c:v>
                </c:pt>
                <c:pt idx="183">
                  <c:v>29.87634073267149</c:v>
                </c:pt>
                <c:pt idx="184">
                  <c:v>30.924398405695026</c:v>
                </c:pt>
                <c:pt idx="185">
                  <c:v>32.009221788944323</c:v>
                </c:pt>
                <c:pt idx="186">
                  <c:v>33.132100618168849</c:v>
                </c:pt>
                <c:pt idx="187">
                  <c:v>34.294369872859953</c:v>
                </c:pt>
                <c:pt idx="188">
                  <c:v>35.497411363394733</c:v>
                </c:pt>
                <c:pt idx="189">
                  <c:v>36.742655373856657</c:v>
                </c:pt>
                <c:pt idx="190">
                  <c:v>38.031582362486112</c:v>
                </c:pt>
                <c:pt idx="191">
                  <c:v>39.365724721782549</c:v>
                </c:pt>
                <c:pt idx="192">
                  <c:v>40.746668600350631</c:v>
                </c:pt>
                <c:pt idx="193">
                  <c:v>42.176055788656626</c:v>
                </c:pt>
                <c:pt idx="194">
                  <c:v>43.655585670936766</c:v>
                </c:pt>
                <c:pt idx="195">
                  <c:v>45.187017245578282</c:v>
                </c:pt>
                <c:pt idx="196">
                  <c:v>46.772171216375177</c:v>
                </c:pt>
                <c:pt idx="197">
                  <c:v>48.412932157144837</c:v>
                </c:pt>
                <c:pt idx="198">
                  <c:v>50.111250752279112</c:v>
                </c:pt>
                <c:pt idx="199">
                  <c:v>51.869146115893713</c:v>
                </c:pt>
                <c:pt idx="200">
                  <c:v>53.688708192332818</c:v>
                </c:pt>
                <c:pt idx="201">
                  <c:v>55.572100240883238</c:v>
                </c:pt>
                <c:pt idx="202">
                  <c:v>57.521561407651888</c:v>
                </c:pt>
                <c:pt idx="203">
                  <c:v>59.539409387664335</c:v>
                </c:pt>
                <c:pt idx="204">
                  <c:v>61.628043180349437</c:v>
                </c:pt>
                <c:pt idx="205">
                  <c:v>63.789945941685907</c:v>
                </c:pt>
                <c:pt idx="206">
                  <c:v>66.027687936401847</c:v>
                </c:pt>
                <c:pt idx="207">
                  <c:v>68.343929593736917</c:v>
                </c:pt>
                <c:pt idx="208">
                  <c:v>70.741424670400278</c:v>
                </c:pt>
                <c:pt idx="209">
                  <c:v>73.223023524484603</c:v>
                </c:pt>
                <c:pt idx="210">
                  <c:v>75.791676504228477</c:v>
                </c:pt>
                <c:pt idx="211">
                  <c:v>78.450437455656157</c:v>
                </c:pt>
                <c:pt idx="212">
                  <c:v>81.20246735326478</c:v>
                </c:pt>
                <c:pt idx="213">
                  <c:v>84.051038058075576</c:v>
                </c:pt>
                <c:pt idx="214">
                  <c:v>86.999536207516897</c:v>
                </c:pt>
                <c:pt idx="215">
                  <c:v>90.051467241763902</c:v>
                </c:pt>
                <c:pt idx="216">
                  <c:v>93.210459571321536</c:v>
                </c:pt>
                <c:pt idx="217">
                  <c:v>96.480268890805732</c:v>
                </c:pt>
                <c:pt idx="218">
                  <c:v>99.86478264405153</c:v>
                </c:pt>
                <c:pt idx="219">
                  <c:v>103.36802464585627</c:v>
                </c:pt>
                <c:pt idx="220">
                  <c:v>106.99415986585336</c:v>
                </c:pt>
                <c:pt idx="221">
                  <c:v>110.74749938020311</c:v>
                </c:pt>
                <c:pt idx="222">
                  <c:v>114.63250549698837</c:v>
                </c:pt>
                <c:pt idx="223">
                  <c:v>118.65379706140838</c:v>
                </c:pt>
                <c:pt idx="224">
                  <c:v>122.81615494707791</c:v>
                </c:pt>
                <c:pt idx="225">
                  <c:v>127.12452773996046</c:v>
                </c:pt>
                <c:pt idx="226">
                  <c:v>131.584037621693</c:v>
                </c:pt>
                <c:pt idx="227">
                  <c:v>136.19998645929684</c:v>
                </c:pt>
                <c:pt idx="228">
                  <c:v>140.97786210851478</c:v>
                </c:pt>
                <c:pt idx="229">
                  <c:v>145.92334493826789</c:v>
                </c:pt>
                <c:pt idx="230">
                  <c:v>151.04231458399045</c:v>
                </c:pt>
                <c:pt idx="231">
                  <c:v>156.34085693786957</c:v>
                </c:pt>
                <c:pt idx="232">
                  <c:v>161.82527138430234</c:v>
                </c:pt>
                <c:pt idx="233">
                  <c:v>167.50207828917075</c:v>
                </c:pt>
                <c:pt idx="234">
                  <c:v>173.37802675184096</c:v>
                </c:pt>
                <c:pt idx="235">
                  <c:v>179.46010262909985</c:v>
                </c:pt>
                <c:pt idx="236">
                  <c:v>185.75553684057058</c:v>
                </c:pt>
                <c:pt idx="237">
                  <c:v>192.2718139654819</c:v>
                </c:pt>
                <c:pt idx="238">
                  <c:v>199.01668114100951</c:v>
                </c:pt>
                <c:pt idx="239">
                  <c:v>205.99815727277087</c:v>
                </c:pt>
                <c:pt idx="240">
                  <c:v>213.22454256842178</c:v>
                </c:pt>
                <c:pt idx="241">
                  <c:v>220.70442840569206</c:v>
                </c:pt>
                <c:pt idx="242">
                  <c:v>228.44670754658779</c:v>
                </c:pt>
                <c:pt idx="243">
                  <c:v>236.46058470990909</c:v>
                </c:pt>
                <c:pt idx="244">
                  <c:v>244.75558751464831</c:v>
                </c:pt>
                <c:pt idx="245">
                  <c:v>253.34157780728108</c:v>
                </c:pt>
                <c:pt idx="246">
                  <c:v>262.2287633864189</c:v>
                </c:pt>
                <c:pt idx="247">
                  <c:v>271.4277101387587</c:v>
                </c:pt>
                <c:pt idx="248">
                  <c:v>280.94935460076113</c:v>
                </c:pt>
                <c:pt idx="249">
                  <c:v>290.80501696098924</c:v>
                </c:pt>
                <c:pt idx="250">
                  <c:v>301.00641451856916</c:v>
                </c:pt>
                <c:pt idx="251">
                  <c:v>311.56567561377102</c:v>
                </c:pt>
                <c:pt idx="252">
                  <c:v>322.49535404727078</c:v>
                </c:pt>
                <c:pt idx="253">
                  <c:v>333.80844400524091</c:v>
                </c:pt>
                <c:pt idx="254">
                  <c:v>345.5183955080085</c:v>
                </c:pt>
                <c:pt idx="255">
                  <c:v>357.63913040065023</c:v>
                </c:pt>
                <c:pt idx="256">
                  <c:v>370.18505890453713</c:v>
                </c:pt>
                <c:pt idx="257">
                  <c:v>383.17109674950291</c:v>
                </c:pt>
                <c:pt idx="258">
                  <c:v>396.61268290700741</c:v>
                </c:pt>
                <c:pt idx="259">
                  <c:v>410.52579794537525</c:v>
                </c:pt>
                <c:pt idx="260">
                  <c:v>424.92698302893729</c:v>
                </c:pt>
                <c:pt idx="261">
                  <c:v>439.8333595836537</c:v>
                </c:pt>
                <c:pt idx="262">
                  <c:v>455.26264965261038</c:v>
                </c:pt>
                <c:pt idx="263">
                  <c:v>471.23319696557684</c:v>
                </c:pt>
                <c:pt idx="264">
                  <c:v>487.76398874768722</c:v>
                </c:pt>
                <c:pt idx="265">
                  <c:v>504.87467829316228</c:v>
                </c:pt>
                <c:pt idx="266">
                  <c:v>522.58560833091622</c:v>
                </c:pt>
                <c:pt idx="267">
                  <c:v>540.91783520982381</c:v>
                </c:pt>
                <c:pt idx="268">
                  <c:v>559.89315393240724</c:v>
                </c:pt>
                <c:pt idx="269">
                  <c:v>579.53412406669474</c:v>
                </c:pt>
                <c:pt idx="270">
                  <c:v>599.86409656707042</c:v>
                </c:pt>
                <c:pt idx="271">
                  <c:v>620.90724153599047</c:v>
                </c:pt>
                <c:pt idx="272">
                  <c:v>642.68857695957649</c:v>
                </c:pt>
                <c:pt idx="273">
                  <c:v>665.23399845125459</c:v>
                </c:pt>
                <c:pt idx="274">
                  <c:v>688.57031003878853</c:v>
                </c:pt>
                <c:pt idx="275">
                  <c:v>712.72525603132635</c:v>
                </c:pt>
                <c:pt idx="276">
                  <c:v>737.72755400433221</c:v>
                </c:pt>
                <c:pt idx="277">
                  <c:v>763.6069289416248</c:v>
                </c:pt>
                <c:pt idx="278">
                  <c:v>790.39414857511952</c:v>
                </c:pt>
                <c:pt idx="279">
                  <c:v>818.1210599642767</c:v>
                </c:pt>
                <c:pt idx="280">
                  <c:v>846.82062735875547</c:v>
                </c:pt>
                <c:pt idx="281">
                  <c:v>876.52697138928079</c:v>
                </c:pt>
                <c:pt idx="282">
                  <c:v>907.27540963332683</c:v>
                </c:pt>
                <c:pt idx="283">
                  <c:v>939.10249860382874</c:v>
                </c:pt>
                <c:pt idx="284">
                  <c:v>972.04607721086302</c:v>
                </c:pt>
                <c:pt idx="285">
                  <c:v>1006.1453117479499</c:v>
                </c:pt>
                <c:pt idx="286">
                  <c:v>1041.4407424564688</c:v>
                </c:pt>
                <c:pt idx="287">
                  <c:v>1077.9743317235509</c:v>
                </c:pt>
                <c:pt idx="288">
                  <c:v>1115.7895139707459</c:v>
                </c:pt>
                <c:pt idx="289">
                  <c:v>1154.9312472927725</c:v>
                </c:pt>
                <c:pt idx="290">
                  <c:v>1195.4460669077519</c:v>
                </c:pt>
                <c:pt idx="291">
                  <c:v>1237.3821404824632</c:v>
                </c:pt>
                <c:pt idx="292">
                  <c:v>1280.7893253984103</c:v>
                </c:pt>
                <c:pt idx="293">
                  <c:v>1325.7192280267632</c:v>
                </c:pt>
                <c:pt idx="294">
                  <c:v>1372.2252650826629</c:v>
                </c:pt>
                <c:pt idx="295">
                  <c:v>1420.3627271318198</c:v>
                </c:pt>
                <c:pt idx="296">
                  <c:v>1470.1888443249213</c:v>
                </c:pt>
                <c:pt idx="297">
                  <c:v>1521.7628544379922</c:v>
                </c:pt>
                <c:pt idx="298">
                  <c:v>1575.1460732995915</c:v>
                </c:pt>
                <c:pt idx="299">
                  <c:v>1630.4019676885991</c:v>
                </c:pt>
                <c:pt idx="300">
                  <c:v>1687.596230789236</c:v>
                </c:pt>
                <c:pt idx="301">
                  <c:v>1746.7968602930189</c:v>
                </c:pt>
              </c:numCache>
            </c:numRef>
          </c:xVal>
          <c:yVal>
            <c:numRef>
              <c:f>'Aerosol 3'!$B$17:$B$318</c:f>
              <c:numCache>
                <c:formatCode>0.00</c:formatCode>
                <c:ptCount val="302"/>
                <c:pt idx="0">
                  <c:v>0.44186124245927633</c:v>
                </c:pt>
                <c:pt idx="1">
                  <c:v>0.46131210999061745</c:v>
                </c:pt>
                <c:pt idx="2">
                  <c:v>0.48140861666230927</c:v>
                </c:pt>
                <c:pt idx="3">
                  <c:v>0.50216093125413552</c:v>
                </c:pt>
                <c:pt idx="4">
                  <c:v>0.52357878441183359</c:v>
                </c:pt>
                <c:pt idx="5">
                  <c:v>0.5456714323813735</c:v>
                </c:pt>
                <c:pt idx="6">
                  <c:v>0.56844762024753248</c:v>
                </c:pt>
                <c:pt idx="7">
                  <c:v>0.59191554475411046</c:v>
                </c:pt>
                <c:pt idx="8">
                  <c:v>0.61608281678768284</c:v>
                </c:pt>
                <c:pt idx="9">
                  <c:v>0.640956423611309</c:v>
                </c:pt>
                <c:pt idx="10">
                  <c:v>0.66654269093894958</c:v>
                </c:pt>
                <c:pt idx="11">
                  <c:v>0.69284724494557703</c:v>
                </c:pt>
                <c:pt idx="12">
                  <c:v>0.71987497431205472</c:v>
                </c:pt>
                <c:pt idx="13">
                  <c:v>0.74762999240766514</c:v>
                </c:pt>
                <c:pt idx="14">
                  <c:v>0.77611559971686572</c:v>
                </c:pt>
                <c:pt idx="15">
                  <c:v>0.80533424662027397</c:v>
                </c:pt>
                <c:pt idx="16">
                  <c:v>0.83528749664299695</c:v>
                </c:pt>
                <c:pt idx="17">
                  <c:v>0.86597599028635586</c:v>
                </c:pt>
                <c:pt idx="18">
                  <c:v>0.89739940956159492</c:v>
                </c:pt>
                <c:pt idx="19">
                  <c:v>0.92955644334641507</c:v>
                </c:pt>
                <c:pt idx="20">
                  <c:v>0.96244475368708815</c:v>
                </c:pt>
                <c:pt idx="21">
                  <c:v>0.99606094317043981</c:v>
                </c:pt>
                <c:pt idx="22">
                  <c:v>1.0304005234911267</c:v>
                </c:pt>
                <c:pt idx="23">
                  <c:v>1.0654578853403807</c:v>
                </c:pt>
                <c:pt idx="24">
                  <c:v>1.1012262697427355</c:v>
                </c:pt>
                <c:pt idx="25">
                  <c:v>1.1376977409670872</c:v>
                </c:pt>
                <c:pt idx="26">
                  <c:v>1.1748631611379141</c:v>
                </c:pt>
                <c:pt idx="27">
                  <c:v>1.2127121666714109</c:v>
                </c:pt>
                <c:pt idx="28">
                  <c:v>1.2512331466597939</c:v>
                </c:pt>
                <c:pt idx="29">
                  <c:v>1.2904132233250187</c:v>
                </c:pt>
                <c:pt idx="30">
                  <c:v>1.3302382346606514</c:v>
                </c:pt>
                <c:pt idx="31">
                  <c:v>1.3706927193776288</c:v>
                </c:pt>
                <c:pt idx="32">
                  <c:v>1.4117599042661435</c:v>
                </c:pt>
                <c:pt idx="33">
                  <c:v>1.4534216940818485</c:v>
                </c:pt>
                <c:pt idx="34">
                  <c:v>1.4956586640600764</c:v>
                </c:pt>
                <c:pt idx="35">
                  <c:v>1.5384500551567053</c:v>
                </c:pt>
                <c:pt idx="36">
                  <c:v>1.5817737721087923</c:v>
                </c:pt>
                <c:pt idx="37">
                  <c:v>1.6256063844020647</c:v>
                </c:pt>
                <c:pt idx="38">
                  <c:v>1.6699231302258415</c:v>
                </c:pt>
                <c:pt idx="39">
                  <c:v>1.7146979234889446</c:v>
                </c:pt>
                <c:pt idx="40">
                  <c:v>1.759903363962817</c:v>
                </c:pt>
                <c:pt idx="41">
                  <c:v>1.8055107506100476</c:v>
                </c:pt>
                <c:pt idx="42">
                  <c:v>1.8514900981483005</c:v>
                </c:pt>
                <c:pt idx="43">
                  <c:v>1.8978101568909038</c:v>
                </c:pt>
                <c:pt idx="44">
                  <c:v>1.9444384358962847</c:v>
                </c:pt>
                <c:pt idx="45">
                  <c:v>1.9913412294490078</c:v>
                </c:pt>
                <c:pt idx="46">
                  <c:v>2.0384836468854131</c:v>
                </c:pt>
                <c:pt idx="47">
                  <c:v>2.0858296457668346</c:v>
                </c:pt>
                <c:pt idx="48">
                  <c:v>2.1333420683930817</c:v>
                </c:pt>
                <c:pt idx="49">
                  <c:v>2.1809826816383282</c:v>
                </c:pt>
                <c:pt idx="50">
                  <c:v>2.228712220080856</c:v>
                </c:pt>
                <c:pt idx="51">
                  <c:v>2.2764904323872996</c:v>
                </c:pt>
                <c:pt idx="52">
                  <c:v>2.3242761309009832</c:v>
                </c:pt>
                <c:pt idx="53">
                  <c:v>2.3720272443730042</c:v>
                </c:pt>
                <c:pt idx="54">
                  <c:v>2.4197008737636536</c:v>
                </c:pt>
                <c:pt idx="55">
                  <c:v>2.4672533510306454</c:v>
                </c:pt>
                <c:pt idx="56">
                  <c:v>2.5146403008098255</c:v>
                </c:pt>
                <c:pt idx="57">
                  <c:v>2.5618167048829941</c:v>
                </c:pt>
                <c:pt idx="58">
                  <c:v>2.6087369693169058</c:v>
                </c:pt>
                <c:pt idx="59">
                  <c:v>2.6553549941469203</c:v>
                </c:pt>
                <c:pt idx="60">
                  <c:v>2.7016242454685999</c:v>
                </c:pt>
                <c:pt idx="61">
                  <c:v>2.7474978297904649</c:v>
                </c:pt>
                <c:pt idx="62">
                  <c:v>2.7929285704915876</c:v>
                </c:pt>
                <c:pt idx="63">
                  <c:v>2.8378690862184355</c:v>
                </c:pt>
                <c:pt idx="64">
                  <c:v>2.8822718710464335</c:v>
                </c:pt>
                <c:pt idx="65">
                  <c:v>2.9260893762235214</c:v>
                </c:pt>
                <c:pt idx="66">
                  <c:v>2.9692740933049833</c:v>
                </c:pt>
                <c:pt idx="67">
                  <c:v>3.0117786384815415</c:v>
                </c:pt>
                <c:pt idx="68">
                  <c:v>3.0535558378960421</c:v>
                </c:pt>
                <c:pt idx="69">
                  <c:v>3.0945588137378577</c:v>
                </c:pt>
                <c:pt idx="70">
                  <c:v>3.1347410708986945</c:v>
                </c:pt>
                <c:pt idx="71">
                  <c:v>3.1740565839687793</c:v>
                </c:pt>
                <c:pt idx="72">
                  <c:v>3.2124598843482381</c:v>
                </c:pt>
                <c:pt idx="73">
                  <c:v>3.2499061472452042</c:v>
                </c:pt>
                <c:pt idx="74">
                  <c:v>3.2863512783296476</c:v>
                </c:pt>
                <c:pt idx="75">
                  <c:v>3.3217519998100826</c:v>
                </c:pt>
                <c:pt idx="76">
                  <c:v>3.3560659356993177</c:v>
                </c:pt>
                <c:pt idx="77">
                  <c:v>3.3892516960353243</c:v>
                </c:pt>
                <c:pt idx="78">
                  <c:v>3.4212689598238413</c:v>
                </c:pt>
                <c:pt idx="79">
                  <c:v>3.4520785564708141</c:v>
                </c:pt>
                <c:pt idx="80">
                  <c:v>3.4816425454751547</c:v>
                </c:pt>
                <c:pt idx="81">
                  <c:v>3.5099242941553546</c:v>
                </c:pt>
                <c:pt idx="82">
                  <c:v>3.5368885531874357</c:v>
                </c:pt>
                <c:pt idx="83">
                  <c:v>3.5625015297365521</c:v>
                </c:pt>
                <c:pt idx="84">
                  <c:v>3.5867309579701279</c:v>
                </c:pt>
                <c:pt idx="85">
                  <c:v>3.609546166746695</c:v>
                </c:pt>
                <c:pt idx="86">
                  <c:v>3.630918144281865</c:v>
                </c:pt>
                <c:pt idx="87">
                  <c:v>3.6508195996006427</c:v>
                </c:pt>
                <c:pt idx="88">
                  <c:v>3.66922502059399</c:v>
                </c:pt>
                <c:pt idx="89">
                  <c:v>3.6861107285067698</c:v>
                </c:pt>
                <c:pt idx="90">
                  <c:v>3.7014549286942424</c:v>
                </c:pt>
                <c:pt idx="91">
                  <c:v>3.7152377574948292</c:v>
                </c:pt>
                <c:pt idx="92">
                  <c:v>3.7274413250780198</c:v>
                </c:pt>
                <c:pt idx="93">
                  <c:v>3.7380497541381152</c:v>
                </c:pt>
                <c:pt idx="94">
                  <c:v>3.7470492143165992</c:v>
                </c:pt>
                <c:pt idx="95">
                  <c:v>3.7544279522487161</c:v>
                </c:pt>
                <c:pt idx="96">
                  <c:v>3.7601763171428693</c:v>
                </c:pt>
                <c:pt idx="97">
                  <c:v>3.7642867818149099</c:v>
                </c:pt>
                <c:pt idx="98">
                  <c:v>3.766753959113152</c:v>
                </c:pt>
                <c:pt idx="99">
                  <c:v>3.7675746136839425</c:v>
                </c:pt>
                <c:pt idx="100">
                  <c:v>3.7667476690418042</c:v>
                </c:pt>
                <c:pt idx="101">
                  <c:v>3.7642742099225499</c:v>
                </c:pt>
                <c:pt idx="102">
                  <c:v>3.7601574799121305</c:v>
                </c:pt>
                <c:pt idx="103">
                  <c:v>3.7544028743585272</c:v>
                </c:pt>
                <c:pt idx="104">
                  <c:v>3.7470179285882987</c:v>
                </c:pt>
                <c:pt idx="105">
                  <c:v>3.7380123014638706</c:v>
                </c:pt>
                <c:pt idx="106">
                  <c:v>3.7273977543317587</c:v>
                </c:pt>
                <c:pt idx="107">
                  <c:v>3.7151881254259633</c:v>
                </c:pt>
                <c:pt idx="108">
                  <c:v>3.7013992998044931</c:v>
                </c:pt>
                <c:pt idx="109">
                  <c:v>3.686049174910484</c:v>
                </c:pt>
                <c:pt idx="110">
                  <c:v>3.6691576218623672</c:v>
                </c:pt>
                <c:pt idx="111">
                  <c:v>3.6507464425903295</c:v>
                </c:pt>
                <c:pt idx="112">
                  <c:v>3.6308393229484563</c:v>
                </c:pt>
                <c:pt idx="113">
                  <c:v>3.6094617819436903</c:v>
                </c:pt>
                <c:pt idx="114">
                  <c:v>3.5866411172339343</c:v>
                </c:pt>
                <c:pt idx="115">
                  <c:v>3.562406347058205</c:v>
                </c:pt>
                <c:pt idx="116">
                  <c:v>3.536788148771687</c:v>
                </c:pt>
                <c:pt idx="117">
                  <c:v>3.5098187941678494</c:v>
                </c:pt>
                <c:pt idx="118">
                  <c:v>3.4815320817784419</c:v>
                </c:pt>
                <c:pt idx="119">
                  <c:v>3.4519632663499689</c:v>
                </c:pt>
                <c:pt idx="120">
                  <c:v>3.4211489857025024</c:v>
                </c:pt>
                <c:pt idx="121">
                  <c:v>3.3891271851829274</c:v>
                </c:pt>
                <c:pt idx="122">
                  <c:v>3.355937039930418</c:v>
                </c:pt>
                <c:pt idx="123">
                  <c:v>3.3216188751766098</c:v>
                </c:pt>
                <c:pt idx="124">
                  <c:v>3.2862140848069323</c:v>
                </c:pt>
                <c:pt idx="125">
                  <c:v>3.2497650484126934</c:v>
                </c:pt>
                <c:pt idx="126">
                  <c:v>3.2123150470657871</c:v>
                </c:pt>
                <c:pt idx="127">
                  <c:v>3.1739081780493863</c:v>
                </c:pt>
                <c:pt idx="128">
                  <c:v>3.1345892687785928</c:v>
                </c:pt>
                <c:pt idx="129">
                  <c:v>3.0944037901448533</c:v>
                </c:pt>
                <c:pt idx="130">
                  <c:v>3.0533977695169816</c:v>
                </c:pt>
                <c:pt idx="131">
                  <c:v>3.0116177036297791</c:v>
                </c:pt>
                <c:pt idx="132">
                  <c:v>2.9691104715887366</c:v>
                </c:pt>
                <c:pt idx="133">
                  <c:v>2.9259232482159381</c:v>
                </c:pt>
                <c:pt idx="134">
                  <c:v>2.8821034179582243</c:v>
                </c:pt>
                <c:pt idx="135">
                  <c:v>2.8376984895738926</c:v>
                </c:pt>
                <c:pt idx="136">
                  <c:v>2.7927560118087604</c:v>
                </c:pt>
                <c:pt idx="137">
                  <c:v>2.7473234902662829</c:v>
                </c:pt>
                <c:pt idx="138">
                  <c:v>2.7014483056696856</c:v>
                </c:pt>
                <c:pt idx="139">
                  <c:v>2.6551776337067761</c:v>
                </c:pt>
                <c:pt idx="140">
                  <c:v>2.6085583666402004</c:v>
                </c:pt>
                <c:pt idx="141">
                  <c:v>2.5616370368575714</c:v>
                </c:pt>
                <c:pt idx="142">
                  <c:v>2.5144597425270416</c:v>
                </c:pt>
                <c:pt idx="143">
                  <c:v>2.4670720755146456</c:v>
                </c:pt>
                <c:pt idx="144">
                  <c:v>2.4195190517101013</c:v>
                </c:pt>
                <c:pt idx="145">
                  <c:v>2.3718450438977809</c:v>
                </c:pt>
                <c:pt idx="146">
                  <c:v>2.3240937172993008</c:v>
                </c:pt>
                <c:pt idx="147">
                  <c:v>2.2763079679036884</c:v>
                </c:pt>
                <c:pt idx="148">
                  <c:v>2.2285298636903583</c:v>
                </c:pt>
                <c:pt idx="149">
                  <c:v>2.1808005888392805</c:v>
                </c:pt>
                <c:pt idx="150">
                  <c:v>2.1331603910117636</c:v>
                </c:pt>
                <c:pt idx="151">
                  <c:v>2.0856485317742313</c:v>
                </c:pt>
                <c:pt idx="152">
                  <c:v>2.0383032402263295</c:v>
                </c:pt>
                <c:pt idx="153">
                  <c:v>1.9911616698836792</c:v>
                </c:pt>
                <c:pt idx="154">
                  <c:v>1.94425985885463</c:v>
                </c:pt>
                <c:pt idx="155">
                  <c:v>1.8976326933395071</c:v>
                </c:pt>
                <c:pt idx="156">
                  <c:v>1.8513138744701663</c:v>
                </c:pt>
                <c:pt idx="157">
                  <c:v>1.8053358884971329</c:v>
                </c:pt>
                <c:pt idx="158">
                  <c:v>1.7597299803213207</c:v>
                </c:pt>
                <c:pt idx="159">
                  <c:v>1.7145261303572796</c:v>
                </c:pt>
                <c:pt idx="160">
                  <c:v>1.6697530347051837</c:v>
                </c:pt>
                <c:pt idx="161">
                  <c:v>1.6254380885993382</c:v>
                </c:pt>
                <c:pt idx="162">
                  <c:v>1.5816073730919125</c:v>
                </c:pt>
                <c:pt idx="163">
                  <c:v>1.5382856449218942</c:v>
                </c:pt>
                <c:pt idx="164">
                  <c:v>1.4954963295109787</c:v>
                </c:pt>
                <c:pt idx="165">
                  <c:v>1.4532615170202043</c:v>
                </c:pt>
                <c:pt idx="166">
                  <c:v>1.4116019613937212</c:v>
                </c:pt>
                <c:pt idx="167">
                  <c:v>1.3705370823090919</c:v>
                </c:pt>
                <c:pt idx="168">
                  <c:v>1.3300849699470119</c:v>
                </c:pt>
                <c:pt idx="169">
                  <c:v>1.2902623924873224</c:v>
                </c:pt>
                <c:pt idx="170">
                  <c:v>1.2510848062326405</c:v>
                </c:pt>
                <c:pt idx="171">
                  <c:v>1.2125663682559087</c:v>
                </c:pt>
                <c:pt idx="172">
                  <c:v>1.1747199514636475</c:v>
                </c:pt>
                <c:pt idx="173">
                  <c:v>1.1375571619626581</c:v>
                </c:pt>
                <c:pt idx="174">
                  <c:v>1.1010883586144373</c:v>
                </c:pt>
                <c:pt idx="175">
                  <c:v>1.0653226746585411</c:v>
                </c:pt>
                <c:pt idx="176">
                  <c:v>1.0302680412836542</c:v>
                </c:pt>
                <c:pt idx="177">
                  <c:v>0.99593121302309984</c:v>
                </c:pt>
                <c:pt idx="178">
                  <c:v>0.96231779485002644</c:v>
                </c:pt>
                <c:pt idx="179">
                  <c:v>0.92943227084645752</c:v>
                </c:pt>
                <c:pt idx="180">
                  <c:v>0.89727803431982789</c:v>
                </c:pt>
                <c:pt idx="181">
                  <c:v>0.86585741924051085</c:v>
                </c:pt>
                <c:pt idx="182">
                  <c:v>0.8351717328741588</c:v>
                </c:pt>
                <c:pt idx="183">
                  <c:v>0.80522128948343585</c:v>
                </c:pt>
                <c:pt idx="184">
                  <c:v>0.77600544497485402</c:v>
                </c:pt>
                <c:pt idx="185">
                  <c:v>0.747522632367977</c:v>
                </c:pt>
                <c:pt idx="186">
                  <c:v>0.71977039796614994</c:v>
                </c:pt>
                <c:pt idx="187">
                  <c:v>0.69274543811016442</c:v>
                </c:pt>
                <c:pt idx="188">
                  <c:v>0.66644363639884785</c:v>
                </c:pt>
                <c:pt idx="189">
                  <c:v>0.64086010126344251</c:v>
                </c:pt>
                <c:pt idx="190">
                  <c:v>0.61598920378580069</c:v>
                </c:pt>
                <c:pt idx="191">
                  <c:v>0.59182461565384048</c:v>
                </c:pt>
                <c:pt idx="192">
                  <c:v>0.56835934715136893</c:v>
                </c:pt>
                <c:pt idx="193">
                  <c:v>0.54558578508323363</c:v>
                </c:pt>
                <c:pt idx="194">
                  <c:v>0.52349573054083476</c:v>
                </c:pt>
                <c:pt idx="195">
                  <c:v>0.50208043641724442</c:v>
                </c:pt>
                <c:pt idx="196">
                  <c:v>0.48133064458554958</c:v>
                </c:pt>
                <c:pt idx="197">
                  <c:v>0.46123662265852483</c:v>
                </c:pt>
                <c:pt idx="198">
                  <c:v>0.44178820025232607</c:v>
                </c:pt>
                <c:pt idx="199">
                  <c:v>0.42297480468155857</c:v>
                </c:pt>
                <c:pt idx="200">
                  <c:v>0.40478549601780117</c:v>
                </c:pt>
                <c:pt idx="201">
                  <c:v>0.38720900144841131</c:v>
                </c:pt>
                <c:pt idx="202">
                  <c:v>0.3702337488772196</c:v>
                </c:pt>
                <c:pt idx="203">
                  <c:v>0.35384789971348357</c:v>
                </c:pt>
                <c:pt idx="204">
                  <c:v>0.33803938080021634</c:v>
                </c:pt>
                <c:pt idx="205">
                  <c:v>0.32279591543772024</c:v>
                </c:pt>
                <c:pt idx="206">
                  <c:v>0.30810505346279932</c:v>
                </c:pt>
                <c:pt idx="207">
                  <c:v>0.29395420034871345</c:v>
                </c:pt>
                <c:pt idx="208">
                  <c:v>0.28033064529542867</c:v>
                </c:pt>
                <c:pt idx="209">
                  <c:v>0.26722158828411935</c:v>
                </c:pt>
                <c:pt idx="210">
                  <c:v>0.2546141660741621</c:v>
                </c:pt>
                <c:pt idx="211">
                  <c:v>0.24249547712502706</c:v>
                </c:pt>
                <c:pt idx="212">
                  <c:v>0.23085260542950359</c:v>
                </c:pt>
                <c:pt idx="213">
                  <c:v>0.21967264324858532</c:v>
                </c:pt>
                <c:pt idx="214">
                  <c:v>0.20894271274208021</c:v>
                </c:pt>
                <c:pt idx="215">
                  <c:v>0.19864998649259011</c:v>
                </c:pt>
                <c:pt idx="216">
                  <c:v>0.18878170692392457</c:v>
                </c:pt>
                <c:pt idx="217">
                  <c:v>0.17932520461825843</c:v>
                </c:pt>
                <c:pt idx="218">
                  <c:v>0.17026791553942153</c:v>
                </c:pt>
                <c:pt idx="219">
                  <c:v>0.16159739717260269</c:v>
                </c:pt>
                <c:pt idx="220">
                  <c:v>0.15330134359347358</c:v>
                </c:pt>
                <c:pt idx="221">
                  <c:v>0.14536759948227493</c:v>
                </c:pt>
                <c:pt idx="222">
                  <c:v>0.13778417310076432</c:v>
                </c:pt>
                <c:pt idx="223">
                  <c:v>0.13053924825210331</c:v>
                </c:pt>
                <c:pt idx="224">
                  <c:v>0.12362119524575728</c:v>
                </c:pt>
                <c:pt idx="225">
                  <c:v>0.11701858089129905</c:v>
                </c:pt>
                <c:pt idx="226">
                  <c:v>0.11072017754664996</c:v>
                </c:pt>
                <c:pt idx="227">
                  <c:v>0.10471497124776093</c:v>
                </c:pt>
                <c:pt idx="228">
                  <c:v>9.8992168948033366E-2</c:v>
                </c:pt>
                <c:pt idx="229">
                  <c:v>9.3541204896916155E-2</c:v>
                </c:pt>
                <c:pt idx="230">
                  <c:v>8.8351746188082683E-2</c:v>
                </c:pt>
                <c:pt idx="231">
                  <c:v>8.3413697508413695E-2</c:v>
                </c:pt>
                <c:pt idx="232">
                  <c:v>7.8717205119671452E-2</c:v>
                </c:pt>
                <c:pt idx="233">
                  <c:v>7.4252660105275328E-2</c:v>
                </c:pt>
                <c:pt idx="234">
                  <c:v>7.0010700914966417E-2</c:v>
                </c:pt>
                <c:pt idx="235">
                  <c:v>6.5982215240401668E-2</c:v>
                </c:pt>
                <c:pt idx="236">
                  <c:v>6.2158341254836685E-2</c:v>
                </c:pt>
                <c:pt idx="237">
                  <c:v>5.8530468250059968E-2</c:v>
                </c:pt>
                <c:pt idx="238">
                  <c:v>5.5090236703633513E-2</c:v>
                </c:pt>
                <c:pt idx="239">
                  <c:v>5.1829537809275593E-2</c:v>
                </c:pt>
                <c:pt idx="240">
                  <c:v>4.8740512502909367E-2</c:v>
                </c:pt>
                <c:pt idx="241">
                  <c:v>4.5815550016491589E-2</c:v>
                </c:pt>
                <c:pt idx="242">
                  <c:v>4.3047285991246978E-2</c:v>
                </c:pt>
                <c:pt idx="243">
                  <c:v>4.0428600181359998E-2</c:v>
                </c:pt>
                <c:pt idx="244">
                  <c:v>3.7952613778537654E-2</c:v>
                </c:pt>
                <c:pt idx="245">
                  <c:v>3.5612686387149081E-2</c:v>
                </c:pt>
                <c:pt idx="246">
                  <c:v>3.3402412678883081E-2</c:v>
                </c:pt>
                <c:pt idx="247">
                  <c:v>3.1315618755051455E-2</c:v>
                </c:pt>
                <c:pt idx="248">
                  <c:v>2.9346358243801881E-2</c:v>
                </c:pt>
                <c:pt idx="249">
                  <c:v>2.7488908158606124E-2</c:v>
                </c:pt>
                <c:pt idx="250">
                  <c:v>2.5737764543453598E-2</c:v>
                </c:pt>
                <c:pt idx="251">
                  <c:v>2.4087637929220272E-2</c:v>
                </c:pt>
                <c:pt idx="252">
                  <c:v>2.2533448624698332E-2</c:v>
                </c:pt>
                <c:pt idx="253">
                  <c:v>2.107032186476971E-2</c:v>
                </c:pt>
                <c:pt idx="254">
                  <c:v>1.9693582837195078E-2</c:v>
                </c:pt>
                <c:pt idx="255">
                  <c:v>1.8398751608466976E-2</c:v>
                </c:pt>
                <c:pt idx="256">
                  <c:v>1.718153796815159E-2</c:v>
                </c:pt>
                <c:pt idx="257">
                  <c:v>1.6037836210120674E-2</c:v>
                </c:pt>
                <c:pt idx="258">
                  <c:v>1.4963719868055071E-2</c:v>
                </c:pt>
                <c:pt idx="259">
                  <c:v>1.3955436421591185E-2</c:v>
                </c:pt>
                <c:pt idx="260">
                  <c:v>1.3009401988481615E-2</c:v>
                </c:pt>
                <c:pt idx="261">
                  <c:v>1.2122196017157636E-2</c:v>
                </c:pt>
                <c:pt idx="262">
                  <c:v>1.1290555993112185E-2</c:v>
                </c:pt>
                <c:pt idx="263">
                  <c:v>1.0511372171576121E-2</c:v>
                </c:pt>
                <c:pt idx="264">
                  <c:v>9.7816823480333607E-3</c:v>
                </c:pt>
                <c:pt idx="265">
                  <c:v>9.0986666772206841E-3</c:v>
                </c:pt>
                <c:pt idx="266">
                  <c:v>8.4596425503812873E-3</c:v>
                </c:pt>
                <c:pt idx="267">
                  <c:v>7.8620595396939226E-3</c:v>
                </c:pt>
                <c:pt idx="268">
                  <c:v>7.3034944179795639E-3</c:v>
                </c:pt>
                <c:pt idx="269">
                  <c:v>6.7816462609988229E-3</c:v>
                </c:pt>
                <c:pt idx="270">
                  <c:v>6.2943316388937975E-3</c:v>
                </c:pt>
                <c:pt idx="271">
                  <c:v>5.8394799026016981E-3</c:v>
                </c:pt>
                <c:pt idx="272">
                  <c:v>5.4151285703718305E-3</c:v>
                </c:pt>
                <c:pt idx="273">
                  <c:v>5.0194188188548323E-3</c:v>
                </c:pt>
                <c:pt idx="274">
                  <c:v>4.6505910826031014E-3</c:v>
                </c:pt>
                <c:pt idx="275">
                  <c:v>4.3069807652231394E-3</c:v>
                </c:pt>
                <c:pt idx="276">
                  <c:v>3.9870140648559614E-3</c:v>
                </c:pt>
                <c:pt idx="277">
                  <c:v>3.6892039161284173E-3</c:v>
                </c:pt>
                <c:pt idx="278">
                  <c:v>3.4121460502174301E-3</c:v>
                </c:pt>
                <c:pt idx="279">
                  <c:v>3.1545151741998647E-3</c:v>
                </c:pt>
                <c:pt idx="280">
                  <c:v>2.9150612704219236E-3</c:v>
                </c:pt>
                <c:pt idx="281">
                  <c:v>2.692606016213846E-3</c:v>
                </c:pt>
                <c:pt idx="282">
                  <c:v>2.486039323896906E-3</c:v>
                </c:pt>
                <c:pt idx="283">
                  <c:v>2.2943160006798566E-3</c:v>
                </c:pt>
                <c:pt idx="284">
                  <c:v>2.1164525277197204E-3</c:v>
                </c:pt>
                <c:pt idx="285">
                  <c:v>1.9515239573270466E-3</c:v>
                </c:pt>
                <c:pt idx="286">
                  <c:v>1.7986609270265769E-3</c:v>
                </c:pt>
                <c:pt idx="287">
                  <c:v>1.657046788940417E-3</c:v>
                </c:pt>
                <c:pt idx="288">
                  <c:v>1.5259148527409915E-3</c:v>
                </c:pt>
                <c:pt idx="289">
                  <c:v>1.4045457402241815E-3</c:v>
                </c:pt>
                <c:pt idx="290">
                  <c:v>1.2922648493781438E-3</c:v>
                </c:pt>
                <c:pt idx="291">
                  <c:v>1.1884399256693746E-3</c:v>
                </c:pt>
                <c:pt idx="292">
                  <c:v>1.0924787381333678E-3</c:v>
                </c:pt>
                <c:pt idx="293">
                  <c:v>1.0038268577419031E-3</c:v>
                </c:pt>
                <c:pt idx="294">
                  <c:v>9.21965535421234E-4</c:v>
                </c:pt>
                <c:pt idx="295">
                  <c:v>8.4640967701447346E-4</c:v>
                </c:pt>
                <c:pt idx="296">
                  <c:v>7.7670591241600011E-4</c:v>
                </c:pt>
                <c:pt idx="297">
                  <c:v>7.1243075605497037E-4</c:v>
                </c:pt>
                <c:pt idx="298">
                  <c:v>6.5318885586775142E-4</c:v>
                </c:pt>
                <c:pt idx="299">
                  <c:v>5.9861132787451853E-4</c:v>
                </c:pt>
                <c:pt idx="300">
                  <c:v>5.4835417346243195E-4</c:v>
                </c:pt>
                <c:pt idx="301">
                  <c:v>5.0209677647564197E-4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CF-4048-B2D3-ABCF64D0F2C5}"/>
            </c:ext>
          </c:extLst>
        </c:ser>
        <c:ser>
          <c:idx val="1"/>
          <c:order val="1"/>
          <c:tx>
            <c:v>Aerosol 3b</c:v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'Aerosol 3'!$A$17:$A$318</c:f>
              <c:numCache>
                <c:formatCode>0.000</c:formatCode>
                <c:ptCount val="302"/>
                <c:pt idx="0">
                  <c:v>5.4339016042139802E-2</c:v>
                </c:pt>
                <c:pt idx="1">
                  <c:v>5.6245220795161463E-2</c:v>
                </c:pt>
                <c:pt idx="2">
                  <c:v>5.8218294932745107E-2</c:v>
                </c:pt>
                <c:pt idx="3">
                  <c:v>6.0260584223142885E-2</c:v>
                </c:pt>
                <c:pt idx="4">
                  <c:v>6.2374516723814895E-2</c:v>
                </c:pt>
                <c:pt idx="5">
                  <c:v>6.4562605668122608E-2</c:v>
                </c:pt>
                <c:pt idx="6">
                  <c:v>6.6827452453287028E-2</c:v>
                </c:pt>
                <c:pt idx="7">
                  <c:v>6.917174973316409E-2</c:v>
                </c:pt>
                <c:pt idx="8">
                  <c:v>7.1598284619514063E-2</c:v>
                </c:pt>
                <c:pt idx="9">
                  <c:v>7.4109941995570985E-2</c:v>
                </c:pt>
                <c:pt idx="10">
                  <c:v>7.6709707945851788E-2</c:v>
                </c:pt>
                <c:pt idx="11">
                  <c:v>7.9400673306282518E-2</c:v>
                </c:pt>
                <c:pt idx="12">
                  <c:v>8.2186037338862386E-2</c:v>
                </c:pt>
                <c:pt idx="13">
                  <c:v>8.5069111535234707E-2</c:v>
                </c:pt>
                <c:pt idx="14">
                  <c:v>8.8053323553686447E-2</c:v>
                </c:pt>
                <c:pt idx="15">
                  <c:v>9.1142221294257017E-2</c:v>
                </c:pt>
                <c:pt idx="16">
                  <c:v>9.4339477116801421E-2</c:v>
                </c:pt>
                <c:pt idx="17">
                  <c:v>9.7648892207022539E-2</c:v>
                </c:pt>
                <c:pt idx="18">
                  <c:v>0.10107440109566297</c:v>
                </c:pt>
                <c:pt idx="19">
                  <c:v>0.10462007633622963</c:v>
                </c:pt>
                <c:pt idx="20">
                  <c:v>0.10829013334681213</c:v>
                </c:pt>
                <c:pt idx="21">
                  <c:v>0.11208893542175144</c:v>
                </c:pt>
                <c:pt idx="22">
                  <c:v>0.11602099891911737</c:v>
                </c:pt>
                <c:pt idx="23">
                  <c:v>0.12009099863016169</c:v>
                </c:pt>
                <c:pt idx="24">
                  <c:v>0.12430377333713111</c:v>
                </c:pt>
                <c:pt idx="25">
                  <c:v>0.12866433156604737</c:v>
                </c:pt>
                <c:pt idx="26">
                  <c:v>0.13317785754129421</c:v>
                </c:pt>
                <c:pt idx="27">
                  <c:v>0.13784971734909021</c:v>
                </c:pt>
                <c:pt idx="28">
                  <c:v>0.14268546531717544</c:v>
                </c:pt>
                <c:pt idx="29">
                  <c:v>0.14769085061829648</c:v>
                </c:pt>
                <c:pt idx="30">
                  <c:v>0.15287182410534089</c:v>
                </c:pt>
                <c:pt idx="31">
                  <c:v>0.15823454538624715</c:v>
                </c:pt>
                <c:pt idx="32">
                  <c:v>0.16378539014710136</c:v>
                </c:pt>
                <c:pt idx="33">
                  <c:v>0.16953095773212709</c:v>
                </c:pt>
                <c:pt idx="34">
                  <c:v>0.17547807898958018</c:v>
                </c:pt>
                <c:pt idx="35">
                  <c:v>0.18163382439287648</c:v>
                </c:pt>
                <c:pt idx="36">
                  <c:v>0.18800551244660751</c:v>
                </c:pt>
                <c:pt idx="37">
                  <c:v>0.19460071838743781</c:v>
                </c:pt>
                <c:pt idx="38">
                  <c:v>0.20142728319022873</c:v>
                </c:pt>
                <c:pt idx="39">
                  <c:v>0.20849332289009545</c:v>
                </c:pt>
                <c:pt idx="40">
                  <c:v>0.2158072382314806</c:v>
                </c:pt>
                <c:pt idx="41">
                  <c:v>0.22337772465571595</c:v>
                </c:pt>
                <c:pt idx="42">
                  <c:v>0.23121378263894624</c:v>
                </c:pt>
                <c:pt idx="43">
                  <c:v>0.23932472839270597</c:v>
                </c:pt>
                <c:pt idx="44">
                  <c:v>0.24772020493987071</c:v>
                </c:pt>
                <c:pt idx="45">
                  <c:v>0.25641019357915129</c:v>
                </c:pt>
                <c:pt idx="46">
                  <c:v>0.26540502575176073</c:v>
                </c:pt>
                <c:pt idx="47">
                  <c:v>0.27471539532436218</c:v>
                </c:pt>
                <c:pt idx="48">
                  <c:v>0.28435237130290081</c:v>
                </c:pt>
                <c:pt idx="49">
                  <c:v>0.29432741099243476</c:v>
                </c:pt>
                <c:pt idx="50">
                  <c:v>0.30465237361861197</c:v>
                </c:pt>
                <c:pt idx="51">
                  <c:v>0.31533953442698531</c:v>
                </c:pt>
                <c:pt idx="52">
                  <c:v>0.32640159927693047</c:v>
                </c:pt>
                <c:pt idx="53">
                  <c:v>0.3378517197475156</c:v>
                </c:pt>
                <c:pt idx="54">
                  <c:v>0.34970350877328349</c:v>
                </c:pt>
                <c:pt idx="55">
                  <c:v>0.3619710568285342</c:v>
                </c:pt>
                <c:pt idx="56">
                  <c:v>0.37466894867934986</c:v>
                </c:pt>
                <c:pt idx="57">
                  <c:v>0.3878122807232785</c:v>
                </c:pt>
                <c:pt idx="58">
                  <c:v>0.40141667893729105</c:v>
                </c:pt>
                <c:pt idx="59">
                  <c:v>0.41549831745535037</c:v>
                </c:pt>
                <c:pt idx="60">
                  <c:v>0.43007393779767822</c:v>
                </c:pt>
                <c:pt idx="61">
                  <c:v>0.44516086877458289</c:v>
                </c:pt>
                <c:pt idx="62">
                  <c:v>0.46077704708850942</c:v>
                </c:pt>
                <c:pt idx="63">
                  <c:v>0.47694103865880688</c:v>
                </c:pt>
                <c:pt idx="64">
                  <c:v>0.49367206069456598</c:v>
                </c:pt>
                <c:pt idx="65">
                  <c:v>0.51099000454176802</c:v>
                </c:pt>
                <c:pt idx="66">
                  <c:v>0.5289154593319082</c:v>
                </c:pt>
                <c:pt idx="67">
                  <c:v>0.54746973646021047</c:v>
                </c:pt>
                <c:pt idx="68">
                  <c:v>0.56667489492253287</c:v>
                </c:pt>
                <c:pt idx="69">
                  <c:v>0.58655376754108923</c:v>
                </c:pt>
                <c:pt idx="70">
                  <c:v>0.60712998811016461</c:v>
                </c:pt>
                <c:pt idx="71">
                  <c:v>0.62842801949409866</c:v>
                </c:pt>
                <c:pt idx="72">
                  <c:v>0.65047318271094212</c:v>
                </c:pt>
                <c:pt idx="73">
                  <c:v>0.67329168703636388</c:v>
                </c:pt>
                <c:pt idx="74">
                  <c:v>0.69691066116359857</c:v>
                </c:pt>
                <c:pt idx="75">
                  <c:v>0.72135818545648067</c:v>
                </c:pt>
                <c:pt idx="76">
                  <c:v>0.74666332533391011</c:v>
                </c:pt>
                <c:pt idx="77">
                  <c:v>0.77285616582544026</c:v>
                </c:pt>
                <c:pt idx="78">
                  <c:v>0.79996784733907078</c:v>
                </c:pt>
                <c:pt idx="79">
                  <c:v>0.82803060268377005</c:v>
                </c:pt>
                <c:pt idx="80">
                  <c:v>0.85707779539074058</c:v>
                </c:pt>
                <c:pt idx="81">
                  <c:v>0.88714395937899138</c:v>
                </c:pt>
                <c:pt idx="82">
                  <c:v>0.91826484001237041</c:v>
                </c:pt>
                <c:pt idx="83">
                  <c:v>0.950477436596873</c:v>
                </c:pt>
                <c:pt idx="84">
                  <c:v>0.98382004636874965</c:v>
                </c:pt>
                <c:pt idx="85">
                  <c:v>1.0183323100257098</c:v>
                </c:pt>
                <c:pt idx="86">
                  <c:v>1.0540552588553536</c:v>
                </c:pt>
                <c:pt idx="87">
                  <c:v>1.0910313635168623</c:v>
                </c:pt>
                <c:pt idx="88">
                  <c:v>1.1293045845339438</c:v>
                </c:pt>
                <c:pt idx="89">
                  <c:v>1.1689204245590625</c:v>
                </c:pt>
                <c:pt idx="90">
                  <c:v>1.2099259824710908</c:v>
                </c:pt>
                <c:pt idx="91">
                  <c:v>1.2523700093706989</c:v>
                </c:pt>
                <c:pt idx="92">
                  <c:v>1.2963029665400538</c:v>
                </c:pt>
                <c:pt idx="93">
                  <c:v>1.3417770854357378</c:v>
                </c:pt>
                <c:pt idx="94">
                  <c:v>1.3888464297862073</c:v>
                </c:pt>
                <c:pt idx="95">
                  <c:v>1.437566959867624</c:v>
                </c:pt>
                <c:pt idx="96">
                  <c:v>1.4879965990344703</c:v>
                </c:pt>
                <c:pt idx="97">
                  <c:v>1.5401953025840516</c:v>
                </c:pt>
                <c:pt idx="98">
                  <c:v>1.5942251290367531</c:v>
                </c:pt>
                <c:pt idx="99">
                  <c:v>1.650150313916799</c:v>
                </c:pt>
                <c:pt idx="100">
                  <c:v>1.7080373461212295</c:v>
                </c:pt>
                <c:pt idx="101">
                  <c:v>1.76795504696789</c:v>
                </c:pt>
                <c:pt idx="102">
                  <c:v>1.8299746520164126</c:v>
                </c:pt>
                <c:pt idx="103">
                  <c:v>1.8941698957594661</c:v>
                </c:pt>
                <c:pt idx="104">
                  <c:v>1.9606170992849625</c:v>
                </c:pt>
                <c:pt idx="105">
                  <c:v>2.0293952610134389</c:v>
                </c:pt>
                <c:pt idx="106">
                  <c:v>2.1005861506184975</c:v>
                </c:pt>
                <c:pt idx="107">
                  <c:v>2.1742744062419574</c:v>
                </c:pt>
                <c:pt idx="108">
                  <c:v>2.2505476351193017</c:v>
                </c:pt>
                <c:pt idx="109">
                  <c:v>2.3294965177350488</c:v>
                </c:pt>
                <c:pt idx="110">
                  <c:v>2.4112149156318821</c:v>
                </c:pt>
                <c:pt idx="111">
                  <c:v>2.4957999830017044</c:v>
                </c:pt>
                <c:pt idx="112">
                  <c:v>2.5833522821912931</c:v>
                </c:pt>
                <c:pt idx="113">
                  <c:v>2.6739759032598744</c:v>
                </c:pt>
                <c:pt idx="114">
                  <c:v>2.767778587730763</c:v>
                </c:pt>
                <c:pt idx="115">
                  <c:v>2.8648718566841889</c:v>
                </c:pt>
                <c:pt idx="116">
                  <c:v>2.9653711433436016</c:v>
                </c:pt>
                <c:pt idx="117">
                  <c:v>3.0693959303130844</c:v>
                </c:pt>
                <c:pt idx="118">
                  <c:v>3.1770698916290354</c:v>
                </c:pt>
                <c:pt idx="119">
                  <c:v>3.2885210397950018</c:v>
                </c:pt>
                <c:pt idx="120">
                  <c:v>3.4038818779744737</c:v>
                </c:pt>
                <c:pt idx="121">
                  <c:v>3.5232895575225811</c:v>
                </c:pt>
                <c:pt idx="122">
                  <c:v>3.6468860410439765</c:v>
                </c:pt>
                <c:pt idx="123">
                  <c:v>3.7748182711707674</c:v>
                </c:pt>
                <c:pt idx="124">
                  <c:v>3.9072383452611525</c:v>
                </c:pt>
                <c:pt idx="125">
                  <c:v>4.0443036962264589</c:v>
                </c:pt>
                <c:pt idx="126">
                  <c:v>4.1861772797015711</c:v>
                </c:pt>
                <c:pt idx="127">
                  <c:v>4.3330277677812639</c:v>
                </c:pt>
                <c:pt idx="128">
                  <c:v>4.4850297495527807</c:v>
                </c:pt>
                <c:pt idx="129">
                  <c:v>4.6423639386630704</c:v>
                </c:pt>
                <c:pt idx="130">
                  <c:v>4.8052173881674447</c:v>
                </c:pt>
                <c:pt idx="131">
                  <c:v>4.9737837129150959</c:v>
                </c:pt>
                <c:pt idx="132">
                  <c:v>5.1482633197358743</c:v>
                </c:pt>
                <c:pt idx="133">
                  <c:v>5.3288636457019765</c:v>
                </c:pt>
                <c:pt idx="134">
                  <c:v>5.5157994047478169</c:v>
                </c:pt>
                <c:pt idx="135">
                  <c:v>5.7092928429412986</c:v>
                </c:pt>
                <c:pt idx="136">
                  <c:v>5.9095740027099541</c:v>
                </c:pt>
                <c:pt idx="137">
                  <c:v>6.1168809963361008</c:v>
                </c:pt>
                <c:pt idx="138">
                  <c:v>6.3314602890461762</c:v>
                </c:pt>
                <c:pt idx="139">
                  <c:v>6.5535669920307917</c:v>
                </c:pt>
                <c:pt idx="140">
                  <c:v>6.7834651657438956</c:v>
                </c:pt>
                <c:pt idx="141">
                  <c:v>7.0214281338416287</c:v>
                </c:pt>
                <c:pt idx="142">
                  <c:v>7.2677388081341014</c:v>
                </c:pt>
                <c:pt idx="143">
                  <c:v>7.5226900249364386</c:v>
                </c:pt>
                <c:pt idx="144">
                  <c:v>7.7865848932189659</c:v>
                </c:pt>
                <c:pt idx="145">
                  <c:v>8.0597371549704526</c:v>
                </c:pt>
                <c:pt idx="146">
                  <c:v>8.342471558202849</c:v>
                </c:pt>
                <c:pt idx="147">
                  <c:v>8.6351242430409805</c:v>
                </c:pt>
                <c:pt idx="148">
                  <c:v>8.9380431413561876</c:v>
                </c:pt>
                <c:pt idx="149">
                  <c:v>9.2515883904190943</c:v>
                </c:pt>
                <c:pt idx="150">
                  <c:v>9.5761327610632154</c:v>
                </c:pt>
                <c:pt idx="151">
                  <c:v>9.9120621008685088</c:v>
                </c:pt>
                <c:pt idx="152">
                  <c:v>10.259775792891732</c:v>
                </c:pt>
                <c:pt idx="153">
                  <c:v>10.619687230488996</c:v>
                </c:pt>
                <c:pt idx="154">
                  <c:v>10.992224308795002</c:v>
                </c:pt>
                <c:pt idx="155">
                  <c:v>11.377829933443346</c:v>
                </c:pt>
                <c:pt idx="156">
                  <c:v>11.776962547132609</c:v>
                </c:pt>
                <c:pt idx="157">
                  <c:v>12.190096674664346</c:v>
                </c:pt>
                <c:pt idx="158">
                  <c:v>12.617723487100898</c:v>
                </c:pt>
                <c:pt idx="159">
                  <c:v>13.060351385713798</c:v>
                </c:pt>
                <c:pt idx="160">
                  <c:v>13.518506606416992</c:v>
                </c:pt>
                <c:pt idx="161">
                  <c:v>13.992733845403491</c:v>
                </c:pt>
                <c:pt idx="162">
                  <c:v>14.48359690672927</c:v>
                </c:pt>
                <c:pt idx="163">
                  <c:v>14.991679372614316</c:v>
                </c:pt>
                <c:pt idx="164">
                  <c:v>15.517585297257723</c:v>
                </c:pt>
                <c:pt idx="165">
                  <c:v>16.061939924991741</c:v>
                </c:pt>
                <c:pt idx="166">
                  <c:v>16.62539043362856</c:v>
                </c:pt>
                <c:pt idx="167">
                  <c:v>17.208606703883571</c:v>
                </c:pt>
                <c:pt idx="168">
                  <c:v>17.812282115789912</c:v>
                </c:pt>
                <c:pt idx="169">
                  <c:v>18.437134373051084</c:v>
                </c:pt>
                <c:pt idx="170">
                  <c:v>19.083906356311786</c:v>
                </c:pt>
                <c:pt idx="171">
                  <c:v>19.753367006361312</c:v>
                </c:pt>
                <c:pt idx="172">
                  <c:v>20.446312238319635</c:v>
                </c:pt>
                <c:pt idx="173">
                  <c:v>21.163565887892997</c:v>
                </c:pt>
                <c:pt idx="174">
                  <c:v>21.905980690823984</c:v>
                </c:pt>
                <c:pt idx="175">
                  <c:v>22.674439296700601</c:v>
                </c:pt>
                <c:pt idx="176">
                  <c:v>23.469855318329582</c:v>
                </c:pt>
                <c:pt idx="177">
                  <c:v>24.293174417921602</c:v>
                </c:pt>
                <c:pt idx="178">
                  <c:v>25.145375431379691</c:v>
                </c:pt>
                <c:pt idx="179">
                  <c:v>26.027471532027516</c:v>
                </c:pt>
                <c:pt idx="180">
                  <c:v>26.940511435161067</c:v>
                </c:pt>
                <c:pt idx="181">
                  <c:v>27.885580644855892</c:v>
                </c:pt>
                <c:pt idx="182">
                  <c:v>28.8638027445121</c:v>
                </c:pt>
                <c:pt idx="183">
                  <c:v>29.87634073267149</c:v>
                </c:pt>
                <c:pt idx="184">
                  <c:v>30.924398405695026</c:v>
                </c:pt>
                <c:pt idx="185">
                  <c:v>32.009221788944323</c:v>
                </c:pt>
                <c:pt idx="186">
                  <c:v>33.132100618168849</c:v>
                </c:pt>
                <c:pt idx="187">
                  <c:v>34.294369872859953</c:v>
                </c:pt>
                <c:pt idx="188">
                  <c:v>35.497411363394733</c:v>
                </c:pt>
                <c:pt idx="189">
                  <c:v>36.742655373856657</c:v>
                </c:pt>
                <c:pt idx="190">
                  <c:v>38.031582362486112</c:v>
                </c:pt>
                <c:pt idx="191">
                  <c:v>39.365724721782549</c:v>
                </c:pt>
                <c:pt idx="192">
                  <c:v>40.746668600350631</c:v>
                </c:pt>
                <c:pt idx="193">
                  <c:v>42.176055788656626</c:v>
                </c:pt>
                <c:pt idx="194">
                  <c:v>43.655585670936766</c:v>
                </c:pt>
                <c:pt idx="195">
                  <c:v>45.187017245578282</c:v>
                </c:pt>
                <c:pt idx="196">
                  <c:v>46.772171216375177</c:v>
                </c:pt>
                <c:pt idx="197">
                  <c:v>48.412932157144837</c:v>
                </c:pt>
                <c:pt idx="198">
                  <c:v>50.111250752279112</c:v>
                </c:pt>
                <c:pt idx="199">
                  <c:v>51.869146115893713</c:v>
                </c:pt>
                <c:pt idx="200">
                  <c:v>53.688708192332818</c:v>
                </c:pt>
                <c:pt idx="201">
                  <c:v>55.572100240883238</c:v>
                </c:pt>
                <c:pt idx="202">
                  <c:v>57.521561407651888</c:v>
                </c:pt>
                <c:pt idx="203">
                  <c:v>59.539409387664335</c:v>
                </c:pt>
                <c:pt idx="204">
                  <c:v>61.628043180349437</c:v>
                </c:pt>
                <c:pt idx="205">
                  <c:v>63.789945941685907</c:v>
                </c:pt>
                <c:pt idx="206">
                  <c:v>66.027687936401847</c:v>
                </c:pt>
                <c:pt idx="207">
                  <c:v>68.343929593736917</c:v>
                </c:pt>
                <c:pt idx="208">
                  <c:v>70.741424670400278</c:v>
                </c:pt>
                <c:pt idx="209">
                  <c:v>73.223023524484603</c:v>
                </c:pt>
                <c:pt idx="210">
                  <c:v>75.791676504228477</c:v>
                </c:pt>
                <c:pt idx="211">
                  <c:v>78.450437455656157</c:v>
                </c:pt>
                <c:pt idx="212">
                  <c:v>81.20246735326478</c:v>
                </c:pt>
                <c:pt idx="213">
                  <c:v>84.051038058075576</c:v>
                </c:pt>
                <c:pt idx="214">
                  <c:v>86.999536207516897</c:v>
                </c:pt>
                <c:pt idx="215">
                  <c:v>90.051467241763902</c:v>
                </c:pt>
                <c:pt idx="216">
                  <c:v>93.210459571321536</c:v>
                </c:pt>
                <c:pt idx="217">
                  <c:v>96.480268890805732</c:v>
                </c:pt>
                <c:pt idx="218">
                  <c:v>99.86478264405153</c:v>
                </c:pt>
                <c:pt idx="219">
                  <c:v>103.36802464585627</c:v>
                </c:pt>
                <c:pt idx="220">
                  <c:v>106.99415986585336</c:v>
                </c:pt>
                <c:pt idx="221">
                  <c:v>110.74749938020311</c:v>
                </c:pt>
                <c:pt idx="222">
                  <c:v>114.63250549698837</c:v>
                </c:pt>
                <c:pt idx="223">
                  <c:v>118.65379706140838</c:v>
                </c:pt>
                <c:pt idx="224">
                  <c:v>122.81615494707791</c:v>
                </c:pt>
                <c:pt idx="225">
                  <c:v>127.12452773996046</c:v>
                </c:pt>
                <c:pt idx="226">
                  <c:v>131.584037621693</c:v>
                </c:pt>
                <c:pt idx="227">
                  <c:v>136.19998645929684</c:v>
                </c:pt>
                <c:pt idx="228">
                  <c:v>140.97786210851478</c:v>
                </c:pt>
                <c:pt idx="229">
                  <c:v>145.92334493826789</c:v>
                </c:pt>
                <c:pt idx="230">
                  <c:v>151.04231458399045</c:v>
                </c:pt>
                <c:pt idx="231">
                  <c:v>156.34085693786957</c:v>
                </c:pt>
                <c:pt idx="232">
                  <c:v>161.82527138430234</c:v>
                </c:pt>
                <c:pt idx="233">
                  <c:v>167.50207828917075</c:v>
                </c:pt>
                <c:pt idx="234">
                  <c:v>173.37802675184096</c:v>
                </c:pt>
                <c:pt idx="235">
                  <c:v>179.46010262909985</c:v>
                </c:pt>
                <c:pt idx="236">
                  <c:v>185.75553684057058</c:v>
                </c:pt>
                <c:pt idx="237">
                  <c:v>192.2718139654819</c:v>
                </c:pt>
                <c:pt idx="238">
                  <c:v>199.01668114100951</c:v>
                </c:pt>
                <c:pt idx="239">
                  <c:v>205.99815727277087</c:v>
                </c:pt>
                <c:pt idx="240">
                  <c:v>213.22454256842178</c:v>
                </c:pt>
                <c:pt idx="241">
                  <c:v>220.70442840569206</c:v>
                </c:pt>
                <c:pt idx="242">
                  <c:v>228.44670754658779</c:v>
                </c:pt>
                <c:pt idx="243">
                  <c:v>236.46058470990909</c:v>
                </c:pt>
                <c:pt idx="244">
                  <c:v>244.75558751464831</c:v>
                </c:pt>
                <c:pt idx="245">
                  <c:v>253.34157780728108</c:v>
                </c:pt>
                <c:pt idx="246">
                  <c:v>262.2287633864189</c:v>
                </c:pt>
                <c:pt idx="247">
                  <c:v>271.4277101387587</c:v>
                </c:pt>
                <c:pt idx="248">
                  <c:v>280.94935460076113</c:v>
                </c:pt>
                <c:pt idx="249">
                  <c:v>290.80501696098924</c:v>
                </c:pt>
                <c:pt idx="250">
                  <c:v>301.00641451856916</c:v>
                </c:pt>
                <c:pt idx="251">
                  <c:v>311.56567561377102</c:v>
                </c:pt>
                <c:pt idx="252">
                  <c:v>322.49535404727078</c:v>
                </c:pt>
                <c:pt idx="253">
                  <c:v>333.80844400524091</c:v>
                </c:pt>
                <c:pt idx="254">
                  <c:v>345.5183955080085</c:v>
                </c:pt>
                <c:pt idx="255">
                  <c:v>357.63913040065023</c:v>
                </c:pt>
                <c:pt idx="256">
                  <c:v>370.18505890453713</c:v>
                </c:pt>
                <c:pt idx="257">
                  <c:v>383.17109674950291</c:v>
                </c:pt>
                <c:pt idx="258">
                  <c:v>396.61268290700741</c:v>
                </c:pt>
                <c:pt idx="259">
                  <c:v>410.52579794537525</c:v>
                </c:pt>
                <c:pt idx="260">
                  <c:v>424.92698302893729</c:v>
                </c:pt>
                <c:pt idx="261">
                  <c:v>439.8333595836537</c:v>
                </c:pt>
                <c:pt idx="262">
                  <c:v>455.26264965261038</c:v>
                </c:pt>
                <c:pt idx="263">
                  <c:v>471.23319696557684</c:v>
                </c:pt>
                <c:pt idx="264">
                  <c:v>487.76398874768722</c:v>
                </c:pt>
                <c:pt idx="265">
                  <c:v>504.87467829316228</c:v>
                </c:pt>
                <c:pt idx="266">
                  <c:v>522.58560833091622</c:v>
                </c:pt>
                <c:pt idx="267">
                  <c:v>540.91783520982381</c:v>
                </c:pt>
                <c:pt idx="268">
                  <c:v>559.89315393240724</c:v>
                </c:pt>
                <c:pt idx="269">
                  <c:v>579.53412406669474</c:v>
                </c:pt>
                <c:pt idx="270">
                  <c:v>599.86409656707042</c:v>
                </c:pt>
                <c:pt idx="271">
                  <c:v>620.90724153599047</c:v>
                </c:pt>
                <c:pt idx="272">
                  <c:v>642.68857695957649</c:v>
                </c:pt>
                <c:pt idx="273">
                  <c:v>665.23399845125459</c:v>
                </c:pt>
                <c:pt idx="274">
                  <c:v>688.57031003878853</c:v>
                </c:pt>
                <c:pt idx="275">
                  <c:v>712.72525603132635</c:v>
                </c:pt>
                <c:pt idx="276">
                  <c:v>737.72755400433221</c:v>
                </c:pt>
                <c:pt idx="277">
                  <c:v>763.6069289416248</c:v>
                </c:pt>
                <c:pt idx="278">
                  <c:v>790.39414857511952</c:v>
                </c:pt>
                <c:pt idx="279">
                  <c:v>818.1210599642767</c:v>
                </c:pt>
                <c:pt idx="280">
                  <c:v>846.82062735875547</c:v>
                </c:pt>
                <c:pt idx="281">
                  <c:v>876.52697138928079</c:v>
                </c:pt>
                <c:pt idx="282">
                  <c:v>907.27540963332683</c:v>
                </c:pt>
                <c:pt idx="283">
                  <c:v>939.10249860382874</c:v>
                </c:pt>
                <c:pt idx="284">
                  <c:v>972.04607721086302</c:v>
                </c:pt>
                <c:pt idx="285">
                  <c:v>1006.1453117479499</c:v>
                </c:pt>
                <c:pt idx="286">
                  <c:v>1041.4407424564688</c:v>
                </c:pt>
                <c:pt idx="287">
                  <c:v>1077.9743317235509</c:v>
                </c:pt>
                <c:pt idx="288">
                  <c:v>1115.7895139707459</c:v>
                </c:pt>
                <c:pt idx="289">
                  <c:v>1154.9312472927725</c:v>
                </c:pt>
                <c:pt idx="290">
                  <c:v>1195.4460669077519</c:v>
                </c:pt>
                <c:pt idx="291">
                  <c:v>1237.3821404824632</c:v>
                </c:pt>
                <c:pt idx="292">
                  <c:v>1280.7893253984103</c:v>
                </c:pt>
                <c:pt idx="293">
                  <c:v>1325.7192280267632</c:v>
                </c:pt>
                <c:pt idx="294">
                  <c:v>1372.2252650826629</c:v>
                </c:pt>
                <c:pt idx="295">
                  <c:v>1420.3627271318198</c:v>
                </c:pt>
                <c:pt idx="296">
                  <c:v>1470.1888443249213</c:v>
                </c:pt>
                <c:pt idx="297">
                  <c:v>1521.7628544379922</c:v>
                </c:pt>
                <c:pt idx="298">
                  <c:v>1575.1460732995915</c:v>
                </c:pt>
                <c:pt idx="299">
                  <c:v>1630.4019676885991</c:v>
                </c:pt>
                <c:pt idx="300">
                  <c:v>1687.596230789236</c:v>
                </c:pt>
                <c:pt idx="301">
                  <c:v>1746.7968602930189</c:v>
                </c:pt>
              </c:numCache>
            </c:numRef>
          </c:xVal>
          <c:yVal>
            <c:numRef>
              <c:f>'Aerosol 3'!$C$17:$C$318</c:f>
              <c:numCache>
                <c:formatCode>0.00</c:formatCode>
                <c:ptCount val="3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CF-4048-B2D3-ABCF64D0F2C5}"/>
            </c:ext>
          </c:extLst>
        </c:ser>
        <c:ser>
          <c:idx val="2"/>
          <c:order val="2"/>
          <c:tx>
            <c:v>Total</c:v>
          </c:tx>
          <c:spPr>
            <a:ln w="25400">
              <a:solidFill>
                <a:srgbClr val="FF9900"/>
              </a:solidFill>
              <a:prstDash val="solid"/>
            </a:ln>
          </c:spPr>
          <c:marker>
            <c:symbol val="none"/>
          </c:marker>
          <c:xVal>
            <c:numRef>
              <c:f>'Aerosol 3'!$A$17:$A$318</c:f>
              <c:numCache>
                <c:formatCode>0.000</c:formatCode>
                <c:ptCount val="302"/>
                <c:pt idx="0">
                  <c:v>5.4339016042139802E-2</c:v>
                </c:pt>
                <c:pt idx="1">
                  <c:v>5.6245220795161463E-2</c:v>
                </c:pt>
                <c:pt idx="2">
                  <c:v>5.8218294932745107E-2</c:v>
                </c:pt>
                <c:pt idx="3">
                  <c:v>6.0260584223142885E-2</c:v>
                </c:pt>
                <c:pt idx="4">
                  <c:v>6.2374516723814895E-2</c:v>
                </c:pt>
                <c:pt idx="5">
                  <c:v>6.4562605668122608E-2</c:v>
                </c:pt>
                <c:pt idx="6">
                  <c:v>6.6827452453287028E-2</c:v>
                </c:pt>
                <c:pt idx="7">
                  <c:v>6.917174973316409E-2</c:v>
                </c:pt>
                <c:pt idx="8">
                  <c:v>7.1598284619514063E-2</c:v>
                </c:pt>
                <c:pt idx="9">
                  <c:v>7.4109941995570985E-2</c:v>
                </c:pt>
                <c:pt idx="10">
                  <c:v>7.6709707945851788E-2</c:v>
                </c:pt>
                <c:pt idx="11">
                  <c:v>7.9400673306282518E-2</c:v>
                </c:pt>
                <c:pt idx="12">
                  <c:v>8.2186037338862386E-2</c:v>
                </c:pt>
                <c:pt idx="13">
                  <c:v>8.5069111535234707E-2</c:v>
                </c:pt>
                <c:pt idx="14">
                  <c:v>8.8053323553686447E-2</c:v>
                </c:pt>
                <c:pt idx="15">
                  <c:v>9.1142221294257017E-2</c:v>
                </c:pt>
                <c:pt idx="16">
                  <c:v>9.4339477116801421E-2</c:v>
                </c:pt>
                <c:pt idx="17">
                  <c:v>9.7648892207022539E-2</c:v>
                </c:pt>
                <c:pt idx="18">
                  <c:v>0.10107440109566297</c:v>
                </c:pt>
                <c:pt idx="19">
                  <c:v>0.10462007633622963</c:v>
                </c:pt>
                <c:pt idx="20">
                  <c:v>0.10829013334681213</c:v>
                </c:pt>
                <c:pt idx="21">
                  <c:v>0.11208893542175144</c:v>
                </c:pt>
                <c:pt idx="22">
                  <c:v>0.11602099891911737</c:v>
                </c:pt>
                <c:pt idx="23">
                  <c:v>0.12009099863016169</c:v>
                </c:pt>
                <c:pt idx="24">
                  <c:v>0.12430377333713111</c:v>
                </c:pt>
                <c:pt idx="25">
                  <c:v>0.12866433156604737</c:v>
                </c:pt>
                <c:pt idx="26">
                  <c:v>0.13317785754129421</c:v>
                </c:pt>
                <c:pt idx="27">
                  <c:v>0.13784971734909021</c:v>
                </c:pt>
                <c:pt idx="28">
                  <c:v>0.14268546531717544</c:v>
                </c:pt>
                <c:pt idx="29">
                  <c:v>0.14769085061829648</c:v>
                </c:pt>
                <c:pt idx="30">
                  <c:v>0.15287182410534089</c:v>
                </c:pt>
                <c:pt idx="31">
                  <c:v>0.15823454538624715</c:v>
                </c:pt>
                <c:pt idx="32">
                  <c:v>0.16378539014710136</c:v>
                </c:pt>
                <c:pt idx="33">
                  <c:v>0.16953095773212709</c:v>
                </c:pt>
                <c:pt idx="34">
                  <c:v>0.17547807898958018</c:v>
                </c:pt>
                <c:pt idx="35">
                  <c:v>0.18163382439287648</c:v>
                </c:pt>
                <c:pt idx="36">
                  <c:v>0.18800551244660751</c:v>
                </c:pt>
                <c:pt idx="37">
                  <c:v>0.19460071838743781</c:v>
                </c:pt>
                <c:pt idx="38">
                  <c:v>0.20142728319022873</c:v>
                </c:pt>
                <c:pt idx="39">
                  <c:v>0.20849332289009545</c:v>
                </c:pt>
                <c:pt idx="40">
                  <c:v>0.2158072382314806</c:v>
                </c:pt>
                <c:pt idx="41">
                  <c:v>0.22337772465571595</c:v>
                </c:pt>
                <c:pt idx="42">
                  <c:v>0.23121378263894624</c:v>
                </c:pt>
                <c:pt idx="43">
                  <c:v>0.23932472839270597</c:v>
                </c:pt>
                <c:pt idx="44">
                  <c:v>0.24772020493987071</c:v>
                </c:pt>
                <c:pt idx="45">
                  <c:v>0.25641019357915129</c:v>
                </c:pt>
                <c:pt idx="46">
                  <c:v>0.26540502575176073</c:v>
                </c:pt>
                <c:pt idx="47">
                  <c:v>0.27471539532436218</c:v>
                </c:pt>
                <c:pt idx="48">
                  <c:v>0.28435237130290081</c:v>
                </c:pt>
                <c:pt idx="49">
                  <c:v>0.29432741099243476</c:v>
                </c:pt>
                <c:pt idx="50">
                  <c:v>0.30465237361861197</c:v>
                </c:pt>
                <c:pt idx="51">
                  <c:v>0.31533953442698531</c:v>
                </c:pt>
                <c:pt idx="52">
                  <c:v>0.32640159927693047</c:v>
                </c:pt>
                <c:pt idx="53">
                  <c:v>0.3378517197475156</c:v>
                </c:pt>
                <c:pt idx="54">
                  <c:v>0.34970350877328349</c:v>
                </c:pt>
                <c:pt idx="55">
                  <c:v>0.3619710568285342</c:v>
                </c:pt>
                <c:pt idx="56">
                  <c:v>0.37466894867934986</c:v>
                </c:pt>
                <c:pt idx="57">
                  <c:v>0.3878122807232785</c:v>
                </c:pt>
                <c:pt idx="58">
                  <c:v>0.40141667893729105</c:v>
                </c:pt>
                <c:pt idx="59">
                  <c:v>0.41549831745535037</c:v>
                </c:pt>
                <c:pt idx="60">
                  <c:v>0.43007393779767822</c:v>
                </c:pt>
                <c:pt idx="61">
                  <c:v>0.44516086877458289</c:v>
                </c:pt>
                <c:pt idx="62">
                  <c:v>0.46077704708850942</c:v>
                </c:pt>
                <c:pt idx="63">
                  <c:v>0.47694103865880688</c:v>
                </c:pt>
                <c:pt idx="64">
                  <c:v>0.49367206069456598</c:v>
                </c:pt>
                <c:pt idx="65">
                  <c:v>0.51099000454176802</c:v>
                </c:pt>
                <c:pt idx="66">
                  <c:v>0.5289154593319082</c:v>
                </c:pt>
                <c:pt idx="67">
                  <c:v>0.54746973646021047</c:v>
                </c:pt>
                <c:pt idx="68">
                  <c:v>0.56667489492253287</c:v>
                </c:pt>
                <c:pt idx="69">
                  <c:v>0.58655376754108923</c:v>
                </c:pt>
                <c:pt idx="70">
                  <c:v>0.60712998811016461</c:v>
                </c:pt>
                <c:pt idx="71">
                  <c:v>0.62842801949409866</c:v>
                </c:pt>
                <c:pt idx="72">
                  <c:v>0.65047318271094212</c:v>
                </c:pt>
                <c:pt idx="73">
                  <c:v>0.67329168703636388</c:v>
                </c:pt>
                <c:pt idx="74">
                  <c:v>0.69691066116359857</c:v>
                </c:pt>
                <c:pt idx="75">
                  <c:v>0.72135818545648067</c:v>
                </c:pt>
                <c:pt idx="76">
                  <c:v>0.74666332533391011</c:v>
                </c:pt>
                <c:pt idx="77">
                  <c:v>0.77285616582544026</c:v>
                </c:pt>
                <c:pt idx="78">
                  <c:v>0.79996784733907078</c:v>
                </c:pt>
                <c:pt idx="79">
                  <c:v>0.82803060268377005</c:v>
                </c:pt>
                <c:pt idx="80">
                  <c:v>0.85707779539074058</c:v>
                </c:pt>
                <c:pt idx="81">
                  <c:v>0.88714395937899138</c:v>
                </c:pt>
                <c:pt idx="82">
                  <c:v>0.91826484001237041</c:v>
                </c:pt>
                <c:pt idx="83">
                  <c:v>0.950477436596873</c:v>
                </c:pt>
                <c:pt idx="84">
                  <c:v>0.98382004636874965</c:v>
                </c:pt>
                <c:pt idx="85">
                  <c:v>1.0183323100257098</c:v>
                </c:pt>
                <c:pt idx="86">
                  <c:v>1.0540552588553536</c:v>
                </c:pt>
                <c:pt idx="87">
                  <c:v>1.0910313635168623</c:v>
                </c:pt>
                <c:pt idx="88">
                  <c:v>1.1293045845339438</c:v>
                </c:pt>
                <c:pt idx="89">
                  <c:v>1.1689204245590625</c:v>
                </c:pt>
                <c:pt idx="90">
                  <c:v>1.2099259824710908</c:v>
                </c:pt>
                <c:pt idx="91">
                  <c:v>1.2523700093706989</c:v>
                </c:pt>
                <c:pt idx="92">
                  <c:v>1.2963029665400538</c:v>
                </c:pt>
                <c:pt idx="93">
                  <c:v>1.3417770854357378</c:v>
                </c:pt>
                <c:pt idx="94">
                  <c:v>1.3888464297862073</c:v>
                </c:pt>
                <c:pt idx="95">
                  <c:v>1.437566959867624</c:v>
                </c:pt>
                <c:pt idx="96">
                  <c:v>1.4879965990344703</c:v>
                </c:pt>
                <c:pt idx="97">
                  <c:v>1.5401953025840516</c:v>
                </c:pt>
                <c:pt idx="98">
                  <c:v>1.5942251290367531</c:v>
                </c:pt>
                <c:pt idx="99">
                  <c:v>1.650150313916799</c:v>
                </c:pt>
                <c:pt idx="100">
                  <c:v>1.7080373461212295</c:v>
                </c:pt>
                <c:pt idx="101">
                  <c:v>1.76795504696789</c:v>
                </c:pt>
                <c:pt idx="102">
                  <c:v>1.8299746520164126</c:v>
                </c:pt>
                <c:pt idx="103">
                  <c:v>1.8941698957594661</c:v>
                </c:pt>
                <c:pt idx="104">
                  <c:v>1.9606170992849625</c:v>
                </c:pt>
                <c:pt idx="105">
                  <c:v>2.0293952610134389</c:v>
                </c:pt>
                <c:pt idx="106">
                  <c:v>2.1005861506184975</c:v>
                </c:pt>
                <c:pt idx="107">
                  <c:v>2.1742744062419574</c:v>
                </c:pt>
                <c:pt idx="108">
                  <c:v>2.2505476351193017</c:v>
                </c:pt>
                <c:pt idx="109">
                  <c:v>2.3294965177350488</c:v>
                </c:pt>
                <c:pt idx="110">
                  <c:v>2.4112149156318821</c:v>
                </c:pt>
                <c:pt idx="111">
                  <c:v>2.4957999830017044</c:v>
                </c:pt>
                <c:pt idx="112">
                  <c:v>2.5833522821912931</c:v>
                </c:pt>
                <c:pt idx="113">
                  <c:v>2.6739759032598744</c:v>
                </c:pt>
                <c:pt idx="114">
                  <c:v>2.767778587730763</c:v>
                </c:pt>
                <c:pt idx="115">
                  <c:v>2.8648718566841889</c:v>
                </c:pt>
                <c:pt idx="116">
                  <c:v>2.9653711433436016</c:v>
                </c:pt>
                <c:pt idx="117">
                  <c:v>3.0693959303130844</c:v>
                </c:pt>
                <c:pt idx="118">
                  <c:v>3.1770698916290354</c:v>
                </c:pt>
                <c:pt idx="119">
                  <c:v>3.2885210397950018</c:v>
                </c:pt>
                <c:pt idx="120">
                  <c:v>3.4038818779744737</c:v>
                </c:pt>
                <c:pt idx="121">
                  <c:v>3.5232895575225811</c:v>
                </c:pt>
                <c:pt idx="122">
                  <c:v>3.6468860410439765</c:v>
                </c:pt>
                <c:pt idx="123">
                  <c:v>3.7748182711707674</c:v>
                </c:pt>
                <c:pt idx="124">
                  <c:v>3.9072383452611525</c:v>
                </c:pt>
                <c:pt idx="125">
                  <c:v>4.0443036962264589</c:v>
                </c:pt>
                <c:pt idx="126">
                  <c:v>4.1861772797015711</c:v>
                </c:pt>
                <c:pt idx="127">
                  <c:v>4.3330277677812639</c:v>
                </c:pt>
                <c:pt idx="128">
                  <c:v>4.4850297495527807</c:v>
                </c:pt>
                <c:pt idx="129">
                  <c:v>4.6423639386630704</c:v>
                </c:pt>
                <c:pt idx="130">
                  <c:v>4.8052173881674447</c:v>
                </c:pt>
                <c:pt idx="131">
                  <c:v>4.9737837129150959</c:v>
                </c:pt>
                <c:pt idx="132">
                  <c:v>5.1482633197358743</c:v>
                </c:pt>
                <c:pt idx="133">
                  <c:v>5.3288636457019765</c:v>
                </c:pt>
                <c:pt idx="134">
                  <c:v>5.5157994047478169</c:v>
                </c:pt>
                <c:pt idx="135">
                  <c:v>5.7092928429412986</c:v>
                </c:pt>
                <c:pt idx="136">
                  <c:v>5.9095740027099541</c:v>
                </c:pt>
                <c:pt idx="137">
                  <c:v>6.1168809963361008</c:v>
                </c:pt>
                <c:pt idx="138">
                  <c:v>6.3314602890461762</c:v>
                </c:pt>
                <c:pt idx="139">
                  <c:v>6.5535669920307917</c:v>
                </c:pt>
                <c:pt idx="140">
                  <c:v>6.7834651657438956</c:v>
                </c:pt>
                <c:pt idx="141">
                  <c:v>7.0214281338416287</c:v>
                </c:pt>
                <c:pt idx="142">
                  <c:v>7.2677388081341014</c:v>
                </c:pt>
                <c:pt idx="143">
                  <c:v>7.5226900249364386</c:v>
                </c:pt>
                <c:pt idx="144">
                  <c:v>7.7865848932189659</c:v>
                </c:pt>
                <c:pt idx="145">
                  <c:v>8.0597371549704526</c:v>
                </c:pt>
                <c:pt idx="146">
                  <c:v>8.342471558202849</c:v>
                </c:pt>
                <c:pt idx="147">
                  <c:v>8.6351242430409805</c:v>
                </c:pt>
                <c:pt idx="148">
                  <c:v>8.9380431413561876</c:v>
                </c:pt>
                <c:pt idx="149">
                  <c:v>9.2515883904190943</c:v>
                </c:pt>
                <c:pt idx="150">
                  <c:v>9.5761327610632154</c:v>
                </c:pt>
                <c:pt idx="151">
                  <c:v>9.9120621008685088</c:v>
                </c:pt>
                <c:pt idx="152">
                  <c:v>10.259775792891732</c:v>
                </c:pt>
                <c:pt idx="153">
                  <c:v>10.619687230488996</c:v>
                </c:pt>
                <c:pt idx="154">
                  <c:v>10.992224308795002</c:v>
                </c:pt>
                <c:pt idx="155">
                  <c:v>11.377829933443346</c:v>
                </c:pt>
                <c:pt idx="156">
                  <c:v>11.776962547132609</c:v>
                </c:pt>
                <c:pt idx="157">
                  <c:v>12.190096674664346</c:v>
                </c:pt>
                <c:pt idx="158">
                  <c:v>12.617723487100898</c:v>
                </c:pt>
                <c:pt idx="159">
                  <c:v>13.060351385713798</c:v>
                </c:pt>
                <c:pt idx="160">
                  <c:v>13.518506606416992</c:v>
                </c:pt>
                <c:pt idx="161">
                  <c:v>13.992733845403491</c:v>
                </c:pt>
                <c:pt idx="162">
                  <c:v>14.48359690672927</c:v>
                </c:pt>
                <c:pt idx="163">
                  <c:v>14.991679372614316</c:v>
                </c:pt>
                <c:pt idx="164">
                  <c:v>15.517585297257723</c:v>
                </c:pt>
                <c:pt idx="165">
                  <c:v>16.061939924991741</c:v>
                </c:pt>
                <c:pt idx="166">
                  <c:v>16.62539043362856</c:v>
                </c:pt>
                <c:pt idx="167">
                  <c:v>17.208606703883571</c:v>
                </c:pt>
                <c:pt idx="168">
                  <c:v>17.812282115789912</c:v>
                </c:pt>
                <c:pt idx="169">
                  <c:v>18.437134373051084</c:v>
                </c:pt>
                <c:pt idx="170">
                  <c:v>19.083906356311786</c:v>
                </c:pt>
                <c:pt idx="171">
                  <c:v>19.753367006361312</c:v>
                </c:pt>
                <c:pt idx="172">
                  <c:v>20.446312238319635</c:v>
                </c:pt>
                <c:pt idx="173">
                  <c:v>21.163565887892997</c:v>
                </c:pt>
                <c:pt idx="174">
                  <c:v>21.905980690823984</c:v>
                </c:pt>
                <c:pt idx="175">
                  <c:v>22.674439296700601</c:v>
                </c:pt>
                <c:pt idx="176">
                  <c:v>23.469855318329582</c:v>
                </c:pt>
                <c:pt idx="177">
                  <c:v>24.293174417921602</c:v>
                </c:pt>
                <c:pt idx="178">
                  <c:v>25.145375431379691</c:v>
                </c:pt>
                <c:pt idx="179">
                  <c:v>26.027471532027516</c:v>
                </c:pt>
                <c:pt idx="180">
                  <c:v>26.940511435161067</c:v>
                </c:pt>
                <c:pt idx="181">
                  <c:v>27.885580644855892</c:v>
                </c:pt>
                <c:pt idx="182">
                  <c:v>28.8638027445121</c:v>
                </c:pt>
                <c:pt idx="183">
                  <c:v>29.87634073267149</c:v>
                </c:pt>
                <c:pt idx="184">
                  <c:v>30.924398405695026</c:v>
                </c:pt>
                <c:pt idx="185">
                  <c:v>32.009221788944323</c:v>
                </c:pt>
                <c:pt idx="186">
                  <c:v>33.132100618168849</c:v>
                </c:pt>
                <c:pt idx="187">
                  <c:v>34.294369872859953</c:v>
                </c:pt>
                <c:pt idx="188">
                  <c:v>35.497411363394733</c:v>
                </c:pt>
                <c:pt idx="189">
                  <c:v>36.742655373856657</c:v>
                </c:pt>
                <c:pt idx="190">
                  <c:v>38.031582362486112</c:v>
                </c:pt>
                <c:pt idx="191">
                  <c:v>39.365724721782549</c:v>
                </c:pt>
                <c:pt idx="192">
                  <c:v>40.746668600350631</c:v>
                </c:pt>
                <c:pt idx="193">
                  <c:v>42.176055788656626</c:v>
                </c:pt>
                <c:pt idx="194">
                  <c:v>43.655585670936766</c:v>
                </c:pt>
                <c:pt idx="195">
                  <c:v>45.187017245578282</c:v>
                </c:pt>
                <c:pt idx="196">
                  <c:v>46.772171216375177</c:v>
                </c:pt>
                <c:pt idx="197">
                  <c:v>48.412932157144837</c:v>
                </c:pt>
                <c:pt idx="198">
                  <c:v>50.111250752279112</c:v>
                </c:pt>
                <c:pt idx="199">
                  <c:v>51.869146115893713</c:v>
                </c:pt>
                <c:pt idx="200">
                  <c:v>53.688708192332818</c:v>
                </c:pt>
                <c:pt idx="201">
                  <c:v>55.572100240883238</c:v>
                </c:pt>
                <c:pt idx="202">
                  <c:v>57.521561407651888</c:v>
                </c:pt>
                <c:pt idx="203">
                  <c:v>59.539409387664335</c:v>
                </c:pt>
                <c:pt idx="204">
                  <c:v>61.628043180349437</c:v>
                </c:pt>
                <c:pt idx="205">
                  <c:v>63.789945941685907</c:v>
                </c:pt>
                <c:pt idx="206">
                  <c:v>66.027687936401847</c:v>
                </c:pt>
                <c:pt idx="207">
                  <c:v>68.343929593736917</c:v>
                </c:pt>
                <c:pt idx="208">
                  <c:v>70.741424670400278</c:v>
                </c:pt>
                <c:pt idx="209">
                  <c:v>73.223023524484603</c:v>
                </c:pt>
                <c:pt idx="210">
                  <c:v>75.791676504228477</c:v>
                </c:pt>
                <c:pt idx="211">
                  <c:v>78.450437455656157</c:v>
                </c:pt>
                <c:pt idx="212">
                  <c:v>81.20246735326478</c:v>
                </c:pt>
                <c:pt idx="213">
                  <c:v>84.051038058075576</c:v>
                </c:pt>
                <c:pt idx="214">
                  <c:v>86.999536207516897</c:v>
                </c:pt>
                <c:pt idx="215">
                  <c:v>90.051467241763902</c:v>
                </c:pt>
                <c:pt idx="216">
                  <c:v>93.210459571321536</c:v>
                </c:pt>
                <c:pt idx="217">
                  <c:v>96.480268890805732</c:v>
                </c:pt>
                <c:pt idx="218">
                  <c:v>99.86478264405153</c:v>
                </c:pt>
                <c:pt idx="219">
                  <c:v>103.36802464585627</c:v>
                </c:pt>
                <c:pt idx="220">
                  <c:v>106.99415986585336</c:v>
                </c:pt>
                <c:pt idx="221">
                  <c:v>110.74749938020311</c:v>
                </c:pt>
                <c:pt idx="222">
                  <c:v>114.63250549698837</c:v>
                </c:pt>
                <c:pt idx="223">
                  <c:v>118.65379706140838</c:v>
                </c:pt>
                <c:pt idx="224">
                  <c:v>122.81615494707791</c:v>
                </c:pt>
                <c:pt idx="225">
                  <c:v>127.12452773996046</c:v>
                </c:pt>
                <c:pt idx="226">
                  <c:v>131.584037621693</c:v>
                </c:pt>
                <c:pt idx="227">
                  <c:v>136.19998645929684</c:v>
                </c:pt>
                <c:pt idx="228">
                  <c:v>140.97786210851478</c:v>
                </c:pt>
                <c:pt idx="229">
                  <c:v>145.92334493826789</c:v>
                </c:pt>
                <c:pt idx="230">
                  <c:v>151.04231458399045</c:v>
                </c:pt>
                <c:pt idx="231">
                  <c:v>156.34085693786957</c:v>
                </c:pt>
                <c:pt idx="232">
                  <c:v>161.82527138430234</c:v>
                </c:pt>
                <c:pt idx="233">
                  <c:v>167.50207828917075</c:v>
                </c:pt>
                <c:pt idx="234">
                  <c:v>173.37802675184096</c:v>
                </c:pt>
                <c:pt idx="235">
                  <c:v>179.46010262909985</c:v>
                </c:pt>
                <c:pt idx="236">
                  <c:v>185.75553684057058</c:v>
                </c:pt>
                <c:pt idx="237">
                  <c:v>192.2718139654819</c:v>
                </c:pt>
                <c:pt idx="238">
                  <c:v>199.01668114100951</c:v>
                </c:pt>
                <c:pt idx="239">
                  <c:v>205.99815727277087</c:v>
                </c:pt>
                <c:pt idx="240">
                  <c:v>213.22454256842178</c:v>
                </c:pt>
                <c:pt idx="241">
                  <c:v>220.70442840569206</c:v>
                </c:pt>
                <c:pt idx="242">
                  <c:v>228.44670754658779</c:v>
                </c:pt>
                <c:pt idx="243">
                  <c:v>236.46058470990909</c:v>
                </c:pt>
                <c:pt idx="244">
                  <c:v>244.75558751464831</c:v>
                </c:pt>
                <c:pt idx="245">
                  <c:v>253.34157780728108</c:v>
                </c:pt>
                <c:pt idx="246">
                  <c:v>262.2287633864189</c:v>
                </c:pt>
                <c:pt idx="247">
                  <c:v>271.4277101387587</c:v>
                </c:pt>
                <c:pt idx="248">
                  <c:v>280.94935460076113</c:v>
                </c:pt>
                <c:pt idx="249">
                  <c:v>290.80501696098924</c:v>
                </c:pt>
                <c:pt idx="250">
                  <c:v>301.00641451856916</c:v>
                </c:pt>
                <c:pt idx="251">
                  <c:v>311.56567561377102</c:v>
                </c:pt>
                <c:pt idx="252">
                  <c:v>322.49535404727078</c:v>
                </c:pt>
                <c:pt idx="253">
                  <c:v>333.80844400524091</c:v>
                </c:pt>
                <c:pt idx="254">
                  <c:v>345.5183955080085</c:v>
                </c:pt>
                <c:pt idx="255">
                  <c:v>357.63913040065023</c:v>
                </c:pt>
                <c:pt idx="256">
                  <c:v>370.18505890453713</c:v>
                </c:pt>
                <c:pt idx="257">
                  <c:v>383.17109674950291</c:v>
                </c:pt>
                <c:pt idx="258">
                  <c:v>396.61268290700741</c:v>
                </c:pt>
                <c:pt idx="259">
                  <c:v>410.52579794537525</c:v>
                </c:pt>
                <c:pt idx="260">
                  <c:v>424.92698302893729</c:v>
                </c:pt>
                <c:pt idx="261">
                  <c:v>439.8333595836537</c:v>
                </c:pt>
                <c:pt idx="262">
                  <c:v>455.26264965261038</c:v>
                </c:pt>
                <c:pt idx="263">
                  <c:v>471.23319696557684</c:v>
                </c:pt>
                <c:pt idx="264">
                  <c:v>487.76398874768722</c:v>
                </c:pt>
                <c:pt idx="265">
                  <c:v>504.87467829316228</c:v>
                </c:pt>
                <c:pt idx="266">
                  <c:v>522.58560833091622</c:v>
                </c:pt>
                <c:pt idx="267">
                  <c:v>540.91783520982381</c:v>
                </c:pt>
                <c:pt idx="268">
                  <c:v>559.89315393240724</c:v>
                </c:pt>
                <c:pt idx="269">
                  <c:v>579.53412406669474</c:v>
                </c:pt>
                <c:pt idx="270">
                  <c:v>599.86409656707042</c:v>
                </c:pt>
                <c:pt idx="271">
                  <c:v>620.90724153599047</c:v>
                </c:pt>
                <c:pt idx="272">
                  <c:v>642.68857695957649</c:v>
                </c:pt>
                <c:pt idx="273">
                  <c:v>665.23399845125459</c:v>
                </c:pt>
                <c:pt idx="274">
                  <c:v>688.57031003878853</c:v>
                </c:pt>
                <c:pt idx="275">
                  <c:v>712.72525603132635</c:v>
                </c:pt>
                <c:pt idx="276">
                  <c:v>737.72755400433221</c:v>
                </c:pt>
                <c:pt idx="277">
                  <c:v>763.6069289416248</c:v>
                </c:pt>
                <c:pt idx="278">
                  <c:v>790.39414857511952</c:v>
                </c:pt>
                <c:pt idx="279">
                  <c:v>818.1210599642767</c:v>
                </c:pt>
                <c:pt idx="280">
                  <c:v>846.82062735875547</c:v>
                </c:pt>
                <c:pt idx="281">
                  <c:v>876.52697138928079</c:v>
                </c:pt>
                <c:pt idx="282">
                  <c:v>907.27540963332683</c:v>
                </c:pt>
                <c:pt idx="283">
                  <c:v>939.10249860382874</c:v>
                </c:pt>
                <c:pt idx="284">
                  <c:v>972.04607721086302</c:v>
                </c:pt>
                <c:pt idx="285">
                  <c:v>1006.1453117479499</c:v>
                </c:pt>
                <c:pt idx="286">
                  <c:v>1041.4407424564688</c:v>
                </c:pt>
                <c:pt idx="287">
                  <c:v>1077.9743317235509</c:v>
                </c:pt>
                <c:pt idx="288">
                  <c:v>1115.7895139707459</c:v>
                </c:pt>
                <c:pt idx="289">
                  <c:v>1154.9312472927725</c:v>
                </c:pt>
                <c:pt idx="290">
                  <c:v>1195.4460669077519</c:v>
                </c:pt>
                <c:pt idx="291">
                  <c:v>1237.3821404824632</c:v>
                </c:pt>
                <c:pt idx="292">
                  <c:v>1280.7893253984103</c:v>
                </c:pt>
                <c:pt idx="293">
                  <c:v>1325.7192280267632</c:v>
                </c:pt>
                <c:pt idx="294">
                  <c:v>1372.2252650826629</c:v>
                </c:pt>
                <c:pt idx="295">
                  <c:v>1420.3627271318198</c:v>
                </c:pt>
                <c:pt idx="296">
                  <c:v>1470.1888443249213</c:v>
                </c:pt>
                <c:pt idx="297">
                  <c:v>1521.7628544379922</c:v>
                </c:pt>
                <c:pt idx="298">
                  <c:v>1575.1460732995915</c:v>
                </c:pt>
                <c:pt idx="299">
                  <c:v>1630.4019676885991</c:v>
                </c:pt>
                <c:pt idx="300">
                  <c:v>1687.596230789236</c:v>
                </c:pt>
                <c:pt idx="301">
                  <c:v>1746.7968602930189</c:v>
                </c:pt>
              </c:numCache>
            </c:numRef>
          </c:xVal>
          <c:yVal>
            <c:numRef>
              <c:f>'Aerosol 3'!$D$17:$D$318</c:f>
              <c:numCache>
                <c:formatCode>0.00000</c:formatCode>
                <c:ptCount val="302"/>
                <c:pt idx="0">
                  <c:v>0.44186124245927633</c:v>
                </c:pt>
                <c:pt idx="1">
                  <c:v>0.46131210999061745</c:v>
                </c:pt>
                <c:pt idx="2">
                  <c:v>0.48140861666230927</c:v>
                </c:pt>
                <c:pt idx="3">
                  <c:v>0.50216093125413552</c:v>
                </c:pt>
                <c:pt idx="4">
                  <c:v>0.52357878441183359</c:v>
                </c:pt>
                <c:pt idx="5">
                  <c:v>0.5456714323813735</c:v>
                </c:pt>
                <c:pt idx="6">
                  <c:v>0.56844762024753248</c:v>
                </c:pt>
                <c:pt idx="7">
                  <c:v>0.59191554475411046</c:v>
                </c:pt>
                <c:pt idx="8">
                  <c:v>0.61608281678768284</c:v>
                </c:pt>
                <c:pt idx="9">
                  <c:v>0.640956423611309</c:v>
                </c:pt>
                <c:pt idx="10">
                  <c:v>0.66654269093894958</c:v>
                </c:pt>
                <c:pt idx="11">
                  <c:v>0.69284724494557703</c:v>
                </c:pt>
                <c:pt idx="12">
                  <c:v>0.71987497431205472</c:v>
                </c:pt>
                <c:pt idx="13">
                  <c:v>0.74762999240766514</c:v>
                </c:pt>
                <c:pt idx="14">
                  <c:v>0.77611559971686572</c:v>
                </c:pt>
                <c:pt idx="15">
                  <c:v>0.80533424662027397</c:v>
                </c:pt>
                <c:pt idx="16">
                  <c:v>0.83528749664299695</c:v>
                </c:pt>
                <c:pt idx="17">
                  <c:v>0.86597599028635586</c:v>
                </c:pt>
                <c:pt idx="18">
                  <c:v>0.89739940956159492</c:v>
                </c:pt>
                <c:pt idx="19">
                  <c:v>0.92955644334641507</c:v>
                </c:pt>
                <c:pt idx="20">
                  <c:v>0.96244475368708815</c:v>
                </c:pt>
                <c:pt idx="21">
                  <c:v>0.99606094317043981</c:v>
                </c:pt>
                <c:pt idx="22">
                  <c:v>1.0304005234911267</c:v>
                </c:pt>
                <c:pt idx="23">
                  <c:v>1.0654578853403807</c:v>
                </c:pt>
                <c:pt idx="24">
                  <c:v>1.1012262697427355</c:v>
                </c:pt>
                <c:pt idx="25">
                  <c:v>1.1376977409670872</c:v>
                </c:pt>
                <c:pt idx="26">
                  <c:v>1.1748631611379141</c:v>
                </c:pt>
                <c:pt idx="27">
                  <c:v>1.2127121666714109</c:v>
                </c:pt>
                <c:pt idx="28">
                  <c:v>1.2512331466597939</c:v>
                </c:pt>
                <c:pt idx="29">
                  <c:v>1.2904132233250187</c:v>
                </c:pt>
                <c:pt idx="30">
                  <c:v>1.3302382346606514</c:v>
                </c:pt>
                <c:pt idx="31">
                  <c:v>1.3706927193776288</c:v>
                </c:pt>
                <c:pt idx="32">
                  <c:v>1.4117599042661435</c:v>
                </c:pt>
                <c:pt idx="33">
                  <c:v>1.4534216940818485</c:v>
                </c:pt>
                <c:pt idx="34">
                  <c:v>1.4956586640600764</c:v>
                </c:pt>
                <c:pt idx="35">
                  <c:v>1.5384500551567053</c:v>
                </c:pt>
                <c:pt idx="36">
                  <c:v>1.5817737721087923</c:v>
                </c:pt>
                <c:pt idx="37">
                  <c:v>1.6256063844020647</c:v>
                </c:pt>
                <c:pt idx="38">
                  <c:v>1.6699231302258415</c:v>
                </c:pt>
                <c:pt idx="39">
                  <c:v>1.7146979234889446</c:v>
                </c:pt>
                <c:pt idx="40">
                  <c:v>1.759903363962817</c:v>
                </c:pt>
                <c:pt idx="41">
                  <c:v>1.8055107506100476</c:v>
                </c:pt>
                <c:pt idx="42">
                  <c:v>1.8514900981483005</c:v>
                </c:pt>
                <c:pt idx="43">
                  <c:v>1.8978101568909038</c:v>
                </c:pt>
                <c:pt idx="44">
                  <c:v>1.9444384358962847</c:v>
                </c:pt>
                <c:pt idx="45">
                  <c:v>1.9913412294490078</c:v>
                </c:pt>
                <c:pt idx="46">
                  <c:v>2.0384836468854131</c:v>
                </c:pt>
                <c:pt idx="47">
                  <c:v>2.0858296457668346</c:v>
                </c:pt>
                <c:pt idx="48">
                  <c:v>2.1333420683930817</c:v>
                </c:pt>
                <c:pt idx="49">
                  <c:v>2.1809826816383282</c:v>
                </c:pt>
                <c:pt idx="50">
                  <c:v>2.228712220080856</c:v>
                </c:pt>
                <c:pt idx="51">
                  <c:v>2.2764904323872996</c:v>
                </c:pt>
                <c:pt idx="52">
                  <c:v>2.3242761309009832</c:v>
                </c:pt>
                <c:pt idx="53">
                  <c:v>2.3720272443730042</c:v>
                </c:pt>
                <c:pt idx="54">
                  <c:v>2.4197008737636536</c:v>
                </c:pt>
                <c:pt idx="55">
                  <c:v>2.4672533510306454</c:v>
                </c:pt>
                <c:pt idx="56">
                  <c:v>2.5146403008098255</c:v>
                </c:pt>
                <c:pt idx="57">
                  <c:v>2.5618167048829941</c:v>
                </c:pt>
                <c:pt idx="58">
                  <c:v>2.6087369693169058</c:v>
                </c:pt>
                <c:pt idx="59">
                  <c:v>2.6553549941469203</c:v>
                </c:pt>
                <c:pt idx="60">
                  <c:v>2.7016242454685999</c:v>
                </c:pt>
                <c:pt idx="61">
                  <c:v>2.7474978297904649</c:v>
                </c:pt>
                <c:pt idx="62">
                  <c:v>2.7929285704915876</c:v>
                </c:pt>
                <c:pt idx="63">
                  <c:v>2.8378690862184355</c:v>
                </c:pt>
                <c:pt idx="64">
                  <c:v>2.8822718710464335</c:v>
                </c:pt>
                <c:pt idx="65">
                  <c:v>2.9260893762235214</c:v>
                </c:pt>
                <c:pt idx="66">
                  <c:v>2.9692740933049833</c:v>
                </c:pt>
                <c:pt idx="67">
                  <c:v>3.0117786384815415</c:v>
                </c:pt>
                <c:pt idx="68">
                  <c:v>3.0535558378960421</c:v>
                </c:pt>
                <c:pt idx="69">
                  <c:v>3.0945588137378577</c:v>
                </c:pt>
                <c:pt idx="70">
                  <c:v>3.1347410708986945</c:v>
                </c:pt>
                <c:pt idx="71">
                  <c:v>3.1740565839687793</c:v>
                </c:pt>
                <c:pt idx="72">
                  <c:v>3.2124598843482381</c:v>
                </c:pt>
                <c:pt idx="73">
                  <c:v>3.2499061472452042</c:v>
                </c:pt>
                <c:pt idx="74">
                  <c:v>3.2863512783296476</c:v>
                </c:pt>
                <c:pt idx="75">
                  <c:v>3.3217519998100826</c:v>
                </c:pt>
                <c:pt idx="76">
                  <c:v>3.3560659356993177</c:v>
                </c:pt>
                <c:pt idx="77">
                  <c:v>3.3892516960353243</c:v>
                </c:pt>
                <c:pt idx="78">
                  <c:v>3.4212689598238413</c:v>
                </c:pt>
                <c:pt idx="79">
                  <c:v>3.4520785564708141</c:v>
                </c:pt>
                <c:pt idx="80">
                  <c:v>3.4816425454751547</c:v>
                </c:pt>
                <c:pt idx="81">
                  <c:v>3.5099242941553546</c:v>
                </c:pt>
                <c:pt idx="82">
                  <c:v>3.5368885531874357</c:v>
                </c:pt>
                <c:pt idx="83">
                  <c:v>3.5625015297365521</c:v>
                </c:pt>
                <c:pt idx="84">
                  <c:v>3.5867309579701279</c:v>
                </c:pt>
                <c:pt idx="85">
                  <c:v>3.609546166746695</c:v>
                </c:pt>
                <c:pt idx="86">
                  <c:v>3.630918144281865</c:v>
                </c:pt>
                <c:pt idx="87">
                  <c:v>3.6508195996006427</c:v>
                </c:pt>
                <c:pt idx="88">
                  <c:v>3.66922502059399</c:v>
                </c:pt>
                <c:pt idx="89">
                  <c:v>3.6861107285067698</c:v>
                </c:pt>
                <c:pt idx="90">
                  <c:v>3.7014549286942424</c:v>
                </c:pt>
                <c:pt idx="91">
                  <c:v>3.7152377574948292</c:v>
                </c:pt>
                <c:pt idx="92">
                  <c:v>3.7274413250780198</c:v>
                </c:pt>
                <c:pt idx="93">
                  <c:v>3.7380497541381152</c:v>
                </c:pt>
                <c:pt idx="94">
                  <c:v>3.7470492143165992</c:v>
                </c:pt>
                <c:pt idx="95">
                  <c:v>3.7544279522487161</c:v>
                </c:pt>
                <c:pt idx="96">
                  <c:v>3.7601763171428693</c:v>
                </c:pt>
                <c:pt idx="97">
                  <c:v>3.7642867818149099</c:v>
                </c:pt>
                <c:pt idx="98">
                  <c:v>3.766753959113152</c:v>
                </c:pt>
                <c:pt idx="99">
                  <c:v>3.7675746136839425</c:v>
                </c:pt>
                <c:pt idx="100">
                  <c:v>3.7667476690418042</c:v>
                </c:pt>
                <c:pt idx="101">
                  <c:v>3.7642742099225499</c:v>
                </c:pt>
                <c:pt idx="102">
                  <c:v>3.7601574799121305</c:v>
                </c:pt>
                <c:pt idx="103">
                  <c:v>3.7544028743585272</c:v>
                </c:pt>
                <c:pt idx="104">
                  <c:v>3.7470179285882987</c:v>
                </c:pt>
                <c:pt idx="105">
                  <c:v>3.7380123014638706</c:v>
                </c:pt>
                <c:pt idx="106">
                  <c:v>3.7273977543317587</c:v>
                </c:pt>
                <c:pt idx="107">
                  <c:v>3.7151881254259633</c:v>
                </c:pt>
                <c:pt idx="108">
                  <c:v>3.7013992998044931</c:v>
                </c:pt>
                <c:pt idx="109">
                  <c:v>3.686049174910484</c:v>
                </c:pt>
                <c:pt idx="110">
                  <c:v>3.6691576218623672</c:v>
                </c:pt>
                <c:pt idx="111">
                  <c:v>3.6507464425903295</c:v>
                </c:pt>
                <c:pt idx="112">
                  <c:v>3.6308393229484563</c:v>
                </c:pt>
                <c:pt idx="113">
                  <c:v>3.6094617819436903</c:v>
                </c:pt>
                <c:pt idx="114">
                  <c:v>3.5866411172339343</c:v>
                </c:pt>
                <c:pt idx="115">
                  <c:v>3.562406347058205</c:v>
                </c:pt>
                <c:pt idx="116">
                  <c:v>3.536788148771687</c:v>
                </c:pt>
                <c:pt idx="117">
                  <c:v>3.5098187941678494</c:v>
                </c:pt>
                <c:pt idx="118">
                  <c:v>3.4815320817784419</c:v>
                </c:pt>
                <c:pt idx="119">
                  <c:v>3.4519632663499689</c:v>
                </c:pt>
                <c:pt idx="120">
                  <c:v>3.4211489857025024</c:v>
                </c:pt>
                <c:pt idx="121">
                  <c:v>3.3891271851829274</c:v>
                </c:pt>
                <c:pt idx="122">
                  <c:v>3.355937039930418</c:v>
                </c:pt>
                <c:pt idx="123">
                  <c:v>3.3216188751766098</c:v>
                </c:pt>
                <c:pt idx="124">
                  <c:v>3.2862140848069323</c:v>
                </c:pt>
                <c:pt idx="125">
                  <c:v>3.2497650484126934</c:v>
                </c:pt>
                <c:pt idx="126">
                  <c:v>3.2123150470657871</c:v>
                </c:pt>
                <c:pt idx="127">
                  <c:v>3.1739081780493863</c:v>
                </c:pt>
                <c:pt idx="128">
                  <c:v>3.1345892687785928</c:v>
                </c:pt>
                <c:pt idx="129">
                  <c:v>3.0944037901448533</c:v>
                </c:pt>
                <c:pt idx="130">
                  <c:v>3.0533977695169816</c:v>
                </c:pt>
                <c:pt idx="131">
                  <c:v>3.0116177036297791</c:v>
                </c:pt>
                <c:pt idx="132">
                  <c:v>2.9691104715887366</c:v>
                </c:pt>
                <c:pt idx="133">
                  <c:v>2.9259232482159381</c:v>
                </c:pt>
                <c:pt idx="134">
                  <c:v>2.8821034179582243</c:v>
                </c:pt>
                <c:pt idx="135">
                  <c:v>2.8376984895738926</c:v>
                </c:pt>
                <c:pt idx="136">
                  <c:v>2.7927560118087604</c:v>
                </c:pt>
                <c:pt idx="137">
                  <c:v>2.7473234902662829</c:v>
                </c:pt>
                <c:pt idx="138">
                  <c:v>2.7014483056696856</c:v>
                </c:pt>
                <c:pt idx="139">
                  <c:v>2.6551776337067761</c:v>
                </c:pt>
                <c:pt idx="140">
                  <c:v>2.6085583666402004</c:v>
                </c:pt>
                <c:pt idx="141">
                  <c:v>2.5616370368575714</c:v>
                </c:pt>
                <c:pt idx="142">
                  <c:v>2.5144597425270416</c:v>
                </c:pt>
                <c:pt idx="143">
                  <c:v>2.4670720755146456</c:v>
                </c:pt>
                <c:pt idx="144">
                  <c:v>2.4195190517101013</c:v>
                </c:pt>
                <c:pt idx="145">
                  <c:v>2.3718450438977809</c:v>
                </c:pt>
                <c:pt idx="146">
                  <c:v>2.3240937172993008</c:v>
                </c:pt>
                <c:pt idx="147">
                  <c:v>2.2763079679036884</c:v>
                </c:pt>
                <c:pt idx="148">
                  <c:v>2.2285298636903583</c:v>
                </c:pt>
                <c:pt idx="149">
                  <c:v>2.1808005888392805</c:v>
                </c:pt>
                <c:pt idx="150">
                  <c:v>2.1331603910117636</c:v>
                </c:pt>
                <c:pt idx="151">
                  <c:v>2.0856485317742313</c:v>
                </c:pt>
                <c:pt idx="152">
                  <c:v>2.0383032402263295</c:v>
                </c:pt>
                <c:pt idx="153">
                  <c:v>1.9911616698836792</c:v>
                </c:pt>
                <c:pt idx="154">
                  <c:v>1.94425985885463</c:v>
                </c:pt>
                <c:pt idx="155">
                  <c:v>1.8976326933395071</c:v>
                </c:pt>
                <c:pt idx="156">
                  <c:v>1.8513138744701663</c:v>
                </c:pt>
                <c:pt idx="157">
                  <c:v>1.8053358884971329</c:v>
                </c:pt>
                <c:pt idx="158">
                  <c:v>1.7597299803213207</c:v>
                </c:pt>
                <c:pt idx="159">
                  <c:v>1.7145261303572796</c:v>
                </c:pt>
                <c:pt idx="160">
                  <c:v>1.6697530347051837</c:v>
                </c:pt>
                <c:pt idx="161">
                  <c:v>1.6254380885993382</c:v>
                </c:pt>
                <c:pt idx="162">
                  <c:v>1.5816073730919125</c:v>
                </c:pt>
                <c:pt idx="163">
                  <c:v>1.5382856449218942</c:v>
                </c:pt>
                <c:pt idx="164">
                  <c:v>1.4954963295109787</c:v>
                </c:pt>
                <c:pt idx="165">
                  <c:v>1.4532615170202043</c:v>
                </c:pt>
                <c:pt idx="166">
                  <c:v>1.4116019613937212</c:v>
                </c:pt>
                <c:pt idx="167">
                  <c:v>1.3705370823090919</c:v>
                </c:pt>
                <c:pt idx="168">
                  <c:v>1.3300849699470119</c:v>
                </c:pt>
                <c:pt idx="169">
                  <c:v>1.2902623924873224</c:v>
                </c:pt>
                <c:pt idx="170">
                  <c:v>1.2510848062326405</c:v>
                </c:pt>
                <c:pt idx="171">
                  <c:v>1.2125663682559087</c:v>
                </c:pt>
                <c:pt idx="172">
                  <c:v>1.1747199514636475</c:v>
                </c:pt>
                <c:pt idx="173">
                  <c:v>1.1375571619626581</c:v>
                </c:pt>
                <c:pt idx="174">
                  <c:v>1.1010883586144373</c:v>
                </c:pt>
                <c:pt idx="175">
                  <c:v>1.0653226746585411</c:v>
                </c:pt>
                <c:pt idx="176">
                  <c:v>1.0302680412836542</c:v>
                </c:pt>
                <c:pt idx="177">
                  <c:v>0.99593121302309984</c:v>
                </c:pt>
                <c:pt idx="178">
                  <c:v>0.96231779485002644</c:v>
                </c:pt>
                <c:pt idx="179">
                  <c:v>0.92943227084645752</c:v>
                </c:pt>
                <c:pt idx="180">
                  <c:v>0.89727803431982789</c:v>
                </c:pt>
                <c:pt idx="181">
                  <c:v>0.86585741924051085</c:v>
                </c:pt>
                <c:pt idx="182">
                  <c:v>0.8351717328741588</c:v>
                </c:pt>
                <c:pt idx="183">
                  <c:v>0.80522128948343585</c:v>
                </c:pt>
                <c:pt idx="184">
                  <c:v>0.77600544497485402</c:v>
                </c:pt>
                <c:pt idx="185">
                  <c:v>0.747522632367977</c:v>
                </c:pt>
                <c:pt idx="186">
                  <c:v>0.71977039796614994</c:v>
                </c:pt>
                <c:pt idx="187">
                  <c:v>0.69274543811016442</c:v>
                </c:pt>
                <c:pt idx="188">
                  <c:v>0.66644363639884785</c:v>
                </c:pt>
                <c:pt idx="189">
                  <c:v>0.64086010126344251</c:v>
                </c:pt>
                <c:pt idx="190">
                  <c:v>0.61598920378580069</c:v>
                </c:pt>
                <c:pt idx="191">
                  <c:v>0.59182461565384048</c:v>
                </c:pt>
                <c:pt idx="192">
                  <c:v>0.56835934715136893</c:v>
                </c:pt>
                <c:pt idx="193">
                  <c:v>0.54558578508323363</c:v>
                </c:pt>
                <c:pt idx="194">
                  <c:v>0.52349573054083476</c:v>
                </c:pt>
                <c:pt idx="195">
                  <c:v>0.50208043641724442</c:v>
                </c:pt>
                <c:pt idx="196">
                  <c:v>0.48133064458554958</c:v>
                </c:pt>
                <c:pt idx="197">
                  <c:v>0.46123662265852483</c:v>
                </c:pt>
                <c:pt idx="198">
                  <c:v>0.44178820025232607</c:v>
                </c:pt>
                <c:pt idx="199">
                  <c:v>0.42297480468155857</c:v>
                </c:pt>
                <c:pt idx="200">
                  <c:v>0.40478549601780117</c:v>
                </c:pt>
                <c:pt idx="201">
                  <c:v>0.38720900144841131</c:v>
                </c:pt>
                <c:pt idx="202">
                  <c:v>0.3702337488772196</c:v>
                </c:pt>
                <c:pt idx="203">
                  <c:v>0.35384789971348357</c:v>
                </c:pt>
                <c:pt idx="204">
                  <c:v>0.33803938080021634</c:v>
                </c:pt>
                <c:pt idx="205">
                  <c:v>0.32279591543772024</c:v>
                </c:pt>
                <c:pt idx="206">
                  <c:v>0.30810505346279932</c:v>
                </c:pt>
                <c:pt idx="207">
                  <c:v>0.29395420034871345</c:v>
                </c:pt>
                <c:pt idx="208">
                  <c:v>0.28033064529542867</c:v>
                </c:pt>
                <c:pt idx="209">
                  <c:v>0.26722158828411935</c:v>
                </c:pt>
                <c:pt idx="210">
                  <c:v>0.2546141660741621</c:v>
                </c:pt>
                <c:pt idx="211">
                  <c:v>0.24249547712502706</c:v>
                </c:pt>
                <c:pt idx="212">
                  <c:v>0.23085260542950359</c:v>
                </c:pt>
                <c:pt idx="213">
                  <c:v>0.21967264324858532</c:v>
                </c:pt>
                <c:pt idx="214">
                  <c:v>0.20894271274208021</c:v>
                </c:pt>
                <c:pt idx="215">
                  <c:v>0.19864998649259011</c:v>
                </c:pt>
                <c:pt idx="216">
                  <c:v>0.18878170692392457</c:v>
                </c:pt>
                <c:pt idx="217">
                  <c:v>0.17932520461825843</c:v>
                </c:pt>
                <c:pt idx="218">
                  <c:v>0.17026791553942153</c:v>
                </c:pt>
                <c:pt idx="219">
                  <c:v>0.16159739717260269</c:v>
                </c:pt>
                <c:pt idx="220">
                  <c:v>0.15330134359347358</c:v>
                </c:pt>
                <c:pt idx="221">
                  <c:v>0.14536759948227493</c:v>
                </c:pt>
                <c:pt idx="222">
                  <c:v>0.13778417310076432</c:v>
                </c:pt>
                <c:pt idx="223">
                  <c:v>0.13053924825210331</c:v>
                </c:pt>
                <c:pt idx="224">
                  <c:v>0.12362119524575728</c:v>
                </c:pt>
                <c:pt idx="225">
                  <c:v>0.11701858089129905</c:v>
                </c:pt>
                <c:pt idx="226">
                  <c:v>0.11072017754664996</c:v>
                </c:pt>
                <c:pt idx="227">
                  <c:v>0.10471497124776093</c:v>
                </c:pt>
                <c:pt idx="228">
                  <c:v>9.8992168948033366E-2</c:v>
                </c:pt>
                <c:pt idx="229">
                  <c:v>9.3541204896916155E-2</c:v>
                </c:pt>
                <c:pt idx="230">
                  <c:v>8.8351746188082683E-2</c:v>
                </c:pt>
                <c:pt idx="231">
                  <c:v>8.3413697508413695E-2</c:v>
                </c:pt>
                <c:pt idx="232">
                  <c:v>7.8717205119671452E-2</c:v>
                </c:pt>
                <c:pt idx="233">
                  <c:v>7.4252660105275328E-2</c:v>
                </c:pt>
                <c:pt idx="234">
                  <c:v>7.0010700914966417E-2</c:v>
                </c:pt>
                <c:pt idx="235">
                  <c:v>6.5982215240401668E-2</c:v>
                </c:pt>
                <c:pt idx="236">
                  <c:v>6.2158341254836685E-2</c:v>
                </c:pt>
                <c:pt idx="237">
                  <c:v>5.8530468250059968E-2</c:v>
                </c:pt>
                <c:pt idx="238">
                  <c:v>5.5090236703633513E-2</c:v>
                </c:pt>
                <c:pt idx="239">
                  <c:v>5.1829537809275593E-2</c:v>
                </c:pt>
                <c:pt idx="240">
                  <c:v>4.8740512502909367E-2</c:v>
                </c:pt>
                <c:pt idx="241">
                  <c:v>4.5815550016491589E-2</c:v>
                </c:pt>
                <c:pt idx="242">
                  <c:v>4.3047285991246978E-2</c:v>
                </c:pt>
                <c:pt idx="243">
                  <c:v>4.0428600181359998E-2</c:v>
                </c:pt>
                <c:pt idx="244">
                  <c:v>3.7952613778537654E-2</c:v>
                </c:pt>
                <c:pt idx="245">
                  <c:v>3.5612686387149081E-2</c:v>
                </c:pt>
                <c:pt idx="246">
                  <c:v>3.3402412678883081E-2</c:v>
                </c:pt>
                <c:pt idx="247">
                  <c:v>3.1315618755051455E-2</c:v>
                </c:pt>
                <c:pt idx="248">
                  <c:v>2.9346358243801881E-2</c:v>
                </c:pt>
                <c:pt idx="249">
                  <c:v>2.7488908158606124E-2</c:v>
                </c:pt>
                <c:pt idx="250">
                  <c:v>2.5737764543453598E-2</c:v>
                </c:pt>
                <c:pt idx="251">
                  <c:v>2.4087637929220272E-2</c:v>
                </c:pt>
                <c:pt idx="252">
                  <c:v>2.2533448624698332E-2</c:v>
                </c:pt>
                <c:pt idx="253">
                  <c:v>2.107032186476971E-2</c:v>
                </c:pt>
                <c:pt idx="254">
                  <c:v>1.9693582837195078E-2</c:v>
                </c:pt>
                <c:pt idx="255">
                  <c:v>1.8398751608466976E-2</c:v>
                </c:pt>
                <c:pt idx="256">
                  <c:v>1.718153796815159E-2</c:v>
                </c:pt>
                <c:pt idx="257">
                  <c:v>1.6037836210120674E-2</c:v>
                </c:pt>
                <c:pt idx="258">
                  <c:v>1.4963719868055071E-2</c:v>
                </c:pt>
                <c:pt idx="259">
                  <c:v>1.3955436421591185E-2</c:v>
                </c:pt>
                <c:pt idx="260">
                  <c:v>1.3009401988481615E-2</c:v>
                </c:pt>
                <c:pt idx="261">
                  <c:v>1.2122196017157636E-2</c:v>
                </c:pt>
                <c:pt idx="262">
                  <c:v>1.1290555993112185E-2</c:v>
                </c:pt>
                <c:pt idx="263">
                  <c:v>1.0511372171576121E-2</c:v>
                </c:pt>
                <c:pt idx="264">
                  <c:v>9.7816823480333607E-3</c:v>
                </c:pt>
                <c:pt idx="265">
                  <c:v>9.0986666772206841E-3</c:v>
                </c:pt>
                <c:pt idx="266">
                  <c:v>8.4596425503812873E-3</c:v>
                </c:pt>
                <c:pt idx="267">
                  <c:v>7.8620595396939226E-3</c:v>
                </c:pt>
                <c:pt idx="268">
                  <c:v>7.3034944179795639E-3</c:v>
                </c:pt>
                <c:pt idx="269">
                  <c:v>6.7816462609988229E-3</c:v>
                </c:pt>
                <c:pt idx="270">
                  <c:v>6.2943316388937975E-3</c:v>
                </c:pt>
                <c:pt idx="271">
                  <c:v>5.8394799026016981E-3</c:v>
                </c:pt>
                <c:pt idx="272">
                  <c:v>5.4151285703718305E-3</c:v>
                </c:pt>
                <c:pt idx="273">
                  <c:v>5.0194188188548323E-3</c:v>
                </c:pt>
                <c:pt idx="274">
                  <c:v>4.6505910826031014E-3</c:v>
                </c:pt>
                <c:pt idx="275">
                  <c:v>4.3069807652231394E-3</c:v>
                </c:pt>
                <c:pt idx="276">
                  <c:v>3.9870140648559614E-3</c:v>
                </c:pt>
                <c:pt idx="277">
                  <c:v>3.6892039161284173E-3</c:v>
                </c:pt>
                <c:pt idx="278">
                  <c:v>3.4121460502174301E-3</c:v>
                </c:pt>
                <c:pt idx="279">
                  <c:v>3.1545151741998647E-3</c:v>
                </c:pt>
                <c:pt idx="280">
                  <c:v>2.9150612704219236E-3</c:v>
                </c:pt>
                <c:pt idx="281">
                  <c:v>2.692606016213846E-3</c:v>
                </c:pt>
                <c:pt idx="282">
                  <c:v>2.486039323896906E-3</c:v>
                </c:pt>
                <c:pt idx="283">
                  <c:v>2.2943160006798566E-3</c:v>
                </c:pt>
                <c:pt idx="284">
                  <c:v>2.1164525277197204E-3</c:v>
                </c:pt>
                <c:pt idx="285">
                  <c:v>1.9515239573270466E-3</c:v>
                </c:pt>
                <c:pt idx="286">
                  <c:v>1.7986609270265769E-3</c:v>
                </c:pt>
                <c:pt idx="287">
                  <c:v>1.657046788940417E-3</c:v>
                </c:pt>
                <c:pt idx="288">
                  <c:v>1.5259148527409915E-3</c:v>
                </c:pt>
                <c:pt idx="289">
                  <c:v>1.4045457402241815E-3</c:v>
                </c:pt>
                <c:pt idx="290">
                  <c:v>1.2922648493781438E-3</c:v>
                </c:pt>
                <c:pt idx="291">
                  <c:v>1.1884399256693746E-3</c:v>
                </c:pt>
                <c:pt idx="292">
                  <c:v>1.0924787381333678E-3</c:v>
                </c:pt>
                <c:pt idx="293">
                  <c:v>1.0038268577419031E-3</c:v>
                </c:pt>
                <c:pt idx="294">
                  <c:v>9.21965535421234E-4</c:v>
                </c:pt>
                <c:pt idx="295">
                  <c:v>8.4640967701447346E-4</c:v>
                </c:pt>
                <c:pt idx="296">
                  <c:v>7.7670591241600011E-4</c:v>
                </c:pt>
                <c:pt idx="297">
                  <c:v>7.1243075605497037E-4</c:v>
                </c:pt>
                <c:pt idx="298">
                  <c:v>6.5318885586775142E-4</c:v>
                </c:pt>
                <c:pt idx="299">
                  <c:v>5.9861132787451853E-4</c:v>
                </c:pt>
                <c:pt idx="300">
                  <c:v>5.4835417346243195E-4</c:v>
                </c:pt>
                <c:pt idx="301">
                  <c:v>5.0209677647564197E-4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CF-4048-B2D3-ABCF64D0F2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7772976"/>
        <c:axId val="397768664"/>
      </c:scatterChart>
      <c:valAx>
        <c:axId val="397772976"/>
        <c:scaling>
          <c:logBase val="10"/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2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Dp, </a:t>
                </a:r>
                <a:r>
                  <a:rPr lang="en-US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µm</a:t>
                </a:r>
              </a:p>
            </c:rich>
          </c:tx>
          <c:overlay val="0"/>
        </c:title>
        <c:numFmt formatCode="0.000" sourceLinked="1"/>
        <c:majorTickMark val="cross"/>
        <c:minorTickMark val="out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768664"/>
        <c:crosses val="autoZero"/>
        <c:crossBetween val="midCat"/>
      </c:valAx>
      <c:valAx>
        <c:axId val="3977686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dM/dLn(Dp)</a:t>
                </a:r>
              </a:p>
            </c:rich>
          </c:tx>
          <c:layout>
            <c:manualLayout>
              <c:xMode val="edge"/>
              <c:yMode val="edge"/>
              <c:x val="1.1376494604841062E-2"/>
              <c:y val="0.3065744281964754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97772976"/>
        <c:crossesAt val="0.01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4583357635851074"/>
          <c:y val="8.9605924259467562E-2"/>
          <c:w val="0.22925915906081359"/>
          <c:h val="0.1863805774278215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3</xdr:row>
      <xdr:rowOff>0</xdr:rowOff>
    </xdr:from>
    <xdr:ext cx="1531620" cy="708660"/>
    <xdr:sp macro="[0]!CalcDepDissol" textlink="">
      <xdr:nvSpPr>
        <xdr:cNvPr id="3" name="TextBox 2">
          <a:extLst>
            <a:ext uri="{FF2B5EF4-FFF2-40B4-BE49-F238E27FC236}">
              <a16:creationId xmlns:a16="http://schemas.microsoft.com/office/drawing/2014/main" id="{069C6C94-6513-4BD4-B75C-0BB60837E9AD}"/>
            </a:ext>
          </a:extLst>
        </xdr:cNvPr>
        <xdr:cNvSpPr txBox="1"/>
      </xdr:nvSpPr>
      <xdr:spPr>
        <a:xfrm>
          <a:off x="4562475" y="542925"/>
          <a:ext cx="1531620" cy="708660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31750">
          <a:solidFill>
            <a:srgbClr val="7030A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200" b="1"/>
            <a:t>Calculate</a:t>
          </a:r>
          <a:r>
            <a:rPr lang="en-US" sz="1200" b="1" baseline="0"/>
            <a:t> Deposition Fraction and Dissolution Rates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426720</xdr:colOff>
      <xdr:row>20</xdr:row>
      <xdr:rowOff>38100</xdr:rowOff>
    </xdr:from>
    <xdr:to>
      <xdr:col>8</xdr:col>
      <xdr:colOff>175260</xdr:colOff>
      <xdr:row>36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557A43-0BCE-4C2D-8F00-C6F367F967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426720</xdr:colOff>
      <xdr:row>20</xdr:row>
      <xdr:rowOff>38100</xdr:rowOff>
    </xdr:from>
    <xdr:to>
      <xdr:col>8</xdr:col>
      <xdr:colOff>175260</xdr:colOff>
      <xdr:row>36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5A609DB-F102-4ADC-A84B-1798586265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426720</xdr:colOff>
      <xdr:row>20</xdr:row>
      <xdr:rowOff>38100</xdr:rowOff>
    </xdr:from>
    <xdr:to>
      <xdr:col>8</xdr:col>
      <xdr:colOff>175260</xdr:colOff>
      <xdr:row>36</xdr:row>
      <xdr:rowOff>38100</xdr:rowOff>
    </xdr:to>
    <xdr:graphicFrame macro="">
      <xdr:nvGraphicFramePr>
        <xdr:cNvPr id="2370" name="Chart 1">
          <a:extLst>
            <a:ext uri="{FF2B5EF4-FFF2-40B4-BE49-F238E27FC236}">
              <a16:creationId xmlns:a16="http://schemas.microsoft.com/office/drawing/2014/main" id="{435842A1-9B7F-4A0C-BA36-A522266625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5"/>
  <sheetViews>
    <sheetView workbookViewId="0">
      <selection activeCell="D26" sqref="D26"/>
    </sheetView>
  </sheetViews>
  <sheetFormatPr defaultRowHeight="12.3" x14ac:dyDescent="0.4"/>
  <cols>
    <col min="3" max="3" width="10.1640625" customWidth="1"/>
    <col min="6" max="6" width="11" bestFit="1" customWidth="1"/>
  </cols>
  <sheetData>
    <row r="1" spans="1:15" x14ac:dyDescent="0.4">
      <c r="A1" s="47" t="s">
        <v>83</v>
      </c>
    </row>
    <row r="2" spans="1:15" x14ac:dyDescent="0.4">
      <c r="A2" s="37"/>
    </row>
    <row r="3" spans="1:15" x14ac:dyDescent="0.4">
      <c r="A3" s="47" t="s">
        <v>84</v>
      </c>
    </row>
    <row r="4" spans="1:15" x14ac:dyDescent="0.4">
      <c r="B4" s="37" t="s">
        <v>33</v>
      </c>
      <c r="C4" s="37" t="s">
        <v>34</v>
      </c>
      <c r="D4" s="37" t="s">
        <v>35</v>
      </c>
    </row>
    <row r="5" spans="1:15" x14ac:dyDescent="0.4">
      <c r="B5" s="37" t="s">
        <v>30</v>
      </c>
      <c r="C5" s="37" t="s">
        <v>27</v>
      </c>
      <c r="D5" s="37" t="s">
        <v>32</v>
      </c>
      <c r="G5" s="47" t="s">
        <v>103</v>
      </c>
      <c r="L5" s="78"/>
    </row>
    <row r="6" spans="1:15" x14ac:dyDescent="0.4">
      <c r="B6" s="37" t="s">
        <v>31</v>
      </c>
      <c r="C6" s="37" t="s">
        <v>28</v>
      </c>
      <c r="D6" s="47" t="s">
        <v>191</v>
      </c>
      <c r="G6" s="47" t="s">
        <v>102</v>
      </c>
    </row>
    <row r="7" spans="1:15" x14ac:dyDescent="0.4">
      <c r="C7" s="37" t="s">
        <v>29</v>
      </c>
      <c r="D7" s="47" t="s">
        <v>192</v>
      </c>
      <c r="G7" s="47" t="s">
        <v>101</v>
      </c>
    </row>
    <row r="8" spans="1:15" x14ac:dyDescent="0.4">
      <c r="A8" s="37"/>
      <c r="B8" s="37"/>
      <c r="C8" s="37"/>
      <c r="D8" s="37"/>
    </row>
    <row r="9" spans="1:15" x14ac:dyDescent="0.4">
      <c r="A9" s="47" t="s">
        <v>80</v>
      </c>
      <c r="B9" s="37"/>
    </row>
    <row r="10" spans="1:15" x14ac:dyDescent="0.4">
      <c r="D10" t="s">
        <v>32</v>
      </c>
      <c r="E10" t="s">
        <v>32</v>
      </c>
      <c r="F10" t="s">
        <v>32</v>
      </c>
      <c r="G10" t="s">
        <v>56</v>
      </c>
      <c r="H10" t="s">
        <v>56</v>
      </c>
      <c r="I10" t="s">
        <v>56</v>
      </c>
      <c r="J10" t="s">
        <v>57</v>
      </c>
      <c r="K10" t="s">
        <v>57</v>
      </c>
      <c r="L10" t="s">
        <v>57</v>
      </c>
    </row>
    <row r="11" spans="1:15" ht="13.8" x14ac:dyDescent="0.4">
      <c r="D11" s="7" t="s">
        <v>62</v>
      </c>
      <c r="E11" s="7" t="s">
        <v>61</v>
      </c>
      <c r="F11" s="38" t="s">
        <v>69</v>
      </c>
      <c r="G11" s="7" t="s">
        <v>62</v>
      </c>
      <c r="H11" s="7" t="s">
        <v>61</v>
      </c>
      <c r="I11" s="38" t="s">
        <v>69</v>
      </c>
      <c r="J11" s="7" t="s">
        <v>62</v>
      </c>
      <c r="K11" s="7" t="s">
        <v>61</v>
      </c>
      <c r="L11" s="38" t="s">
        <v>69</v>
      </c>
      <c r="N11" s="157" t="s">
        <v>176</v>
      </c>
    </row>
    <row r="12" spans="1:15" x14ac:dyDescent="0.4">
      <c r="C12" s="38" t="s">
        <v>63</v>
      </c>
      <c r="D12">
        <v>0.33300000000000002</v>
      </c>
      <c r="E12">
        <v>19</v>
      </c>
      <c r="F12" s="6">
        <f>D12*E12*60/1000</f>
        <v>0.37962000000000001</v>
      </c>
      <c r="G12">
        <v>0.58299999999999996</v>
      </c>
      <c r="H12">
        <v>32</v>
      </c>
      <c r="I12" s="6">
        <f>G12*H12*60/1000</f>
        <v>1.1193599999999999</v>
      </c>
      <c r="J12">
        <v>0.84099999999999997</v>
      </c>
      <c r="K12">
        <v>44</v>
      </c>
      <c r="L12" s="6">
        <f>J12*K12*60/1000</f>
        <v>2.22024</v>
      </c>
      <c r="N12" s="48" t="s">
        <v>182</v>
      </c>
      <c r="O12" s="158" t="s">
        <v>181</v>
      </c>
    </row>
    <row r="13" spans="1:15" x14ac:dyDescent="0.4">
      <c r="C13" s="38" t="s">
        <v>64</v>
      </c>
      <c r="D13">
        <v>0.33300000000000002</v>
      </c>
      <c r="E13">
        <v>19</v>
      </c>
      <c r="F13" s="6">
        <f>D13*E13*60/1000</f>
        <v>0.37962000000000001</v>
      </c>
      <c r="G13">
        <v>0.58299999999999996</v>
      </c>
      <c r="H13">
        <v>32</v>
      </c>
      <c r="I13" s="6">
        <f>G13*H13*60/1000</f>
        <v>1.1193599999999999</v>
      </c>
      <c r="J13">
        <v>0.66700000000000004</v>
      </c>
      <c r="K13">
        <v>46</v>
      </c>
      <c r="L13" s="6">
        <f>J13*K13*60/1000</f>
        <v>1.8409200000000001</v>
      </c>
      <c r="N13" s="48" t="s">
        <v>180</v>
      </c>
      <c r="O13" s="158" t="s">
        <v>179</v>
      </c>
    </row>
    <row r="14" spans="1:15" x14ac:dyDescent="0.4">
      <c r="C14" s="38" t="s">
        <v>65</v>
      </c>
      <c r="D14">
        <v>0.53300000000000003</v>
      </c>
      <c r="E14">
        <v>15</v>
      </c>
      <c r="F14" s="6">
        <f t="shared" ref="F14:F17" si="0">D14*E14*60/1000</f>
        <v>0.47970000000000002</v>
      </c>
      <c r="G14">
        <v>1</v>
      </c>
      <c r="H14">
        <v>23</v>
      </c>
      <c r="I14" s="6">
        <f t="shared" ref="I14:I17" si="1">G14*H14*60/1000</f>
        <v>1.38</v>
      </c>
      <c r="J14">
        <v>1.3520000000000001</v>
      </c>
      <c r="K14">
        <v>36</v>
      </c>
      <c r="L14" s="6">
        <f t="shared" ref="L14:L17" si="2">J14*K14*60/1000</f>
        <v>2.9203200000000002</v>
      </c>
      <c r="N14" s="48" t="s">
        <v>178</v>
      </c>
      <c r="O14" s="158" t="s">
        <v>177</v>
      </c>
    </row>
    <row r="15" spans="1:15" x14ac:dyDescent="0.4">
      <c r="C15" s="38" t="s">
        <v>66</v>
      </c>
      <c r="D15">
        <v>0.41699999999999998</v>
      </c>
      <c r="E15">
        <v>16</v>
      </c>
      <c r="F15" s="6">
        <f t="shared" si="0"/>
        <v>0.40032000000000001</v>
      </c>
      <c r="G15">
        <v>0.90300000000000002</v>
      </c>
      <c r="H15">
        <v>24</v>
      </c>
      <c r="I15" s="6">
        <f t="shared" si="1"/>
        <v>1.3003199999999999</v>
      </c>
      <c r="J15">
        <v>1.127</v>
      </c>
      <c r="K15">
        <v>38</v>
      </c>
      <c r="L15" s="6">
        <f t="shared" si="2"/>
        <v>2.5695600000000001</v>
      </c>
    </row>
    <row r="16" spans="1:15" x14ac:dyDescent="0.4">
      <c r="C16" s="38" t="s">
        <v>67</v>
      </c>
      <c r="D16">
        <v>0.75</v>
      </c>
      <c r="E16">
        <v>12</v>
      </c>
      <c r="F16" s="6">
        <f t="shared" si="0"/>
        <v>0.54</v>
      </c>
      <c r="G16">
        <v>1.25</v>
      </c>
      <c r="H16">
        <v>20</v>
      </c>
      <c r="I16" s="6">
        <f t="shared" si="1"/>
        <v>1.5</v>
      </c>
      <c r="J16">
        <v>1.923</v>
      </c>
      <c r="K16">
        <v>26</v>
      </c>
      <c r="L16" s="6">
        <f t="shared" si="2"/>
        <v>2.9998800000000001</v>
      </c>
    </row>
    <row r="17" spans="1:12" x14ac:dyDescent="0.4">
      <c r="C17" s="38" t="s">
        <v>68</v>
      </c>
      <c r="D17">
        <v>0.46400000000000002</v>
      </c>
      <c r="E17">
        <v>14</v>
      </c>
      <c r="F17" s="6">
        <f t="shared" si="0"/>
        <v>0.38976000000000005</v>
      </c>
      <c r="G17">
        <v>0.99199999999999999</v>
      </c>
      <c r="H17">
        <v>21</v>
      </c>
      <c r="I17" s="6">
        <f t="shared" si="1"/>
        <v>1.2499200000000001</v>
      </c>
      <c r="J17">
        <v>1.3640000000000001</v>
      </c>
      <c r="K17">
        <v>33</v>
      </c>
      <c r="L17" s="6">
        <f t="shared" si="2"/>
        <v>2.7007200000000005</v>
      </c>
    </row>
    <row r="18" spans="1:12" x14ac:dyDescent="0.4">
      <c r="C18" s="38"/>
      <c r="D18" s="7" t="s">
        <v>62</v>
      </c>
      <c r="E18" s="7" t="s">
        <v>61</v>
      </c>
      <c r="F18" s="6"/>
      <c r="I18" s="6"/>
      <c r="L18" s="6"/>
    </row>
    <row r="19" spans="1:12" x14ac:dyDescent="0.4">
      <c r="C19" s="48" t="s">
        <v>163</v>
      </c>
      <c r="D19" s="137">
        <v>0.75</v>
      </c>
      <c r="E19" s="137">
        <v>12</v>
      </c>
      <c r="F19" s="138">
        <f t="shared" ref="F19" si="3">D19*E19*60/1000</f>
        <v>0.54</v>
      </c>
      <c r="G19" s="47" t="s">
        <v>164</v>
      </c>
      <c r="I19" s="6"/>
      <c r="L19" s="6"/>
    </row>
    <row r="21" spans="1:12" x14ac:dyDescent="0.4">
      <c r="A21" s="47" t="s">
        <v>169</v>
      </c>
    </row>
    <row r="22" spans="1:12" x14ac:dyDescent="0.4">
      <c r="B22" s="160" t="s">
        <v>194</v>
      </c>
      <c r="C22" s="159" t="s">
        <v>195</v>
      </c>
    </row>
    <row r="23" spans="1:12" x14ac:dyDescent="0.4">
      <c r="B23" s="161" t="s">
        <v>178</v>
      </c>
      <c r="C23" s="47" t="s">
        <v>196</v>
      </c>
    </row>
    <row r="24" spans="1:12" x14ac:dyDescent="0.4">
      <c r="B24" s="161" t="s">
        <v>197</v>
      </c>
      <c r="C24" s="47" t="s">
        <v>208</v>
      </c>
    </row>
    <row r="25" spans="1:12" x14ac:dyDescent="0.4">
      <c r="B25" s="161"/>
      <c r="C25" s="47"/>
      <c r="D25" s="47" t="s">
        <v>231</v>
      </c>
    </row>
    <row r="26" spans="1:12" x14ac:dyDescent="0.4">
      <c r="C26" s="47" t="s">
        <v>193</v>
      </c>
    </row>
    <row r="27" spans="1:12" x14ac:dyDescent="0.4">
      <c r="C27" s="47" t="s">
        <v>199</v>
      </c>
    </row>
    <row r="28" spans="1:12" x14ac:dyDescent="0.4">
      <c r="D28" t="s">
        <v>198</v>
      </c>
    </row>
    <row r="29" spans="1:12" x14ac:dyDescent="0.4">
      <c r="D29" s="47" t="s">
        <v>200</v>
      </c>
    </row>
    <row r="30" spans="1:12" ht="13.8" x14ac:dyDescent="0.4">
      <c r="C30" s="47" t="s">
        <v>201</v>
      </c>
    </row>
    <row r="31" spans="1:12" ht="13.8" x14ac:dyDescent="0.4">
      <c r="C31" s="47" t="s">
        <v>202</v>
      </c>
    </row>
    <row r="32" spans="1:12" x14ac:dyDescent="0.4">
      <c r="B32" s="161" t="s">
        <v>204</v>
      </c>
      <c r="C32" s="135" t="s">
        <v>203</v>
      </c>
    </row>
    <row r="34" spans="1:1" x14ac:dyDescent="0.4">
      <c r="A34" s="47" t="s">
        <v>210</v>
      </c>
    </row>
    <row r="35" spans="1:1" x14ac:dyDescent="0.4">
      <c r="A35" t="s">
        <v>209</v>
      </c>
    </row>
  </sheetData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40"/>
  <sheetViews>
    <sheetView tabSelected="1" zoomScaleNormal="100" workbookViewId="0">
      <selection activeCell="J2" sqref="J2"/>
    </sheetView>
  </sheetViews>
  <sheetFormatPr defaultRowHeight="12.3" x14ac:dyDescent="0.4"/>
  <cols>
    <col min="1" max="1" width="9.44140625" customWidth="1"/>
    <col min="2" max="2" width="10.44140625" customWidth="1"/>
    <col min="3" max="3" width="12.5546875" bestFit="1" customWidth="1"/>
    <col min="4" max="4" width="9.5546875" customWidth="1"/>
    <col min="8" max="12" width="10.77734375" customWidth="1"/>
    <col min="13" max="15" width="10" customWidth="1"/>
  </cols>
  <sheetData>
    <row r="1" spans="1:26" ht="14.1" x14ac:dyDescent="0.5">
      <c r="A1" s="62" t="s">
        <v>100</v>
      </c>
    </row>
    <row r="3" spans="1:26" ht="14.1" x14ac:dyDescent="0.5">
      <c r="A3" s="37" t="s">
        <v>36</v>
      </c>
      <c r="B3" s="103" t="s">
        <v>30</v>
      </c>
      <c r="C3" t="str">
        <f>IF(AND(E$5&lt;24),"For a duration of less than 24 hours, the remaining time is assumed to have no exposure.","")</f>
        <v>For a duration of less than 24 hours, the remaining time is assumed to have no exposure.</v>
      </c>
      <c r="T3" s="47"/>
    </row>
    <row r="4" spans="1:26" ht="14.1" x14ac:dyDescent="0.5">
      <c r="A4" s="37" t="s">
        <v>37</v>
      </c>
      <c r="B4" s="103" t="s">
        <v>29</v>
      </c>
      <c r="D4" s="37" t="s">
        <v>39</v>
      </c>
      <c r="O4" s="25"/>
      <c r="P4" s="25"/>
      <c r="Q4" s="25"/>
      <c r="R4" s="25"/>
      <c r="S4" s="25"/>
      <c r="V4" s="48"/>
      <c r="W4" s="48"/>
      <c r="X4" s="48"/>
      <c r="Y4" s="48"/>
    </row>
    <row r="5" spans="1:26" ht="13.8" x14ac:dyDescent="0.45">
      <c r="E5" s="162">
        <f>E7+E16+E25</f>
        <v>3</v>
      </c>
      <c r="F5" t="str">
        <f>IF(AND(E$5&gt;=0,E$5&lt;=24),"h/day","Sum of activities must be less than or equal to 24 hours.")</f>
        <v>h/day</v>
      </c>
      <c r="O5" s="25"/>
      <c r="P5" s="25"/>
      <c r="Q5" s="25"/>
      <c r="R5" s="25"/>
      <c r="S5" s="25"/>
      <c r="U5" s="79"/>
      <c r="V5" s="46"/>
      <c r="W5" s="46"/>
      <c r="X5" s="46"/>
      <c r="Y5" s="46"/>
    </row>
    <row r="6" spans="1:26" x14ac:dyDescent="0.4">
      <c r="P6" s="25"/>
      <c r="Q6" s="25"/>
      <c r="R6" s="25"/>
      <c r="S6" s="25"/>
    </row>
    <row r="7" spans="1:26" ht="16.5" customHeight="1" x14ac:dyDescent="0.5">
      <c r="A7" s="37" t="s">
        <v>46</v>
      </c>
      <c r="B7" s="103" t="s">
        <v>32</v>
      </c>
      <c r="D7" s="36" t="s">
        <v>38</v>
      </c>
      <c r="E7" s="104">
        <v>1</v>
      </c>
      <c r="F7" t="str">
        <f>IF(AND(E$5&gt;=0,E$5&lt;=24),"h/day","Sum of activities must be less than or equal to 24 hours.")</f>
        <v>h/day</v>
      </c>
      <c r="M7" s="47" t="s">
        <v>206</v>
      </c>
      <c r="T7" s="47"/>
    </row>
    <row r="8" spans="1:26" ht="16.5" customHeight="1" x14ac:dyDescent="0.4">
      <c r="C8" s="32" t="s">
        <v>40</v>
      </c>
      <c r="D8" s="32" t="s">
        <v>41</v>
      </c>
      <c r="E8" s="32" t="s">
        <v>22</v>
      </c>
      <c r="H8" t="str">
        <f>IF('Exposure Inputs'!L1="OLD","Output is valid for use","Inputs changed, must RERUN")</f>
        <v>Output is valid for use</v>
      </c>
      <c r="M8" s="47" t="s">
        <v>207</v>
      </c>
      <c r="T8" s="47"/>
    </row>
    <row r="9" spans="1:26" ht="16.5" customHeight="1" x14ac:dyDescent="0.5">
      <c r="B9" s="13" t="s">
        <v>117</v>
      </c>
      <c r="C9" s="104">
        <v>100</v>
      </c>
      <c r="D9" s="107">
        <v>0</v>
      </c>
      <c r="E9" s="163">
        <f>SUM(C9:D9)</f>
        <v>100</v>
      </c>
      <c r="H9" s="139" t="s">
        <v>165</v>
      </c>
      <c r="R9" s="48" t="s">
        <v>232</v>
      </c>
      <c r="T9" s="49"/>
      <c r="U9" s="48"/>
      <c r="V9" s="46"/>
      <c r="W9" s="46"/>
      <c r="X9" s="46"/>
      <c r="Y9" s="46"/>
      <c r="Z9" s="47"/>
    </row>
    <row r="10" spans="1:26" ht="16.5" customHeight="1" thickBot="1" x14ac:dyDescent="0.55000000000000004">
      <c r="B10" s="13" t="s">
        <v>142</v>
      </c>
      <c r="C10" s="105">
        <v>25</v>
      </c>
      <c r="D10" s="105">
        <v>1</v>
      </c>
      <c r="E10" s="78" t="str">
        <f>IF(C14&lt;0.001,"Combination of MMD &amp; GSD"," ")</f>
        <v xml:space="preserve"> </v>
      </c>
      <c r="H10" s="41" t="s">
        <v>205</v>
      </c>
      <c r="N10" s="7" t="s">
        <v>74</v>
      </c>
      <c r="O10" s="48" t="s">
        <v>81</v>
      </c>
      <c r="P10" s="48" t="s">
        <v>22</v>
      </c>
      <c r="R10" s="48" t="s">
        <v>233</v>
      </c>
      <c r="S10" s="48" t="s">
        <v>236</v>
      </c>
      <c r="V10" s="46"/>
      <c r="W10" s="46"/>
      <c r="X10" s="46"/>
      <c r="Y10" s="46"/>
      <c r="Z10" s="47"/>
    </row>
    <row r="11" spans="1:26" ht="16.5" customHeight="1" thickTop="1" x14ac:dyDescent="0.5">
      <c r="B11" s="17" t="s">
        <v>0</v>
      </c>
      <c r="C11" s="105">
        <v>5.2</v>
      </c>
      <c r="D11" s="105">
        <v>1.01</v>
      </c>
      <c r="E11" s="78" t="str">
        <f>IF(C14&lt;0.001,"extends below 0.001 µm"," ")</f>
        <v xml:space="preserve"> </v>
      </c>
      <c r="H11" s="96" t="s">
        <v>82</v>
      </c>
      <c r="I11" s="154"/>
      <c r="J11" s="154"/>
      <c r="K11" s="154"/>
      <c r="L11" s="155"/>
      <c r="N11" s="49" t="s">
        <v>234</v>
      </c>
      <c r="O11" s="49" t="s">
        <v>234</v>
      </c>
      <c r="P11" s="48" t="s">
        <v>131</v>
      </c>
      <c r="R11" s="49" t="s">
        <v>234</v>
      </c>
      <c r="S11" s="170" t="s">
        <v>235</v>
      </c>
      <c r="V11" s="46"/>
      <c r="W11" s="46"/>
      <c r="X11" s="46"/>
      <c r="Y11" s="46"/>
      <c r="Z11" s="47"/>
    </row>
    <row r="12" spans="1:26" ht="16.5" customHeight="1" x14ac:dyDescent="0.5">
      <c r="B12" s="13" t="s">
        <v>119</v>
      </c>
      <c r="C12" s="134">
        <v>3.25</v>
      </c>
      <c r="D12" s="164">
        <f>C12</f>
        <v>3.25</v>
      </c>
      <c r="E12" s="111"/>
      <c r="H12" s="77"/>
      <c r="I12" s="9" t="s">
        <v>62</v>
      </c>
      <c r="J12" s="9" t="s">
        <v>61</v>
      </c>
      <c r="K12" s="143" t="s">
        <v>69</v>
      </c>
      <c r="L12" s="146" t="s">
        <v>170</v>
      </c>
      <c r="M12" s="38" t="s">
        <v>46</v>
      </c>
      <c r="N12" s="25">
        <f>E9*E7*K13</f>
        <v>54</v>
      </c>
      <c r="O12" s="25">
        <f>SUM(N19:P19)</f>
        <v>21.933841503679776</v>
      </c>
      <c r="P12" s="25">
        <f>O12/N12</f>
        <v>0.40618225006814401</v>
      </c>
      <c r="R12" s="25">
        <f>'Dp&gt;100um'!O316</f>
        <v>5.7908190002365065E-2</v>
      </c>
      <c r="S12" s="25">
        <f>R12/N19*100</f>
        <v>0.32327784169481044</v>
      </c>
      <c r="U12" s="48"/>
      <c r="V12" s="46"/>
      <c r="W12" s="46"/>
      <c r="X12" s="46"/>
      <c r="Y12" s="46"/>
      <c r="Z12" s="47"/>
    </row>
    <row r="13" spans="1:26" ht="16.5" customHeight="1" x14ac:dyDescent="0.5">
      <c r="B13" s="13" t="s">
        <v>122</v>
      </c>
      <c r="C13" s="106">
        <f>1*10^-6</f>
        <v>9.9999999999999995E-7</v>
      </c>
      <c r="D13" s="165">
        <f>C13</f>
        <v>9.9999999999999995E-7</v>
      </c>
      <c r="E13" s="4"/>
      <c r="H13" s="147" t="s">
        <v>46</v>
      </c>
      <c r="I13" s="144" cm="1">
        <f t="array" ref="I13">IF(B4="Custom",README!D19,INDEX(README!D12:L17,MATCH(CONCATENATE(B4," ",B3),README!C12:C17,0),IF(B7="Sitting",1,IF(B7="LightEx",4,7))))</f>
        <v>0.75</v>
      </c>
      <c r="J13" s="22" cm="1">
        <f t="array" ref="J13">IF(B4="Custom",README!E19,INDEX(README!D12:L17,MATCH(CONCATENATE(B4," ",B3),README!C12:C17,0),IF(B7="Sitting",2,IF(B7="LightEx",5,8))))</f>
        <v>12</v>
      </c>
      <c r="K13" s="145" cm="1">
        <f t="array" ref="K13">IF(B4="Custom",README!F19,INDEX(README!D12:L17,MATCH(CONCATENATE(B4," ",B3),README!C12:C17,0),IF(B7="Sitting",3,IF(B7="LightEx",6,9))))</f>
        <v>0.54</v>
      </c>
      <c r="L13" s="148">
        <f>K13*E7</f>
        <v>0.54</v>
      </c>
      <c r="M13" s="38" t="s">
        <v>47</v>
      </c>
      <c r="N13" s="25">
        <f>E18*E16*K14</f>
        <v>150</v>
      </c>
      <c r="O13" s="25">
        <f>SUM(N20:P20)</f>
        <v>67.363159319037592</v>
      </c>
      <c r="P13" s="25">
        <f>O13/N13</f>
        <v>0.44908772879358394</v>
      </c>
      <c r="R13" s="25">
        <f>'Dp&gt;100um'!P316</f>
        <v>0.27184393522977346</v>
      </c>
      <c r="S13" s="25">
        <f>R13/N20*100</f>
        <v>0.47749106586023699</v>
      </c>
      <c r="V13" s="46"/>
      <c r="W13" s="46"/>
      <c r="X13" s="46"/>
      <c r="Y13" s="46"/>
      <c r="Z13" s="47"/>
    </row>
    <row r="14" spans="1:26" ht="16.5" customHeight="1" x14ac:dyDescent="0.5">
      <c r="B14" s="13" t="s">
        <v>109</v>
      </c>
      <c r="C14" s="167">
        <f>MIN(IF(AND(C9&gt;0,E7&gt;0),(C10*C11^NORMSINV(0.0001)),10^6),IF(AND(D9&gt;0,E7&gt;0),(D10*D11^NORMSINV(0.0001)),10^6))</f>
        <v>5.4339016042139802E-2</v>
      </c>
      <c r="D14" s="166">
        <f>MAX(IF(AND(C9&gt;0,E7&gt;0),(C10*C11^NORMSINV(0.995)),-1*10^6),IF(AND(D9&gt;0,E7&gt;0),(D10*D11^NORMSINV(0.995)),-1*10^6))</f>
        <v>1746.7968602930189</v>
      </c>
      <c r="E14" s="4"/>
      <c r="H14" s="147" t="s">
        <v>47</v>
      </c>
      <c r="I14" s="144" cm="1">
        <f t="array" ref="I14">IF(B4="Custom",README!D19,INDEX(README!D12:L19,MATCH(CONCATENATE(B4," ",B3),README!C12:C19,0),IF(B16="Sitting",1,IF(B16="LightEx",4,7))))</f>
        <v>1.25</v>
      </c>
      <c r="J14" s="22" cm="1">
        <f t="array" ref="J14">IF(B4="Custom",README!E19,INDEX(README!D12:L17,MATCH(CONCATENATE(B4," ",B3),README!C12:C17,0),IF(B16="Sitting",2,IF(B16="LightEx",5,8))))</f>
        <v>20</v>
      </c>
      <c r="K14" s="145" cm="1">
        <f t="array" ref="K14">IF(B4="Custom",README!F19,INDEX(README!D12:L17,MATCH(CONCATENATE(B4," ",B3),README!C12:C17,0),IF(B16="Sitting",3,IF(B16="LightEx",6,9))))</f>
        <v>1.5</v>
      </c>
      <c r="L14" s="148">
        <f>K14*E16</f>
        <v>1.5</v>
      </c>
      <c r="M14" s="38" t="s">
        <v>48</v>
      </c>
      <c r="N14" s="25">
        <f>E27*E25*K15</f>
        <v>299.988</v>
      </c>
      <c r="O14" s="25">
        <f>SUM(N21:P21)</f>
        <v>139.78371754897591</v>
      </c>
      <c r="P14" s="25">
        <f>O14/N14</f>
        <v>0.46596436373780259</v>
      </c>
      <c r="R14" s="25">
        <f>'Dp&gt;100um'!Q316</f>
        <v>0.61399126198055831</v>
      </c>
      <c r="S14" s="25">
        <f>R14/N21*100</f>
        <v>0.50459451592696314</v>
      </c>
      <c r="V14" s="46"/>
      <c r="W14" s="46"/>
      <c r="X14" s="46"/>
      <c r="Y14" s="46"/>
      <c r="Z14" s="47"/>
    </row>
    <row r="15" spans="1:26" ht="16.5" customHeight="1" thickBot="1" x14ac:dyDescent="0.45">
      <c r="H15" s="149" t="s">
        <v>48</v>
      </c>
      <c r="I15" s="150" cm="1">
        <f t="array" ref="I15">IF(B4="Custom",README!D19,INDEX(README!D12:L19,MATCH(CONCATENATE(B4," ",B3),README!C12:C19,0),IF(B25="Sitting",1,IF(B25="LightEx",4,7))))</f>
        <v>1.923</v>
      </c>
      <c r="J15" s="151" cm="1">
        <f t="array" ref="J15">IF(B4="Custom",README!E19,INDEX(README!D12:L17,MATCH(CONCATENATE(B4," ",B3),README!C12:C17,0),IF(B25="Sitting",2,IF(B25="LightEx",5,8))))</f>
        <v>26</v>
      </c>
      <c r="K15" s="152" cm="1">
        <f t="array" ref="K15">IF(B4="Custom",README!F19,INDEX(README!D12:L17,MATCH(CONCATENATE(B4," ",B3),README!C12:C17,0),IF(B25="Sitting",3,IF(B25="LightEx",6,9))))</f>
        <v>2.9998800000000001</v>
      </c>
      <c r="L15" s="153">
        <f>K15*E25</f>
        <v>2.9998800000000001</v>
      </c>
      <c r="M15" s="50" t="s">
        <v>22</v>
      </c>
      <c r="N15" s="25">
        <f>SUM(N12:N14)</f>
        <v>503.988</v>
      </c>
      <c r="O15" s="25">
        <f>SUM(N22:P22)</f>
        <v>229.08071837169325</v>
      </c>
      <c r="P15" s="25">
        <f>O15/N15</f>
        <v>0.45453605715154577</v>
      </c>
      <c r="T15" s="49"/>
      <c r="U15" s="48"/>
      <c r="V15" s="46"/>
      <c r="W15" s="46"/>
      <c r="X15" s="46"/>
      <c r="Y15" s="46"/>
      <c r="Z15" s="47"/>
    </row>
    <row r="16" spans="1:26" ht="16.5" customHeight="1" thickTop="1" x14ac:dyDescent="0.5">
      <c r="A16" s="37" t="s">
        <v>47</v>
      </c>
      <c r="B16" s="103" t="s">
        <v>56</v>
      </c>
      <c r="D16" s="36" t="s">
        <v>38</v>
      </c>
      <c r="E16" s="104">
        <v>1</v>
      </c>
      <c r="F16" t="str">
        <f>IF(AND(E$5&gt;=0,E$5&lt;=24),"h/day","Sum of activities must be less than or equal to 24 hours.")</f>
        <v>h/day</v>
      </c>
      <c r="V16" s="46"/>
      <c r="W16" s="46"/>
      <c r="X16" s="46"/>
      <c r="Y16" s="46"/>
      <c r="Z16" s="47"/>
    </row>
    <row r="17" spans="1:26" ht="16.5" customHeight="1" thickBot="1" x14ac:dyDescent="0.45">
      <c r="C17" s="32" t="s">
        <v>42</v>
      </c>
      <c r="D17" s="32" t="s">
        <v>43</v>
      </c>
      <c r="E17" s="32" t="s">
        <v>22</v>
      </c>
      <c r="N17" s="47" t="s">
        <v>152</v>
      </c>
      <c r="V17" s="46"/>
      <c r="W17" s="46"/>
      <c r="X17" s="46"/>
      <c r="Y17" s="46"/>
      <c r="Z17" s="47"/>
    </row>
    <row r="18" spans="1:26" ht="16.5" customHeight="1" thickTop="1" x14ac:dyDescent="0.55000000000000004">
      <c r="B18" s="13" t="s">
        <v>108</v>
      </c>
      <c r="C18" s="104">
        <v>100</v>
      </c>
      <c r="D18" s="107">
        <v>0</v>
      </c>
      <c r="E18" s="163">
        <f>SUM(C18:D18)</f>
        <v>100</v>
      </c>
      <c r="H18" s="96" t="s">
        <v>123</v>
      </c>
      <c r="I18" s="93"/>
      <c r="J18" s="94"/>
      <c r="K18" s="94"/>
      <c r="L18" s="95"/>
      <c r="N18" s="108" t="s">
        <v>52</v>
      </c>
      <c r="O18" s="108" t="s">
        <v>53</v>
      </c>
      <c r="P18" s="108" t="s">
        <v>54</v>
      </c>
      <c r="Q18" s="108"/>
      <c r="T18" s="49"/>
      <c r="U18" s="48"/>
      <c r="V18" s="46"/>
      <c r="W18" s="46"/>
      <c r="X18" s="46"/>
      <c r="Y18" s="46"/>
      <c r="Z18" s="47"/>
    </row>
    <row r="19" spans="1:26" ht="16.5" customHeight="1" x14ac:dyDescent="0.5">
      <c r="B19" s="13" t="s">
        <v>142</v>
      </c>
      <c r="C19" s="105">
        <v>25</v>
      </c>
      <c r="D19" s="105">
        <v>4</v>
      </c>
      <c r="E19" s="78" t="str">
        <f>IF(C23&lt;0.001,"Combination of MMD &amp; GSD"," ")</f>
        <v xml:space="preserve"> </v>
      </c>
      <c r="H19" s="77"/>
      <c r="I19" s="92"/>
      <c r="J19" s="118" t="s">
        <v>151</v>
      </c>
      <c r="K19" s="122"/>
      <c r="L19" s="119"/>
      <c r="M19" s="38" t="s">
        <v>46</v>
      </c>
      <c r="N19" s="25">
        <f>Dose!U7</f>
        <v>17.912823749000754</v>
      </c>
      <c r="O19" s="25">
        <f>Dose!W7</f>
        <v>2.2981526714886229</v>
      </c>
      <c r="P19" s="25">
        <f>Dose!Y7</f>
        <v>1.7228650831903987</v>
      </c>
      <c r="Q19" s="46"/>
      <c r="R19" s="47" t="s">
        <v>153</v>
      </c>
      <c r="V19" s="46"/>
      <c r="W19" s="46"/>
      <c r="X19" s="46"/>
      <c r="Y19" s="46"/>
      <c r="Z19" s="47"/>
    </row>
    <row r="20" spans="1:26" ht="16.5" customHeight="1" x14ac:dyDescent="0.5">
      <c r="B20" s="17" t="s">
        <v>0</v>
      </c>
      <c r="C20" s="105">
        <v>5.2</v>
      </c>
      <c r="D20" s="105">
        <v>2</v>
      </c>
      <c r="E20" s="78" t="str">
        <f>IF(C23&lt;0.001,"extends below 0.001 µm"," ")</f>
        <v xml:space="preserve"> </v>
      </c>
      <c r="H20" s="77"/>
      <c r="I20" s="101" t="s">
        <v>52</v>
      </c>
      <c r="J20" s="101" t="s">
        <v>53</v>
      </c>
      <c r="K20" s="120" t="s">
        <v>54</v>
      </c>
      <c r="L20" s="121" t="s">
        <v>22</v>
      </c>
      <c r="M20" s="38" t="s">
        <v>47</v>
      </c>
      <c r="N20" s="25">
        <f>Dose!AA7</f>
        <v>56.931732270220728</v>
      </c>
      <c r="O20" s="25">
        <f>Dose!AC7</f>
        <v>5.5291662407130655</v>
      </c>
      <c r="P20" s="25">
        <f>Dose!AE7</f>
        <v>4.9022608081038017</v>
      </c>
      <c r="Q20" s="46"/>
      <c r="R20" s="47" t="s">
        <v>154</v>
      </c>
      <c r="V20" s="46"/>
      <c r="W20" s="46"/>
      <c r="X20" s="46"/>
      <c r="Y20" s="46"/>
      <c r="Z20" s="47"/>
    </row>
    <row r="21" spans="1:26" ht="16.5" customHeight="1" x14ac:dyDescent="0.5">
      <c r="B21" s="13" t="s">
        <v>119</v>
      </c>
      <c r="C21" s="105">
        <v>3.25</v>
      </c>
      <c r="D21" s="164">
        <f>C21</f>
        <v>3.25</v>
      </c>
      <c r="E21" s="116"/>
      <c r="H21" s="98" t="s">
        <v>46</v>
      </c>
      <c r="I21" s="124">
        <f>IF(ISNUMBER(Dose!U9),Dose!U9," ")</f>
        <v>0.33338588775359645</v>
      </c>
      <c r="J21" s="124">
        <f>IF(ISNUMBER(Dose!V9),Dose!V9," ")</f>
        <v>4.2772244025472195E-2</v>
      </c>
      <c r="K21" s="124">
        <f>IF(ISNUMBER(Dose!W9),Dose!W9," ")</f>
        <v>3.2065235123588262E-2</v>
      </c>
      <c r="L21" s="125">
        <f>IF(ISNUMBER(I21),SUM(I21:K21)," ")</f>
        <v>0.40822336690265693</v>
      </c>
      <c r="M21" s="38" t="s">
        <v>48</v>
      </c>
      <c r="N21" s="25">
        <f>Dose!AG7</f>
        <v>121.68012980732229</v>
      </c>
      <c r="O21" s="25">
        <f>Dose!AI7</f>
        <v>11.751743705675555</v>
      </c>
      <c r="P21" s="25">
        <f>Dose!AK7</f>
        <v>6.3518440359780612</v>
      </c>
      <c r="Q21" s="46"/>
      <c r="R21" s="47"/>
      <c r="T21" s="49"/>
      <c r="U21" s="48"/>
      <c r="V21" s="46"/>
      <c r="W21" s="46"/>
      <c r="X21" s="46"/>
      <c r="Y21" s="46"/>
      <c r="Z21" s="47"/>
    </row>
    <row r="22" spans="1:26" ht="16.5" customHeight="1" x14ac:dyDescent="0.5">
      <c r="B22" s="13" t="s">
        <v>122</v>
      </c>
      <c r="C22" s="106">
        <v>9.9999999999999995E-7</v>
      </c>
      <c r="D22" s="165">
        <f>C22</f>
        <v>9.9999999999999995E-7</v>
      </c>
      <c r="E22" s="4"/>
      <c r="H22" s="98" t="s">
        <v>47</v>
      </c>
      <c r="I22" s="124">
        <f>IF(ISNUMBER(Dose!AA9),Dose!AA9," ")</f>
        <v>0.38145214251404141</v>
      </c>
      <c r="J22" s="124">
        <f>IF(ISNUMBER(Dose!AB9),Dose!AB9," ")</f>
        <v>3.7046339971276793E-2</v>
      </c>
      <c r="K22" s="124">
        <f>IF(ISNUMBER(Dose!AC9),Dose!AC9," ")</f>
        <v>3.2845968563509534E-2</v>
      </c>
      <c r="L22" s="125">
        <f>IF(ISNUMBER(I22),SUM(I22:K22)," ")</f>
        <v>0.4513444510488277</v>
      </c>
      <c r="M22" s="50" t="s">
        <v>22</v>
      </c>
      <c r="N22" s="25">
        <f>SUM(N19:N21)</f>
        <v>196.52468582654376</v>
      </c>
      <c r="O22" s="25">
        <f t="shared" ref="O22:P22" si="0">SUM(O19:O21)</f>
        <v>19.579062617877241</v>
      </c>
      <c r="P22" s="25">
        <f t="shared" si="0"/>
        <v>12.976969927272261</v>
      </c>
      <c r="Q22" s="46"/>
      <c r="V22" s="46"/>
      <c r="W22" s="46"/>
      <c r="X22" s="46"/>
      <c r="Y22" s="46"/>
      <c r="Z22" s="47"/>
    </row>
    <row r="23" spans="1:26" ht="16.5" customHeight="1" thickBot="1" x14ac:dyDescent="0.55000000000000004">
      <c r="B23" s="13" t="s">
        <v>118</v>
      </c>
      <c r="C23" s="167">
        <f>MIN(IF(AND(C18&gt;0,E16&gt;0),(C19*C20^NORMSINV(0.0001)),10^6),IF(AND(D18&gt;0,E16&gt;0),(D19*D20^NORMSINV(0.0001)),10^6))</f>
        <v>5.4339016042139802E-2</v>
      </c>
      <c r="D23" s="166">
        <f>MAX(IF(AND(C18&gt;0,E16&gt;0),(C19*C20^NORMSINV(0.995)),-1*10^6),IF(AND(D18&gt;0,E16&gt;0),(D19*D20^NORMSINV(0.995)),-1*10^6))</f>
        <v>1746.7968602930189</v>
      </c>
      <c r="H23" s="123" t="s">
        <v>48</v>
      </c>
      <c r="I23" s="126">
        <f>IF(ISNUMBER(Dose!AG9),Dose!AG9," ")</f>
        <v>0.40765493201745551</v>
      </c>
      <c r="J23" s="126">
        <f>IF(ISNUMBER(Dose!AH9),Dose!AH9," ")</f>
        <v>3.9370900483173585E-2</v>
      </c>
      <c r="K23" s="126">
        <f>IF(ISNUMBER(Dose!AI9),Dose!AI9," ")</f>
        <v>2.1280060703192133E-2</v>
      </c>
      <c r="L23" s="127">
        <f>IF(ISNUMBER(I23),SUM(I23:K23)," ")</f>
        <v>0.46830589320382121</v>
      </c>
      <c r="V23" s="46"/>
      <c r="W23" s="46"/>
      <c r="X23" s="46"/>
      <c r="Y23" s="46"/>
      <c r="Z23" s="47"/>
    </row>
    <row r="24" spans="1:26" ht="16.5" customHeight="1" thickTop="1" x14ac:dyDescent="0.4">
      <c r="H24" s="50"/>
      <c r="I24" s="25"/>
      <c r="J24" s="25"/>
      <c r="T24" s="49"/>
      <c r="U24" s="48"/>
      <c r="V24" s="46"/>
      <c r="W24" s="46"/>
      <c r="X24" s="46"/>
      <c r="Y24" s="46"/>
      <c r="Z24" s="47"/>
    </row>
    <row r="25" spans="1:26" ht="16.5" customHeight="1" thickBot="1" x14ac:dyDescent="0.55000000000000004">
      <c r="A25" s="37" t="s">
        <v>48</v>
      </c>
      <c r="B25" s="103" t="s">
        <v>57</v>
      </c>
      <c r="D25" s="36" t="s">
        <v>38</v>
      </c>
      <c r="E25" s="104">
        <v>1</v>
      </c>
      <c r="F25" t="str">
        <f>IF(AND(E$5&gt;=0,E$5&lt;=24),"h/day","Sum of activities must be less than or equal to 24 hours.")</f>
        <v>h/day</v>
      </c>
      <c r="N25" s="157" t="s">
        <v>176</v>
      </c>
      <c r="O25" s="25"/>
      <c r="P25" s="25"/>
      <c r="V25" s="46"/>
      <c r="W25" s="46"/>
      <c r="X25" s="46"/>
      <c r="Y25" s="46"/>
      <c r="Z25" s="47"/>
    </row>
    <row r="26" spans="1:26" ht="16.5" customHeight="1" thickTop="1" x14ac:dyDescent="0.5">
      <c r="C26" s="32" t="s">
        <v>44</v>
      </c>
      <c r="D26" s="32" t="s">
        <v>45</v>
      </c>
      <c r="E26" s="32" t="s">
        <v>22</v>
      </c>
      <c r="H26" s="96" t="s">
        <v>124</v>
      </c>
      <c r="I26" s="94"/>
      <c r="J26" s="94"/>
      <c r="K26" s="94"/>
      <c r="L26" s="95"/>
      <c r="N26" s="18" t="s">
        <v>172</v>
      </c>
      <c r="O26" s="76" t="s">
        <v>173</v>
      </c>
      <c r="P26" s="25"/>
      <c r="V26" s="46"/>
      <c r="W26" s="46"/>
      <c r="X26" s="46"/>
      <c r="Y26" s="46"/>
      <c r="Z26" s="47"/>
    </row>
    <row r="27" spans="1:26" ht="16.5" customHeight="1" x14ac:dyDescent="0.5">
      <c r="B27" s="13" t="s">
        <v>108</v>
      </c>
      <c r="C27" s="104">
        <v>100</v>
      </c>
      <c r="D27" s="107">
        <v>0</v>
      </c>
      <c r="E27" s="163">
        <f>SUM(C27:D27)</f>
        <v>100</v>
      </c>
      <c r="H27" s="77"/>
      <c r="J27" s="101" t="s">
        <v>52</v>
      </c>
      <c r="K27" s="101" t="s">
        <v>53</v>
      </c>
      <c r="L27" s="102" t="s">
        <v>54</v>
      </c>
      <c r="N27" s="7" t="s">
        <v>183</v>
      </c>
      <c r="O27" s="76" t="s">
        <v>186</v>
      </c>
      <c r="P27" s="25"/>
      <c r="T27" s="49"/>
      <c r="U27" s="48"/>
      <c r="V27" s="46"/>
      <c r="W27" s="46"/>
      <c r="X27" s="46"/>
      <c r="Y27" s="46"/>
      <c r="Z27" s="47"/>
    </row>
    <row r="28" spans="1:26" ht="16.5" customHeight="1" x14ac:dyDescent="0.5">
      <c r="B28" s="13" t="s">
        <v>142</v>
      </c>
      <c r="C28" s="105">
        <v>25</v>
      </c>
      <c r="D28" s="105">
        <v>4</v>
      </c>
      <c r="E28" s="78" t="str">
        <f>IF(C32&lt;0.001,"Combination of MMD &amp; GSD"," ")</f>
        <v xml:space="preserve"> </v>
      </c>
      <c r="H28" s="97" t="s">
        <v>155</v>
      </c>
      <c r="I28" s="48" t="s">
        <v>125</v>
      </c>
      <c r="J28" s="128">
        <f>Dose!V7</f>
        <v>9.8219860614004002</v>
      </c>
      <c r="K28" s="128">
        <f>Dose!X7</f>
        <v>5.1009220316821828</v>
      </c>
      <c r="L28" s="129">
        <f>Dose!Z7</f>
        <v>2.1968470671543563</v>
      </c>
      <c r="N28" s="48" t="s">
        <v>184</v>
      </c>
      <c r="O28" s="76" t="s">
        <v>187</v>
      </c>
      <c r="P28" s="6"/>
      <c r="V28" s="46"/>
      <c r="W28" s="46"/>
      <c r="X28" s="46"/>
      <c r="Y28" s="46"/>
      <c r="Z28" s="47"/>
    </row>
    <row r="29" spans="1:26" ht="16.5" customHeight="1" x14ac:dyDescent="0.5">
      <c r="B29" s="17" t="s">
        <v>0</v>
      </c>
      <c r="C29" s="105">
        <v>5.2</v>
      </c>
      <c r="D29" s="105">
        <v>2</v>
      </c>
      <c r="E29" s="78" t="str">
        <f>IF(C32&lt;0.001,"extends below 0.001 µm"," ")</f>
        <v xml:space="preserve"> </v>
      </c>
      <c r="H29" s="77"/>
      <c r="I29" s="48" t="s">
        <v>126</v>
      </c>
      <c r="J29" s="130">
        <f>IF(ISNUMBER(J28),-LN(0.23)/($C12/(2*$C13)*(J28*10^-4)*(1-1/0.23^(-1/3)))," ")</f>
        <v>2.3774592580710504E-3</v>
      </c>
      <c r="K29" s="130">
        <f>IF(ISNUMBER(K28),-LN(0.23)/($C12/(2*$C13)*(K28*10^-4)*(1-1/0.23^(-1/3)))," ")</f>
        <v>4.5778726962075076E-3</v>
      </c>
      <c r="L29" s="131">
        <f>IF(ISNUMBER(L28),-LN(0.23)/($C12/(2*$C13)*(L28*10^-4)*(1-1/0.23^(-1/3)))," ")</f>
        <v>1.0629493533461546E-2</v>
      </c>
      <c r="N29" s="48" t="s">
        <v>185</v>
      </c>
      <c r="O29" s="76" t="s">
        <v>188</v>
      </c>
      <c r="V29" s="46"/>
      <c r="W29" s="46"/>
      <c r="X29" s="46"/>
      <c r="Y29" s="46"/>
      <c r="Z29" s="47"/>
    </row>
    <row r="30" spans="1:26" ht="16.5" customHeight="1" x14ac:dyDescent="0.5">
      <c r="B30" s="13" t="s">
        <v>119</v>
      </c>
      <c r="C30" s="105">
        <v>3.25</v>
      </c>
      <c r="D30" s="164">
        <f>C30</f>
        <v>3.25</v>
      </c>
      <c r="E30" s="4"/>
      <c r="H30" s="97" t="s">
        <v>156</v>
      </c>
      <c r="I30" s="48" t="s">
        <v>125</v>
      </c>
      <c r="J30" s="128">
        <f>Dose!AB7</f>
        <v>11.422221107953407</v>
      </c>
      <c r="K30" s="128">
        <f>Dose!AD7</f>
        <v>4.9981686206597979</v>
      </c>
      <c r="L30" s="129">
        <f>Dose!AF7</f>
        <v>2.3484765769512492</v>
      </c>
      <c r="N30" s="156" t="s">
        <v>5</v>
      </c>
      <c r="O30" s="76" t="s">
        <v>171</v>
      </c>
      <c r="V30" s="46"/>
      <c r="W30" s="46"/>
      <c r="X30" s="46"/>
      <c r="Y30" s="46"/>
      <c r="Z30" s="47"/>
    </row>
    <row r="31" spans="1:26" ht="16.5" customHeight="1" x14ac:dyDescent="0.5">
      <c r="B31" s="13" t="s">
        <v>122</v>
      </c>
      <c r="C31" s="106">
        <v>9.9999999999999995E-7</v>
      </c>
      <c r="D31" s="165">
        <f>C31</f>
        <v>9.9999999999999995E-7</v>
      </c>
      <c r="E31" s="4"/>
      <c r="H31" s="77"/>
      <c r="I31" s="48" t="s">
        <v>126</v>
      </c>
      <c r="J31" s="130">
        <f>IF(ISNUMBER(J30),-LN(0.23)/($C21/(2*$C22)*(J30*10^-4)*(1-1/0.23^(-1/3)))," ")</f>
        <v>2.0443809897937801E-3</v>
      </c>
      <c r="K31" s="130">
        <f>IF(ISNUMBER(K30),-LN(0.23)/($C21/(2*$C22)*(K30*10^-4)*(1-1/0.23^(-1/3)))," ")</f>
        <v>4.6719855744359875E-3</v>
      </c>
      <c r="L31" s="131">
        <f>IF(ISNUMBER(L30),-LN(0.23)/($C21/(2*$C22)*(L30*10^-4)*(1-1/0.23^(-1/3)))," ")</f>
        <v>9.9431997421219886E-3</v>
      </c>
      <c r="N31" s="47" t="s">
        <v>174</v>
      </c>
      <c r="O31" s="76" t="s">
        <v>175</v>
      </c>
    </row>
    <row r="32" spans="1:26" ht="16.5" customHeight="1" x14ac:dyDescent="0.5">
      <c r="B32" s="13" t="s">
        <v>109</v>
      </c>
      <c r="C32" s="167">
        <f>MIN(IF(AND(C27&gt;0,E25&gt;0),(C28*C29^NORMSINV(0.0001)),10^6),IF(AND(D27&gt;0,E25&gt;0),(D28*D29^NORMSINV(0.0001)),10^6))</f>
        <v>5.4339016042139802E-2</v>
      </c>
      <c r="D32" s="166">
        <f>MAX(IF(AND(C27&gt;0,E25&gt;0),(C28*C29^NORMSINV(0.995)),-1*10^6),IF(AND(D27&gt;0,E25&gt;0),(D28*D29^NORMSINV(0.995)),-1*10^6))</f>
        <v>1746.7968602930189</v>
      </c>
      <c r="E32" s="37"/>
      <c r="H32" s="97" t="s">
        <v>157</v>
      </c>
      <c r="I32" s="48" t="s">
        <v>125</v>
      </c>
      <c r="J32" s="128">
        <f>Dose!AH7</f>
        <v>11.5731342294246</v>
      </c>
      <c r="K32" s="128">
        <f>Dose!AJ7</f>
        <v>4.2365464244162441</v>
      </c>
      <c r="L32" s="129">
        <f>Dose!AL7</f>
        <v>2.0282123942100063</v>
      </c>
      <c r="N32" s="117" t="s">
        <v>135</v>
      </c>
      <c r="O32" s="76" t="s">
        <v>149</v>
      </c>
    </row>
    <row r="33" spans="3:15" ht="16.5" customHeight="1" thickBot="1" x14ac:dyDescent="0.45">
      <c r="E33" s="37"/>
      <c r="H33" s="99"/>
      <c r="I33" s="100" t="s">
        <v>126</v>
      </c>
      <c r="J33" s="132">
        <f>IF(ISNUMBER(J32),-LN(0.23)/($C30/(2*$C31)*(J32*10^-4)*(1-1/0.23^(-1/3)))," ")</f>
        <v>2.0177223586459853E-3</v>
      </c>
      <c r="K33" s="132">
        <f>IF(ISNUMBER(K32),-LN(0.23)/($C30/(2*$C31)*(K32*10^-4)*(1-1/0.23^(-1/3)))," ")</f>
        <v>5.5118885419835313E-3</v>
      </c>
      <c r="L33" s="133">
        <f>IF(ISNUMBER(L32),-LN(0.23)/($C30/(2*$C31)*(L32*10^-4)*(1-1/0.23^(-1/3)))," ")</f>
        <v>1.1513277288405789E-2</v>
      </c>
      <c r="O33" s="116" t="s">
        <v>150</v>
      </c>
    </row>
    <row r="34" spans="3:15" ht="16.5" customHeight="1" thickTop="1" x14ac:dyDescent="0.5">
      <c r="C34" s="31"/>
      <c r="D34" s="82" t="s">
        <v>110</v>
      </c>
      <c r="E34" s="37"/>
      <c r="N34" s="11" t="s">
        <v>0</v>
      </c>
      <c r="O34" s="12" t="s">
        <v>4</v>
      </c>
    </row>
    <row r="35" spans="3:15" ht="16.5" customHeight="1" x14ac:dyDescent="0.4">
      <c r="C35" s="89">
        <f>MIN(C14,C23,C32)</f>
        <v>5.4339016042139802E-2</v>
      </c>
      <c r="D35" s="88">
        <f>MAX(D14,D23,D32)</f>
        <v>1746.7968602930189</v>
      </c>
      <c r="E35" s="37"/>
      <c r="N35" s="48" t="s">
        <v>189</v>
      </c>
      <c r="O35" s="76" t="s">
        <v>190</v>
      </c>
    </row>
    <row r="36" spans="3:15" x14ac:dyDescent="0.4">
      <c r="C36" s="44"/>
      <c r="D36" s="43"/>
    </row>
    <row r="40" spans="3:15" x14ac:dyDescent="0.4">
      <c r="E40" s="25"/>
    </row>
  </sheetData>
  <conditionalFormatting sqref="N20:Q20">
    <cfRule type="expression" dxfId="20" priority="19">
      <formula>NOT(ISNUMBER(N20))</formula>
    </cfRule>
  </conditionalFormatting>
  <conditionalFormatting sqref="N21:Q21">
    <cfRule type="expression" dxfId="19" priority="18">
      <formula>NOT(ISNUMBER(N21))</formula>
    </cfRule>
  </conditionalFormatting>
  <conditionalFormatting sqref="N22:Q22">
    <cfRule type="expression" dxfId="18" priority="17">
      <formula>NOT(ISNUMBER(N22))</formula>
    </cfRule>
  </conditionalFormatting>
  <conditionalFormatting sqref="N19:Q19 Q19:Q21">
    <cfRule type="expression" dxfId="17" priority="16">
      <formula>NOT(ISNUMBER(N19))</formula>
    </cfRule>
  </conditionalFormatting>
  <conditionalFormatting sqref="P12">
    <cfRule type="expression" dxfId="16" priority="15">
      <formula>NOT(ISNUMBER(P12))</formula>
    </cfRule>
  </conditionalFormatting>
  <conditionalFormatting sqref="P13">
    <cfRule type="expression" dxfId="15" priority="14">
      <formula>NOT(ISNUMBER(P13))</formula>
    </cfRule>
  </conditionalFormatting>
  <conditionalFormatting sqref="P14">
    <cfRule type="expression" dxfId="14" priority="13">
      <formula>NOT(ISNUMBER(P14))</formula>
    </cfRule>
  </conditionalFormatting>
  <conditionalFormatting sqref="P15">
    <cfRule type="expression" dxfId="13" priority="12">
      <formula>NOT(ISNUMBER(P15))</formula>
    </cfRule>
  </conditionalFormatting>
  <conditionalFormatting sqref="J30:L30">
    <cfRule type="expression" dxfId="12" priority="10">
      <formula>NOT(ISNUMBER($J$30))</formula>
    </cfRule>
  </conditionalFormatting>
  <conditionalFormatting sqref="J32:L32">
    <cfRule type="expression" dxfId="11" priority="9">
      <formula>NOT(ISNUMBER($J$32))</formula>
    </cfRule>
  </conditionalFormatting>
  <conditionalFormatting sqref="J31:L31">
    <cfRule type="expression" dxfId="10" priority="7">
      <formula>NOT(ISNUMBER(J30))</formula>
    </cfRule>
  </conditionalFormatting>
  <conditionalFormatting sqref="J33:L33">
    <cfRule type="expression" dxfId="9" priority="6">
      <formula>NOT(ISNUMBER(J32))</formula>
    </cfRule>
  </conditionalFormatting>
  <conditionalFormatting sqref="B7 B16 B25 B3">
    <cfRule type="expression" dxfId="8" priority="5">
      <formula>"Custom"=B4</formula>
    </cfRule>
  </conditionalFormatting>
  <conditionalFormatting sqref="B7">
    <cfRule type="expression" dxfId="7" priority="4">
      <formula>"Custom"=B4</formula>
    </cfRule>
  </conditionalFormatting>
  <conditionalFormatting sqref="B16">
    <cfRule type="expression" dxfId="6" priority="3">
      <formula>"Custom"=B4</formula>
    </cfRule>
  </conditionalFormatting>
  <conditionalFormatting sqref="B25">
    <cfRule type="expression" dxfId="5" priority="2">
      <formula>"Custom"=B4</formula>
    </cfRule>
  </conditionalFormatting>
  <conditionalFormatting sqref="H9">
    <cfRule type="expression" dxfId="4" priority="1">
      <formula>B4&lt;&gt;"Custom"</formula>
    </cfRule>
  </conditionalFormatting>
  <dataValidations xWindow="214" yWindow="377" count="11">
    <dataValidation type="list" allowBlank="1" showInputMessage="1" showErrorMessage="1" sqref="B3" xr:uid="{00000000-0002-0000-0100-000000000000}">
      <formula1>"Male,Female"</formula1>
    </dataValidation>
    <dataValidation type="list" allowBlank="1" showInputMessage="1" showErrorMessage="1" sqref="B4" xr:uid="{00000000-0002-0000-0100-000001000000}">
      <formula1>"Adult,Adolescent,Child,Custom"</formula1>
    </dataValidation>
    <dataValidation type="decimal" operator="greaterThanOrEqual" allowBlank="1" showInputMessage="1" showErrorMessage="1" error="Value must be greater than or equal to zero" sqref="C9:D9 C18:D18 C27:D27" xr:uid="{00000000-0002-0000-0100-000002000000}">
      <formula1>0</formula1>
    </dataValidation>
    <dataValidation type="list" allowBlank="1" showInputMessage="1" showErrorMessage="1" sqref="B7 B16 B25" xr:uid="{00000000-0002-0000-0100-000003000000}">
      <formula1>"Sitting,LightEx,HeavyEx"</formula1>
    </dataValidation>
    <dataValidation type="decimal" errorStyle="warning" operator="lessThan" allowBlank="1" showInputMessage="1" showErrorMessage="1" error="Lung depostion and dose calculations truncate at 100 um. " sqref="D23 D32 D14" xr:uid="{00000000-0002-0000-0100-000004000000}">
      <formula1>100</formula1>
    </dataValidation>
    <dataValidation type="decimal" errorStyle="warning" allowBlank="1" showInputMessage="1" showErrorMessage="1" prompt="Typical value between 1.0 and 12. _x000a__x000a_Density  Form_x000a_  3.25      Pb acetate_x000a_  9           Pb oxide_x000a_11.34      pure Pb" sqref="C30 C12 C21" xr:uid="{00000000-0002-0000-0100-000005000000}">
      <formula1>0.5</formula1>
      <formula2>12</formula2>
    </dataValidation>
    <dataValidation type="custom" errorStyle="warning" allowBlank="1" showInputMessage="1" showErrorMessage="1" error="Dose calculations truncate at 100 um" sqref="D10 D28" xr:uid="{00000000-0002-0000-0100-000006000000}">
      <formula1>D14&lt;=100</formula1>
    </dataValidation>
    <dataValidation type="custom" errorStyle="warning" allowBlank="1" showInputMessage="1" showErrorMessage="1" error="Dose calculations truncate at 0.001 um" sqref="C10 C19:D19 C28" xr:uid="{00000000-0002-0000-0100-000007000000}">
      <formula1>C14&gt;=0.001</formula1>
    </dataValidation>
    <dataValidation type="decimal" errorStyle="warning" allowBlank="1" showInputMessage="1" showErrorMessage="1" error="GSD must be 1.01 or greater. _x000a_Calculations truncate at 0.001 and 100 um. " prompt="Value between 1.01 and 3 recommended. " sqref="C11:D11 C29:D29 C20:D20" xr:uid="{00000000-0002-0000-0100-000009000000}">
      <formula1>1.01</formula1>
      <formula2>10</formula2>
    </dataValidation>
    <dataValidation type="custom" errorStyle="warning" allowBlank="1" showInputMessage="1" showErrorMessage="1" error="Sum of activies must be between 0 and 24 hours." prompt="Sum of three activities must be less than 24 hours." sqref="E7 E25 E16" xr:uid="{00000000-0002-0000-0100-000008000000}">
      <formula1>AND((E$7+E$16+E$25)&gt;=0,(E$7+E$16+E$25)&lt;=24)</formula1>
    </dataValidation>
    <dataValidation allowBlank="1" showInputMessage="1" showErrorMessage="1" prompt="1×10-3 and 1×10-4 g/cm2-day is highly soluble_x000a__x000a_1×10-5 and 1×10-6 g/cm2-day is moderately soluble_x000a__x000a_1×10-7 and 1×10-8 g/cm2-day is poorly soluble" sqref="C13 C22 C31" xr:uid="{594DBDC9-4126-49D5-8318-C010D6C29703}"/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6" id="{56B2A669-4EF6-4985-92E1-763DB6613B6C}">
            <xm:f>'Exposure Inputs'!$L$1="NEW"</xm:f>
            <x14:dxf>
              <font>
                <b/>
                <i val="0"/>
                <color theme="1"/>
              </font>
              <border>
                <vertical/>
                <horizontal/>
              </border>
            </x14:dxf>
          </x14:cfRule>
          <xm:sqref>H8</xm:sqref>
        </x14:conditionalFormatting>
        <x14:conditionalFormatting xmlns:xm="http://schemas.microsoft.com/office/excel/2006/main">
          <x14:cfRule type="expression" priority="25" id="{D08F1554-8077-4D4B-9554-41D7A42170CF}">
            <xm:f>'Exposure Inputs'!$L$1="NEW"</xm:f>
            <x14:dxf>
              <font>
                <b/>
                <i val="0"/>
                <color theme="1"/>
              </font>
              <border>
                <vertical/>
                <horizontal/>
              </border>
            </x14:dxf>
          </x14:cfRule>
          <xm:sqref>H2</xm:sqref>
        </x14:conditionalFormatting>
        <x14:conditionalFormatting xmlns:xm="http://schemas.microsoft.com/office/excel/2006/main">
          <x14:cfRule type="expression" priority="23" id="{85685FD5-6A51-4EA5-93EC-B2301B26991A}">
            <xm:f>'Exposure Inputs'!$L$1="NEW"</xm:f>
            <x14:dxf>
              <font>
                <color theme="2" tint="-9.9948118533890809E-2"/>
              </font>
            </x14:dxf>
          </x14:cfRule>
          <xm:sqref>I21:L23</xm:sqref>
        </x14:conditionalFormatting>
        <x14:conditionalFormatting xmlns:xm="http://schemas.microsoft.com/office/excel/2006/main">
          <x14:cfRule type="expression" priority="22" id="{C1F5B6DE-99DE-45D0-9A22-20B1D4CEDAFF}">
            <xm:f>'Exposure Inputs'!$L$1="NEW"</xm:f>
            <x14:dxf>
              <font>
                <color theme="2" tint="-9.9948118533890809E-2"/>
              </font>
            </x14:dxf>
          </x14:cfRule>
          <xm:sqref>J28:L28 J30:L30 J32:L32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XFB426"/>
  <sheetViews>
    <sheetView workbookViewId="0">
      <selection activeCell="H24" sqref="H24"/>
    </sheetView>
  </sheetViews>
  <sheetFormatPr defaultRowHeight="12.3" x14ac:dyDescent="0.4"/>
  <cols>
    <col min="3" max="7" width="9.109375" hidden="1" customWidth="1"/>
    <col min="10" max="10" width="9.1640625" bestFit="1" customWidth="1"/>
    <col min="26" max="26" width="10" customWidth="1"/>
    <col min="27" max="27" width="9" hidden="1" customWidth="1"/>
    <col min="28" max="28" width="12.44140625" hidden="1" customWidth="1"/>
    <col min="29" max="29" width="9" hidden="1" customWidth="1"/>
    <col min="30" max="30" width="12.44140625" hidden="1" customWidth="1"/>
    <col min="31" max="31" width="11.5546875" hidden="1" customWidth="1"/>
    <col min="32" max="32" width="12.44140625" hidden="1" customWidth="1"/>
    <col min="33" max="33" width="14.6640625" hidden="1" customWidth="1"/>
    <col min="34" max="34" width="12.33203125" hidden="1" customWidth="1"/>
    <col min="35" max="49" width="8.88671875" hidden="1" customWidth="1"/>
    <col min="50" max="50" width="0.1640625" customWidth="1"/>
    <col min="51" max="51" width="14.0546875" customWidth="1"/>
    <col min="53" max="75" width="0" hidden="1" customWidth="1"/>
  </cols>
  <sheetData>
    <row r="1" spans="1:75 16382:16382" ht="14.4" x14ac:dyDescent="0.5">
      <c r="A1" s="62" t="s">
        <v>100</v>
      </c>
      <c r="Y1" s="48" t="s">
        <v>119</v>
      </c>
      <c r="Z1" s="141">
        <v>10</v>
      </c>
      <c r="AY1" s="48" t="s">
        <v>119</v>
      </c>
      <c r="AZ1" s="140">
        <v>4</v>
      </c>
      <c r="BA1" s="74"/>
    </row>
    <row r="2" spans="1:75 16382:16382" ht="13.8" x14ac:dyDescent="0.45">
      <c r="Y2" s="83" t="s">
        <v>23</v>
      </c>
      <c r="Z2" s="83" t="s">
        <v>166</v>
      </c>
      <c r="AA2" s="63" t="s">
        <v>93</v>
      </c>
      <c r="AB2" s="66">
        <v>1</v>
      </c>
      <c r="AC2" s="68"/>
      <c r="AD2" s="68">
        <v>2</v>
      </c>
      <c r="AE2" s="68"/>
      <c r="AF2" s="68">
        <v>3</v>
      </c>
      <c r="AG2" s="68"/>
      <c r="AH2" s="68">
        <v>4</v>
      </c>
      <c r="AI2" s="68"/>
      <c r="AJ2" s="68">
        <v>5</v>
      </c>
      <c r="AK2" s="68"/>
      <c r="AL2" s="68">
        <v>6</v>
      </c>
      <c r="AM2" s="68"/>
      <c r="AN2" s="85">
        <v>7</v>
      </c>
      <c r="AO2" s="85"/>
      <c r="AP2" s="85">
        <v>8</v>
      </c>
      <c r="AQ2" s="85"/>
      <c r="AR2" s="85">
        <v>9</v>
      </c>
      <c r="AS2" s="85"/>
      <c r="AT2" s="85">
        <v>10</v>
      </c>
      <c r="AU2" s="85"/>
      <c r="AV2" s="85">
        <v>11</v>
      </c>
      <c r="AW2" s="85"/>
      <c r="AX2" s="85">
        <v>12</v>
      </c>
      <c r="AY2" s="83" t="s">
        <v>166</v>
      </c>
      <c r="AZ2" s="83" t="s">
        <v>23</v>
      </c>
      <c r="BA2" s="63" t="s">
        <v>93</v>
      </c>
      <c r="BB2" s="66">
        <v>1</v>
      </c>
      <c r="BC2" s="68"/>
      <c r="BD2" s="68">
        <v>2</v>
      </c>
      <c r="BE2" s="68"/>
      <c r="BF2" s="68">
        <v>3</v>
      </c>
      <c r="BG2" s="68"/>
      <c r="BH2" s="68">
        <v>4</v>
      </c>
      <c r="BI2" s="68"/>
      <c r="BJ2" s="68">
        <v>5</v>
      </c>
      <c r="BK2" s="68"/>
      <c r="BL2" s="68">
        <v>6</v>
      </c>
      <c r="BM2" s="68"/>
      <c r="BN2" s="85">
        <v>7</v>
      </c>
      <c r="BO2" s="85"/>
      <c r="BP2" s="85">
        <v>8</v>
      </c>
      <c r="BQ2" s="85"/>
      <c r="BR2" s="85">
        <v>9</v>
      </c>
      <c r="BS2" s="85"/>
      <c r="BT2" s="85">
        <v>10</v>
      </c>
      <c r="BU2" s="85"/>
      <c r="BV2" s="85">
        <v>11</v>
      </c>
      <c r="BW2" s="85"/>
      <c r="XFB2" s="83"/>
    </row>
    <row r="3" spans="1:75 16382:16382" ht="16.05" customHeight="1" x14ac:dyDescent="0.5">
      <c r="A3" s="74" t="s">
        <v>168</v>
      </c>
      <c r="B3" s="51"/>
      <c r="C3" s="52"/>
      <c r="D3" s="52"/>
      <c r="E3" s="52"/>
      <c r="F3" s="52"/>
      <c r="G3" s="52"/>
      <c r="H3" s="52"/>
      <c r="I3" s="52"/>
      <c r="J3" s="52"/>
      <c r="K3" s="52"/>
      <c r="L3" s="53"/>
      <c r="Y3" s="83" t="s">
        <v>115</v>
      </c>
      <c r="Z3" s="83" t="s">
        <v>115</v>
      </c>
      <c r="AA3" s="86" t="s">
        <v>116</v>
      </c>
      <c r="AB3" s="86" t="s">
        <v>91</v>
      </c>
      <c r="AC3" s="86" t="s">
        <v>116</v>
      </c>
      <c r="AD3" s="86" t="s">
        <v>91</v>
      </c>
      <c r="AE3" s="86" t="s">
        <v>116</v>
      </c>
      <c r="AF3" s="86" t="s">
        <v>91</v>
      </c>
      <c r="AG3" s="86" t="s">
        <v>116</v>
      </c>
      <c r="AH3" s="86" t="s">
        <v>91</v>
      </c>
      <c r="AI3" s="86" t="s">
        <v>116</v>
      </c>
      <c r="AJ3" s="86" t="s">
        <v>91</v>
      </c>
      <c r="AK3" s="86" t="s">
        <v>116</v>
      </c>
      <c r="AL3" s="86" t="s">
        <v>91</v>
      </c>
      <c r="AM3" s="86" t="s">
        <v>116</v>
      </c>
      <c r="AN3" s="86" t="s">
        <v>91</v>
      </c>
      <c r="AO3" s="86" t="s">
        <v>116</v>
      </c>
      <c r="AP3" s="86" t="s">
        <v>91</v>
      </c>
      <c r="AQ3" s="86" t="s">
        <v>116</v>
      </c>
      <c r="AR3" s="86" t="s">
        <v>91</v>
      </c>
      <c r="AS3" s="86" t="s">
        <v>116</v>
      </c>
      <c r="AT3" s="86" t="s">
        <v>91</v>
      </c>
      <c r="AU3" s="86" t="s">
        <v>116</v>
      </c>
      <c r="AV3" s="86" t="s">
        <v>91</v>
      </c>
      <c r="AW3" s="86" t="s">
        <v>116</v>
      </c>
      <c r="AX3" s="86" t="s">
        <v>91</v>
      </c>
      <c r="AY3" s="83" t="s">
        <v>115</v>
      </c>
      <c r="AZ3" s="83" t="s">
        <v>115</v>
      </c>
      <c r="BA3" s="86" t="s">
        <v>116</v>
      </c>
      <c r="BB3" s="86" t="s">
        <v>91</v>
      </c>
      <c r="BC3" s="86" t="s">
        <v>116</v>
      </c>
      <c r="BD3" s="86" t="s">
        <v>91</v>
      </c>
      <c r="BE3" s="86" t="s">
        <v>116</v>
      </c>
      <c r="BF3" s="86" t="s">
        <v>91</v>
      </c>
      <c r="BG3" s="86" t="s">
        <v>116</v>
      </c>
      <c r="BH3" s="86" t="s">
        <v>91</v>
      </c>
      <c r="BI3" s="86" t="s">
        <v>116</v>
      </c>
      <c r="BJ3" s="86" t="s">
        <v>91</v>
      </c>
      <c r="BK3" s="86" t="s">
        <v>116</v>
      </c>
      <c r="BL3" s="86" t="s">
        <v>91</v>
      </c>
      <c r="BM3" s="86" t="s">
        <v>116</v>
      </c>
      <c r="BN3" s="86" t="s">
        <v>91</v>
      </c>
      <c r="BO3" s="86" t="s">
        <v>116</v>
      </c>
      <c r="BP3" s="86" t="s">
        <v>91</v>
      </c>
      <c r="BQ3" s="86" t="s">
        <v>116</v>
      </c>
      <c r="BR3" s="86" t="s">
        <v>91</v>
      </c>
      <c r="BS3" s="86" t="s">
        <v>116</v>
      </c>
      <c r="BT3" s="86" t="s">
        <v>91</v>
      </c>
      <c r="BU3" s="86" t="s">
        <v>116</v>
      </c>
      <c r="BV3" s="86" t="s">
        <v>91</v>
      </c>
      <c r="BW3" s="86" t="s">
        <v>116</v>
      </c>
      <c r="XFB3" s="83"/>
    </row>
    <row r="4" spans="1:75 16382:16382" ht="16.05" customHeight="1" x14ac:dyDescent="0.55000000000000004">
      <c r="A4" s="51"/>
      <c r="B4" s="54" t="s">
        <v>85</v>
      </c>
      <c r="C4" s="55"/>
      <c r="D4" s="55"/>
      <c r="E4" s="55"/>
      <c r="F4" s="55"/>
      <c r="G4" s="55"/>
      <c r="H4" s="56" t="s">
        <v>23</v>
      </c>
      <c r="I4" s="57">
        <v>10</v>
      </c>
      <c r="J4" s="52" t="s">
        <v>133</v>
      </c>
      <c r="K4" s="52"/>
      <c r="L4" s="53"/>
      <c r="S4" s="55"/>
      <c r="T4" s="56"/>
      <c r="U4" s="57"/>
      <c r="V4" s="52"/>
      <c r="Y4" s="142">
        <v>1E-3</v>
      </c>
      <c r="Z4" s="46">
        <f t="shared" ref="Z4:Z55" si="0">AX4</f>
        <v>1.0027028716167034E-4</v>
      </c>
      <c r="AA4" s="84">
        <f>(1+0.0712/Y4*(2.514+0.8*EXP(-0.55*Y4/(0.0712))))</f>
        <v>236.51849507074559</v>
      </c>
      <c r="AB4" s="84">
        <f>Y4/SQRT($Z$1)</f>
        <v>3.1622776601683794E-4</v>
      </c>
      <c r="AC4" s="84">
        <f>(1+0.0712/AB4*(2.514+0.8*EXP(-0.55*AB4/(0.0712))))</f>
        <v>746.72145437704205</v>
      </c>
      <c r="AD4" s="84">
        <f t="shared" ref="AD4:AD55" si="1">$Y4/SQRT(($Z$1*AC4)/($AA4))</f>
        <v>1.7797263839747023E-4</v>
      </c>
      <c r="AE4" s="84">
        <f t="shared" ref="AE4:AE55" si="2">(1+0.0712/AD4*(2.514+0.8*EXP(-0.55*AD4/(0.0712))))</f>
        <v>1326.3641007226108</v>
      </c>
      <c r="AF4" s="84">
        <f t="shared" ref="AF4:AF55" si="3">$Y4/SQRT(($Z$1*AE4)/($AA4))</f>
        <v>1.3353686434577059E-4</v>
      </c>
      <c r="AG4" s="84">
        <f t="shared" ref="AG4:AG55" si="4">(1+0.0712/AF4*(2.514+0.8*EXP(-0.55*AF4/(0.0712))))</f>
        <v>1767.5389645738217</v>
      </c>
      <c r="AH4" s="84">
        <f t="shared" ref="AH4:AH55" si="5">$Y4/SQRT(($Z$1*AG4)/($AA4))</f>
        <v>1.1567727656244934E-4</v>
      </c>
      <c r="AI4" s="84">
        <f t="shared" ref="AI4:AI55" si="6">(1+0.0712/AH4*(2.514+0.8*EXP(-0.55*AH4/(0.0712))))</f>
        <v>2040.3454249829451</v>
      </c>
      <c r="AJ4" s="84">
        <f t="shared" ref="AJ4:AJ55" si="7">$Y4/SQRT(($Z$1*AI4)/($AA4))</f>
        <v>1.0766652699714851E-4</v>
      </c>
      <c r="AK4" s="84">
        <f t="shared" ref="AK4:AK55" si="8">(1+0.0712/AJ4*(2.514+0.8*EXP(-0.55*AJ4/(0.0712))))</f>
        <v>2192.1122518973257</v>
      </c>
      <c r="AL4" s="84">
        <f t="shared" ref="AL4:AL55" si="9">$Y4/SQRT(($Z$1*AK4)/($AA4))</f>
        <v>1.0387263739977555E-4</v>
      </c>
      <c r="AM4" s="84">
        <f t="shared" ref="AM4:AM55" si="10">(1+0.0712/AL4*(2.514+0.8*EXP(-0.55*AL4/(0.0712))))</f>
        <v>2272.1574508579988</v>
      </c>
      <c r="AN4" s="84">
        <f t="shared" ref="AN4:AN55" si="11">$Y4/SQRT(($Z$1*AM4)/($AA4))</f>
        <v>1.0202658305902241E-4</v>
      </c>
      <c r="AO4" s="84">
        <f t="shared" ref="AO4:AO55" si="12">(1+0.0712/AN4*(2.514+0.8*EXP(-0.55*AN4/(0.0712))))</f>
        <v>2313.259402556926</v>
      </c>
      <c r="AP4" s="84">
        <f t="shared" ref="AP4:AP55" si="13">$Y4/SQRT(($Z$1*AO4)/($AA4))</f>
        <v>1.0111611739685855E-4</v>
      </c>
      <c r="AQ4" s="84">
        <f t="shared" ref="AQ4:AQ55" si="14">(1+0.0712/AP4*(2.514+0.8*EXP(-0.55*AP4/(0.0712))))</f>
        <v>2334.083314045492</v>
      </c>
      <c r="AR4" s="84">
        <f t="shared" ref="AR4:AR55" si="15">$Y4/SQRT(($Z$1*AQ4)/($AA4))</f>
        <v>1.0066404471969105E-4</v>
      </c>
      <c r="AS4" s="84">
        <f t="shared" ref="AS4:AS55" si="16">(1+0.0712/AR4*(2.514+0.8*EXP(-0.55*AR4/(0.0712))))</f>
        <v>2344.5629443821199</v>
      </c>
      <c r="AT4" s="84">
        <f t="shared" ref="AT4:AT55" si="17">$Y4/SQRT(($Z$1*AS4)/($AA4))</f>
        <v>1.0043882077488153E-4</v>
      </c>
      <c r="AU4" s="84">
        <f t="shared" ref="AU4:AU55" si="18">(1+0.0712/AT4*(2.514+0.8*EXP(-0.55*AT4/(0.0712))))</f>
        <v>2349.8191342573377</v>
      </c>
      <c r="AV4" s="84">
        <f t="shared" ref="AV4:AV55" si="19">$Y4/SQRT(($Z$1*AU4)/($AA4))</f>
        <v>1.0032642466359037E-4</v>
      </c>
      <c r="AW4" s="84">
        <f t="shared" ref="AW4:AW55" si="20">(1+0.0712/AV4*(2.514+0.8*EXP(-0.55*AV4/(0.0712))))</f>
        <v>2352.4510186652374</v>
      </c>
      <c r="AX4" s="84">
        <f t="shared" ref="AX4:AX55" si="21">$Y4/SQRT(($Z$1*AW4)/($AA4))</f>
        <v>1.0027028716167034E-4</v>
      </c>
      <c r="AY4" s="142">
        <v>1E-3</v>
      </c>
      <c r="AZ4" s="46">
        <f>BV4</f>
        <v>3.9692085606776867E-3</v>
      </c>
      <c r="BA4" s="85">
        <f>(1+0.0712/$AY4*(2.514+0.8*EXP(-0.55*$AY4/0.0712)))</f>
        <v>236.51849507074559</v>
      </c>
      <c r="BB4" s="85">
        <f>AY4*SQRT($AZ$1/(1*1))</f>
        <v>2E-3</v>
      </c>
      <c r="BC4" s="85">
        <f>(1+0.0712/BB4*(2.514+0.8*EXP(-0.55*BB4/0.0712)))</f>
        <v>118.54178144022426</v>
      </c>
      <c r="BD4" s="85">
        <f>$AY4*SQRT(($AZ$1*$BA4)/(1*1*BC4))</f>
        <v>2.8250544603544525E-3</v>
      </c>
      <c r="BE4" s="85">
        <f>(1+0.0712/BD4*(2.514+0.8*EXP(-0.55*BD4/0.0712)))</f>
        <v>84.087687089912336</v>
      </c>
      <c r="BF4" s="85">
        <f>$AY4*SQRT(($AZ$1*$BA4)/(1*1*BE4))</f>
        <v>3.3542570841562785E-3</v>
      </c>
      <c r="BG4" s="85">
        <f>(1+0.0712/BF4*(2.514+0.8*EXP(-0.55*BF4/0.0712)))</f>
        <v>70.911124094114442</v>
      </c>
      <c r="BH4" s="85">
        <f>$AY4*SQRT(($AZ$1*$BA4)/(1*1*BG4))</f>
        <v>3.652627329047553E-3</v>
      </c>
      <c r="BI4" s="85">
        <f>(1+0.0712/BH4*(2.514+0.8*EXP(-0.55*BH4/0.0712)))</f>
        <v>65.165348523708204</v>
      </c>
      <c r="BJ4" s="85">
        <f>$AY4*SQRT(($AZ$1*$BA4)/(1*1*BI4))</f>
        <v>3.8102562838512361E-3</v>
      </c>
      <c r="BK4" s="85">
        <f>(1+0.0712/BJ4*(2.514+0.8*EXP(-0.55*BJ4/0.0712)))</f>
        <v>62.493165294194547</v>
      </c>
      <c r="BL4" s="85">
        <f>$AY4*SQRT(($AZ$1*$BA4)/(1*1*BK4))</f>
        <v>3.8908661242353288E-3</v>
      </c>
      <c r="BM4" s="85">
        <f>(1+0.0712/BL4*(2.514+0.8*EXP(-0.55*BL4/0.0712)))</f>
        <v>61.210319018379963</v>
      </c>
      <c r="BN4" s="85">
        <f>$AY4*SQRT(($AZ$1*$BA4)/(1*1*BM4))</f>
        <v>3.931427106022377E-3</v>
      </c>
      <c r="BO4" s="85">
        <f>(1+0.0712/BN4*(2.514+0.8*EXP(-0.55*BN4/0.0712)))</f>
        <v>60.584717860048166</v>
      </c>
      <c r="BP4" s="85">
        <f>$AY4*SQRT(($AZ$1*$BA4)/(1*1*BO4))</f>
        <v>3.9516730423094946E-3</v>
      </c>
      <c r="BQ4" s="85">
        <f>(1+0.0712/BP4*(2.514+0.8*EXP(-0.55*BP4/0.0712)))</f>
        <v>60.277255816402203</v>
      </c>
      <c r="BR4" s="85">
        <f>$AY4*SQRT(($AZ$1*$BA4)/(1*1*BQ4))</f>
        <v>3.9617385640244489E-3</v>
      </c>
      <c r="BS4" s="85">
        <f>(1+0.0712/BR4*(2.514+0.8*EXP(-0.55*BR4/0.0712)))</f>
        <v>60.125566852447385</v>
      </c>
      <c r="BT4" s="85">
        <f>$AY4*SQRT(($AZ$1*$BA4)/(1*1*BS4))</f>
        <v>3.9667328908653777E-3</v>
      </c>
      <c r="BU4" s="85">
        <f>(1+0.0712/BT4*(2.514+0.8*EXP(-0.55*BT4/0.0712)))</f>
        <v>60.050587355686801</v>
      </c>
      <c r="BV4" s="85">
        <f>$AY4*SQRT(($AZ$1*$BA4)/(1*1*BU4))</f>
        <v>3.9692085606776867E-3</v>
      </c>
      <c r="BW4" s="85">
        <f>(1+0.0712/BV4*(2.514+0.8*EXP(-0.55*BV4/0.0712)))</f>
        <v>60.013490245010011</v>
      </c>
    </row>
    <row r="5" spans="1:75 16382:16382" ht="16.05" customHeight="1" x14ac:dyDescent="0.45">
      <c r="A5" s="51"/>
      <c r="B5" s="51"/>
      <c r="C5" s="55"/>
      <c r="D5" s="55"/>
      <c r="E5" s="55"/>
      <c r="F5" s="55"/>
      <c r="G5" s="55"/>
      <c r="H5" s="56" t="s">
        <v>86</v>
      </c>
      <c r="I5" s="58">
        <v>11.32</v>
      </c>
      <c r="J5" s="52" t="s">
        <v>87</v>
      </c>
      <c r="K5" s="52"/>
      <c r="L5" s="53"/>
      <c r="N5" s="47" t="s">
        <v>147</v>
      </c>
      <c r="Y5" s="142">
        <v>1E-3</v>
      </c>
      <c r="Z5" s="46">
        <f t="shared" si="0"/>
        <v>1.0027028716167034E-4</v>
      </c>
      <c r="AA5" s="84">
        <f t="shared" ref="AA5:AA55" si="22">(1+0.0712/Y5*(2.514+0.8*EXP(-0.55*Y5/(0.0712))))</f>
        <v>236.51849507074559</v>
      </c>
      <c r="AB5" s="84">
        <f t="shared" ref="AB5:AB35" si="23">Y5/SQRT($Z$1)</f>
        <v>3.1622776601683794E-4</v>
      </c>
      <c r="AC5" s="84">
        <f t="shared" ref="AC5:AC55" si="24">(1+0.0712/AB5*(2.514+0.8*EXP(-0.55*AB5/(0.0712))))</f>
        <v>746.72145437704205</v>
      </c>
      <c r="AD5" s="84">
        <f t="shared" si="1"/>
        <v>1.7797263839747023E-4</v>
      </c>
      <c r="AE5" s="84">
        <f t="shared" si="2"/>
        <v>1326.3641007226108</v>
      </c>
      <c r="AF5" s="84">
        <f t="shared" si="3"/>
        <v>1.3353686434577059E-4</v>
      </c>
      <c r="AG5" s="84">
        <f t="shared" si="4"/>
        <v>1767.5389645738217</v>
      </c>
      <c r="AH5" s="84">
        <f t="shared" si="5"/>
        <v>1.1567727656244934E-4</v>
      </c>
      <c r="AI5" s="84">
        <f t="shared" si="6"/>
        <v>2040.3454249829451</v>
      </c>
      <c r="AJ5" s="84">
        <f t="shared" si="7"/>
        <v>1.0766652699714851E-4</v>
      </c>
      <c r="AK5" s="84">
        <f t="shared" si="8"/>
        <v>2192.1122518973257</v>
      </c>
      <c r="AL5" s="84">
        <f t="shared" si="9"/>
        <v>1.0387263739977555E-4</v>
      </c>
      <c r="AM5" s="84">
        <f t="shared" si="10"/>
        <v>2272.1574508579988</v>
      </c>
      <c r="AN5" s="84">
        <f t="shared" si="11"/>
        <v>1.0202658305902241E-4</v>
      </c>
      <c r="AO5" s="84">
        <f t="shared" si="12"/>
        <v>2313.259402556926</v>
      </c>
      <c r="AP5" s="84">
        <f t="shared" si="13"/>
        <v>1.0111611739685855E-4</v>
      </c>
      <c r="AQ5" s="84">
        <f t="shared" si="14"/>
        <v>2334.083314045492</v>
      </c>
      <c r="AR5" s="84">
        <f t="shared" si="15"/>
        <v>1.0066404471969105E-4</v>
      </c>
      <c r="AS5" s="84">
        <f t="shared" si="16"/>
        <v>2344.5629443821199</v>
      </c>
      <c r="AT5" s="84">
        <f t="shared" si="17"/>
        <v>1.0043882077488153E-4</v>
      </c>
      <c r="AU5" s="84">
        <f t="shared" si="18"/>
        <v>2349.8191342573377</v>
      </c>
      <c r="AV5" s="84">
        <f t="shared" si="19"/>
        <v>1.0032642466359037E-4</v>
      </c>
      <c r="AW5" s="84">
        <f t="shared" si="20"/>
        <v>2352.4510186652374</v>
      </c>
      <c r="AX5" s="84">
        <f t="shared" si="21"/>
        <v>1.0027028716167034E-4</v>
      </c>
      <c r="AY5" s="142">
        <v>1E-3</v>
      </c>
      <c r="AZ5" s="46">
        <f t="shared" ref="AZ5:AZ68" si="25">BV5</f>
        <v>3.9692085606776867E-3</v>
      </c>
      <c r="BA5" s="85">
        <f t="shared" ref="BA5:BA68" si="26">(1+0.0712/$AY5*(2.514+0.8*EXP(-0.55*$AY5/0.0712)))</f>
        <v>236.51849507074559</v>
      </c>
      <c r="BB5" s="85">
        <f t="shared" ref="BB5:BB68" si="27">AY5*SQRT($AZ$1/(1*1))</f>
        <v>2E-3</v>
      </c>
      <c r="BC5" s="85">
        <f t="shared" ref="BC5:BC68" si="28">(1+0.0712/BB5*(2.514+0.8*EXP(-0.55*BB5/0.0712)))</f>
        <v>118.54178144022426</v>
      </c>
      <c r="BD5" s="85">
        <f t="shared" ref="BD5:BD68" si="29">$AY5*SQRT(($AZ$1*$BA5)/(1*1*BC5))</f>
        <v>2.8250544603544525E-3</v>
      </c>
      <c r="BE5" s="85">
        <f t="shared" ref="BE5:BE68" si="30">(1+0.0712/BD5*(2.514+0.8*EXP(-0.55*BD5/0.0712)))</f>
        <v>84.087687089912336</v>
      </c>
      <c r="BF5" s="85">
        <f t="shared" ref="BF5:BF68" si="31">$AY5*SQRT(($AZ$1*$BA5)/(1*1*BE5))</f>
        <v>3.3542570841562785E-3</v>
      </c>
      <c r="BG5" s="85">
        <f t="shared" ref="BG5:BG68" si="32">(1+0.0712/BF5*(2.514+0.8*EXP(-0.55*BF5/0.0712)))</f>
        <v>70.911124094114442</v>
      </c>
      <c r="BH5" s="85">
        <f t="shared" ref="BH5:BH68" si="33">$AY5*SQRT(($AZ$1*$BA5)/(1*1*BG5))</f>
        <v>3.652627329047553E-3</v>
      </c>
      <c r="BI5" s="85">
        <f t="shared" ref="BI5:BI68" si="34">(1+0.0712/BH5*(2.514+0.8*EXP(-0.55*BH5/0.0712)))</f>
        <v>65.165348523708204</v>
      </c>
      <c r="BJ5" s="85">
        <f t="shared" ref="BJ5:BJ68" si="35">$AY5*SQRT(($AZ$1*$BA5)/(1*1*BI5))</f>
        <v>3.8102562838512361E-3</v>
      </c>
      <c r="BK5" s="85">
        <f t="shared" ref="BK5:BK68" si="36">(1+0.0712/BJ5*(2.514+0.8*EXP(-0.55*BJ5/0.0712)))</f>
        <v>62.493165294194547</v>
      </c>
      <c r="BL5" s="85">
        <f t="shared" ref="BL5:BL68" si="37">$AY5*SQRT(($AZ$1*$BA5)/(1*1*BK5))</f>
        <v>3.8908661242353288E-3</v>
      </c>
      <c r="BM5" s="85">
        <f t="shared" ref="BM5:BM68" si="38">(1+0.0712/BL5*(2.514+0.8*EXP(-0.55*BL5/0.0712)))</f>
        <v>61.210319018379963</v>
      </c>
      <c r="BN5" s="85">
        <f t="shared" ref="BN5:BN68" si="39">$AY5*SQRT(($AZ$1*$BA5)/(1*1*BM5))</f>
        <v>3.931427106022377E-3</v>
      </c>
      <c r="BO5" s="85">
        <f t="shared" ref="BO5:BO68" si="40">(1+0.0712/BN5*(2.514+0.8*EXP(-0.55*BN5/0.0712)))</f>
        <v>60.584717860048166</v>
      </c>
      <c r="BP5" s="85">
        <f t="shared" ref="BP5:BP68" si="41">$AY5*SQRT(($AZ$1*$BA5)/(1*1*BO5))</f>
        <v>3.9516730423094946E-3</v>
      </c>
      <c r="BQ5" s="85">
        <f t="shared" ref="BQ5:BQ68" si="42">(1+0.0712/BP5*(2.514+0.8*EXP(-0.55*BP5/0.0712)))</f>
        <v>60.277255816402203</v>
      </c>
      <c r="BR5" s="85">
        <f t="shared" ref="BR5:BR68" si="43">$AY5*SQRT(($AZ$1*$BA5)/(1*1*BQ5))</f>
        <v>3.9617385640244489E-3</v>
      </c>
      <c r="BS5" s="85">
        <f t="shared" ref="BS5:BS68" si="44">(1+0.0712/BR5*(2.514+0.8*EXP(-0.55*BR5/0.0712)))</f>
        <v>60.125566852447385</v>
      </c>
      <c r="BT5" s="85">
        <f t="shared" ref="BT5:BT68" si="45">$AY5*SQRT(($AZ$1*$BA5)/(1*1*BS5))</f>
        <v>3.9667328908653777E-3</v>
      </c>
      <c r="BU5" s="85">
        <f t="shared" ref="BU5:BU68" si="46">(1+0.0712/BT5*(2.514+0.8*EXP(-0.55*BT5/0.0712)))</f>
        <v>60.050587355686801</v>
      </c>
      <c r="BV5" s="85">
        <f t="shared" ref="BV5:BV68" si="47">$AY5*SQRT(($AZ$1*$BA5)/(1*1*BU5))</f>
        <v>3.9692085606776867E-3</v>
      </c>
      <c r="BW5" s="85">
        <f t="shared" ref="BW5:BW68" si="48">(1+0.0712/BV5*(2.514+0.8*EXP(-0.55*BV5/0.0712)))</f>
        <v>60.013490245010011</v>
      </c>
    </row>
    <row r="6" spans="1:75 16382:16382" ht="16.05" customHeight="1" x14ac:dyDescent="0.5">
      <c r="A6" s="51"/>
      <c r="B6" s="51"/>
      <c r="C6" s="55"/>
      <c r="D6" s="55"/>
      <c r="E6" s="55"/>
      <c r="F6" s="55"/>
      <c r="G6" s="55"/>
      <c r="H6" s="56" t="s">
        <v>88</v>
      </c>
      <c r="I6" s="58">
        <v>1</v>
      </c>
      <c r="J6" s="52"/>
      <c r="K6" s="52"/>
      <c r="L6" s="53"/>
      <c r="N6" s="47" t="s">
        <v>148</v>
      </c>
      <c r="Y6" s="142">
        <v>1.1000000000000001E-3</v>
      </c>
      <c r="Z6" s="46">
        <f t="shared" si="0"/>
        <v>1.1032093542145025E-4</v>
      </c>
      <c r="AA6" s="84">
        <f t="shared" si="22"/>
        <v>215.06804591660094</v>
      </c>
      <c r="AB6" s="84">
        <f t="shared" si="23"/>
        <v>3.478505426185217E-4</v>
      </c>
      <c r="AC6" s="84">
        <f t="shared" si="24"/>
        <v>678.88869735302603</v>
      </c>
      <c r="AD6" s="84">
        <f t="shared" si="1"/>
        <v>1.9578586789881667E-4</v>
      </c>
      <c r="AE6" s="84">
        <f t="shared" si="2"/>
        <v>1205.7382268174802</v>
      </c>
      <c r="AF6" s="84">
        <f t="shared" si="3"/>
        <v>1.4691093227921744E-4</v>
      </c>
      <c r="AG6" s="84">
        <f t="shared" si="4"/>
        <v>1606.6817024771451</v>
      </c>
      <c r="AH6" s="84">
        <f t="shared" si="5"/>
        <v>1.2726697040805595E-4</v>
      </c>
      <c r="AI6" s="84">
        <f t="shared" si="6"/>
        <v>1854.5903643595313</v>
      </c>
      <c r="AJ6" s="84">
        <f t="shared" si="7"/>
        <v>1.1845588185434724E-4</v>
      </c>
      <c r="AK6" s="84">
        <f t="shared" si="8"/>
        <v>1992.498434336504</v>
      </c>
      <c r="AL6" s="84">
        <f t="shared" si="9"/>
        <v>1.142830007840879E-4</v>
      </c>
      <c r="AM6" s="84">
        <f t="shared" si="10"/>
        <v>2065.2312159312942</v>
      </c>
      <c r="AN6" s="84">
        <f t="shared" si="11"/>
        <v>1.1225256909082031E-4</v>
      </c>
      <c r="AO6" s="84">
        <f t="shared" si="12"/>
        <v>2102.5771147879364</v>
      </c>
      <c r="AP6" s="84">
        <f t="shared" si="13"/>
        <v>1.1125118951014757E-4</v>
      </c>
      <c r="AQ6" s="84">
        <f t="shared" si="14"/>
        <v>2121.4975114690933</v>
      </c>
      <c r="AR6" s="84">
        <f t="shared" si="15"/>
        <v>1.1075398628440903E-4</v>
      </c>
      <c r="AS6" s="84">
        <f t="shared" si="16"/>
        <v>2131.0189455967811</v>
      </c>
      <c r="AT6" s="84">
        <f t="shared" si="17"/>
        <v>1.1050628380655221E-4</v>
      </c>
      <c r="AU6" s="84">
        <f t="shared" si="18"/>
        <v>2135.7944194297397</v>
      </c>
      <c r="AV6" s="84">
        <f t="shared" si="19"/>
        <v>1.103826728500143E-4</v>
      </c>
      <c r="AW6" s="84">
        <f t="shared" si="20"/>
        <v>2138.185540389411</v>
      </c>
      <c r="AX6" s="84">
        <f t="shared" si="21"/>
        <v>1.1032093542145025E-4</v>
      </c>
      <c r="AY6" s="142">
        <v>1.1000000000000001E-3</v>
      </c>
      <c r="AZ6" s="46">
        <f t="shared" si="25"/>
        <v>4.3630542705790495E-3</v>
      </c>
      <c r="BA6" s="85">
        <f t="shared" si="26"/>
        <v>215.06804591660094</v>
      </c>
      <c r="BB6" s="85">
        <f t="shared" si="27"/>
        <v>2.2000000000000001E-3</v>
      </c>
      <c r="BC6" s="85">
        <f t="shared" si="28"/>
        <v>107.8168085834851</v>
      </c>
      <c r="BD6" s="85">
        <f t="shared" si="29"/>
        <v>3.1071869856575981E-3</v>
      </c>
      <c r="BE6" s="85">
        <f t="shared" si="30"/>
        <v>76.504279509664457</v>
      </c>
      <c r="BF6" s="85">
        <f t="shared" si="31"/>
        <v>3.688652648343658E-3</v>
      </c>
      <c r="BG6" s="85">
        <f t="shared" si="32"/>
        <v>64.534498891280322</v>
      </c>
      <c r="BH6" s="85">
        <f t="shared" si="33"/>
        <v>4.0161937350999596E-3</v>
      </c>
      <c r="BI6" s="85">
        <f t="shared" si="34"/>
        <v>59.318104288928829</v>
      </c>
      <c r="BJ6" s="85">
        <f t="shared" si="35"/>
        <v>4.1890639834787965E-3</v>
      </c>
      <c r="BK6" s="85">
        <f t="shared" si="36"/>
        <v>56.893897982775464</v>
      </c>
      <c r="BL6" s="85">
        <f t="shared" si="37"/>
        <v>4.277379469328671E-3</v>
      </c>
      <c r="BM6" s="85">
        <f t="shared" si="38"/>
        <v>55.731058571979766</v>
      </c>
      <c r="BN6" s="85">
        <f t="shared" si="39"/>
        <v>4.3217732720885662E-3</v>
      </c>
      <c r="BO6" s="85">
        <f t="shared" si="40"/>
        <v>55.164482114915529</v>
      </c>
      <c r="BP6" s="85">
        <f t="shared" si="41"/>
        <v>4.3439103405817888E-3</v>
      </c>
      <c r="BQ6" s="85">
        <f t="shared" si="42"/>
        <v>54.886285178695587</v>
      </c>
      <c r="BR6" s="85">
        <f t="shared" si="43"/>
        <v>4.3549052103160433E-3</v>
      </c>
      <c r="BS6" s="85">
        <f t="shared" si="44"/>
        <v>54.74916380366043</v>
      </c>
      <c r="BT6" s="85">
        <f t="shared" si="45"/>
        <v>4.3603553132946921E-3</v>
      </c>
      <c r="BU6" s="85">
        <f t="shared" si="46"/>
        <v>54.681449793309866</v>
      </c>
      <c r="BV6" s="85">
        <f t="shared" si="47"/>
        <v>4.3630542705790495E-3</v>
      </c>
      <c r="BW6" s="85">
        <f t="shared" si="48"/>
        <v>54.647979630691289</v>
      </c>
    </row>
    <row r="7" spans="1:75 16382:16382" ht="16.05" customHeight="1" x14ac:dyDescent="0.45">
      <c r="A7" s="51"/>
      <c r="B7" s="51"/>
      <c r="C7" s="55"/>
      <c r="D7" s="55"/>
      <c r="E7" s="55"/>
      <c r="F7" s="55"/>
      <c r="G7" s="55"/>
      <c r="H7" s="56" t="s">
        <v>89</v>
      </c>
      <c r="I7" s="59">
        <v>7.1199999999999999E-2</v>
      </c>
      <c r="J7" s="52" t="s">
        <v>134</v>
      </c>
      <c r="K7" s="52"/>
      <c r="L7" s="53"/>
      <c r="Y7" s="142">
        <v>1.1000000000000001E-3</v>
      </c>
      <c r="Z7" s="46">
        <f t="shared" si="0"/>
        <v>1.1032093542145025E-4</v>
      </c>
      <c r="AA7" s="84">
        <f t="shared" si="22"/>
        <v>215.06804591660094</v>
      </c>
      <c r="AB7" s="84">
        <f t="shared" si="23"/>
        <v>3.478505426185217E-4</v>
      </c>
      <c r="AC7" s="84">
        <f t="shared" si="24"/>
        <v>678.88869735302603</v>
      </c>
      <c r="AD7" s="84">
        <f t="shared" si="1"/>
        <v>1.9578586789881667E-4</v>
      </c>
      <c r="AE7" s="84">
        <f t="shared" si="2"/>
        <v>1205.7382268174802</v>
      </c>
      <c r="AF7" s="84">
        <f t="shared" si="3"/>
        <v>1.4691093227921744E-4</v>
      </c>
      <c r="AG7" s="84">
        <f t="shared" si="4"/>
        <v>1606.6817024771451</v>
      </c>
      <c r="AH7" s="84">
        <f t="shared" si="5"/>
        <v>1.2726697040805595E-4</v>
      </c>
      <c r="AI7" s="84">
        <f t="shared" si="6"/>
        <v>1854.5903643595313</v>
      </c>
      <c r="AJ7" s="84">
        <f t="shared" si="7"/>
        <v>1.1845588185434724E-4</v>
      </c>
      <c r="AK7" s="84">
        <f t="shared" si="8"/>
        <v>1992.498434336504</v>
      </c>
      <c r="AL7" s="84">
        <f t="shared" si="9"/>
        <v>1.142830007840879E-4</v>
      </c>
      <c r="AM7" s="84">
        <f t="shared" si="10"/>
        <v>2065.2312159312942</v>
      </c>
      <c r="AN7" s="84">
        <f t="shared" si="11"/>
        <v>1.1225256909082031E-4</v>
      </c>
      <c r="AO7" s="84">
        <f t="shared" si="12"/>
        <v>2102.5771147879364</v>
      </c>
      <c r="AP7" s="84">
        <f t="shared" si="13"/>
        <v>1.1125118951014757E-4</v>
      </c>
      <c r="AQ7" s="84">
        <f t="shared" si="14"/>
        <v>2121.4975114690933</v>
      </c>
      <c r="AR7" s="84">
        <f t="shared" si="15"/>
        <v>1.1075398628440903E-4</v>
      </c>
      <c r="AS7" s="84">
        <f t="shared" si="16"/>
        <v>2131.0189455967811</v>
      </c>
      <c r="AT7" s="84">
        <f t="shared" si="17"/>
        <v>1.1050628380655221E-4</v>
      </c>
      <c r="AU7" s="84">
        <f t="shared" si="18"/>
        <v>2135.7944194297397</v>
      </c>
      <c r="AV7" s="84">
        <f t="shared" si="19"/>
        <v>1.103826728500143E-4</v>
      </c>
      <c r="AW7" s="84">
        <f t="shared" si="20"/>
        <v>2138.185540389411</v>
      </c>
      <c r="AX7" s="84">
        <f t="shared" si="21"/>
        <v>1.1032093542145025E-4</v>
      </c>
      <c r="AY7" s="142">
        <v>1.1000000000000001E-3</v>
      </c>
      <c r="AZ7" s="46">
        <f t="shared" si="25"/>
        <v>4.3630542705790495E-3</v>
      </c>
      <c r="BA7" s="85">
        <f t="shared" si="26"/>
        <v>215.06804591660094</v>
      </c>
      <c r="BB7" s="85">
        <f t="shared" si="27"/>
        <v>2.2000000000000001E-3</v>
      </c>
      <c r="BC7" s="85">
        <f t="shared" si="28"/>
        <v>107.8168085834851</v>
      </c>
      <c r="BD7" s="85">
        <f t="shared" si="29"/>
        <v>3.1071869856575981E-3</v>
      </c>
      <c r="BE7" s="85">
        <f t="shared" si="30"/>
        <v>76.504279509664457</v>
      </c>
      <c r="BF7" s="85">
        <f t="shared" si="31"/>
        <v>3.688652648343658E-3</v>
      </c>
      <c r="BG7" s="85">
        <f t="shared" si="32"/>
        <v>64.534498891280322</v>
      </c>
      <c r="BH7" s="85">
        <f t="shared" si="33"/>
        <v>4.0161937350999596E-3</v>
      </c>
      <c r="BI7" s="85">
        <f t="shared" si="34"/>
        <v>59.318104288928829</v>
      </c>
      <c r="BJ7" s="85">
        <f t="shared" si="35"/>
        <v>4.1890639834787965E-3</v>
      </c>
      <c r="BK7" s="85">
        <f t="shared" si="36"/>
        <v>56.893897982775464</v>
      </c>
      <c r="BL7" s="85">
        <f t="shared" si="37"/>
        <v>4.277379469328671E-3</v>
      </c>
      <c r="BM7" s="85">
        <f t="shared" si="38"/>
        <v>55.731058571979766</v>
      </c>
      <c r="BN7" s="85">
        <f t="shared" si="39"/>
        <v>4.3217732720885662E-3</v>
      </c>
      <c r="BO7" s="85">
        <f t="shared" si="40"/>
        <v>55.164482114915529</v>
      </c>
      <c r="BP7" s="85">
        <f t="shared" si="41"/>
        <v>4.3439103405817888E-3</v>
      </c>
      <c r="BQ7" s="85">
        <f t="shared" si="42"/>
        <v>54.886285178695587</v>
      </c>
      <c r="BR7" s="85">
        <f t="shared" si="43"/>
        <v>4.3549052103160433E-3</v>
      </c>
      <c r="BS7" s="85">
        <f t="shared" si="44"/>
        <v>54.74916380366043</v>
      </c>
      <c r="BT7" s="85">
        <f t="shared" si="45"/>
        <v>4.3603553132946921E-3</v>
      </c>
      <c r="BU7" s="85">
        <f t="shared" si="46"/>
        <v>54.681449793309866</v>
      </c>
      <c r="BV7" s="85">
        <f t="shared" si="47"/>
        <v>4.3630542705790495E-3</v>
      </c>
      <c r="BW7" s="85">
        <f t="shared" si="48"/>
        <v>54.647979630691289</v>
      </c>
    </row>
    <row r="8" spans="1:75 16382:16382" ht="16.05" customHeight="1" x14ac:dyDescent="0.55000000000000004">
      <c r="A8" s="54" t="s">
        <v>90</v>
      </c>
      <c r="C8" s="55"/>
      <c r="D8" s="55"/>
      <c r="E8" s="55"/>
      <c r="F8" s="55"/>
      <c r="G8" s="55"/>
      <c r="H8" s="56" t="s">
        <v>143</v>
      </c>
      <c r="I8" s="60">
        <f>D30</f>
        <v>2.9105110344324263</v>
      </c>
      <c r="J8" s="52" t="s">
        <v>133</v>
      </c>
      <c r="K8" s="52"/>
      <c r="L8" s="53"/>
      <c r="Y8" s="142">
        <v>1.1000000000000001E-3</v>
      </c>
      <c r="Z8" s="46">
        <f t="shared" si="0"/>
        <v>1.1032093542145025E-4</v>
      </c>
      <c r="AA8" s="84">
        <f t="shared" si="22"/>
        <v>215.06804591660094</v>
      </c>
      <c r="AB8" s="84">
        <f t="shared" si="23"/>
        <v>3.478505426185217E-4</v>
      </c>
      <c r="AC8" s="84">
        <f t="shared" si="24"/>
        <v>678.88869735302603</v>
      </c>
      <c r="AD8" s="84">
        <f t="shared" si="1"/>
        <v>1.9578586789881667E-4</v>
      </c>
      <c r="AE8" s="84">
        <f t="shared" si="2"/>
        <v>1205.7382268174802</v>
      </c>
      <c r="AF8" s="84">
        <f t="shared" si="3"/>
        <v>1.4691093227921744E-4</v>
      </c>
      <c r="AG8" s="84">
        <f t="shared" si="4"/>
        <v>1606.6817024771451</v>
      </c>
      <c r="AH8" s="84">
        <f t="shared" si="5"/>
        <v>1.2726697040805595E-4</v>
      </c>
      <c r="AI8" s="84">
        <f t="shared" si="6"/>
        <v>1854.5903643595313</v>
      </c>
      <c r="AJ8" s="84">
        <f t="shared" si="7"/>
        <v>1.1845588185434724E-4</v>
      </c>
      <c r="AK8" s="84">
        <f t="shared" si="8"/>
        <v>1992.498434336504</v>
      </c>
      <c r="AL8" s="84">
        <f t="shared" si="9"/>
        <v>1.142830007840879E-4</v>
      </c>
      <c r="AM8" s="84">
        <f t="shared" si="10"/>
        <v>2065.2312159312942</v>
      </c>
      <c r="AN8" s="84">
        <f t="shared" si="11"/>
        <v>1.1225256909082031E-4</v>
      </c>
      <c r="AO8" s="84">
        <f t="shared" si="12"/>
        <v>2102.5771147879364</v>
      </c>
      <c r="AP8" s="84">
        <f t="shared" si="13"/>
        <v>1.1125118951014757E-4</v>
      </c>
      <c r="AQ8" s="84">
        <f t="shared" si="14"/>
        <v>2121.4975114690933</v>
      </c>
      <c r="AR8" s="84">
        <f t="shared" si="15"/>
        <v>1.1075398628440903E-4</v>
      </c>
      <c r="AS8" s="84">
        <f t="shared" si="16"/>
        <v>2131.0189455967811</v>
      </c>
      <c r="AT8" s="84">
        <f t="shared" si="17"/>
        <v>1.1050628380655221E-4</v>
      </c>
      <c r="AU8" s="84">
        <f t="shared" si="18"/>
        <v>2135.7944194297397</v>
      </c>
      <c r="AV8" s="84">
        <f t="shared" si="19"/>
        <v>1.103826728500143E-4</v>
      </c>
      <c r="AW8" s="84">
        <f t="shared" si="20"/>
        <v>2138.185540389411</v>
      </c>
      <c r="AX8" s="84">
        <f t="shared" si="21"/>
        <v>1.1032093542145025E-4</v>
      </c>
      <c r="AY8" s="142">
        <v>1.1000000000000001E-3</v>
      </c>
      <c r="AZ8" s="46">
        <f t="shared" si="25"/>
        <v>4.3630542705790495E-3</v>
      </c>
      <c r="BA8" s="85">
        <f t="shared" si="26"/>
        <v>215.06804591660094</v>
      </c>
      <c r="BB8" s="85">
        <f t="shared" si="27"/>
        <v>2.2000000000000001E-3</v>
      </c>
      <c r="BC8" s="85">
        <f t="shared" si="28"/>
        <v>107.8168085834851</v>
      </c>
      <c r="BD8" s="85">
        <f t="shared" si="29"/>
        <v>3.1071869856575981E-3</v>
      </c>
      <c r="BE8" s="85">
        <f t="shared" si="30"/>
        <v>76.504279509664457</v>
      </c>
      <c r="BF8" s="85">
        <f t="shared" si="31"/>
        <v>3.688652648343658E-3</v>
      </c>
      <c r="BG8" s="85">
        <f t="shared" si="32"/>
        <v>64.534498891280322</v>
      </c>
      <c r="BH8" s="85">
        <f t="shared" si="33"/>
        <v>4.0161937350999596E-3</v>
      </c>
      <c r="BI8" s="85">
        <f t="shared" si="34"/>
        <v>59.318104288928829</v>
      </c>
      <c r="BJ8" s="85">
        <f t="shared" si="35"/>
        <v>4.1890639834787965E-3</v>
      </c>
      <c r="BK8" s="85">
        <f t="shared" si="36"/>
        <v>56.893897982775464</v>
      </c>
      <c r="BL8" s="85">
        <f t="shared" si="37"/>
        <v>4.277379469328671E-3</v>
      </c>
      <c r="BM8" s="85">
        <f t="shared" si="38"/>
        <v>55.731058571979766</v>
      </c>
      <c r="BN8" s="85">
        <f t="shared" si="39"/>
        <v>4.3217732720885662E-3</v>
      </c>
      <c r="BO8" s="85">
        <f t="shared" si="40"/>
        <v>55.164482114915529</v>
      </c>
      <c r="BP8" s="85">
        <f t="shared" si="41"/>
        <v>4.3439103405817888E-3</v>
      </c>
      <c r="BQ8" s="85">
        <f t="shared" si="42"/>
        <v>54.886285178695587</v>
      </c>
      <c r="BR8" s="85">
        <f t="shared" si="43"/>
        <v>4.3549052103160433E-3</v>
      </c>
      <c r="BS8" s="85">
        <f t="shared" si="44"/>
        <v>54.74916380366043</v>
      </c>
      <c r="BT8" s="85">
        <f t="shared" si="45"/>
        <v>4.3603553132946921E-3</v>
      </c>
      <c r="BU8" s="85">
        <f t="shared" si="46"/>
        <v>54.681449793309866</v>
      </c>
      <c r="BV8" s="85">
        <f t="shared" si="47"/>
        <v>4.3630542705790495E-3</v>
      </c>
      <c r="BW8" s="85">
        <f t="shared" si="48"/>
        <v>54.647979630691289</v>
      </c>
    </row>
    <row r="9" spans="1:75 16382:16382" ht="16.05" customHeight="1" x14ac:dyDescent="0.5">
      <c r="A9" s="56"/>
      <c r="B9" s="54"/>
      <c r="C9" s="55"/>
      <c r="D9" s="55"/>
      <c r="E9" s="55"/>
      <c r="F9" s="55"/>
      <c r="G9" s="55"/>
      <c r="H9" s="56"/>
      <c r="I9" s="60"/>
      <c r="J9" s="52"/>
      <c r="K9" s="52"/>
      <c r="L9" s="53"/>
      <c r="Y9" s="142">
        <v>1.1999999999999999E-3</v>
      </c>
      <c r="Z9" s="46">
        <f t="shared" si="0"/>
        <v>1.2037589263546041E-4</v>
      </c>
      <c r="AA9" s="84">
        <f t="shared" si="22"/>
        <v>197.19269970579731</v>
      </c>
      <c r="AB9" s="84">
        <f t="shared" si="23"/>
        <v>3.7947331922020546E-4</v>
      </c>
      <c r="AC9" s="84">
        <f t="shared" si="24"/>
        <v>622.3614087658035</v>
      </c>
      <c r="AD9" s="84">
        <f t="shared" si="1"/>
        <v>2.1360200988837391E-4</v>
      </c>
      <c r="AE9" s="84">
        <f t="shared" si="2"/>
        <v>1105.2166351081567</v>
      </c>
      <c r="AF9" s="84">
        <f t="shared" si="3"/>
        <v>1.6028871819886612E-4</v>
      </c>
      <c r="AG9" s="84">
        <f t="shared" si="4"/>
        <v>1472.6339319407962</v>
      </c>
      <c r="AH9" s="84">
        <f t="shared" si="5"/>
        <v>1.388606714436377E-4</v>
      </c>
      <c r="AI9" s="84">
        <f t="shared" si="6"/>
        <v>1699.7944218435728</v>
      </c>
      <c r="AJ9" s="84">
        <f t="shared" si="7"/>
        <v>1.2924937825162732E-4</v>
      </c>
      <c r="AK9" s="84">
        <f t="shared" si="8"/>
        <v>1826.1535275834196</v>
      </c>
      <c r="AL9" s="84">
        <f t="shared" si="9"/>
        <v>1.2469757826650947E-4</v>
      </c>
      <c r="AM9" s="84">
        <f t="shared" si="10"/>
        <v>1892.7926295111354</v>
      </c>
      <c r="AN9" s="84">
        <f t="shared" si="11"/>
        <v>1.2248281084655048E-4</v>
      </c>
      <c r="AO9" s="84">
        <f t="shared" si="12"/>
        <v>1927.0084857602751</v>
      </c>
      <c r="AP9" s="84">
        <f t="shared" si="13"/>
        <v>1.2139054154978883E-4</v>
      </c>
      <c r="AQ9" s="84">
        <f t="shared" si="14"/>
        <v>1944.3426211339975</v>
      </c>
      <c r="AR9" s="84">
        <f t="shared" si="15"/>
        <v>1.208482217696663E-4</v>
      </c>
      <c r="AS9" s="84">
        <f t="shared" si="16"/>
        <v>1953.0655590896449</v>
      </c>
      <c r="AT9" s="84">
        <f t="shared" si="17"/>
        <v>1.2057804875742275E-4</v>
      </c>
      <c r="AU9" s="84">
        <f t="shared" si="18"/>
        <v>1957.4404366312897</v>
      </c>
      <c r="AV9" s="84">
        <f t="shared" si="19"/>
        <v>1.2044322747092964E-4</v>
      </c>
      <c r="AW9" s="84">
        <f t="shared" si="20"/>
        <v>1959.6309216284333</v>
      </c>
      <c r="AX9" s="84">
        <f t="shared" si="21"/>
        <v>1.2037589263546041E-4</v>
      </c>
      <c r="AY9" s="142">
        <v>1.1999999999999999E-3</v>
      </c>
      <c r="AZ9" s="46">
        <f t="shared" si="25"/>
        <v>4.7563439393638269E-3</v>
      </c>
      <c r="BA9" s="85">
        <f t="shared" si="26"/>
        <v>197.19269970579731</v>
      </c>
      <c r="BB9" s="85">
        <f t="shared" si="27"/>
        <v>2.3999999999999998E-3</v>
      </c>
      <c r="BC9" s="85">
        <f t="shared" si="28"/>
        <v>98.879386896257657</v>
      </c>
      <c r="BD9" s="85">
        <f t="shared" si="29"/>
        <v>3.3892513341472743E-3</v>
      </c>
      <c r="BE9" s="85">
        <f t="shared" si="30"/>
        <v>70.184860763816857</v>
      </c>
      <c r="BF9" s="85">
        <f t="shared" si="31"/>
        <v>4.022860165704625E-3</v>
      </c>
      <c r="BG9" s="85">
        <f t="shared" si="32"/>
        <v>59.220756349390953</v>
      </c>
      <c r="BH9" s="85">
        <f t="shared" si="33"/>
        <v>4.3794511179413307E-3</v>
      </c>
      <c r="BI9" s="85">
        <f t="shared" si="34"/>
        <v>54.445526680375657</v>
      </c>
      <c r="BJ9" s="85">
        <f t="shared" si="35"/>
        <v>4.567468453596484E-3</v>
      </c>
      <c r="BK9" s="85">
        <f t="shared" si="36"/>
        <v>52.22797370931157</v>
      </c>
      <c r="BL9" s="85">
        <f t="shared" si="37"/>
        <v>4.6634257854449405E-3</v>
      </c>
      <c r="BM9" s="85">
        <f t="shared" si="38"/>
        <v>51.165140862426931</v>
      </c>
      <c r="BN9" s="85">
        <f t="shared" si="39"/>
        <v>4.7116125625615195E-3</v>
      </c>
      <c r="BO9" s="85">
        <f t="shared" si="40"/>
        <v>50.647750135013446</v>
      </c>
      <c r="BP9" s="85">
        <f t="shared" si="41"/>
        <v>4.7356170895482665E-3</v>
      </c>
      <c r="BQ9" s="85">
        <f t="shared" si="42"/>
        <v>50.393938587056333</v>
      </c>
      <c r="BR9" s="85">
        <f t="shared" si="43"/>
        <v>4.7475276953817839E-3</v>
      </c>
      <c r="BS9" s="85">
        <f t="shared" si="44"/>
        <v>50.268954814664077</v>
      </c>
      <c r="BT9" s="85">
        <f t="shared" si="45"/>
        <v>4.7534259238261002E-3</v>
      </c>
      <c r="BU9" s="85">
        <f t="shared" si="46"/>
        <v>50.207293758482493</v>
      </c>
      <c r="BV9" s="85">
        <f t="shared" si="47"/>
        <v>4.7563439393638269E-3</v>
      </c>
      <c r="BW9" s="85">
        <f t="shared" si="48"/>
        <v>50.176844894148431</v>
      </c>
    </row>
    <row r="10" spans="1:75 16382:16382" ht="16.05" customHeight="1" x14ac:dyDescent="0.45">
      <c r="A10" s="56"/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3"/>
      <c r="Y10" s="142">
        <v>1.1999999999999999E-3</v>
      </c>
      <c r="Z10" s="46">
        <f t="shared" si="0"/>
        <v>1.2037589263546041E-4</v>
      </c>
      <c r="AA10" s="84">
        <f t="shared" si="22"/>
        <v>197.19269970579731</v>
      </c>
      <c r="AB10" s="84">
        <f t="shared" si="23"/>
        <v>3.7947331922020546E-4</v>
      </c>
      <c r="AC10" s="84">
        <f t="shared" si="24"/>
        <v>622.3614087658035</v>
      </c>
      <c r="AD10" s="84">
        <f t="shared" si="1"/>
        <v>2.1360200988837391E-4</v>
      </c>
      <c r="AE10" s="84">
        <f t="shared" si="2"/>
        <v>1105.2166351081567</v>
      </c>
      <c r="AF10" s="84">
        <f t="shared" si="3"/>
        <v>1.6028871819886612E-4</v>
      </c>
      <c r="AG10" s="84">
        <f t="shared" si="4"/>
        <v>1472.6339319407962</v>
      </c>
      <c r="AH10" s="84">
        <f t="shared" si="5"/>
        <v>1.388606714436377E-4</v>
      </c>
      <c r="AI10" s="84">
        <f t="shared" si="6"/>
        <v>1699.7944218435728</v>
      </c>
      <c r="AJ10" s="84">
        <f t="shared" si="7"/>
        <v>1.2924937825162732E-4</v>
      </c>
      <c r="AK10" s="84">
        <f t="shared" si="8"/>
        <v>1826.1535275834196</v>
      </c>
      <c r="AL10" s="84">
        <f t="shared" si="9"/>
        <v>1.2469757826650947E-4</v>
      </c>
      <c r="AM10" s="84">
        <f t="shared" si="10"/>
        <v>1892.7926295111354</v>
      </c>
      <c r="AN10" s="84">
        <f t="shared" si="11"/>
        <v>1.2248281084655048E-4</v>
      </c>
      <c r="AO10" s="84">
        <f t="shared" si="12"/>
        <v>1927.0084857602751</v>
      </c>
      <c r="AP10" s="84">
        <f t="shared" si="13"/>
        <v>1.2139054154978883E-4</v>
      </c>
      <c r="AQ10" s="84">
        <f t="shared" si="14"/>
        <v>1944.3426211339975</v>
      </c>
      <c r="AR10" s="84">
        <f t="shared" si="15"/>
        <v>1.208482217696663E-4</v>
      </c>
      <c r="AS10" s="84">
        <f t="shared" si="16"/>
        <v>1953.0655590896449</v>
      </c>
      <c r="AT10" s="84">
        <f t="shared" si="17"/>
        <v>1.2057804875742275E-4</v>
      </c>
      <c r="AU10" s="84">
        <f t="shared" si="18"/>
        <v>1957.4404366312897</v>
      </c>
      <c r="AV10" s="84">
        <f t="shared" si="19"/>
        <v>1.2044322747092964E-4</v>
      </c>
      <c r="AW10" s="84">
        <f t="shared" si="20"/>
        <v>1959.6309216284333</v>
      </c>
      <c r="AX10" s="84">
        <f t="shared" si="21"/>
        <v>1.2037589263546041E-4</v>
      </c>
      <c r="AY10" s="142">
        <v>1.1999999999999999E-3</v>
      </c>
      <c r="AZ10" s="46">
        <f t="shared" si="25"/>
        <v>4.7563439393638269E-3</v>
      </c>
      <c r="BA10" s="85">
        <f t="shared" si="26"/>
        <v>197.19269970579731</v>
      </c>
      <c r="BB10" s="85">
        <f t="shared" si="27"/>
        <v>2.3999999999999998E-3</v>
      </c>
      <c r="BC10" s="85">
        <f t="shared" si="28"/>
        <v>98.879386896257657</v>
      </c>
      <c r="BD10" s="85">
        <f t="shared" si="29"/>
        <v>3.3892513341472743E-3</v>
      </c>
      <c r="BE10" s="85">
        <f t="shared" si="30"/>
        <v>70.184860763816857</v>
      </c>
      <c r="BF10" s="85">
        <f t="shared" si="31"/>
        <v>4.022860165704625E-3</v>
      </c>
      <c r="BG10" s="85">
        <f t="shared" si="32"/>
        <v>59.220756349390953</v>
      </c>
      <c r="BH10" s="85">
        <f t="shared" si="33"/>
        <v>4.3794511179413307E-3</v>
      </c>
      <c r="BI10" s="85">
        <f t="shared" si="34"/>
        <v>54.445526680375657</v>
      </c>
      <c r="BJ10" s="85">
        <f t="shared" si="35"/>
        <v>4.567468453596484E-3</v>
      </c>
      <c r="BK10" s="85">
        <f t="shared" si="36"/>
        <v>52.22797370931157</v>
      </c>
      <c r="BL10" s="85">
        <f t="shared" si="37"/>
        <v>4.6634257854449405E-3</v>
      </c>
      <c r="BM10" s="85">
        <f t="shared" si="38"/>
        <v>51.165140862426931</v>
      </c>
      <c r="BN10" s="85">
        <f t="shared" si="39"/>
        <v>4.7116125625615195E-3</v>
      </c>
      <c r="BO10" s="85">
        <f t="shared" si="40"/>
        <v>50.647750135013446</v>
      </c>
      <c r="BP10" s="85">
        <f t="shared" si="41"/>
        <v>4.7356170895482665E-3</v>
      </c>
      <c r="BQ10" s="85">
        <f t="shared" si="42"/>
        <v>50.393938587056333</v>
      </c>
      <c r="BR10" s="85">
        <f t="shared" si="43"/>
        <v>4.7475276953817839E-3</v>
      </c>
      <c r="BS10" s="85">
        <f t="shared" si="44"/>
        <v>50.268954814664077</v>
      </c>
      <c r="BT10" s="85">
        <f t="shared" si="45"/>
        <v>4.7534259238261002E-3</v>
      </c>
      <c r="BU10" s="85">
        <f t="shared" si="46"/>
        <v>50.207293758482493</v>
      </c>
      <c r="BV10" s="85">
        <f t="shared" si="47"/>
        <v>4.7563439393638269E-3</v>
      </c>
      <c r="BW10" s="85">
        <f t="shared" si="48"/>
        <v>50.176844894148431</v>
      </c>
    </row>
    <row r="11" spans="1:75 16382:16382" ht="16.05" customHeight="1" x14ac:dyDescent="0.55000000000000004">
      <c r="A11" s="54" t="s">
        <v>85</v>
      </c>
      <c r="C11" s="55"/>
      <c r="D11" s="55"/>
      <c r="E11" s="55"/>
      <c r="F11" s="55"/>
      <c r="G11" s="55"/>
      <c r="H11" s="56" t="s">
        <v>143</v>
      </c>
      <c r="I11" s="57">
        <v>100</v>
      </c>
      <c r="J11" s="52" t="s">
        <v>133</v>
      </c>
      <c r="K11" s="52"/>
      <c r="L11" s="53"/>
      <c r="Y11" s="142">
        <v>1.1999999999999999E-3</v>
      </c>
      <c r="Z11" s="46">
        <f t="shared" si="0"/>
        <v>1.2037589263546041E-4</v>
      </c>
      <c r="AA11" s="84">
        <f t="shared" si="22"/>
        <v>197.19269970579731</v>
      </c>
      <c r="AB11" s="84">
        <f t="shared" si="23"/>
        <v>3.7947331922020546E-4</v>
      </c>
      <c r="AC11" s="84">
        <f t="shared" si="24"/>
        <v>622.3614087658035</v>
      </c>
      <c r="AD11" s="84">
        <f t="shared" si="1"/>
        <v>2.1360200988837391E-4</v>
      </c>
      <c r="AE11" s="84">
        <f t="shared" si="2"/>
        <v>1105.2166351081567</v>
      </c>
      <c r="AF11" s="84">
        <f t="shared" si="3"/>
        <v>1.6028871819886612E-4</v>
      </c>
      <c r="AG11" s="84">
        <f t="shared" si="4"/>
        <v>1472.6339319407962</v>
      </c>
      <c r="AH11" s="84">
        <f t="shared" si="5"/>
        <v>1.388606714436377E-4</v>
      </c>
      <c r="AI11" s="84">
        <f t="shared" si="6"/>
        <v>1699.7944218435728</v>
      </c>
      <c r="AJ11" s="84">
        <f t="shared" si="7"/>
        <v>1.2924937825162732E-4</v>
      </c>
      <c r="AK11" s="84">
        <f t="shared" si="8"/>
        <v>1826.1535275834196</v>
      </c>
      <c r="AL11" s="84">
        <f t="shared" si="9"/>
        <v>1.2469757826650947E-4</v>
      </c>
      <c r="AM11" s="84">
        <f t="shared" si="10"/>
        <v>1892.7926295111354</v>
      </c>
      <c r="AN11" s="84">
        <f t="shared" si="11"/>
        <v>1.2248281084655048E-4</v>
      </c>
      <c r="AO11" s="84">
        <f t="shared" si="12"/>
        <v>1927.0084857602751</v>
      </c>
      <c r="AP11" s="84">
        <f t="shared" si="13"/>
        <v>1.2139054154978883E-4</v>
      </c>
      <c r="AQ11" s="84">
        <f t="shared" si="14"/>
        <v>1944.3426211339975</v>
      </c>
      <c r="AR11" s="84">
        <f t="shared" si="15"/>
        <v>1.208482217696663E-4</v>
      </c>
      <c r="AS11" s="84">
        <f t="shared" si="16"/>
        <v>1953.0655590896449</v>
      </c>
      <c r="AT11" s="84">
        <f t="shared" si="17"/>
        <v>1.2057804875742275E-4</v>
      </c>
      <c r="AU11" s="84">
        <f t="shared" si="18"/>
        <v>1957.4404366312897</v>
      </c>
      <c r="AV11" s="84">
        <f t="shared" si="19"/>
        <v>1.2044322747092964E-4</v>
      </c>
      <c r="AW11" s="84">
        <f t="shared" si="20"/>
        <v>1959.6309216284333</v>
      </c>
      <c r="AX11" s="84">
        <f t="shared" si="21"/>
        <v>1.2037589263546041E-4</v>
      </c>
      <c r="AY11" s="142">
        <v>1.1999999999999999E-3</v>
      </c>
      <c r="AZ11" s="46">
        <f t="shared" si="25"/>
        <v>4.7563439393638269E-3</v>
      </c>
      <c r="BA11" s="85">
        <f t="shared" si="26"/>
        <v>197.19269970579731</v>
      </c>
      <c r="BB11" s="85">
        <f t="shared" si="27"/>
        <v>2.3999999999999998E-3</v>
      </c>
      <c r="BC11" s="85">
        <f t="shared" si="28"/>
        <v>98.879386896257657</v>
      </c>
      <c r="BD11" s="85">
        <f t="shared" si="29"/>
        <v>3.3892513341472743E-3</v>
      </c>
      <c r="BE11" s="85">
        <f t="shared" si="30"/>
        <v>70.184860763816857</v>
      </c>
      <c r="BF11" s="85">
        <f t="shared" si="31"/>
        <v>4.022860165704625E-3</v>
      </c>
      <c r="BG11" s="85">
        <f t="shared" si="32"/>
        <v>59.220756349390953</v>
      </c>
      <c r="BH11" s="85">
        <f t="shared" si="33"/>
        <v>4.3794511179413307E-3</v>
      </c>
      <c r="BI11" s="85">
        <f t="shared" si="34"/>
        <v>54.445526680375657</v>
      </c>
      <c r="BJ11" s="85">
        <f t="shared" si="35"/>
        <v>4.567468453596484E-3</v>
      </c>
      <c r="BK11" s="85">
        <f t="shared" si="36"/>
        <v>52.22797370931157</v>
      </c>
      <c r="BL11" s="85">
        <f t="shared" si="37"/>
        <v>4.6634257854449405E-3</v>
      </c>
      <c r="BM11" s="85">
        <f t="shared" si="38"/>
        <v>51.165140862426931</v>
      </c>
      <c r="BN11" s="85">
        <f t="shared" si="39"/>
        <v>4.7116125625615195E-3</v>
      </c>
      <c r="BO11" s="85">
        <f t="shared" si="40"/>
        <v>50.647750135013446</v>
      </c>
      <c r="BP11" s="85">
        <f t="shared" si="41"/>
        <v>4.7356170895482665E-3</v>
      </c>
      <c r="BQ11" s="85">
        <f t="shared" si="42"/>
        <v>50.393938587056333</v>
      </c>
      <c r="BR11" s="85">
        <f t="shared" si="43"/>
        <v>4.7475276953817839E-3</v>
      </c>
      <c r="BS11" s="85">
        <f t="shared" si="44"/>
        <v>50.268954814664077</v>
      </c>
      <c r="BT11" s="85">
        <f t="shared" si="45"/>
        <v>4.7534259238261002E-3</v>
      </c>
      <c r="BU11" s="85">
        <f t="shared" si="46"/>
        <v>50.207293758482493</v>
      </c>
      <c r="BV11" s="85">
        <f t="shared" si="47"/>
        <v>4.7563439393638269E-3</v>
      </c>
      <c r="BW11" s="85">
        <f t="shared" si="48"/>
        <v>50.176844894148431</v>
      </c>
    </row>
    <row r="12" spans="1:75 16382:16382" ht="16.05" customHeight="1" x14ac:dyDescent="0.45">
      <c r="A12" s="56"/>
      <c r="B12" s="51"/>
      <c r="C12" s="55"/>
      <c r="D12" s="55"/>
      <c r="E12" s="55"/>
      <c r="F12" s="55"/>
      <c r="G12" s="55"/>
      <c r="H12" s="56" t="s">
        <v>86</v>
      </c>
      <c r="I12" s="58">
        <v>3.25</v>
      </c>
      <c r="J12" s="52" t="s">
        <v>87</v>
      </c>
      <c r="K12" s="52"/>
      <c r="L12" s="53"/>
      <c r="Y12" s="142">
        <v>1.2999999999999999E-3</v>
      </c>
      <c r="Z12" s="46">
        <f t="shared" si="0"/>
        <v>1.3043516240885157E-4</v>
      </c>
      <c r="AA12" s="84">
        <f t="shared" si="22"/>
        <v>182.06743266216125</v>
      </c>
      <c r="AB12" s="84">
        <f t="shared" si="23"/>
        <v>4.1109609582188928E-4</v>
      </c>
      <c r="AC12" s="84">
        <f t="shared" si="24"/>
        <v>574.53063435871547</v>
      </c>
      <c r="AD12" s="84">
        <f t="shared" si="1"/>
        <v>2.3142106675791779E-4</v>
      </c>
      <c r="AE12" s="84">
        <f t="shared" si="2"/>
        <v>1020.1598759578637</v>
      </c>
      <c r="AF12" s="84">
        <f t="shared" si="3"/>
        <v>1.7367022514977947E-4</v>
      </c>
      <c r="AG12" s="84">
        <f t="shared" si="4"/>
        <v>1359.2088474402219</v>
      </c>
      <c r="AH12" s="84">
        <f t="shared" si="5"/>
        <v>1.5045838298443265E-4</v>
      </c>
      <c r="AI12" s="84">
        <f t="shared" si="6"/>
        <v>1568.8131858721897</v>
      </c>
      <c r="AJ12" s="84">
        <f t="shared" si="7"/>
        <v>1.400470196392298E-4</v>
      </c>
      <c r="AK12" s="84">
        <f t="shared" si="8"/>
        <v>1685.4000910436384</v>
      </c>
      <c r="AL12" s="84">
        <f t="shared" si="9"/>
        <v>1.3511637336955599E-4</v>
      </c>
      <c r="AM12" s="84">
        <f t="shared" si="10"/>
        <v>1746.8830038710885</v>
      </c>
      <c r="AN12" s="84">
        <f t="shared" si="11"/>
        <v>1.3271731188803419E-4</v>
      </c>
      <c r="AO12" s="84">
        <f t="shared" si="12"/>
        <v>1778.4503638625911</v>
      </c>
      <c r="AP12" s="84">
        <f t="shared" si="13"/>
        <v>1.3153417709886857E-4</v>
      </c>
      <c r="AQ12" s="84">
        <f t="shared" si="14"/>
        <v>1794.442279090654</v>
      </c>
      <c r="AR12" s="84">
        <f t="shared" si="15"/>
        <v>1.3094675476991337E-4</v>
      </c>
      <c r="AS12" s="84">
        <f t="shared" si="16"/>
        <v>1802.4895670605445</v>
      </c>
      <c r="AT12" s="84">
        <f t="shared" si="17"/>
        <v>1.306541192279328E-4</v>
      </c>
      <c r="AU12" s="84">
        <f t="shared" si="18"/>
        <v>1806.5254788905806</v>
      </c>
      <c r="AV12" s="84">
        <f t="shared" si="19"/>
        <v>1.3050809212988946E-4</v>
      </c>
      <c r="AW12" s="84">
        <f t="shared" si="20"/>
        <v>1808.5461952229286</v>
      </c>
      <c r="AX12" s="84">
        <f t="shared" si="21"/>
        <v>1.3043516240885157E-4</v>
      </c>
      <c r="AY12" s="142">
        <v>1.2999999999999999E-3</v>
      </c>
      <c r="AZ12" s="46">
        <f t="shared" si="25"/>
        <v>5.1490784037351899E-3</v>
      </c>
      <c r="BA12" s="85">
        <f t="shared" si="26"/>
        <v>182.06743266216125</v>
      </c>
      <c r="BB12" s="85">
        <f t="shared" si="27"/>
        <v>2.5999999999999999E-3</v>
      </c>
      <c r="BC12" s="85">
        <f t="shared" si="28"/>
        <v>91.317004490829916</v>
      </c>
      <c r="BD12" s="85">
        <f t="shared" si="29"/>
        <v>3.6712474150594862E-3</v>
      </c>
      <c r="BE12" s="85">
        <f t="shared" si="30"/>
        <v>64.83774090069555</v>
      </c>
      <c r="BF12" s="85">
        <f t="shared" si="31"/>
        <v>4.3568794614466727E-3</v>
      </c>
      <c r="BG12" s="85">
        <f t="shared" si="32"/>
        <v>54.724615436860077</v>
      </c>
      <c r="BH12" s="85">
        <f t="shared" si="33"/>
        <v>4.7423993552530505E-3</v>
      </c>
      <c r="BI12" s="85">
        <f t="shared" si="34"/>
        <v>50.322692005170218</v>
      </c>
      <c r="BJ12" s="85">
        <f t="shared" si="35"/>
        <v>4.9454697449283248E-3</v>
      </c>
      <c r="BK12" s="85">
        <f t="shared" si="36"/>
        <v>48.280004813335381</v>
      </c>
      <c r="BL12" s="85">
        <f t="shared" si="37"/>
        <v>5.0490053367042336E-3</v>
      </c>
      <c r="BM12" s="85">
        <f t="shared" si="38"/>
        <v>47.301793548367172</v>
      </c>
      <c r="BN12" s="85">
        <f t="shared" si="39"/>
        <v>5.1009454359460362E-3</v>
      </c>
      <c r="BO12" s="85">
        <f t="shared" si="40"/>
        <v>46.826020020792143</v>
      </c>
      <c r="BP12" s="85">
        <f t="shared" si="41"/>
        <v>5.1267938994279966E-3</v>
      </c>
      <c r="BQ12" s="85">
        <f t="shared" si="42"/>
        <v>46.592840176231363</v>
      </c>
      <c r="BR12" s="85">
        <f t="shared" si="43"/>
        <v>5.139606737373092E-3</v>
      </c>
      <c r="BS12" s="85">
        <f t="shared" si="44"/>
        <v>46.478124755670883</v>
      </c>
      <c r="BT12" s="85">
        <f t="shared" si="45"/>
        <v>5.1459455128498224E-3</v>
      </c>
      <c r="BU12" s="85">
        <f t="shared" si="46"/>
        <v>46.421583920803137</v>
      </c>
      <c r="BV12" s="85">
        <f t="shared" si="47"/>
        <v>5.1490784037351899E-3</v>
      </c>
      <c r="BW12" s="85">
        <f t="shared" si="48"/>
        <v>46.393690462955639</v>
      </c>
    </row>
    <row r="13" spans="1:75 16382:16382" ht="16.05" customHeight="1" x14ac:dyDescent="0.45">
      <c r="A13" s="56"/>
      <c r="B13" s="51"/>
      <c r="C13" s="55"/>
      <c r="D13" s="55"/>
      <c r="E13" s="55"/>
      <c r="F13" s="55"/>
      <c r="G13" s="55"/>
      <c r="H13" s="56" t="s">
        <v>88</v>
      </c>
      <c r="I13" s="58">
        <v>1</v>
      </c>
      <c r="J13" s="52"/>
      <c r="K13" s="52"/>
      <c r="L13" s="53"/>
      <c r="Y13" s="142">
        <v>1.2999999999999999E-3</v>
      </c>
      <c r="Z13" s="46">
        <f t="shared" si="0"/>
        <v>1.3043516240885157E-4</v>
      </c>
      <c r="AA13" s="84">
        <f t="shared" si="22"/>
        <v>182.06743266216125</v>
      </c>
      <c r="AB13" s="84">
        <f t="shared" si="23"/>
        <v>4.1109609582188928E-4</v>
      </c>
      <c r="AC13" s="84">
        <f t="shared" si="24"/>
        <v>574.53063435871547</v>
      </c>
      <c r="AD13" s="84">
        <f t="shared" si="1"/>
        <v>2.3142106675791779E-4</v>
      </c>
      <c r="AE13" s="84">
        <f t="shared" si="2"/>
        <v>1020.1598759578637</v>
      </c>
      <c r="AF13" s="84">
        <f t="shared" si="3"/>
        <v>1.7367022514977947E-4</v>
      </c>
      <c r="AG13" s="84">
        <f t="shared" si="4"/>
        <v>1359.2088474402219</v>
      </c>
      <c r="AH13" s="84">
        <f t="shared" si="5"/>
        <v>1.5045838298443265E-4</v>
      </c>
      <c r="AI13" s="84">
        <f t="shared" si="6"/>
        <v>1568.8131858721897</v>
      </c>
      <c r="AJ13" s="84">
        <f t="shared" si="7"/>
        <v>1.400470196392298E-4</v>
      </c>
      <c r="AK13" s="84">
        <f t="shared" si="8"/>
        <v>1685.4000910436384</v>
      </c>
      <c r="AL13" s="84">
        <f t="shared" si="9"/>
        <v>1.3511637336955599E-4</v>
      </c>
      <c r="AM13" s="84">
        <f t="shared" si="10"/>
        <v>1746.8830038710885</v>
      </c>
      <c r="AN13" s="84">
        <f t="shared" si="11"/>
        <v>1.3271731188803419E-4</v>
      </c>
      <c r="AO13" s="84">
        <f t="shared" si="12"/>
        <v>1778.4503638625911</v>
      </c>
      <c r="AP13" s="84">
        <f t="shared" si="13"/>
        <v>1.3153417709886857E-4</v>
      </c>
      <c r="AQ13" s="84">
        <f t="shared" si="14"/>
        <v>1794.442279090654</v>
      </c>
      <c r="AR13" s="84">
        <f t="shared" si="15"/>
        <v>1.3094675476991337E-4</v>
      </c>
      <c r="AS13" s="84">
        <f t="shared" si="16"/>
        <v>1802.4895670605445</v>
      </c>
      <c r="AT13" s="84">
        <f t="shared" si="17"/>
        <v>1.306541192279328E-4</v>
      </c>
      <c r="AU13" s="84">
        <f t="shared" si="18"/>
        <v>1806.5254788905806</v>
      </c>
      <c r="AV13" s="84">
        <f t="shared" si="19"/>
        <v>1.3050809212988946E-4</v>
      </c>
      <c r="AW13" s="84">
        <f t="shared" si="20"/>
        <v>1808.5461952229286</v>
      </c>
      <c r="AX13" s="84">
        <f t="shared" si="21"/>
        <v>1.3043516240885157E-4</v>
      </c>
      <c r="AY13" s="142">
        <v>1.2999999999999999E-3</v>
      </c>
      <c r="AZ13" s="46">
        <f t="shared" si="25"/>
        <v>5.1490784037351899E-3</v>
      </c>
      <c r="BA13" s="85">
        <f t="shared" si="26"/>
        <v>182.06743266216125</v>
      </c>
      <c r="BB13" s="85">
        <f t="shared" si="27"/>
        <v>2.5999999999999999E-3</v>
      </c>
      <c r="BC13" s="85">
        <f t="shared" si="28"/>
        <v>91.317004490829916</v>
      </c>
      <c r="BD13" s="85">
        <f t="shared" si="29"/>
        <v>3.6712474150594862E-3</v>
      </c>
      <c r="BE13" s="85">
        <f t="shared" si="30"/>
        <v>64.83774090069555</v>
      </c>
      <c r="BF13" s="85">
        <f t="shared" si="31"/>
        <v>4.3568794614466727E-3</v>
      </c>
      <c r="BG13" s="85">
        <f t="shared" si="32"/>
        <v>54.724615436860077</v>
      </c>
      <c r="BH13" s="85">
        <f t="shared" si="33"/>
        <v>4.7423993552530505E-3</v>
      </c>
      <c r="BI13" s="85">
        <f t="shared" si="34"/>
        <v>50.322692005170218</v>
      </c>
      <c r="BJ13" s="85">
        <f t="shared" si="35"/>
        <v>4.9454697449283248E-3</v>
      </c>
      <c r="BK13" s="85">
        <f t="shared" si="36"/>
        <v>48.280004813335381</v>
      </c>
      <c r="BL13" s="85">
        <f t="shared" si="37"/>
        <v>5.0490053367042336E-3</v>
      </c>
      <c r="BM13" s="85">
        <f t="shared" si="38"/>
        <v>47.301793548367172</v>
      </c>
      <c r="BN13" s="85">
        <f t="shared" si="39"/>
        <v>5.1009454359460362E-3</v>
      </c>
      <c r="BO13" s="85">
        <f t="shared" si="40"/>
        <v>46.826020020792143</v>
      </c>
      <c r="BP13" s="85">
        <f t="shared" si="41"/>
        <v>5.1267938994279966E-3</v>
      </c>
      <c r="BQ13" s="85">
        <f t="shared" si="42"/>
        <v>46.592840176231363</v>
      </c>
      <c r="BR13" s="85">
        <f t="shared" si="43"/>
        <v>5.139606737373092E-3</v>
      </c>
      <c r="BS13" s="85">
        <f t="shared" si="44"/>
        <v>46.478124755670883</v>
      </c>
      <c r="BT13" s="85">
        <f t="shared" si="45"/>
        <v>5.1459455128498224E-3</v>
      </c>
      <c r="BU13" s="85">
        <f t="shared" si="46"/>
        <v>46.421583920803137</v>
      </c>
      <c r="BV13" s="85">
        <f t="shared" si="47"/>
        <v>5.1490784037351899E-3</v>
      </c>
      <c r="BW13" s="85">
        <f t="shared" si="48"/>
        <v>46.393690462955639</v>
      </c>
    </row>
    <row r="14" spans="1:75 16382:16382" ht="16.05" customHeight="1" x14ac:dyDescent="0.45">
      <c r="A14" s="56"/>
      <c r="B14" s="51"/>
      <c r="C14" s="55"/>
      <c r="D14" s="55"/>
      <c r="E14" s="55"/>
      <c r="F14" s="55"/>
      <c r="G14" s="55"/>
      <c r="H14" s="56" t="s">
        <v>89</v>
      </c>
      <c r="I14" s="59">
        <v>7.1199999999999999E-2</v>
      </c>
      <c r="J14" s="52" t="s">
        <v>134</v>
      </c>
      <c r="K14" s="52"/>
      <c r="L14" s="53"/>
      <c r="Y14" s="142">
        <v>1.4E-3</v>
      </c>
      <c r="Z14" s="46">
        <f t="shared" si="0"/>
        <v>1.404987483413138E-4</v>
      </c>
      <c r="AA14" s="84">
        <f t="shared" si="22"/>
        <v>169.10294208844033</v>
      </c>
      <c r="AB14" s="84">
        <f t="shared" si="23"/>
        <v>4.4271887242357309E-4</v>
      </c>
      <c r="AC14" s="84">
        <f t="shared" si="24"/>
        <v>533.53283537700668</v>
      </c>
      <c r="AD14" s="84">
        <f t="shared" si="1"/>
        <v>2.4924304089358611E-4</v>
      </c>
      <c r="AE14" s="84">
        <f t="shared" si="2"/>
        <v>947.25405676878506</v>
      </c>
      <c r="AF14" s="84">
        <f t="shared" si="3"/>
        <v>1.8705545617097083E-4</v>
      </c>
      <c r="AG14" s="84">
        <f t="shared" si="4"/>
        <v>1261.9873021718747</v>
      </c>
      <c r="AH14" s="84">
        <f t="shared" si="5"/>
        <v>1.6206010833981726E-4</v>
      </c>
      <c r="AI14" s="84">
        <f t="shared" si="6"/>
        <v>1456.5435053286005</v>
      </c>
      <c r="AJ14" s="84">
        <f t="shared" si="7"/>
        <v>1.5084880946170898E-4</v>
      </c>
      <c r="AK14" s="84">
        <f t="shared" si="8"/>
        <v>1564.7542385777456</v>
      </c>
      <c r="AL14" s="84">
        <f t="shared" si="9"/>
        <v>1.455393896101639E-4</v>
      </c>
      <c r="AM14" s="84">
        <f t="shared" si="10"/>
        <v>1621.8175620631118</v>
      </c>
      <c r="AN14" s="84">
        <f t="shared" si="11"/>
        <v>1.4295607577157244E-4</v>
      </c>
      <c r="AO14" s="84">
        <f t="shared" si="12"/>
        <v>1651.1147836575879</v>
      </c>
      <c r="AP14" s="84">
        <f t="shared" si="13"/>
        <v>1.4168209973498342E-4</v>
      </c>
      <c r="AQ14" s="84">
        <f t="shared" si="14"/>
        <v>1665.9562253744659</v>
      </c>
      <c r="AR14" s="84">
        <f t="shared" si="15"/>
        <v>1.4104958887412681E-4</v>
      </c>
      <c r="AS14" s="84">
        <f t="shared" si="16"/>
        <v>1673.4243853658636</v>
      </c>
      <c r="AT14" s="84">
        <f t="shared" si="17"/>
        <v>1.4073449881305585E-4</v>
      </c>
      <c r="AU14" s="84">
        <f t="shared" si="18"/>
        <v>1677.1697555131079</v>
      </c>
      <c r="AV14" s="84">
        <f t="shared" si="19"/>
        <v>1.4057727042498445E-4</v>
      </c>
      <c r="AW14" s="84">
        <f t="shared" si="20"/>
        <v>1679.0449560584129</v>
      </c>
      <c r="AX14" s="84">
        <f t="shared" si="21"/>
        <v>1.404987483413138E-4</v>
      </c>
      <c r="AY14" s="142">
        <v>1.4E-3</v>
      </c>
      <c r="AZ14" s="46">
        <f t="shared" si="25"/>
        <v>5.5412585199043638E-3</v>
      </c>
      <c r="BA14" s="85">
        <f t="shared" si="26"/>
        <v>169.10294208844033</v>
      </c>
      <c r="BB14" s="85">
        <f t="shared" si="27"/>
        <v>2.8E-3</v>
      </c>
      <c r="BC14" s="85">
        <f t="shared" si="28"/>
        <v>84.835010018949916</v>
      </c>
      <c r="BD14" s="85">
        <f t="shared" si="29"/>
        <v>3.9531751383913797E-3</v>
      </c>
      <c r="BE14" s="85">
        <f t="shared" si="30"/>
        <v>60.254569955311737</v>
      </c>
      <c r="BF14" s="85">
        <f t="shared" si="31"/>
        <v>4.6907103644608155E-3</v>
      </c>
      <c r="BG14" s="85">
        <f t="shared" si="32"/>
        <v>50.870875418149311</v>
      </c>
      <c r="BH14" s="85">
        <f t="shared" si="33"/>
        <v>5.1050383330282761E-3</v>
      </c>
      <c r="BI14" s="85">
        <f t="shared" si="34"/>
        <v>46.788940485251345</v>
      </c>
      <c r="BJ14" s="85">
        <f t="shared" si="35"/>
        <v>5.3230679210280523E-3</v>
      </c>
      <c r="BK14" s="85">
        <f t="shared" si="36"/>
        <v>44.896142970023362</v>
      </c>
      <c r="BL14" s="85">
        <f t="shared" si="37"/>
        <v>5.4341184033497442E-3</v>
      </c>
      <c r="BM14" s="85">
        <f t="shared" si="38"/>
        <v>43.990464963002694</v>
      </c>
      <c r="BN14" s="85">
        <f t="shared" si="39"/>
        <v>5.489772368833393E-3</v>
      </c>
      <c r="BO14" s="85">
        <f t="shared" si="40"/>
        <v>43.550361850917483</v>
      </c>
      <c r="BP14" s="85">
        <f t="shared" si="41"/>
        <v>5.5174413995089005E-3</v>
      </c>
      <c r="BQ14" s="85">
        <f t="shared" si="42"/>
        <v>43.334864336126856</v>
      </c>
      <c r="BR14" s="85">
        <f t="shared" si="43"/>
        <v>5.5311430739026007E-3</v>
      </c>
      <c r="BS14" s="85">
        <f t="shared" si="44"/>
        <v>43.228948542659261</v>
      </c>
      <c r="BT14" s="85">
        <f t="shared" si="45"/>
        <v>5.5379148903061445E-3</v>
      </c>
      <c r="BU14" s="85">
        <f t="shared" si="46"/>
        <v>43.176795053453262</v>
      </c>
      <c r="BV14" s="85">
        <f t="shared" si="47"/>
        <v>5.5412585199043638E-3</v>
      </c>
      <c r="BW14" s="85">
        <f t="shared" si="48"/>
        <v>43.151090937739589</v>
      </c>
    </row>
    <row r="15" spans="1:75 16382:16382" ht="16.05" customHeight="1" x14ac:dyDescent="0.55000000000000004">
      <c r="A15" s="56"/>
      <c r="B15" s="54" t="s">
        <v>90</v>
      </c>
      <c r="C15" s="55"/>
      <c r="D15" s="55"/>
      <c r="E15" s="55"/>
      <c r="F15" s="55"/>
      <c r="G15" s="55"/>
      <c r="H15" s="56" t="s">
        <v>23</v>
      </c>
      <c r="I15" s="60">
        <f>F30</f>
        <v>180.34936096783019</v>
      </c>
      <c r="J15" s="52" t="s">
        <v>133</v>
      </c>
      <c r="K15" s="52"/>
      <c r="L15" s="53"/>
      <c r="Y15" s="142">
        <v>1.4E-3</v>
      </c>
      <c r="Z15" s="46">
        <f t="shared" si="0"/>
        <v>1.404987483413138E-4</v>
      </c>
      <c r="AA15" s="84">
        <f t="shared" si="22"/>
        <v>169.10294208844033</v>
      </c>
      <c r="AB15" s="84">
        <f t="shared" si="23"/>
        <v>4.4271887242357309E-4</v>
      </c>
      <c r="AC15" s="84">
        <f t="shared" si="24"/>
        <v>533.53283537700668</v>
      </c>
      <c r="AD15" s="84">
        <f t="shared" si="1"/>
        <v>2.4924304089358611E-4</v>
      </c>
      <c r="AE15" s="84">
        <f t="shared" si="2"/>
        <v>947.25405676878506</v>
      </c>
      <c r="AF15" s="84">
        <f t="shared" si="3"/>
        <v>1.8705545617097083E-4</v>
      </c>
      <c r="AG15" s="84">
        <f t="shared" si="4"/>
        <v>1261.9873021718747</v>
      </c>
      <c r="AH15" s="84">
        <f t="shared" si="5"/>
        <v>1.6206010833981726E-4</v>
      </c>
      <c r="AI15" s="84">
        <f t="shared" si="6"/>
        <v>1456.5435053286005</v>
      </c>
      <c r="AJ15" s="84">
        <f t="shared" si="7"/>
        <v>1.5084880946170898E-4</v>
      </c>
      <c r="AK15" s="84">
        <f t="shared" si="8"/>
        <v>1564.7542385777456</v>
      </c>
      <c r="AL15" s="84">
        <f t="shared" si="9"/>
        <v>1.455393896101639E-4</v>
      </c>
      <c r="AM15" s="84">
        <f t="shared" si="10"/>
        <v>1621.8175620631118</v>
      </c>
      <c r="AN15" s="84">
        <f t="shared" si="11"/>
        <v>1.4295607577157244E-4</v>
      </c>
      <c r="AO15" s="84">
        <f t="shared" si="12"/>
        <v>1651.1147836575879</v>
      </c>
      <c r="AP15" s="84">
        <f t="shared" si="13"/>
        <v>1.4168209973498342E-4</v>
      </c>
      <c r="AQ15" s="84">
        <f t="shared" si="14"/>
        <v>1665.9562253744659</v>
      </c>
      <c r="AR15" s="84">
        <f t="shared" si="15"/>
        <v>1.4104958887412681E-4</v>
      </c>
      <c r="AS15" s="84">
        <f t="shared" si="16"/>
        <v>1673.4243853658636</v>
      </c>
      <c r="AT15" s="84">
        <f t="shared" si="17"/>
        <v>1.4073449881305585E-4</v>
      </c>
      <c r="AU15" s="84">
        <f t="shared" si="18"/>
        <v>1677.1697555131079</v>
      </c>
      <c r="AV15" s="84">
        <f t="shared" si="19"/>
        <v>1.4057727042498445E-4</v>
      </c>
      <c r="AW15" s="84">
        <f t="shared" si="20"/>
        <v>1679.0449560584129</v>
      </c>
      <c r="AX15" s="84">
        <f t="shared" si="21"/>
        <v>1.404987483413138E-4</v>
      </c>
      <c r="AY15" s="142">
        <v>1.4E-3</v>
      </c>
      <c r="AZ15" s="46">
        <f t="shared" si="25"/>
        <v>5.5412585199043638E-3</v>
      </c>
      <c r="BA15" s="85">
        <f t="shared" si="26"/>
        <v>169.10294208844033</v>
      </c>
      <c r="BB15" s="85">
        <f t="shared" si="27"/>
        <v>2.8E-3</v>
      </c>
      <c r="BC15" s="85">
        <f t="shared" si="28"/>
        <v>84.835010018949916</v>
      </c>
      <c r="BD15" s="85">
        <f t="shared" si="29"/>
        <v>3.9531751383913797E-3</v>
      </c>
      <c r="BE15" s="85">
        <f t="shared" si="30"/>
        <v>60.254569955311737</v>
      </c>
      <c r="BF15" s="85">
        <f t="shared" si="31"/>
        <v>4.6907103644608155E-3</v>
      </c>
      <c r="BG15" s="85">
        <f t="shared" si="32"/>
        <v>50.870875418149311</v>
      </c>
      <c r="BH15" s="85">
        <f t="shared" si="33"/>
        <v>5.1050383330282761E-3</v>
      </c>
      <c r="BI15" s="85">
        <f t="shared" si="34"/>
        <v>46.788940485251345</v>
      </c>
      <c r="BJ15" s="85">
        <f t="shared" si="35"/>
        <v>5.3230679210280523E-3</v>
      </c>
      <c r="BK15" s="85">
        <f t="shared" si="36"/>
        <v>44.896142970023362</v>
      </c>
      <c r="BL15" s="85">
        <f t="shared" si="37"/>
        <v>5.4341184033497442E-3</v>
      </c>
      <c r="BM15" s="85">
        <f t="shared" si="38"/>
        <v>43.990464963002694</v>
      </c>
      <c r="BN15" s="85">
        <f t="shared" si="39"/>
        <v>5.489772368833393E-3</v>
      </c>
      <c r="BO15" s="85">
        <f t="shared" si="40"/>
        <v>43.550361850917483</v>
      </c>
      <c r="BP15" s="85">
        <f t="shared" si="41"/>
        <v>5.5174413995089005E-3</v>
      </c>
      <c r="BQ15" s="85">
        <f t="shared" si="42"/>
        <v>43.334864336126856</v>
      </c>
      <c r="BR15" s="85">
        <f t="shared" si="43"/>
        <v>5.5311430739026007E-3</v>
      </c>
      <c r="BS15" s="85">
        <f t="shared" si="44"/>
        <v>43.228948542659261</v>
      </c>
      <c r="BT15" s="85">
        <f t="shared" si="45"/>
        <v>5.5379148903061445E-3</v>
      </c>
      <c r="BU15" s="85">
        <f t="shared" si="46"/>
        <v>43.176795053453262</v>
      </c>
      <c r="BV15" s="85">
        <f t="shared" si="47"/>
        <v>5.5412585199043638E-3</v>
      </c>
      <c r="BW15" s="85">
        <f t="shared" si="48"/>
        <v>43.151090937739589</v>
      </c>
    </row>
    <row r="16" spans="1:75 16382:16382" ht="16.05" customHeight="1" x14ac:dyDescent="0.45">
      <c r="A16" s="52"/>
      <c r="B16" s="52"/>
      <c r="C16" s="55"/>
      <c r="D16" s="55"/>
      <c r="E16" s="55"/>
      <c r="F16" s="55"/>
      <c r="G16" s="55"/>
      <c r="H16" s="55"/>
      <c r="I16" s="55"/>
      <c r="J16" s="52"/>
      <c r="K16" s="52"/>
      <c r="L16" s="53"/>
      <c r="Y16" s="142">
        <v>1.4E-3</v>
      </c>
      <c r="Z16" s="46">
        <f t="shared" si="0"/>
        <v>1.404987483413138E-4</v>
      </c>
      <c r="AA16" s="84">
        <f t="shared" si="22"/>
        <v>169.10294208844033</v>
      </c>
      <c r="AB16" s="84">
        <f t="shared" si="23"/>
        <v>4.4271887242357309E-4</v>
      </c>
      <c r="AC16" s="84">
        <f t="shared" si="24"/>
        <v>533.53283537700668</v>
      </c>
      <c r="AD16" s="84">
        <f t="shared" si="1"/>
        <v>2.4924304089358611E-4</v>
      </c>
      <c r="AE16" s="84">
        <f t="shared" si="2"/>
        <v>947.25405676878506</v>
      </c>
      <c r="AF16" s="84">
        <f t="shared" si="3"/>
        <v>1.8705545617097083E-4</v>
      </c>
      <c r="AG16" s="84">
        <f t="shared" si="4"/>
        <v>1261.9873021718747</v>
      </c>
      <c r="AH16" s="84">
        <f t="shared" si="5"/>
        <v>1.6206010833981726E-4</v>
      </c>
      <c r="AI16" s="84">
        <f t="shared" si="6"/>
        <v>1456.5435053286005</v>
      </c>
      <c r="AJ16" s="84">
        <f t="shared" si="7"/>
        <v>1.5084880946170898E-4</v>
      </c>
      <c r="AK16" s="84">
        <f t="shared" si="8"/>
        <v>1564.7542385777456</v>
      </c>
      <c r="AL16" s="84">
        <f t="shared" si="9"/>
        <v>1.455393896101639E-4</v>
      </c>
      <c r="AM16" s="84">
        <f t="shared" si="10"/>
        <v>1621.8175620631118</v>
      </c>
      <c r="AN16" s="84">
        <f t="shared" si="11"/>
        <v>1.4295607577157244E-4</v>
      </c>
      <c r="AO16" s="84">
        <f t="shared" si="12"/>
        <v>1651.1147836575879</v>
      </c>
      <c r="AP16" s="84">
        <f t="shared" si="13"/>
        <v>1.4168209973498342E-4</v>
      </c>
      <c r="AQ16" s="84">
        <f t="shared" si="14"/>
        <v>1665.9562253744659</v>
      </c>
      <c r="AR16" s="84">
        <f t="shared" si="15"/>
        <v>1.4104958887412681E-4</v>
      </c>
      <c r="AS16" s="84">
        <f t="shared" si="16"/>
        <v>1673.4243853658636</v>
      </c>
      <c r="AT16" s="84">
        <f t="shared" si="17"/>
        <v>1.4073449881305585E-4</v>
      </c>
      <c r="AU16" s="84">
        <f t="shared" si="18"/>
        <v>1677.1697555131079</v>
      </c>
      <c r="AV16" s="84">
        <f t="shared" si="19"/>
        <v>1.4057727042498445E-4</v>
      </c>
      <c r="AW16" s="84">
        <f t="shared" si="20"/>
        <v>1679.0449560584129</v>
      </c>
      <c r="AX16" s="84">
        <f t="shared" si="21"/>
        <v>1.404987483413138E-4</v>
      </c>
      <c r="AY16" s="142">
        <v>1.4E-3</v>
      </c>
      <c r="AZ16" s="46">
        <f t="shared" si="25"/>
        <v>5.5412585199043638E-3</v>
      </c>
      <c r="BA16" s="85">
        <f t="shared" si="26"/>
        <v>169.10294208844033</v>
      </c>
      <c r="BB16" s="85">
        <f t="shared" si="27"/>
        <v>2.8E-3</v>
      </c>
      <c r="BC16" s="85">
        <f t="shared" si="28"/>
        <v>84.835010018949916</v>
      </c>
      <c r="BD16" s="85">
        <f t="shared" si="29"/>
        <v>3.9531751383913797E-3</v>
      </c>
      <c r="BE16" s="85">
        <f t="shared" si="30"/>
        <v>60.254569955311737</v>
      </c>
      <c r="BF16" s="85">
        <f t="shared" si="31"/>
        <v>4.6907103644608155E-3</v>
      </c>
      <c r="BG16" s="85">
        <f t="shared" si="32"/>
        <v>50.870875418149311</v>
      </c>
      <c r="BH16" s="85">
        <f t="shared" si="33"/>
        <v>5.1050383330282761E-3</v>
      </c>
      <c r="BI16" s="85">
        <f t="shared" si="34"/>
        <v>46.788940485251345</v>
      </c>
      <c r="BJ16" s="85">
        <f t="shared" si="35"/>
        <v>5.3230679210280523E-3</v>
      </c>
      <c r="BK16" s="85">
        <f t="shared" si="36"/>
        <v>44.896142970023362</v>
      </c>
      <c r="BL16" s="85">
        <f t="shared" si="37"/>
        <v>5.4341184033497442E-3</v>
      </c>
      <c r="BM16" s="85">
        <f t="shared" si="38"/>
        <v>43.990464963002694</v>
      </c>
      <c r="BN16" s="85">
        <f t="shared" si="39"/>
        <v>5.489772368833393E-3</v>
      </c>
      <c r="BO16" s="85">
        <f t="shared" si="40"/>
        <v>43.550361850917483</v>
      </c>
      <c r="BP16" s="85">
        <f t="shared" si="41"/>
        <v>5.5174413995089005E-3</v>
      </c>
      <c r="BQ16" s="85">
        <f t="shared" si="42"/>
        <v>43.334864336126856</v>
      </c>
      <c r="BR16" s="85">
        <f t="shared" si="43"/>
        <v>5.5311430739026007E-3</v>
      </c>
      <c r="BS16" s="85">
        <f t="shared" si="44"/>
        <v>43.228948542659261</v>
      </c>
      <c r="BT16" s="85">
        <f t="shared" si="45"/>
        <v>5.5379148903061445E-3</v>
      </c>
      <c r="BU16" s="85">
        <f t="shared" si="46"/>
        <v>43.176795053453262</v>
      </c>
      <c r="BV16" s="85">
        <f t="shared" si="47"/>
        <v>5.5412585199043638E-3</v>
      </c>
      <c r="BW16" s="85">
        <f t="shared" si="48"/>
        <v>43.151090937739589</v>
      </c>
    </row>
    <row r="17" spans="1:75" ht="16.05" customHeight="1" x14ac:dyDescent="0.45">
      <c r="A17" s="61"/>
      <c r="B17" s="55"/>
      <c r="C17" s="55"/>
      <c r="D17" s="55"/>
      <c r="E17" s="55"/>
      <c r="F17" s="55"/>
      <c r="G17" s="55"/>
      <c r="H17" s="52"/>
      <c r="I17" s="52"/>
      <c r="J17" s="52"/>
      <c r="K17" s="52"/>
      <c r="L17" s="53"/>
      <c r="Y17" s="142">
        <v>1.5E-3</v>
      </c>
      <c r="Z17" s="46">
        <f t="shared" si="0"/>
        <v>1.5056665402708144E-4</v>
      </c>
      <c r="AA17" s="84">
        <f t="shared" si="22"/>
        <v>157.86707267332957</v>
      </c>
      <c r="AB17" s="84">
        <f t="shared" si="23"/>
        <v>4.7434164902525685E-4</v>
      </c>
      <c r="AC17" s="84">
        <f t="shared" si="24"/>
        <v>498.0014167338565</v>
      </c>
      <c r="AD17" s="84">
        <f t="shared" si="1"/>
        <v>2.670679346758865E-4</v>
      </c>
      <c r="AE17" s="84">
        <f t="shared" si="2"/>
        <v>884.06898963574065</v>
      </c>
      <c r="AF17" s="84">
        <f t="shared" si="3"/>
        <v>2.0044441429541103E-4</v>
      </c>
      <c r="AG17" s="84">
        <f t="shared" si="4"/>
        <v>1177.7285884795454</v>
      </c>
      <c r="AH17" s="84">
        <f t="shared" si="5"/>
        <v>1.7366585081331245E-4</v>
      </c>
      <c r="AI17" s="84">
        <f t="shared" si="6"/>
        <v>1359.2430693934214</v>
      </c>
      <c r="AJ17" s="84">
        <f t="shared" si="7"/>
        <v>1.616547511579377E-4</v>
      </c>
      <c r="AK17" s="84">
        <f t="shared" si="8"/>
        <v>1460.1944536830063</v>
      </c>
      <c r="AL17" s="84">
        <f t="shared" si="9"/>
        <v>1.5596663049969518E-4</v>
      </c>
      <c r="AM17" s="84">
        <f t="shared" si="10"/>
        <v>1513.4274676580944</v>
      </c>
      <c r="AN17" s="84">
        <f t="shared" si="11"/>
        <v>1.5319910604795069E-4</v>
      </c>
      <c r="AO17" s="84">
        <f t="shared" si="12"/>
        <v>1540.7572371573387</v>
      </c>
      <c r="AP17" s="84">
        <f t="shared" si="13"/>
        <v>1.5183431303024547E-4</v>
      </c>
      <c r="AQ17" s="84">
        <f t="shared" si="14"/>
        <v>1554.6016026774712</v>
      </c>
      <c r="AR17" s="84">
        <f t="shared" si="15"/>
        <v>1.5115672766581411E-4</v>
      </c>
      <c r="AS17" s="84">
        <f t="shared" si="16"/>
        <v>1561.5678522996861</v>
      </c>
      <c r="AT17" s="84">
        <f t="shared" si="17"/>
        <v>1.5081919110230396E-4</v>
      </c>
      <c r="AU17" s="84">
        <f t="shared" si="18"/>
        <v>1565.0614199889662</v>
      </c>
      <c r="AV17" s="84">
        <f t="shared" si="19"/>
        <v>1.5065076594884767E-4</v>
      </c>
      <c r="AW17" s="84">
        <f t="shared" si="20"/>
        <v>1566.8105070503273</v>
      </c>
      <c r="AX17" s="84">
        <f t="shared" si="21"/>
        <v>1.5056665402708144E-4</v>
      </c>
      <c r="AY17" s="142">
        <v>1.5E-3</v>
      </c>
      <c r="AZ17" s="46">
        <f t="shared" si="25"/>
        <v>5.9328851631440761E-3</v>
      </c>
      <c r="BA17" s="85">
        <f t="shared" si="26"/>
        <v>157.86707267332957</v>
      </c>
      <c r="BB17" s="85">
        <f t="shared" si="27"/>
        <v>3.0000000000000001E-3</v>
      </c>
      <c r="BC17" s="85">
        <f t="shared" si="28"/>
        <v>79.217325825338975</v>
      </c>
      <c r="BD17" s="85">
        <f t="shared" si="29"/>
        <v>4.2350344148986913E-3</v>
      </c>
      <c r="BE17" s="85">
        <f t="shared" si="30"/>
        <v>56.282557953799383</v>
      </c>
      <c r="BF17" s="85">
        <f t="shared" si="31"/>
        <v>5.0243527072992159E-3</v>
      </c>
      <c r="BG17" s="85">
        <f t="shared" si="32"/>
        <v>47.531055755083742</v>
      </c>
      <c r="BH17" s="85">
        <f t="shared" si="33"/>
        <v>5.4673679454953945E-3</v>
      </c>
      <c r="BI17" s="85">
        <f t="shared" si="34"/>
        <v>43.72645495243173</v>
      </c>
      <c r="BJ17" s="85">
        <f t="shared" si="35"/>
        <v>5.7002630581212419E-3</v>
      </c>
      <c r="BK17" s="85">
        <f t="shared" si="36"/>
        <v>41.963566078304986</v>
      </c>
      <c r="BL17" s="85">
        <f t="shared" si="37"/>
        <v>5.8187652815039851E-3</v>
      </c>
      <c r="BM17" s="85">
        <f t="shared" si="38"/>
        <v>41.120750555888975</v>
      </c>
      <c r="BN17" s="85">
        <f t="shared" si="39"/>
        <v>5.8780938555842693E-3</v>
      </c>
      <c r="BO17" s="85">
        <f t="shared" si="40"/>
        <v>40.711560356171574</v>
      </c>
      <c r="BP17" s="85">
        <f t="shared" si="41"/>
        <v>5.9075602377760827E-3</v>
      </c>
      <c r="BQ17" s="85">
        <f t="shared" si="42"/>
        <v>40.511385626717988</v>
      </c>
      <c r="BR17" s="85">
        <f t="shared" si="43"/>
        <v>5.9221374616354036E-3</v>
      </c>
      <c r="BS17" s="85">
        <f t="shared" si="44"/>
        <v>40.413094455405563</v>
      </c>
      <c r="BT17" s="85">
        <f t="shared" si="45"/>
        <v>5.929334885253091E-3</v>
      </c>
      <c r="BU17" s="85">
        <f t="shared" si="46"/>
        <v>40.364741998616651</v>
      </c>
      <c r="BV17" s="85">
        <f t="shared" si="47"/>
        <v>5.9328851631440761E-3</v>
      </c>
      <c r="BW17" s="85">
        <f t="shared" si="48"/>
        <v>40.340934367770238</v>
      </c>
    </row>
    <row r="18" spans="1:75" ht="16.05" customHeight="1" x14ac:dyDescent="0.45">
      <c r="A18" s="75" t="s">
        <v>92</v>
      </c>
      <c r="B18" s="52"/>
      <c r="C18" s="63" t="s">
        <v>93</v>
      </c>
      <c r="D18" s="64" t="s">
        <v>94</v>
      </c>
      <c r="E18" s="63" t="s">
        <v>95</v>
      </c>
      <c r="F18" s="64" t="s">
        <v>94</v>
      </c>
      <c r="G18" s="63" t="s">
        <v>95</v>
      </c>
      <c r="H18" s="52"/>
      <c r="I18" s="52"/>
      <c r="J18" s="52"/>
      <c r="K18" s="52"/>
      <c r="L18" s="53"/>
      <c r="Y18" s="142">
        <v>1.5E-3</v>
      </c>
      <c r="Z18" s="46">
        <f t="shared" si="0"/>
        <v>1.5056665402708144E-4</v>
      </c>
      <c r="AA18" s="84">
        <f t="shared" si="22"/>
        <v>157.86707267332957</v>
      </c>
      <c r="AB18" s="84">
        <f t="shared" si="23"/>
        <v>4.7434164902525685E-4</v>
      </c>
      <c r="AC18" s="84">
        <f t="shared" si="24"/>
        <v>498.0014167338565</v>
      </c>
      <c r="AD18" s="84">
        <f t="shared" si="1"/>
        <v>2.670679346758865E-4</v>
      </c>
      <c r="AE18" s="84">
        <f t="shared" si="2"/>
        <v>884.06898963574065</v>
      </c>
      <c r="AF18" s="84">
        <f t="shared" si="3"/>
        <v>2.0044441429541103E-4</v>
      </c>
      <c r="AG18" s="84">
        <f t="shared" si="4"/>
        <v>1177.7285884795454</v>
      </c>
      <c r="AH18" s="84">
        <f t="shared" si="5"/>
        <v>1.7366585081331245E-4</v>
      </c>
      <c r="AI18" s="84">
        <f t="shared" si="6"/>
        <v>1359.2430693934214</v>
      </c>
      <c r="AJ18" s="84">
        <f t="shared" si="7"/>
        <v>1.616547511579377E-4</v>
      </c>
      <c r="AK18" s="84">
        <f t="shared" si="8"/>
        <v>1460.1944536830063</v>
      </c>
      <c r="AL18" s="84">
        <f t="shared" si="9"/>
        <v>1.5596663049969518E-4</v>
      </c>
      <c r="AM18" s="84">
        <f t="shared" si="10"/>
        <v>1513.4274676580944</v>
      </c>
      <c r="AN18" s="84">
        <f t="shared" si="11"/>
        <v>1.5319910604795069E-4</v>
      </c>
      <c r="AO18" s="84">
        <f t="shared" si="12"/>
        <v>1540.7572371573387</v>
      </c>
      <c r="AP18" s="84">
        <f t="shared" si="13"/>
        <v>1.5183431303024547E-4</v>
      </c>
      <c r="AQ18" s="84">
        <f t="shared" si="14"/>
        <v>1554.6016026774712</v>
      </c>
      <c r="AR18" s="84">
        <f t="shared" si="15"/>
        <v>1.5115672766581411E-4</v>
      </c>
      <c r="AS18" s="84">
        <f t="shared" si="16"/>
        <v>1561.5678522996861</v>
      </c>
      <c r="AT18" s="84">
        <f t="shared" si="17"/>
        <v>1.5081919110230396E-4</v>
      </c>
      <c r="AU18" s="84">
        <f t="shared" si="18"/>
        <v>1565.0614199889662</v>
      </c>
      <c r="AV18" s="84">
        <f t="shared" si="19"/>
        <v>1.5065076594884767E-4</v>
      </c>
      <c r="AW18" s="84">
        <f t="shared" si="20"/>
        <v>1566.8105070503273</v>
      </c>
      <c r="AX18" s="84">
        <f t="shared" si="21"/>
        <v>1.5056665402708144E-4</v>
      </c>
      <c r="AY18" s="142">
        <v>1.5E-3</v>
      </c>
      <c r="AZ18" s="46">
        <f t="shared" si="25"/>
        <v>5.9328851631440761E-3</v>
      </c>
      <c r="BA18" s="85">
        <f t="shared" si="26"/>
        <v>157.86707267332957</v>
      </c>
      <c r="BB18" s="85">
        <f t="shared" si="27"/>
        <v>3.0000000000000001E-3</v>
      </c>
      <c r="BC18" s="85">
        <f t="shared" si="28"/>
        <v>79.217325825338975</v>
      </c>
      <c r="BD18" s="85">
        <f t="shared" si="29"/>
        <v>4.2350344148986913E-3</v>
      </c>
      <c r="BE18" s="85">
        <f t="shared" si="30"/>
        <v>56.282557953799383</v>
      </c>
      <c r="BF18" s="85">
        <f t="shared" si="31"/>
        <v>5.0243527072992159E-3</v>
      </c>
      <c r="BG18" s="85">
        <f t="shared" si="32"/>
        <v>47.531055755083742</v>
      </c>
      <c r="BH18" s="85">
        <f t="shared" si="33"/>
        <v>5.4673679454953945E-3</v>
      </c>
      <c r="BI18" s="85">
        <f t="shared" si="34"/>
        <v>43.72645495243173</v>
      </c>
      <c r="BJ18" s="85">
        <f t="shared" si="35"/>
        <v>5.7002630581212419E-3</v>
      </c>
      <c r="BK18" s="85">
        <f t="shared" si="36"/>
        <v>41.963566078304986</v>
      </c>
      <c r="BL18" s="85">
        <f t="shared" si="37"/>
        <v>5.8187652815039851E-3</v>
      </c>
      <c r="BM18" s="85">
        <f t="shared" si="38"/>
        <v>41.120750555888975</v>
      </c>
      <c r="BN18" s="85">
        <f t="shared" si="39"/>
        <v>5.8780938555842693E-3</v>
      </c>
      <c r="BO18" s="85">
        <f t="shared" si="40"/>
        <v>40.711560356171574</v>
      </c>
      <c r="BP18" s="85">
        <f t="shared" si="41"/>
        <v>5.9075602377760827E-3</v>
      </c>
      <c r="BQ18" s="85">
        <f t="shared" si="42"/>
        <v>40.511385626717988</v>
      </c>
      <c r="BR18" s="85">
        <f t="shared" si="43"/>
        <v>5.9221374616354036E-3</v>
      </c>
      <c r="BS18" s="85">
        <f t="shared" si="44"/>
        <v>40.413094455405563</v>
      </c>
      <c r="BT18" s="85">
        <f t="shared" si="45"/>
        <v>5.929334885253091E-3</v>
      </c>
      <c r="BU18" s="85">
        <f t="shared" si="46"/>
        <v>40.364741998616651</v>
      </c>
      <c r="BV18" s="85">
        <f t="shared" si="47"/>
        <v>5.9328851631440761E-3</v>
      </c>
      <c r="BW18" s="85">
        <f t="shared" si="48"/>
        <v>40.340934367770238</v>
      </c>
    </row>
    <row r="19" spans="1:75" ht="16.05" customHeight="1" x14ac:dyDescent="0.55000000000000004">
      <c r="A19" s="53"/>
      <c r="B19" s="65" t="s">
        <v>96</v>
      </c>
      <c r="C19" s="66">
        <v>-1</v>
      </c>
      <c r="D19" s="66">
        <f>I4</f>
        <v>10</v>
      </c>
      <c r="E19" s="67">
        <f>(1+I7/I4*(2.514+0.8*EXP(-0.55*I4/(I7))))</f>
        <v>1.01789968</v>
      </c>
      <c r="F19" s="67">
        <f>I11</f>
        <v>100</v>
      </c>
      <c r="G19" s="67">
        <f>(1+I14/I11*(2.514+0.8*EXP(-0.55*I11/(I14))))</f>
        <v>1.001789968</v>
      </c>
      <c r="H19" s="73">
        <v>25</v>
      </c>
      <c r="I19" s="52"/>
      <c r="J19" s="52"/>
      <c r="K19" s="52"/>
      <c r="L19" s="55"/>
      <c r="N19" s="54" t="s">
        <v>85</v>
      </c>
      <c r="O19" s="56" t="s">
        <v>132</v>
      </c>
      <c r="P19" s="58">
        <f>I8</f>
        <v>2.9105110344324263</v>
      </c>
      <c r="Q19" s="52" t="s">
        <v>133</v>
      </c>
      <c r="R19" s="55" t="s">
        <v>144</v>
      </c>
      <c r="Y19" s="142">
        <v>1.6000000000000001E-3</v>
      </c>
      <c r="Z19" s="46">
        <f t="shared" si="0"/>
        <v>1.6063888305493734E-4</v>
      </c>
      <c r="AA19" s="84">
        <f t="shared" si="22"/>
        <v>148.03570793336274</v>
      </c>
      <c r="AB19" s="84">
        <f t="shared" si="23"/>
        <v>5.0596442562694072E-4</v>
      </c>
      <c r="AC19" s="84">
        <f t="shared" si="24"/>
        <v>466.91143211415005</v>
      </c>
      <c r="AD19" s="84">
        <f t="shared" si="1"/>
        <v>2.8489575047970297E-4</v>
      </c>
      <c r="AE19" s="84">
        <f t="shared" si="2"/>
        <v>828.78203362974034</v>
      </c>
      <c r="AF19" s="84">
        <f t="shared" si="3"/>
        <v>2.1383710255003488E-4</v>
      </c>
      <c r="AG19" s="84">
        <f t="shared" si="4"/>
        <v>1104.0021756208171</v>
      </c>
      <c r="AH19" s="84">
        <f t="shared" si="5"/>
        <v>1.8527561370258933E-4</v>
      </c>
      <c r="AI19" s="84">
        <f t="shared" si="6"/>
        <v>1274.105144951729</v>
      </c>
      <c r="AJ19" s="84">
        <f t="shared" si="7"/>
        <v>1.7246484816111287E-4</v>
      </c>
      <c r="AK19" s="84">
        <f t="shared" si="8"/>
        <v>1368.7045989819014</v>
      </c>
      <c r="AL19" s="84">
        <f t="shared" si="9"/>
        <v>1.6639809954394251E-4</v>
      </c>
      <c r="AM19" s="84">
        <f t="shared" si="10"/>
        <v>1418.5860933336887</v>
      </c>
      <c r="AN19" s="84">
        <f t="shared" si="11"/>
        <v>1.6344640626244356E-4</v>
      </c>
      <c r="AO19" s="84">
        <f t="shared" si="12"/>
        <v>1444.1943433703602</v>
      </c>
      <c r="AP19" s="84">
        <f t="shared" si="13"/>
        <v>1.6199082055128649E-4</v>
      </c>
      <c r="AQ19" s="84">
        <f t="shared" si="14"/>
        <v>1457.1662680181466</v>
      </c>
      <c r="AR19" s="84">
        <f t="shared" si="15"/>
        <v>1.6126817472301809E-4</v>
      </c>
      <c r="AS19" s="84">
        <f t="shared" si="16"/>
        <v>1463.6933465820155</v>
      </c>
      <c r="AT19" s="84">
        <f t="shared" si="17"/>
        <v>1.6090819967973233E-4</v>
      </c>
      <c r="AU19" s="84">
        <f t="shared" si="18"/>
        <v>1466.9665874351633</v>
      </c>
      <c r="AV19" s="84">
        <f t="shared" si="19"/>
        <v>1.6072858228865898E-4</v>
      </c>
      <c r="AW19" s="84">
        <f t="shared" si="20"/>
        <v>1468.6053253846874</v>
      </c>
      <c r="AX19" s="84">
        <f t="shared" si="21"/>
        <v>1.6063888305493734E-4</v>
      </c>
      <c r="AY19" s="142">
        <v>1.6000000000000001E-3</v>
      </c>
      <c r="AZ19" s="46">
        <f t="shared" si="25"/>
        <v>6.3239592273483126E-3</v>
      </c>
      <c r="BA19" s="85">
        <f t="shared" si="26"/>
        <v>148.03570793336274</v>
      </c>
      <c r="BB19" s="85">
        <f t="shared" si="27"/>
        <v>3.2000000000000002E-3</v>
      </c>
      <c r="BC19" s="85">
        <f t="shared" si="28"/>
        <v>74.301893668637248</v>
      </c>
      <c r="BD19" s="85">
        <f t="shared" si="29"/>
        <v>4.5168251560932004E-3</v>
      </c>
      <c r="BE19" s="85">
        <f t="shared" si="30"/>
        <v>52.807112416188843</v>
      </c>
      <c r="BF19" s="85">
        <f t="shared" si="31"/>
        <v>5.3578063261528527E-3</v>
      </c>
      <c r="BG19" s="85">
        <f t="shared" si="32"/>
        <v>44.608796045174486</v>
      </c>
      <c r="BH19" s="85">
        <f t="shared" si="33"/>
        <v>5.8293880950418099E-3</v>
      </c>
      <c r="BI19" s="85">
        <f t="shared" si="34"/>
        <v>41.046872532808564</v>
      </c>
      <c r="BJ19" s="85">
        <f t="shared" si="35"/>
        <v>6.0770552449484917E-3</v>
      </c>
      <c r="BK19" s="85">
        <f t="shared" si="36"/>
        <v>39.397657565931006</v>
      </c>
      <c r="BL19" s="85">
        <f t="shared" si="37"/>
        <v>6.2029462829271288E-3</v>
      </c>
      <c r="BM19" s="85">
        <f t="shared" si="38"/>
        <v>38.60984691905783</v>
      </c>
      <c r="BN19" s="85">
        <f t="shared" si="39"/>
        <v>6.265910408014959E-3</v>
      </c>
      <c r="BO19" s="85">
        <f t="shared" si="40"/>
        <v>38.227704090640678</v>
      </c>
      <c r="BP19" s="85">
        <f t="shared" si="41"/>
        <v>6.297151080544525E-3</v>
      </c>
      <c r="BQ19" s="85">
        <f t="shared" si="42"/>
        <v>38.04093497486727</v>
      </c>
      <c r="BR19" s="85">
        <f t="shared" si="43"/>
        <v>6.312590675885521E-3</v>
      </c>
      <c r="BS19" s="85">
        <f t="shared" si="44"/>
        <v>37.949313711253971</v>
      </c>
      <c r="BT19" s="85">
        <f t="shared" si="45"/>
        <v>6.3202063454399614E-3</v>
      </c>
      <c r="BU19" s="85">
        <f t="shared" si="46"/>
        <v>37.904285895866337</v>
      </c>
      <c r="BV19" s="85">
        <f t="shared" si="47"/>
        <v>6.3239592273483126E-3</v>
      </c>
      <c r="BW19" s="85">
        <f t="shared" si="48"/>
        <v>37.882136798205003</v>
      </c>
    </row>
    <row r="20" spans="1:75" ht="16.05" customHeight="1" x14ac:dyDescent="0.45">
      <c r="A20" s="53"/>
      <c r="B20" s="65" t="s">
        <v>0</v>
      </c>
      <c r="C20" s="68">
        <v>0</v>
      </c>
      <c r="D20" s="69">
        <f>I$4/SQRT(I$5/(1*I$6))</f>
        <v>2.9721914913888203</v>
      </c>
      <c r="E20" s="67">
        <f>(1+I$7/D20*(2.514+0.8*EXP(-0.55*D20/(I$7))))</f>
        <v>1.0602238451071158</v>
      </c>
      <c r="F20" s="168">
        <f>I$11*SQRT(I$12/(1*I$13))</f>
        <v>180.27756377319946</v>
      </c>
      <c r="G20" s="67">
        <f>(1+I$14/F20*(2.514+0.8*EXP(-0.55*F20/(I$14))))</f>
        <v>1.0009928956008369</v>
      </c>
      <c r="H20" s="73">
        <v>5.2</v>
      </c>
      <c r="I20" s="52"/>
      <c r="J20" s="52"/>
      <c r="K20" s="52"/>
      <c r="L20" s="55"/>
      <c r="O20" s="56" t="s">
        <v>0</v>
      </c>
      <c r="P20" s="58">
        <v>2</v>
      </c>
      <c r="R20" s="47" t="s">
        <v>145</v>
      </c>
      <c r="Y20" s="142">
        <v>1.6000000000000001E-3</v>
      </c>
      <c r="Z20" s="46">
        <f t="shared" si="0"/>
        <v>1.6063888305493734E-4</v>
      </c>
      <c r="AA20" s="84">
        <f t="shared" si="22"/>
        <v>148.03570793336274</v>
      </c>
      <c r="AB20" s="84">
        <f t="shared" si="23"/>
        <v>5.0596442562694072E-4</v>
      </c>
      <c r="AC20" s="84">
        <f t="shared" si="24"/>
        <v>466.91143211415005</v>
      </c>
      <c r="AD20" s="84">
        <f t="shared" si="1"/>
        <v>2.8489575047970297E-4</v>
      </c>
      <c r="AE20" s="84">
        <f t="shared" si="2"/>
        <v>828.78203362974034</v>
      </c>
      <c r="AF20" s="84">
        <f t="shared" si="3"/>
        <v>2.1383710255003488E-4</v>
      </c>
      <c r="AG20" s="84">
        <f t="shared" si="4"/>
        <v>1104.0021756208171</v>
      </c>
      <c r="AH20" s="84">
        <f t="shared" si="5"/>
        <v>1.8527561370258933E-4</v>
      </c>
      <c r="AI20" s="84">
        <f t="shared" si="6"/>
        <v>1274.105144951729</v>
      </c>
      <c r="AJ20" s="84">
        <f t="shared" si="7"/>
        <v>1.7246484816111287E-4</v>
      </c>
      <c r="AK20" s="84">
        <f t="shared" si="8"/>
        <v>1368.7045989819014</v>
      </c>
      <c r="AL20" s="84">
        <f t="shared" si="9"/>
        <v>1.6639809954394251E-4</v>
      </c>
      <c r="AM20" s="84">
        <f t="shared" si="10"/>
        <v>1418.5860933336887</v>
      </c>
      <c r="AN20" s="84">
        <f t="shared" si="11"/>
        <v>1.6344640626244356E-4</v>
      </c>
      <c r="AO20" s="84">
        <f t="shared" si="12"/>
        <v>1444.1943433703602</v>
      </c>
      <c r="AP20" s="84">
        <f t="shared" si="13"/>
        <v>1.6199082055128649E-4</v>
      </c>
      <c r="AQ20" s="84">
        <f t="shared" si="14"/>
        <v>1457.1662680181466</v>
      </c>
      <c r="AR20" s="84">
        <f t="shared" si="15"/>
        <v>1.6126817472301809E-4</v>
      </c>
      <c r="AS20" s="84">
        <f t="shared" si="16"/>
        <v>1463.6933465820155</v>
      </c>
      <c r="AT20" s="84">
        <f t="shared" si="17"/>
        <v>1.6090819967973233E-4</v>
      </c>
      <c r="AU20" s="84">
        <f t="shared" si="18"/>
        <v>1466.9665874351633</v>
      </c>
      <c r="AV20" s="84">
        <f t="shared" si="19"/>
        <v>1.6072858228865898E-4</v>
      </c>
      <c r="AW20" s="84">
        <f t="shared" si="20"/>
        <v>1468.6053253846874</v>
      </c>
      <c r="AX20" s="84">
        <f t="shared" si="21"/>
        <v>1.6063888305493734E-4</v>
      </c>
      <c r="AY20" s="142">
        <v>1.6000000000000001E-3</v>
      </c>
      <c r="AZ20" s="46">
        <f t="shared" si="25"/>
        <v>6.3239592273483126E-3</v>
      </c>
      <c r="BA20" s="85">
        <f t="shared" si="26"/>
        <v>148.03570793336274</v>
      </c>
      <c r="BB20" s="85">
        <f t="shared" si="27"/>
        <v>3.2000000000000002E-3</v>
      </c>
      <c r="BC20" s="85">
        <f t="shared" si="28"/>
        <v>74.301893668637248</v>
      </c>
      <c r="BD20" s="85">
        <f t="shared" si="29"/>
        <v>4.5168251560932004E-3</v>
      </c>
      <c r="BE20" s="85">
        <f t="shared" si="30"/>
        <v>52.807112416188843</v>
      </c>
      <c r="BF20" s="85">
        <f t="shared" si="31"/>
        <v>5.3578063261528527E-3</v>
      </c>
      <c r="BG20" s="85">
        <f t="shared" si="32"/>
        <v>44.608796045174486</v>
      </c>
      <c r="BH20" s="85">
        <f t="shared" si="33"/>
        <v>5.8293880950418099E-3</v>
      </c>
      <c r="BI20" s="85">
        <f t="shared" si="34"/>
        <v>41.046872532808564</v>
      </c>
      <c r="BJ20" s="85">
        <f t="shared" si="35"/>
        <v>6.0770552449484917E-3</v>
      </c>
      <c r="BK20" s="85">
        <f t="shared" si="36"/>
        <v>39.397657565931006</v>
      </c>
      <c r="BL20" s="85">
        <f t="shared" si="37"/>
        <v>6.2029462829271288E-3</v>
      </c>
      <c r="BM20" s="85">
        <f t="shared" si="38"/>
        <v>38.60984691905783</v>
      </c>
      <c r="BN20" s="85">
        <f t="shared" si="39"/>
        <v>6.265910408014959E-3</v>
      </c>
      <c r="BO20" s="85">
        <f t="shared" si="40"/>
        <v>38.227704090640678</v>
      </c>
      <c r="BP20" s="85">
        <f t="shared" si="41"/>
        <v>6.297151080544525E-3</v>
      </c>
      <c r="BQ20" s="85">
        <f t="shared" si="42"/>
        <v>38.04093497486727</v>
      </c>
      <c r="BR20" s="85">
        <f t="shared" si="43"/>
        <v>6.312590675885521E-3</v>
      </c>
      <c r="BS20" s="85">
        <f t="shared" si="44"/>
        <v>37.949313711253971</v>
      </c>
      <c r="BT20" s="85">
        <f t="shared" si="45"/>
        <v>6.3202063454399614E-3</v>
      </c>
      <c r="BU20" s="85">
        <f t="shared" si="46"/>
        <v>37.904285895866337</v>
      </c>
      <c r="BV20" s="85">
        <f t="shared" si="47"/>
        <v>6.3239592273483126E-3</v>
      </c>
      <c r="BW20" s="85">
        <f t="shared" si="48"/>
        <v>37.882136798205003</v>
      </c>
    </row>
    <row r="21" spans="1:75" ht="16.05" customHeight="1" x14ac:dyDescent="0.55000000000000004">
      <c r="A21" s="53"/>
      <c r="B21" s="65" t="s">
        <v>1</v>
      </c>
      <c r="C21" s="68">
        <v>1</v>
      </c>
      <c r="D21" s="69">
        <f>I$4/SQRT((I$5*E20)/(1*I$6*E$19))</f>
        <v>2.9122623235932044</v>
      </c>
      <c r="E21" s="67">
        <f t="shared" ref="E21:E30" si="49">(1+I$7/D21*(2.514+0.8*EXP(-0.55*D21/(I$7))))</f>
        <v>1.0614631444975129</v>
      </c>
      <c r="F21" s="67">
        <f t="shared" ref="F21:F30" si="50">I$11*SQRT((I$12*G$19)/(1*I$13*G20))</f>
        <v>180.34932535962253</v>
      </c>
      <c r="G21" s="67">
        <f t="shared" ref="G21:G30" si="51">(1+I$14/F21*(2.514+0.8*EXP(-0.55*F21/(I$14))))</f>
        <v>1.0009925005244298</v>
      </c>
      <c r="H21" s="73">
        <v>90</v>
      </c>
      <c r="I21" s="70">
        <f>$H$19*$H$20^NORMSINV(H21/100)</f>
        <v>206.792705238819</v>
      </c>
      <c r="J21" s="61" t="s">
        <v>97</v>
      </c>
      <c r="K21" s="53"/>
      <c r="L21" s="55"/>
      <c r="N21" s="54" t="s">
        <v>90</v>
      </c>
      <c r="O21" s="56" t="s">
        <v>135</v>
      </c>
      <c r="P21" s="71">
        <f>P19*EXP(3*LN(P20)^2)</f>
        <v>12.301088085810468</v>
      </c>
      <c r="Q21" s="52" t="s">
        <v>133</v>
      </c>
      <c r="R21" s="47" t="s">
        <v>146</v>
      </c>
      <c r="Y21" s="142">
        <v>1.6999999999999999E-3</v>
      </c>
      <c r="Z21" s="46">
        <f t="shared" si="0"/>
        <v>1.7071543900821763E-4</v>
      </c>
      <c r="AA21" s="84">
        <f t="shared" si="22"/>
        <v>139.36099408707744</v>
      </c>
      <c r="AB21" s="84">
        <f t="shared" si="23"/>
        <v>5.3758720222862443E-4</v>
      </c>
      <c r="AC21" s="84">
        <f t="shared" si="24"/>
        <v>439.47909904162356</v>
      </c>
      <c r="AD21" s="84">
        <f t="shared" si="1"/>
        <v>3.0272649067430274E-4</v>
      </c>
      <c r="AE21" s="84">
        <f t="shared" si="2"/>
        <v>779.99940451086991</v>
      </c>
      <c r="AF21" s="84">
        <f t="shared" si="3"/>
        <v>2.2723352395574763E-4</v>
      </c>
      <c r="AG21" s="84">
        <f t="shared" si="4"/>
        <v>1038.949422439483</v>
      </c>
      <c r="AH21" s="84">
        <f t="shared" si="5"/>
        <v>1.9688940029947508E-4</v>
      </c>
      <c r="AI21" s="84">
        <f t="shared" si="6"/>
        <v>1198.9834066799863</v>
      </c>
      <c r="AJ21" s="84">
        <f t="shared" si="7"/>
        <v>1.8327910389876037E-4</v>
      </c>
      <c r="AK21" s="84">
        <f t="shared" si="8"/>
        <v>1287.9782164794201</v>
      </c>
      <c r="AL21" s="84">
        <f t="shared" si="9"/>
        <v>1.7683380024313417E-4</v>
      </c>
      <c r="AM21" s="84">
        <f t="shared" si="10"/>
        <v>1334.9024887840862</v>
      </c>
      <c r="AN21" s="84">
        <f t="shared" si="11"/>
        <v>1.7369797995481996E-4</v>
      </c>
      <c r="AO21" s="84">
        <f t="shared" si="12"/>
        <v>1358.9917521261859</v>
      </c>
      <c r="AP21" s="84">
        <f t="shared" si="13"/>
        <v>1.7215162585926293E-4</v>
      </c>
      <c r="AQ21" s="84">
        <f t="shared" si="14"/>
        <v>1371.193876763042</v>
      </c>
      <c r="AR21" s="84">
        <f t="shared" si="15"/>
        <v>1.7138393361832167E-4</v>
      </c>
      <c r="AS21" s="84">
        <f t="shared" si="16"/>
        <v>1377.3334519393866</v>
      </c>
      <c r="AT21" s="84">
        <f t="shared" si="17"/>
        <v>1.7100152812394383E-4</v>
      </c>
      <c r="AU21" s="84">
        <f t="shared" si="18"/>
        <v>1380.4122870582928</v>
      </c>
      <c r="AV21" s="84">
        <f t="shared" si="19"/>
        <v>1.7081072302614969E-4</v>
      </c>
      <c r="AW21" s="84">
        <f t="shared" si="20"/>
        <v>1381.9536583208564</v>
      </c>
      <c r="AX21" s="84">
        <f t="shared" si="21"/>
        <v>1.7071543900821763E-4</v>
      </c>
      <c r="AY21" s="142">
        <v>1.6999999999999999E-3</v>
      </c>
      <c r="AZ21" s="46">
        <f t="shared" si="25"/>
        <v>6.7144816245983995E-3</v>
      </c>
      <c r="BA21" s="85">
        <f t="shared" si="26"/>
        <v>139.36099408707744</v>
      </c>
      <c r="BB21" s="85">
        <f t="shared" si="27"/>
        <v>3.3999999999999998E-3</v>
      </c>
      <c r="BC21" s="85">
        <f t="shared" si="28"/>
        <v>69.964786658486361</v>
      </c>
      <c r="BD21" s="85">
        <f t="shared" si="29"/>
        <v>4.7985472742401829E-3</v>
      </c>
      <c r="BE21" s="85">
        <f t="shared" si="30"/>
        <v>49.740603799377922</v>
      </c>
      <c r="BF21" s="85">
        <f t="shared" si="31"/>
        <v>5.6910710608292642E-3</v>
      </c>
      <c r="BG21" s="85">
        <f t="shared" si="32"/>
        <v>42.030408922885925</v>
      </c>
      <c r="BH21" s="85">
        <f t="shared" si="33"/>
        <v>6.1910986921381297E-3</v>
      </c>
      <c r="BI21" s="85">
        <f t="shared" si="34"/>
        <v>38.682621619028815</v>
      </c>
      <c r="BJ21" s="85">
        <f t="shared" si="35"/>
        <v>6.4534445826097278E-3</v>
      </c>
      <c r="BK21" s="85">
        <f t="shared" si="36"/>
        <v>37.133710645693775</v>
      </c>
      <c r="BL21" s="85">
        <f t="shared" si="37"/>
        <v>6.5866617347775311E-3</v>
      </c>
      <c r="BM21" s="85">
        <f t="shared" si="38"/>
        <v>36.394433803920045</v>
      </c>
      <c r="BN21" s="85">
        <f t="shared" si="39"/>
        <v>6.6532225550869238E-3</v>
      </c>
      <c r="BO21" s="85">
        <f t="shared" si="40"/>
        <v>36.036154895424545</v>
      </c>
      <c r="BP21" s="85">
        <f t="shared" si="41"/>
        <v>6.68621461209617E-3</v>
      </c>
      <c r="BQ21" s="85">
        <f t="shared" si="42"/>
        <v>35.861212507559571</v>
      </c>
      <c r="BR21" s="85">
        <f t="shared" si="43"/>
        <v>6.7025035102176098E-3</v>
      </c>
      <c r="BS21" s="85">
        <f t="shared" si="44"/>
        <v>35.7754748952025</v>
      </c>
      <c r="BT21" s="85">
        <f t="shared" si="45"/>
        <v>6.7105301368867425E-3</v>
      </c>
      <c r="BU21" s="85">
        <f t="shared" si="46"/>
        <v>35.733379388767503</v>
      </c>
      <c r="BV21" s="85">
        <f t="shared" si="47"/>
        <v>6.7144816245983995E-3</v>
      </c>
      <c r="BW21" s="85">
        <f t="shared" si="48"/>
        <v>35.712692859481592</v>
      </c>
    </row>
    <row r="22" spans="1:75" ht="16.05" customHeight="1" x14ac:dyDescent="0.45">
      <c r="A22" s="53"/>
      <c r="B22" s="65" t="s">
        <v>1</v>
      </c>
      <c r="C22" s="68">
        <v>2</v>
      </c>
      <c r="D22" s="69">
        <f>I$4/SQRT((I$5*E21)/(1*I$6*E$19))</f>
        <v>2.9105617374652475</v>
      </c>
      <c r="E22" s="67">
        <f t="shared" si="49"/>
        <v>1.0614990562494251</v>
      </c>
      <c r="F22" s="67">
        <f t="shared" si="50"/>
        <v>180.34936095017713</v>
      </c>
      <c r="G22" s="67">
        <f t="shared" si="51"/>
        <v>1.0009925003285676</v>
      </c>
      <c r="H22" s="73">
        <v>5</v>
      </c>
      <c r="I22" s="70">
        <f>$H$19*$H$20^NORMSINV(H22/100)</f>
        <v>1.66042518475501</v>
      </c>
      <c r="J22" s="61" t="s">
        <v>97</v>
      </c>
      <c r="K22" s="53"/>
      <c r="L22" s="71" t="s">
        <v>98</v>
      </c>
      <c r="Y22" s="142">
        <v>1.6999999999999999E-3</v>
      </c>
      <c r="Z22" s="46">
        <f t="shared" si="0"/>
        <v>1.7071543900821763E-4</v>
      </c>
      <c r="AA22" s="84">
        <f t="shared" si="22"/>
        <v>139.36099408707744</v>
      </c>
      <c r="AB22" s="84">
        <f t="shared" si="23"/>
        <v>5.3758720222862443E-4</v>
      </c>
      <c r="AC22" s="84">
        <f t="shared" si="24"/>
        <v>439.47909904162356</v>
      </c>
      <c r="AD22" s="84">
        <f t="shared" si="1"/>
        <v>3.0272649067430274E-4</v>
      </c>
      <c r="AE22" s="84">
        <f t="shared" si="2"/>
        <v>779.99940451086991</v>
      </c>
      <c r="AF22" s="84">
        <f t="shared" si="3"/>
        <v>2.2723352395574763E-4</v>
      </c>
      <c r="AG22" s="84">
        <f t="shared" si="4"/>
        <v>1038.949422439483</v>
      </c>
      <c r="AH22" s="84">
        <f t="shared" si="5"/>
        <v>1.9688940029947508E-4</v>
      </c>
      <c r="AI22" s="84">
        <f t="shared" si="6"/>
        <v>1198.9834066799863</v>
      </c>
      <c r="AJ22" s="84">
        <f t="shared" si="7"/>
        <v>1.8327910389876037E-4</v>
      </c>
      <c r="AK22" s="84">
        <f t="shared" si="8"/>
        <v>1287.9782164794201</v>
      </c>
      <c r="AL22" s="84">
        <f t="shared" si="9"/>
        <v>1.7683380024313417E-4</v>
      </c>
      <c r="AM22" s="84">
        <f t="shared" si="10"/>
        <v>1334.9024887840862</v>
      </c>
      <c r="AN22" s="84">
        <f t="shared" si="11"/>
        <v>1.7369797995481996E-4</v>
      </c>
      <c r="AO22" s="84">
        <f t="shared" si="12"/>
        <v>1358.9917521261859</v>
      </c>
      <c r="AP22" s="84">
        <f t="shared" si="13"/>
        <v>1.7215162585926293E-4</v>
      </c>
      <c r="AQ22" s="84">
        <f t="shared" si="14"/>
        <v>1371.193876763042</v>
      </c>
      <c r="AR22" s="84">
        <f t="shared" si="15"/>
        <v>1.7138393361832167E-4</v>
      </c>
      <c r="AS22" s="84">
        <f t="shared" si="16"/>
        <v>1377.3334519393866</v>
      </c>
      <c r="AT22" s="84">
        <f t="shared" si="17"/>
        <v>1.7100152812394383E-4</v>
      </c>
      <c r="AU22" s="84">
        <f t="shared" si="18"/>
        <v>1380.4122870582928</v>
      </c>
      <c r="AV22" s="84">
        <f t="shared" si="19"/>
        <v>1.7081072302614969E-4</v>
      </c>
      <c r="AW22" s="84">
        <f t="shared" si="20"/>
        <v>1381.9536583208564</v>
      </c>
      <c r="AX22" s="84">
        <f t="shared" si="21"/>
        <v>1.7071543900821763E-4</v>
      </c>
      <c r="AY22" s="142">
        <v>1.6999999999999999E-3</v>
      </c>
      <c r="AZ22" s="46">
        <f t="shared" si="25"/>
        <v>6.7144816245983995E-3</v>
      </c>
      <c r="BA22" s="85">
        <f t="shared" si="26"/>
        <v>139.36099408707744</v>
      </c>
      <c r="BB22" s="85">
        <f t="shared" si="27"/>
        <v>3.3999999999999998E-3</v>
      </c>
      <c r="BC22" s="85">
        <f t="shared" si="28"/>
        <v>69.964786658486361</v>
      </c>
      <c r="BD22" s="85">
        <f t="shared" si="29"/>
        <v>4.7985472742401829E-3</v>
      </c>
      <c r="BE22" s="85">
        <f t="shared" si="30"/>
        <v>49.740603799377922</v>
      </c>
      <c r="BF22" s="85">
        <f t="shared" si="31"/>
        <v>5.6910710608292642E-3</v>
      </c>
      <c r="BG22" s="85">
        <f t="shared" si="32"/>
        <v>42.030408922885925</v>
      </c>
      <c r="BH22" s="85">
        <f t="shared" si="33"/>
        <v>6.1910986921381297E-3</v>
      </c>
      <c r="BI22" s="85">
        <f t="shared" si="34"/>
        <v>38.682621619028815</v>
      </c>
      <c r="BJ22" s="85">
        <f t="shared" si="35"/>
        <v>6.4534445826097278E-3</v>
      </c>
      <c r="BK22" s="85">
        <f t="shared" si="36"/>
        <v>37.133710645693775</v>
      </c>
      <c r="BL22" s="85">
        <f t="shared" si="37"/>
        <v>6.5866617347775311E-3</v>
      </c>
      <c r="BM22" s="85">
        <f t="shared" si="38"/>
        <v>36.394433803920045</v>
      </c>
      <c r="BN22" s="85">
        <f t="shared" si="39"/>
        <v>6.6532225550869238E-3</v>
      </c>
      <c r="BO22" s="85">
        <f t="shared" si="40"/>
        <v>36.036154895424545</v>
      </c>
      <c r="BP22" s="85">
        <f t="shared" si="41"/>
        <v>6.68621461209617E-3</v>
      </c>
      <c r="BQ22" s="85">
        <f t="shared" si="42"/>
        <v>35.861212507559571</v>
      </c>
      <c r="BR22" s="85">
        <f t="shared" si="43"/>
        <v>6.7025035102176098E-3</v>
      </c>
      <c r="BS22" s="85">
        <f t="shared" si="44"/>
        <v>35.7754748952025</v>
      </c>
      <c r="BT22" s="85">
        <f t="shared" si="45"/>
        <v>6.7105301368867425E-3</v>
      </c>
      <c r="BU22" s="85">
        <f t="shared" si="46"/>
        <v>35.733379388767503</v>
      </c>
      <c r="BV22" s="85">
        <f t="shared" si="47"/>
        <v>6.7144816245983995E-3</v>
      </c>
      <c r="BW22" s="85">
        <f t="shared" si="48"/>
        <v>35.712692859481592</v>
      </c>
    </row>
    <row r="23" spans="1:75" ht="16.05" customHeight="1" x14ac:dyDescent="0.55000000000000004">
      <c r="A23" s="53"/>
      <c r="B23" s="65" t="s">
        <v>97</v>
      </c>
      <c r="C23" s="68">
        <v>3</v>
      </c>
      <c r="D23" s="69">
        <f t="shared" ref="D23:D30" si="52">I$4/SQRT((I$5*E22)/(1*I$6*E$19))</f>
        <v>2.9105125031986332</v>
      </c>
      <c r="E23" s="67">
        <f t="shared" si="49"/>
        <v>1.061500096568246</v>
      </c>
      <c r="F23" s="67">
        <f t="shared" si="50"/>
        <v>180.34936096782144</v>
      </c>
      <c r="G23" s="67">
        <f>(1+I$14/F23*(2.514+0.8*EXP(-0.55*F23/(I$14))))</f>
        <v>1.0009925003284705</v>
      </c>
      <c r="H23" s="73">
        <v>100</v>
      </c>
      <c r="I23" s="71">
        <f>NORMSDIST((LN(H23)-LN(H19))/LN(H20))*100</f>
        <v>79.978737083017208</v>
      </c>
      <c r="J23" s="55" t="s">
        <v>99</v>
      </c>
      <c r="K23" s="53"/>
      <c r="L23" s="72">
        <f>100-I23</f>
        <v>20.021262916982792</v>
      </c>
      <c r="N23" s="54" t="s">
        <v>85</v>
      </c>
      <c r="O23" s="56" t="s">
        <v>135</v>
      </c>
      <c r="P23" s="58">
        <f>P21</f>
        <v>12.301088085810468</v>
      </c>
      <c r="Q23" s="52" t="s">
        <v>133</v>
      </c>
      <c r="Y23" s="142">
        <v>1.8E-3</v>
      </c>
      <c r="Z23" s="46">
        <f t="shared" si="0"/>
        <v>1.8079632546481633E-4</v>
      </c>
      <c r="AA23" s="84">
        <f t="shared" si="22"/>
        <v>131.65015597112517</v>
      </c>
      <c r="AB23" s="84">
        <f t="shared" si="23"/>
        <v>5.6920997883030825E-4</v>
      </c>
      <c r="AC23" s="84">
        <f t="shared" si="24"/>
        <v>415.09480892362734</v>
      </c>
      <c r="AD23" s="84">
        <f t="shared" si="1"/>
        <v>3.2056015762334413E-4</v>
      </c>
      <c r="AE23" s="84">
        <f t="shared" si="2"/>
        <v>736.6370478702114</v>
      </c>
      <c r="AF23" s="84">
        <f t="shared" si="3"/>
        <v>2.4063368152743212E-4</v>
      </c>
      <c r="AG23" s="84">
        <f t="shared" si="4"/>
        <v>981.12471914715172</v>
      </c>
      <c r="AH23" s="84">
        <f t="shared" si="5"/>
        <v>2.0850721388995886E-4</v>
      </c>
      <c r="AI23" s="84">
        <f t="shared" si="6"/>
        <v>1132.2084904373212</v>
      </c>
      <c r="AJ23" s="84">
        <f t="shared" si="7"/>
        <v>1.9409752179274086E-4</v>
      </c>
      <c r="AK23" s="84">
        <f t="shared" si="8"/>
        <v>1216.221394401249</v>
      </c>
      <c r="AL23" s="84">
        <f t="shared" si="9"/>
        <v>1.8727373609193898E-4</v>
      </c>
      <c r="AM23" s="84">
        <f t="shared" si="10"/>
        <v>1260.5170259932029</v>
      </c>
      <c r="AN23" s="84">
        <f t="shared" si="11"/>
        <v>1.839538306593474E-4</v>
      </c>
      <c r="AO23" s="84">
        <f t="shared" si="12"/>
        <v>1283.2560799584201</v>
      </c>
      <c r="AP23" s="84">
        <f t="shared" si="13"/>
        <v>1.8231673250986046E-4</v>
      </c>
      <c r="AQ23" s="84">
        <f t="shared" si="14"/>
        <v>1294.7739386412063</v>
      </c>
      <c r="AR23" s="84">
        <f t="shared" si="15"/>
        <v>1.8150400791885234E-4</v>
      </c>
      <c r="AS23" s="84">
        <f t="shared" si="16"/>
        <v>1300.5690668252746</v>
      </c>
      <c r="AT23" s="84">
        <f t="shared" si="17"/>
        <v>1.8109918000809363E-4</v>
      </c>
      <c r="AU23" s="84">
        <f t="shared" si="18"/>
        <v>1303.4750971296503</v>
      </c>
      <c r="AV23" s="84">
        <f t="shared" si="19"/>
        <v>1.808971917376072E-4</v>
      </c>
      <c r="AW23" s="84">
        <f t="shared" si="20"/>
        <v>1304.9299203933922</v>
      </c>
      <c r="AX23" s="84">
        <f t="shared" si="21"/>
        <v>1.8079632546481633E-4</v>
      </c>
      <c r="AY23" s="142">
        <v>1.8E-3</v>
      </c>
      <c r="AZ23" s="46">
        <f t="shared" si="25"/>
        <v>7.1044532847353275E-3</v>
      </c>
      <c r="BA23" s="85">
        <f t="shared" si="26"/>
        <v>131.65015597112517</v>
      </c>
      <c r="BB23" s="85">
        <f t="shared" si="27"/>
        <v>3.5999999999999999E-3</v>
      </c>
      <c r="BC23" s="85">
        <f t="shared" si="28"/>
        <v>66.109617213584443</v>
      </c>
      <c r="BD23" s="85">
        <f t="shared" si="29"/>
        <v>5.0802006823558697E-3</v>
      </c>
      <c r="BE23" s="85">
        <f t="shared" si="30"/>
        <v>47.014875792446048</v>
      </c>
      <c r="BF23" s="85">
        <f t="shared" si="31"/>
        <v>6.0241467547303392E-3</v>
      </c>
      <c r="BG23" s="85">
        <f t="shared" si="32"/>
        <v>39.738581993814087</v>
      </c>
      <c r="BH23" s="85">
        <f t="shared" si="33"/>
        <v>6.5524996552626946E-3</v>
      </c>
      <c r="BI23" s="85">
        <f t="shared" si="34"/>
        <v>36.58114651846622</v>
      </c>
      <c r="BJ23" s="85">
        <f t="shared" si="35"/>
        <v>6.8294311844095948E-3</v>
      </c>
      <c r="BK23" s="85">
        <f t="shared" si="36"/>
        <v>35.121397819573964</v>
      </c>
      <c r="BL23" s="85">
        <f t="shared" si="37"/>
        <v>6.9699119793744033E-3</v>
      </c>
      <c r="BM23" s="85">
        <f t="shared" si="38"/>
        <v>34.425262132533717</v>
      </c>
      <c r="BN23" s="85">
        <f t="shared" si="39"/>
        <v>7.040030842599642E-3</v>
      </c>
      <c r="BO23" s="85">
        <f t="shared" si="40"/>
        <v>34.088194207775814</v>
      </c>
      <c r="BP23" s="85">
        <f t="shared" si="41"/>
        <v>7.0747515343213456E-3</v>
      </c>
      <c r="BQ23" s="85">
        <f t="shared" si="42"/>
        <v>33.923762774058609</v>
      </c>
      <c r="BR23" s="85">
        <f t="shared" si="43"/>
        <v>7.091876776053864E-3</v>
      </c>
      <c r="BS23" s="85">
        <f t="shared" si="44"/>
        <v>33.84325357996012</v>
      </c>
      <c r="BT23" s="85">
        <f t="shared" si="45"/>
        <v>7.1003071434693355E-3</v>
      </c>
      <c r="BU23" s="85">
        <f t="shared" si="46"/>
        <v>33.803763429279222</v>
      </c>
      <c r="BV23" s="85">
        <f t="shared" si="47"/>
        <v>7.1044532847353275E-3</v>
      </c>
      <c r="BW23" s="85">
        <f t="shared" si="48"/>
        <v>33.784376160246552</v>
      </c>
    </row>
    <row r="24" spans="1:75" ht="16.05" customHeight="1" x14ac:dyDescent="0.45">
      <c r="A24" s="53"/>
      <c r="B24" s="65" t="s">
        <v>97</v>
      </c>
      <c r="C24" s="68">
        <v>4</v>
      </c>
      <c r="D24" s="69">
        <f t="shared" si="52"/>
        <v>2.9105110769803564</v>
      </c>
      <c r="E24" s="67">
        <f t="shared" si="49"/>
        <v>1.061500126704727</v>
      </c>
      <c r="F24" s="67">
        <f t="shared" si="50"/>
        <v>180.34936096783019</v>
      </c>
      <c r="G24" s="67">
        <f>(1+I$14/F24*(2.514+0.8*EXP(-0.55*F24/(I$14))))</f>
        <v>1.0009925003284703</v>
      </c>
      <c r="H24" s="73">
        <v>156</v>
      </c>
      <c r="I24" s="71">
        <f>NORMSDIST((LN(H24)-LN(H19))/LN(H20))*100</f>
        <v>86.662709520374477</v>
      </c>
      <c r="J24" s="55" t="s">
        <v>99</v>
      </c>
      <c r="K24" s="53"/>
      <c r="L24" s="72">
        <f>100-I24</f>
        <v>13.337290479625523</v>
      </c>
      <c r="O24" s="56" t="s">
        <v>0</v>
      </c>
      <c r="P24" s="58">
        <v>2</v>
      </c>
      <c r="Y24" s="142">
        <v>1.8E-3</v>
      </c>
      <c r="Z24" s="46">
        <f t="shared" si="0"/>
        <v>1.8079632546481633E-4</v>
      </c>
      <c r="AA24" s="84">
        <f t="shared" si="22"/>
        <v>131.65015597112517</v>
      </c>
      <c r="AB24" s="84">
        <f t="shared" si="23"/>
        <v>5.6920997883030825E-4</v>
      </c>
      <c r="AC24" s="84">
        <f t="shared" si="24"/>
        <v>415.09480892362734</v>
      </c>
      <c r="AD24" s="84">
        <f t="shared" si="1"/>
        <v>3.2056015762334413E-4</v>
      </c>
      <c r="AE24" s="84">
        <f t="shared" si="2"/>
        <v>736.6370478702114</v>
      </c>
      <c r="AF24" s="84">
        <f t="shared" si="3"/>
        <v>2.4063368152743212E-4</v>
      </c>
      <c r="AG24" s="84">
        <f t="shared" si="4"/>
        <v>981.12471914715172</v>
      </c>
      <c r="AH24" s="84">
        <f t="shared" si="5"/>
        <v>2.0850721388995886E-4</v>
      </c>
      <c r="AI24" s="84">
        <f t="shared" si="6"/>
        <v>1132.2084904373212</v>
      </c>
      <c r="AJ24" s="84">
        <f t="shared" si="7"/>
        <v>1.9409752179274086E-4</v>
      </c>
      <c r="AK24" s="84">
        <f t="shared" si="8"/>
        <v>1216.221394401249</v>
      </c>
      <c r="AL24" s="84">
        <f t="shared" si="9"/>
        <v>1.8727373609193898E-4</v>
      </c>
      <c r="AM24" s="84">
        <f t="shared" si="10"/>
        <v>1260.5170259932029</v>
      </c>
      <c r="AN24" s="84">
        <f t="shared" si="11"/>
        <v>1.839538306593474E-4</v>
      </c>
      <c r="AO24" s="84">
        <f t="shared" si="12"/>
        <v>1283.2560799584201</v>
      </c>
      <c r="AP24" s="84">
        <f t="shared" si="13"/>
        <v>1.8231673250986046E-4</v>
      </c>
      <c r="AQ24" s="84">
        <f t="shared" si="14"/>
        <v>1294.7739386412063</v>
      </c>
      <c r="AR24" s="84">
        <f t="shared" si="15"/>
        <v>1.8150400791885234E-4</v>
      </c>
      <c r="AS24" s="84">
        <f t="shared" si="16"/>
        <v>1300.5690668252746</v>
      </c>
      <c r="AT24" s="84">
        <f t="shared" si="17"/>
        <v>1.8109918000809363E-4</v>
      </c>
      <c r="AU24" s="84">
        <f t="shared" si="18"/>
        <v>1303.4750971296503</v>
      </c>
      <c r="AV24" s="84">
        <f t="shared" si="19"/>
        <v>1.808971917376072E-4</v>
      </c>
      <c r="AW24" s="84">
        <f t="shared" si="20"/>
        <v>1304.9299203933922</v>
      </c>
      <c r="AX24" s="84">
        <f t="shared" si="21"/>
        <v>1.8079632546481633E-4</v>
      </c>
      <c r="AY24" s="142">
        <v>1.8E-3</v>
      </c>
      <c r="AZ24" s="46">
        <f t="shared" si="25"/>
        <v>7.1044532847353275E-3</v>
      </c>
      <c r="BA24" s="85">
        <f t="shared" si="26"/>
        <v>131.65015597112517</v>
      </c>
      <c r="BB24" s="85">
        <f t="shared" si="27"/>
        <v>3.5999999999999999E-3</v>
      </c>
      <c r="BC24" s="85">
        <f t="shared" si="28"/>
        <v>66.109617213584443</v>
      </c>
      <c r="BD24" s="85">
        <f t="shared" si="29"/>
        <v>5.0802006823558697E-3</v>
      </c>
      <c r="BE24" s="85">
        <f t="shared" si="30"/>
        <v>47.014875792446048</v>
      </c>
      <c r="BF24" s="85">
        <f t="shared" si="31"/>
        <v>6.0241467547303392E-3</v>
      </c>
      <c r="BG24" s="85">
        <f t="shared" si="32"/>
        <v>39.738581993814087</v>
      </c>
      <c r="BH24" s="85">
        <f t="shared" si="33"/>
        <v>6.5524996552626946E-3</v>
      </c>
      <c r="BI24" s="85">
        <f t="shared" si="34"/>
        <v>36.58114651846622</v>
      </c>
      <c r="BJ24" s="85">
        <f t="shared" si="35"/>
        <v>6.8294311844095948E-3</v>
      </c>
      <c r="BK24" s="85">
        <f t="shared" si="36"/>
        <v>35.121397819573964</v>
      </c>
      <c r="BL24" s="85">
        <f t="shared" si="37"/>
        <v>6.9699119793744033E-3</v>
      </c>
      <c r="BM24" s="85">
        <f t="shared" si="38"/>
        <v>34.425262132533717</v>
      </c>
      <c r="BN24" s="85">
        <f t="shared" si="39"/>
        <v>7.040030842599642E-3</v>
      </c>
      <c r="BO24" s="85">
        <f t="shared" si="40"/>
        <v>34.088194207775814</v>
      </c>
      <c r="BP24" s="85">
        <f t="shared" si="41"/>
        <v>7.0747515343213456E-3</v>
      </c>
      <c r="BQ24" s="85">
        <f t="shared" si="42"/>
        <v>33.923762774058609</v>
      </c>
      <c r="BR24" s="85">
        <f t="shared" si="43"/>
        <v>7.091876776053864E-3</v>
      </c>
      <c r="BS24" s="85">
        <f t="shared" si="44"/>
        <v>33.84325357996012</v>
      </c>
      <c r="BT24" s="85">
        <f t="shared" si="45"/>
        <v>7.1003071434693355E-3</v>
      </c>
      <c r="BU24" s="85">
        <f t="shared" si="46"/>
        <v>33.803763429279222</v>
      </c>
      <c r="BV24" s="85">
        <f t="shared" si="47"/>
        <v>7.1044532847353275E-3</v>
      </c>
      <c r="BW24" s="85">
        <f t="shared" si="48"/>
        <v>33.784376160246552</v>
      </c>
    </row>
    <row r="25" spans="1:75" ht="14.4" x14ac:dyDescent="0.55000000000000004">
      <c r="A25" s="55"/>
      <c r="B25" s="52"/>
      <c r="C25" s="68">
        <v>5</v>
      </c>
      <c r="D25" s="69">
        <f t="shared" si="52"/>
        <v>2.9105110356649755</v>
      </c>
      <c r="E25" s="67">
        <f t="shared" si="49"/>
        <v>1.0615001275777356</v>
      </c>
      <c r="F25" s="67">
        <f t="shared" si="50"/>
        <v>180.34936096783019</v>
      </c>
      <c r="G25" s="67">
        <f t="shared" si="51"/>
        <v>1.0009925003284703</v>
      </c>
      <c r="H25" s="52"/>
      <c r="I25" s="52"/>
      <c r="J25" s="52"/>
      <c r="K25" s="52"/>
      <c r="L25" s="55"/>
      <c r="N25" s="54" t="s">
        <v>90</v>
      </c>
      <c r="O25" s="56" t="s">
        <v>132</v>
      </c>
      <c r="P25" s="71">
        <f>P23/EXP(3*LN(P24)^2)</f>
        <v>2.9105110344324263</v>
      </c>
      <c r="Q25" s="52" t="s">
        <v>133</v>
      </c>
      <c r="Y25" s="142">
        <v>1.9E-3</v>
      </c>
      <c r="Z25" s="46">
        <f t="shared" si="0"/>
        <v>1.9088154599718947E-4</v>
      </c>
      <c r="AA25" s="84">
        <f t="shared" si="22"/>
        <v>124.75100266708343</v>
      </c>
      <c r="AB25" s="84">
        <f t="shared" si="23"/>
        <v>6.0083275543199206E-4</v>
      </c>
      <c r="AC25" s="84">
        <f t="shared" si="24"/>
        <v>393.27729181859655</v>
      </c>
      <c r="AD25" s="84">
        <f t="shared" si="1"/>
        <v>3.3839675368488255E-4</v>
      </c>
      <c r="AE25" s="84">
        <f t="shared" si="2"/>
        <v>697.83913127958408</v>
      </c>
      <c r="AF25" s="84">
        <f t="shared" si="3"/>
        <v>2.540375782739548E-4</v>
      </c>
      <c r="AG25" s="84">
        <f t="shared" si="4"/>
        <v>929.38679485803493</v>
      </c>
      <c r="AH25" s="84">
        <f t="shared" si="5"/>
        <v>2.2012905775419745E-4</v>
      </c>
      <c r="AI25" s="84">
        <f t="shared" si="6"/>
        <v>1072.4624771648284</v>
      </c>
      <c r="AJ25" s="84">
        <f t="shared" si="7"/>
        <v>2.0492010525925447E-4</v>
      </c>
      <c r="AK25" s="84">
        <f t="shared" si="8"/>
        <v>1152.0178866093815</v>
      </c>
      <c r="AL25" s="84">
        <f t="shared" si="9"/>
        <v>1.9771791057947134E-4</v>
      </c>
      <c r="AM25" s="84">
        <f t="shared" si="10"/>
        <v>1193.9615775794875</v>
      </c>
      <c r="AN25" s="84">
        <f t="shared" si="11"/>
        <v>1.9421396190479704E-4</v>
      </c>
      <c r="AO25" s="84">
        <f t="shared" si="12"/>
        <v>1215.4925504457701</v>
      </c>
      <c r="AP25" s="84">
        <f t="shared" si="13"/>
        <v>1.9248614405329865E-4</v>
      </c>
      <c r="AQ25" s="84">
        <f t="shared" si="14"/>
        <v>1226.3981718593188</v>
      </c>
      <c r="AR25" s="84">
        <f t="shared" si="15"/>
        <v>1.9162840118628688E-4</v>
      </c>
      <c r="AS25" s="84">
        <f t="shared" si="16"/>
        <v>1231.8851110709006</v>
      </c>
      <c r="AT25" s="84">
        <f t="shared" si="17"/>
        <v>1.9120115889989362E-4</v>
      </c>
      <c r="AU25" s="84">
        <f t="shared" si="18"/>
        <v>1234.6365268103127</v>
      </c>
      <c r="AV25" s="84">
        <f t="shared" si="19"/>
        <v>1.909879919938792E-4</v>
      </c>
      <c r="AW25" s="84">
        <f t="shared" si="20"/>
        <v>1236.0139125501573</v>
      </c>
      <c r="AX25" s="84">
        <f t="shared" si="21"/>
        <v>1.9088154599718947E-4</v>
      </c>
      <c r="AY25" s="142">
        <v>1.9E-3</v>
      </c>
      <c r="AZ25" s="46">
        <f t="shared" si="25"/>
        <v>7.493875154938285E-3</v>
      </c>
      <c r="BA25" s="85">
        <f t="shared" si="26"/>
        <v>124.75100266708343</v>
      </c>
      <c r="BB25" s="85">
        <f t="shared" si="27"/>
        <v>3.8E-3</v>
      </c>
      <c r="BC25" s="85">
        <f t="shared" si="28"/>
        <v>62.660289875092097</v>
      </c>
      <c r="BD25" s="85">
        <f t="shared" si="29"/>
        <v>5.3617852942049044E-3</v>
      </c>
      <c r="BE25" s="85">
        <f t="shared" si="30"/>
        <v>44.576120781869093</v>
      </c>
      <c r="BF25" s="85">
        <f t="shared" si="31"/>
        <v>6.3570332548301776E-3</v>
      </c>
      <c r="BG25" s="85">
        <f t="shared" si="32"/>
        <v>37.688068631755797</v>
      </c>
      <c r="BH25" s="85">
        <f t="shared" si="33"/>
        <v>6.9135909108264896E-3</v>
      </c>
      <c r="BI25" s="85">
        <f t="shared" si="34"/>
        <v>34.700955896710703</v>
      </c>
      <c r="BJ25" s="85">
        <f t="shared" si="35"/>
        <v>7.2050151757039362E-3</v>
      </c>
      <c r="BK25" s="85">
        <f t="shared" si="36"/>
        <v>33.320986855261992</v>
      </c>
      <c r="BL25" s="85">
        <f t="shared" si="37"/>
        <v>7.3526973739626291E-3</v>
      </c>
      <c r="BM25" s="85">
        <f t="shared" si="38"/>
        <v>32.663451057945558</v>
      </c>
      <c r="BN25" s="85">
        <f t="shared" si="39"/>
        <v>7.4263358328867587E-3</v>
      </c>
      <c r="BO25" s="85">
        <f t="shared" si="40"/>
        <v>32.345360009458268</v>
      </c>
      <c r="BP25" s="85">
        <f t="shared" si="41"/>
        <v>7.4627625663645338E-3</v>
      </c>
      <c r="BQ25" s="85">
        <f t="shared" si="42"/>
        <v>32.190331476855775</v>
      </c>
      <c r="BR25" s="85">
        <f t="shared" si="43"/>
        <v>7.4807113022860843E-3</v>
      </c>
      <c r="BS25" s="85">
        <f t="shared" si="44"/>
        <v>32.114498908090852</v>
      </c>
      <c r="BT25" s="85">
        <f t="shared" si="45"/>
        <v>7.4895382665105597E-3</v>
      </c>
      <c r="BU25" s="85">
        <f t="shared" si="46"/>
        <v>32.077338775502852</v>
      </c>
      <c r="BV25" s="85">
        <f t="shared" si="47"/>
        <v>7.493875154938285E-3</v>
      </c>
      <c r="BW25" s="85">
        <f t="shared" si="48"/>
        <v>32.059113240411349</v>
      </c>
    </row>
    <row r="26" spans="1:75" ht="13.8" x14ac:dyDescent="0.45">
      <c r="A26" s="55"/>
      <c r="B26" s="52"/>
      <c r="C26" s="68">
        <v>6</v>
      </c>
      <c r="D26" s="69">
        <f>I$4/SQRT((I$5*E25)/(1*I$6*E$19))</f>
        <v>2.9105110344681315</v>
      </c>
      <c r="E26" s="67">
        <f t="shared" si="49"/>
        <v>1.0615001276030254</v>
      </c>
      <c r="F26" s="67">
        <f t="shared" si="50"/>
        <v>180.34936096783019</v>
      </c>
      <c r="G26" s="67">
        <f t="shared" si="51"/>
        <v>1.0009925003284703</v>
      </c>
      <c r="H26" s="52"/>
      <c r="I26" s="52"/>
      <c r="J26" s="52"/>
      <c r="K26" s="52"/>
      <c r="L26" s="53"/>
      <c r="Y26" s="142">
        <v>2E-3</v>
      </c>
      <c r="Z26" s="46">
        <f t="shared" si="0"/>
        <v>2.0097110417236017E-4</v>
      </c>
      <c r="AA26" s="84">
        <f t="shared" si="22"/>
        <v>118.54178144022426</v>
      </c>
      <c r="AB26" s="84">
        <f t="shared" si="23"/>
        <v>6.3245553203367588E-4</v>
      </c>
      <c r="AC26" s="84">
        <f t="shared" si="24"/>
        <v>373.64153177327955</v>
      </c>
      <c r="AD26" s="84">
        <f t="shared" si="1"/>
        <v>3.5623628121137798E-4</v>
      </c>
      <c r="AE26" s="84">
        <f t="shared" si="2"/>
        <v>662.92098879635887</v>
      </c>
      <c r="AF26" s="84">
        <f t="shared" si="3"/>
        <v>2.674452171981728E-4</v>
      </c>
      <c r="AG26" s="84">
        <f t="shared" si="4"/>
        <v>882.82263286329533</v>
      </c>
      <c r="AH26" s="84">
        <f t="shared" si="5"/>
        <v>2.3175493516652135E-4</v>
      </c>
      <c r="AI26" s="84">
        <f t="shared" si="6"/>
        <v>1018.6910316150759</v>
      </c>
      <c r="AJ26" s="84">
        <f t="shared" si="7"/>
        <v>2.1574685770884669E-4</v>
      </c>
      <c r="AK26" s="84">
        <f t="shared" si="8"/>
        <v>1094.2346961930386</v>
      </c>
      <c r="AL26" s="84">
        <f t="shared" si="9"/>
        <v>2.0816632718929608E-4</v>
      </c>
      <c r="AM26" s="84">
        <f t="shared" si="10"/>
        <v>1134.0616416372889</v>
      </c>
      <c r="AN26" s="84">
        <f t="shared" si="11"/>
        <v>2.0447837721444855E-4</v>
      </c>
      <c r="AO26" s="84">
        <f t="shared" si="12"/>
        <v>1154.5053424507712</v>
      </c>
      <c r="AP26" s="84">
        <f t="shared" si="13"/>
        <v>2.026598640343357E-4</v>
      </c>
      <c r="AQ26" s="84">
        <f t="shared" si="14"/>
        <v>1164.8599509822816</v>
      </c>
      <c r="AR26" s="84">
        <f t="shared" si="15"/>
        <v>2.0175711697685596E-4</v>
      </c>
      <c r="AS26" s="84">
        <f t="shared" si="16"/>
        <v>1170.0695205407942</v>
      </c>
      <c r="AT26" s="84">
        <f t="shared" si="17"/>
        <v>2.0130746836161738E-4</v>
      </c>
      <c r="AU26" s="84">
        <f t="shared" si="18"/>
        <v>1172.6817834286899</v>
      </c>
      <c r="AV26" s="84">
        <f t="shared" si="19"/>
        <v>2.0108312736037882E-4</v>
      </c>
      <c r="AW26" s="84">
        <f t="shared" si="20"/>
        <v>1173.9894755489888</v>
      </c>
      <c r="AX26" s="84">
        <f t="shared" si="21"/>
        <v>2.0097110417236017E-4</v>
      </c>
      <c r="AY26" s="142">
        <v>2E-3</v>
      </c>
      <c r="AZ26" s="46">
        <f t="shared" si="25"/>
        <v>7.8827481993093834E-3</v>
      </c>
      <c r="BA26" s="85">
        <f t="shared" si="26"/>
        <v>118.54178144022426</v>
      </c>
      <c r="BB26" s="85">
        <f t="shared" si="27"/>
        <v>4.0000000000000001E-3</v>
      </c>
      <c r="BC26" s="85">
        <f t="shared" si="28"/>
        <v>59.555928276016758</v>
      </c>
      <c r="BD26" s="85">
        <f t="shared" si="29"/>
        <v>5.6433010242978102E-3</v>
      </c>
      <c r="BE26" s="85">
        <f t="shared" si="30"/>
        <v>42.381292677169832</v>
      </c>
      <c r="BF26" s="85">
        <f t="shared" si="31"/>
        <v>6.6897304116530039E-3</v>
      </c>
      <c r="BG26" s="85">
        <f t="shared" si="32"/>
        <v>35.842671536657292</v>
      </c>
      <c r="BH26" s="85">
        <f t="shared" si="33"/>
        <v>7.27437239309843E-3</v>
      </c>
      <c r="BI26" s="85">
        <f t="shared" si="34"/>
        <v>33.008856688010788</v>
      </c>
      <c r="BJ26" s="85">
        <f t="shared" si="35"/>
        <v>7.5801966937473981E-3</v>
      </c>
      <c r="BK26" s="85">
        <f t="shared" si="36"/>
        <v>31.700691969722754</v>
      </c>
      <c r="BL26" s="85">
        <f t="shared" si="37"/>
        <v>7.7350182904797563E-3</v>
      </c>
      <c r="BM26" s="85">
        <f t="shared" si="38"/>
        <v>31.077895906429511</v>
      </c>
      <c r="BN26" s="85">
        <f t="shared" si="39"/>
        <v>7.8121381045155504E-3</v>
      </c>
      <c r="BO26" s="85">
        <f t="shared" si="40"/>
        <v>30.77688269059735</v>
      </c>
      <c r="BP26" s="85">
        <f t="shared" si="41"/>
        <v>7.8502484442744755E-3</v>
      </c>
      <c r="BQ26" s="85">
        <f t="shared" si="42"/>
        <v>30.630315183334151</v>
      </c>
      <c r="BR26" s="85">
        <f t="shared" si="43"/>
        <v>7.8690079348929017E-3</v>
      </c>
      <c r="BS26" s="85">
        <f t="shared" si="44"/>
        <v>30.55869019951438</v>
      </c>
      <c r="BT26" s="85">
        <f t="shared" si="45"/>
        <v>7.8782244243769273E-3</v>
      </c>
      <c r="BU26" s="85">
        <f t="shared" si="46"/>
        <v>30.52362604010564</v>
      </c>
      <c r="BV26" s="85">
        <f t="shared" si="47"/>
        <v>7.8827481993093834E-3</v>
      </c>
      <c r="BW26" s="85">
        <f t="shared" si="48"/>
        <v>30.506445338291471</v>
      </c>
    </row>
    <row r="27" spans="1:75" ht="13.8" x14ac:dyDescent="0.45">
      <c r="C27" s="68">
        <v>7</v>
      </c>
      <c r="D27" s="69">
        <f t="shared" si="52"/>
        <v>2.9105110344334606</v>
      </c>
      <c r="E27" s="67">
        <f t="shared" si="49"/>
        <v>1.0615001276037579</v>
      </c>
      <c r="F27" s="67">
        <f t="shared" si="50"/>
        <v>180.34936096783019</v>
      </c>
      <c r="G27" s="67">
        <f t="shared" si="51"/>
        <v>1.0009925003284703</v>
      </c>
      <c r="Y27" s="142">
        <v>2E-3</v>
      </c>
      <c r="Z27" s="46">
        <f t="shared" si="0"/>
        <v>2.0097110417236017E-4</v>
      </c>
      <c r="AA27" s="84">
        <f t="shared" si="22"/>
        <v>118.54178144022426</v>
      </c>
      <c r="AB27" s="84">
        <f t="shared" si="23"/>
        <v>6.3245553203367588E-4</v>
      </c>
      <c r="AC27" s="84">
        <f t="shared" si="24"/>
        <v>373.64153177327955</v>
      </c>
      <c r="AD27" s="84">
        <f t="shared" si="1"/>
        <v>3.5623628121137798E-4</v>
      </c>
      <c r="AE27" s="84">
        <f t="shared" si="2"/>
        <v>662.92098879635887</v>
      </c>
      <c r="AF27" s="84">
        <f t="shared" si="3"/>
        <v>2.674452171981728E-4</v>
      </c>
      <c r="AG27" s="84">
        <f t="shared" si="4"/>
        <v>882.82263286329533</v>
      </c>
      <c r="AH27" s="84">
        <f t="shared" si="5"/>
        <v>2.3175493516652135E-4</v>
      </c>
      <c r="AI27" s="84">
        <f t="shared" si="6"/>
        <v>1018.6910316150759</v>
      </c>
      <c r="AJ27" s="84">
        <f t="shared" si="7"/>
        <v>2.1574685770884669E-4</v>
      </c>
      <c r="AK27" s="84">
        <f t="shared" si="8"/>
        <v>1094.2346961930386</v>
      </c>
      <c r="AL27" s="84">
        <f t="shared" si="9"/>
        <v>2.0816632718929608E-4</v>
      </c>
      <c r="AM27" s="84">
        <f t="shared" si="10"/>
        <v>1134.0616416372889</v>
      </c>
      <c r="AN27" s="84">
        <f t="shared" si="11"/>
        <v>2.0447837721444855E-4</v>
      </c>
      <c r="AO27" s="84">
        <f t="shared" si="12"/>
        <v>1154.5053424507712</v>
      </c>
      <c r="AP27" s="84">
        <f t="shared" si="13"/>
        <v>2.026598640343357E-4</v>
      </c>
      <c r="AQ27" s="84">
        <f t="shared" si="14"/>
        <v>1164.8599509822816</v>
      </c>
      <c r="AR27" s="84">
        <f t="shared" si="15"/>
        <v>2.0175711697685596E-4</v>
      </c>
      <c r="AS27" s="84">
        <f t="shared" si="16"/>
        <v>1170.0695205407942</v>
      </c>
      <c r="AT27" s="84">
        <f t="shared" si="17"/>
        <v>2.0130746836161738E-4</v>
      </c>
      <c r="AU27" s="84">
        <f t="shared" si="18"/>
        <v>1172.6817834286899</v>
      </c>
      <c r="AV27" s="84">
        <f t="shared" si="19"/>
        <v>2.0108312736037882E-4</v>
      </c>
      <c r="AW27" s="84">
        <f t="shared" si="20"/>
        <v>1173.9894755489888</v>
      </c>
      <c r="AX27" s="84">
        <f t="shared" si="21"/>
        <v>2.0097110417236017E-4</v>
      </c>
      <c r="AY27" s="142">
        <v>2E-3</v>
      </c>
      <c r="AZ27" s="46">
        <f t="shared" si="25"/>
        <v>7.8827481993093834E-3</v>
      </c>
      <c r="BA27" s="85">
        <f t="shared" si="26"/>
        <v>118.54178144022426</v>
      </c>
      <c r="BB27" s="85">
        <f t="shared" si="27"/>
        <v>4.0000000000000001E-3</v>
      </c>
      <c r="BC27" s="85">
        <f t="shared" si="28"/>
        <v>59.555928276016758</v>
      </c>
      <c r="BD27" s="85">
        <f t="shared" si="29"/>
        <v>5.6433010242978102E-3</v>
      </c>
      <c r="BE27" s="85">
        <f t="shared" si="30"/>
        <v>42.381292677169832</v>
      </c>
      <c r="BF27" s="85">
        <f t="shared" si="31"/>
        <v>6.6897304116530039E-3</v>
      </c>
      <c r="BG27" s="85">
        <f t="shared" si="32"/>
        <v>35.842671536657292</v>
      </c>
      <c r="BH27" s="85">
        <f t="shared" si="33"/>
        <v>7.27437239309843E-3</v>
      </c>
      <c r="BI27" s="85">
        <f t="shared" si="34"/>
        <v>33.008856688010788</v>
      </c>
      <c r="BJ27" s="85">
        <f t="shared" si="35"/>
        <v>7.5801966937473981E-3</v>
      </c>
      <c r="BK27" s="85">
        <f t="shared" si="36"/>
        <v>31.700691969722754</v>
      </c>
      <c r="BL27" s="85">
        <f t="shared" si="37"/>
        <v>7.7350182904797563E-3</v>
      </c>
      <c r="BM27" s="85">
        <f t="shared" si="38"/>
        <v>31.077895906429511</v>
      </c>
      <c r="BN27" s="85">
        <f t="shared" si="39"/>
        <v>7.8121381045155504E-3</v>
      </c>
      <c r="BO27" s="85">
        <f t="shared" si="40"/>
        <v>30.77688269059735</v>
      </c>
      <c r="BP27" s="85">
        <f t="shared" si="41"/>
        <v>7.8502484442744755E-3</v>
      </c>
      <c r="BQ27" s="85">
        <f t="shared" si="42"/>
        <v>30.630315183334151</v>
      </c>
      <c r="BR27" s="85">
        <f t="shared" si="43"/>
        <v>7.8690079348929017E-3</v>
      </c>
      <c r="BS27" s="85">
        <f t="shared" si="44"/>
        <v>30.55869019951438</v>
      </c>
      <c r="BT27" s="85">
        <f t="shared" si="45"/>
        <v>7.8782244243769273E-3</v>
      </c>
      <c r="BU27" s="85">
        <f t="shared" si="46"/>
        <v>30.52362604010564</v>
      </c>
      <c r="BV27" s="85">
        <f t="shared" si="47"/>
        <v>7.8827481993093834E-3</v>
      </c>
      <c r="BW27" s="85">
        <f t="shared" si="48"/>
        <v>30.506445338291471</v>
      </c>
    </row>
    <row r="28" spans="1:75" ht="13.8" x14ac:dyDescent="0.45">
      <c r="C28" s="68">
        <v>8</v>
      </c>
      <c r="D28" s="69">
        <f t="shared" si="52"/>
        <v>2.9105110344324565</v>
      </c>
      <c r="E28" s="67">
        <f t="shared" si="49"/>
        <v>1.0615001276037792</v>
      </c>
      <c r="F28" s="67">
        <f t="shared" si="50"/>
        <v>180.34936096783019</v>
      </c>
      <c r="G28" s="67">
        <f t="shared" si="51"/>
        <v>1.0009925003284703</v>
      </c>
      <c r="Y28" s="142">
        <v>2.0999999999999999E-3</v>
      </c>
      <c r="Z28" s="46">
        <f t="shared" si="0"/>
        <v>2.1106500355192273E-4</v>
      </c>
      <c r="AA28" s="84">
        <f t="shared" si="22"/>
        <v>112.92393055292017</v>
      </c>
      <c r="AB28" s="84">
        <f t="shared" si="23"/>
        <v>6.6407830863535959E-4</v>
      </c>
      <c r="AC28" s="84">
        <f t="shared" si="24"/>
        <v>355.87584920647288</v>
      </c>
      <c r="AD28" s="84">
        <f t="shared" si="1"/>
        <v>3.7407874254970203E-4</v>
      </c>
      <c r="AE28" s="84">
        <f t="shared" si="2"/>
        <v>631.32836703832709</v>
      </c>
      <c r="AF28" s="84">
        <f t="shared" si="3"/>
        <v>2.8085660129694009E-4</v>
      </c>
      <c r="AG28" s="84">
        <f t="shared" si="4"/>
        <v>840.69312439844123</v>
      </c>
      <c r="AH28" s="84">
        <f t="shared" si="5"/>
        <v>2.4338484939544E-4</v>
      </c>
      <c r="AI28" s="84">
        <f t="shared" si="6"/>
        <v>970.04064430175652</v>
      </c>
      <c r="AJ28" s="84">
        <f t="shared" si="7"/>
        <v>2.2657778254641287E-4</v>
      </c>
      <c r="AK28" s="84">
        <f t="shared" si="8"/>
        <v>1041.9546351764759</v>
      </c>
      <c r="AL28" s="84">
        <f t="shared" si="9"/>
        <v>2.1861898939943322E-4</v>
      </c>
      <c r="AM28" s="84">
        <f t="shared" si="10"/>
        <v>1079.8664309092633</v>
      </c>
      <c r="AN28" s="84">
        <f t="shared" si="11"/>
        <v>2.1474708010609439E-4</v>
      </c>
      <c r="AO28" s="84">
        <f t="shared" si="12"/>
        <v>1099.3264102903065</v>
      </c>
      <c r="AP28" s="84">
        <f t="shared" si="13"/>
        <v>2.1283789599227279E-4</v>
      </c>
      <c r="AQ28" s="84">
        <f t="shared" si="14"/>
        <v>1109.1824839907881</v>
      </c>
      <c r="AR28" s="84">
        <f t="shared" si="15"/>
        <v>2.1189015884134853E-4</v>
      </c>
      <c r="AS28" s="84">
        <f t="shared" si="16"/>
        <v>1114.1411004581987</v>
      </c>
      <c r="AT28" s="84">
        <f t="shared" si="17"/>
        <v>2.1141811195010405E-4</v>
      </c>
      <c r="AU28" s="84">
        <f t="shared" si="18"/>
        <v>1116.6274633930707</v>
      </c>
      <c r="AV28" s="84">
        <f t="shared" si="19"/>
        <v>2.1118260139708832E-4</v>
      </c>
      <c r="AW28" s="84">
        <f t="shared" si="20"/>
        <v>1117.8720995267568</v>
      </c>
      <c r="AX28" s="84">
        <f t="shared" si="21"/>
        <v>2.1106500355192273E-4</v>
      </c>
      <c r="AY28" s="142">
        <v>2.0999999999999999E-3</v>
      </c>
      <c r="AZ28" s="46">
        <f t="shared" si="25"/>
        <v>8.2710733984644649E-3</v>
      </c>
      <c r="BA28" s="85">
        <f t="shared" si="26"/>
        <v>112.92393055292017</v>
      </c>
      <c r="BB28" s="85">
        <f t="shared" si="27"/>
        <v>4.1999999999999997E-3</v>
      </c>
      <c r="BC28" s="85">
        <f t="shared" si="28"/>
        <v>56.747251547915596</v>
      </c>
      <c r="BD28" s="85">
        <f t="shared" si="29"/>
        <v>5.9247477878884508E-3</v>
      </c>
      <c r="BE28" s="85">
        <f t="shared" si="30"/>
        <v>40.395544643525383</v>
      </c>
      <c r="BF28" s="85">
        <f t="shared" si="31"/>
        <v>7.0222380792511517E-3</v>
      </c>
      <c r="BG28" s="85">
        <f t="shared" si="32"/>
        <v>34.173088133148767</v>
      </c>
      <c r="BH28" s="85">
        <f t="shared" si="33"/>
        <v>7.6348440441310096E-3</v>
      </c>
      <c r="BI28" s="85">
        <f t="shared" si="34"/>
        <v>31.477978317018255</v>
      </c>
      <c r="BJ28" s="85">
        <f t="shared" si="35"/>
        <v>7.9549758875421105E-3</v>
      </c>
      <c r="BK28" s="85">
        <f t="shared" si="36"/>
        <v>30.234781817456113</v>
      </c>
      <c r="BL28" s="85">
        <f t="shared" si="37"/>
        <v>8.116875115325127E-3</v>
      </c>
      <c r="BM28" s="85">
        <f t="shared" si="38"/>
        <v>29.643416707657153</v>
      </c>
      <c r="BN28" s="85">
        <f t="shared" si="39"/>
        <v>8.197438251989644E-3</v>
      </c>
      <c r="BO28" s="85">
        <f t="shared" si="40"/>
        <v>29.357853523859024</v>
      </c>
      <c r="BP28" s="85">
        <f t="shared" si="41"/>
        <v>8.2372099206585413E-3</v>
      </c>
      <c r="BQ28" s="85">
        <f t="shared" si="42"/>
        <v>29.218939691242635</v>
      </c>
      <c r="BR28" s="85">
        <f t="shared" si="43"/>
        <v>8.2567675365620881E-3</v>
      </c>
      <c r="BS28" s="85">
        <f t="shared" si="44"/>
        <v>29.151120242577875</v>
      </c>
      <c r="BT28" s="85">
        <f t="shared" si="45"/>
        <v>8.2663665520810951E-3</v>
      </c>
      <c r="BU28" s="85">
        <f t="shared" si="46"/>
        <v>29.117951439194698</v>
      </c>
      <c r="BV28" s="85">
        <f t="shared" si="47"/>
        <v>8.2710733984644649E-3</v>
      </c>
      <c r="BW28" s="85">
        <f t="shared" si="48"/>
        <v>29.101715367134357</v>
      </c>
    </row>
    <row r="29" spans="1:75" ht="13.8" x14ac:dyDescent="0.45">
      <c r="A29" s="75" t="s">
        <v>167</v>
      </c>
      <c r="C29" s="68">
        <v>9</v>
      </c>
      <c r="D29" s="69">
        <f t="shared" si="52"/>
        <v>2.9105110344324276</v>
      </c>
      <c r="E29" s="67">
        <f t="shared" si="49"/>
        <v>1.0615001276037799</v>
      </c>
      <c r="F29" s="67">
        <f t="shared" si="50"/>
        <v>180.34936096783019</v>
      </c>
      <c r="G29" s="67">
        <f t="shared" si="51"/>
        <v>1.0009925003284703</v>
      </c>
      <c r="Y29" s="142">
        <v>2.2000000000000001E-3</v>
      </c>
      <c r="Z29" s="46">
        <f t="shared" si="0"/>
        <v>2.2116324769204759E-4</v>
      </c>
      <c r="AA29" s="84">
        <f t="shared" si="22"/>
        <v>107.8168085834851</v>
      </c>
      <c r="AB29" s="84">
        <f t="shared" si="23"/>
        <v>6.957010852370434E-4</v>
      </c>
      <c r="AC29" s="84">
        <f t="shared" si="24"/>
        <v>339.72523355173769</v>
      </c>
      <c r="AD29" s="84">
        <f t="shared" si="1"/>
        <v>3.91924140041145E-4</v>
      </c>
      <c r="AE29" s="84">
        <f t="shared" si="2"/>
        <v>602.60778596542264</v>
      </c>
      <c r="AF29" s="84">
        <f t="shared" si="3"/>
        <v>2.9427173356111493E-4</v>
      </c>
      <c r="AG29" s="84">
        <f t="shared" si="4"/>
        <v>802.3935441105175</v>
      </c>
      <c r="AH29" s="84">
        <f t="shared" si="5"/>
        <v>2.5501880370364869E-4</v>
      </c>
      <c r="AI29" s="84">
        <f t="shared" si="6"/>
        <v>925.8129892812467</v>
      </c>
      <c r="AJ29" s="84">
        <f t="shared" si="7"/>
        <v>2.3741288317120457E-4</v>
      </c>
      <c r="AK29" s="84">
        <f t="shared" si="8"/>
        <v>994.42727703374248</v>
      </c>
      <c r="AL29" s="84">
        <f t="shared" si="9"/>
        <v>2.290759006823637E-4</v>
      </c>
      <c r="AM29" s="84">
        <f t="shared" si="10"/>
        <v>1030.5980285481171</v>
      </c>
      <c r="AN29" s="84">
        <f t="shared" si="11"/>
        <v>2.2502007409204544E-4</v>
      </c>
      <c r="AO29" s="84">
        <f t="shared" si="12"/>
        <v>1049.1637165868865</v>
      </c>
      <c r="AP29" s="84">
        <f t="shared" si="13"/>
        <v>2.2302024346095947E-4</v>
      </c>
      <c r="AQ29" s="84">
        <f t="shared" si="14"/>
        <v>1058.5665774140928</v>
      </c>
      <c r="AR29" s="84">
        <f t="shared" si="15"/>
        <v>2.220275303251169E-4</v>
      </c>
      <c r="AS29" s="84">
        <f t="shared" si="16"/>
        <v>1063.2970550962698</v>
      </c>
      <c r="AT29" s="84">
        <f t="shared" si="17"/>
        <v>2.2153309321676378E-4</v>
      </c>
      <c r="AU29" s="84">
        <f t="shared" si="18"/>
        <v>1065.6689637643706</v>
      </c>
      <c r="AV29" s="84">
        <f t="shared" si="19"/>
        <v>2.2128641765856472E-4</v>
      </c>
      <c r="AW29" s="84">
        <f t="shared" si="20"/>
        <v>1066.8562764132162</v>
      </c>
      <c r="AX29" s="84">
        <f t="shared" si="21"/>
        <v>2.2116324769204759E-4</v>
      </c>
      <c r="AY29" s="142">
        <v>2.2000000000000001E-3</v>
      </c>
      <c r="AZ29" s="46">
        <f t="shared" si="25"/>
        <v>8.6588517491300449E-3</v>
      </c>
      <c r="BA29" s="85">
        <f t="shared" si="26"/>
        <v>107.8168085834851</v>
      </c>
      <c r="BB29" s="85">
        <f t="shared" si="27"/>
        <v>4.4000000000000003E-3</v>
      </c>
      <c r="BC29" s="85">
        <f t="shared" si="28"/>
        <v>54.193938980316048</v>
      </c>
      <c r="BD29" s="85">
        <f t="shared" si="29"/>
        <v>6.206125500971508E-3</v>
      </c>
      <c r="BE29" s="85">
        <f t="shared" si="30"/>
        <v>38.590365634572585</v>
      </c>
      <c r="BF29" s="85">
        <f t="shared" si="31"/>
        <v>7.3545561151831069E-3</v>
      </c>
      <c r="BG29" s="85">
        <f t="shared" si="32"/>
        <v>32.655343587660411</v>
      </c>
      <c r="BH29" s="85">
        <f t="shared" si="33"/>
        <v>7.9950058136863504E-3</v>
      </c>
      <c r="BI29" s="85">
        <f t="shared" si="34"/>
        <v>30.08633576914773</v>
      </c>
      <c r="BJ29" s="85">
        <f t="shared" si="35"/>
        <v>8.329352917687511E-3</v>
      </c>
      <c r="BK29" s="85">
        <f t="shared" si="36"/>
        <v>28.902203481958871</v>
      </c>
      <c r="BL29" s="85">
        <f t="shared" si="37"/>
        <v>8.4982682491311842E-3</v>
      </c>
      <c r="BM29" s="85">
        <f t="shared" si="38"/>
        <v>28.339411671184951</v>
      </c>
      <c r="BN29" s="85">
        <f t="shared" si="39"/>
        <v>8.5822368854550548E-3</v>
      </c>
      <c r="BO29" s="85">
        <f t="shared" si="40"/>
        <v>28.067892645670405</v>
      </c>
      <c r="BP29" s="85">
        <f t="shared" si="41"/>
        <v>8.6236477643414494E-3</v>
      </c>
      <c r="BQ29" s="85">
        <f t="shared" si="42"/>
        <v>27.935935203585885</v>
      </c>
      <c r="BR29" s="85">
        <f t="shared" si="43"/>
        <v>8.6439909863180054E-3</v>
      </c>
      <c r="BS29" s="85">
        <f t="shared" si="44"/>
        <v>27.871574051198746</v>
      </c>
      <c r="BT29" s="85">
        <f t="shared" si="45"/>
        <v>8.65396560089003E-3</v>
      </c>
      <c r="BU29" s="85">
        <f t="shared" si="46"/>
        <v>27.840127336952325</v>
      </c>
      <c r="BV29" s="85">
        <f t="shared" si="47"/>
        <v>8.6588517491300449E-3</v>
      </c>
      <c r="BW29" s="85">
        <f t="shared" si="48"/>
        <v>27.824749352593972</v>
      </c>
    </row>
    <row r="30" spans="1:75" ht="13.8" x14ac:dyDescent="0.45">
      <c r="C30" s="68">
        <v>10</v>
      </c>
      <c r="D30" s="69">
        <f t="shared" si="52"/>
        <v>2.9105110344324263</v>
      </c>
      <c r="E30" s="67">
        <f t="shared" si="49"/>
        <v>1.0615001276037799</v>
      </c>
      <c r="F30" s="67">
        <f t="shared" si="50"/>
        <v>180.34936096783019</v>
      </c>
      <c r="G30" s="67">
        <f t="shared" si="51"/>
        <v>1.0009925003284703</v>
      </c>
      <c r="Y30" s="142">
        <v>2.2000000000000001E-3</v>
      </c>
      <c r="Z30" s="46">
        <f t="shared" si="0"/>
        <v>2.2116324769204759E-4</v>
      </c>
      <c r="AA30" s="84">
        <f t="shared" si="22"/>
        <v>107.8168085834851</v>
      </c>
      <c r="AB30" s="84">
        <f t="shared" si="23"/>
        <v>6.957010852370434E-4</v>
      </c>
      <c r="AC30" s="84">
        <f t="shared" si="24"/>
        <v>339.72523355173769</v>
      </c>
      <c r="AD30" s="84">
        <f t="shared" si="1"/>
        <v>3.91924140041145E-4</v>
      </c>
      <c r="AE30" s="84">
        <f t="shared" si="2"/>
        <v>602.60778596542264</v>
      </c>
      <c r="AF30" s="84">
        <f t="shared" si="3"/>
        <v>2.9427173356111493E-4</v>
      </c>
      <c r="AG30" s="84">
        <f t="shared" si="4"/>
        <v>802.3935441105175</v>
      </c>
      <c r="AH30" s="84">
        <f t="shared" si="5"/>
        <v>2.5501880370364869E-4</v>
      </c>
      <c r="AI30" s="84">
        <f t="shared" si="6"/>
        <v>925.8129892812467</v>
      </c>
      <c r="AJ30" s="84">
        <f t="shared" si="7"/>
        <v>2.3741288317120457E-4</v>
      </c>
      <c r="AK30" s="84">
        <f t="shared" si="8"/>
        <v>994.42727703374248</v>
      </c>
      <c r="AL30" s="84">
        <f t="shared" si="9"/>
        <v>2.290759006823637E-4</v>
      </c>
      <c r="AM30" s="84">
        <f t="shared" si="10"/>
        <v>1030.5980285481171</v>
      </c>
      <c r="AN30" s="84">
        <f t="shared" si="11"/>
        <v>2.2502007409204544E-4</v>
      </c>
      <c r="AO30" s="84">
        <f t="shared" si="12"/>
        <v>1049.1637165868865</v>
      </c>
      <c r="AP30" s="84">
        <f t="shared" si="13"/>
        <v>2.2302024346095947E-4</v>
      </c>
      <c r="AQ30" s="84">
        <f t="shared" si="14"/>
        <v>1058.5665774140928</v>
      </c>
      <c r="AR30" s="84">
        <f t="shared" si="15"/>
        <v>2.220275303251169E-4</v>
      </c>
      <c r="AS30" s="84">
        <f t="shared" si="16"/>
        <v>1063.2970550962698</v>
      </c>
      <c r="AT30" s="84">
        <f t="shared" si="17"/>
        <v>2.2153309321676378E-4</v>
      </c>
      <c r="AU30" s="84">
        <f t="shared" si="18"/>
        <v>1065.6689637643706</v>
      </c>
      <c r="AV30" s="84">
        <f t="shared" si="19"/>
        <v>2.2128641765856472E-4</v>
      </c>
      <c r="AW30" s="84">
        <f t="shared" si="20"/>
        <v>1066.8562764132162</v>
      </c>
      <c r="AX30" s="84">
        <f t="shared" si="21"/>
        <v>2.2116324769204759E-4</v>
      </c>
      <c r="AY30" s="142">
        <v>2.2000000000000001E-3</v>
      </c>
      <c r="AZ30" s="46">
        <f t="shared" si="25"/>
        <v>8.6588517491300449E-3</v>
      </c>
      <c r="BA30" s="85">
        <f t="shared" si="26"/>
        <v>107.8168085834851</v>
      </c>
      <c r="BB30" s="85">
        <f t="shared" si="27"/>
        <v>4.4000000000000003E-3</v>
      </c>
      <c r="BC30" s="85">
        <f t="shared" si="28"/>
        <v>54.193938980316048</v>
      </c>
      <c r="BD30" s="85">
        <f t="shared" si="29"/>
        <v>6.206125500971508E-3</v>
      </c>
      <c r="BE30" s="85">
        <f t="shared" si="30"/>
        <v>38.590365634572585</v>
      </c>
      <c r="BF30" s="85">
        <f t="shared" si="31"/>
        <v>7.3545561151831069E-3</v>
      </c>
      <c r="BG30" s="85">
        <f t="shared" si="32"/>
        <v>32.655343587660411</v>
      </c>
      <c r="BH30" s="85">
        <f t="shared" si="33"/>
        <v>7.9950058136863504E-3</v>
      </c>
      <c r="BI30" s="85">
        <f t="shared" si="34"/>
        <v>30.08633576914773</v>
      </c>
      <c r="BJ30" s="85">
        <f t="shared" si="35"/>
        <v>8.329352917687511E-3</v>
      </c>
      <c r="BK30" s="85">
        <f t="shared" si="36"/>
        <v>28.902203481958871</v>
      </c>
      <c r="BL30" s="85">
        <f t="shared" si="37"/>
        <v>8.4982682491311842E-3</v>
      </c>
      <c r="BM30" s="85">
        <f t="shared" si="38"/>
        <v>28.339411671184951</v>
      </c>
      <c r="BN30" s="85">
        <f t="shared" si="39"/>
        <v>8.5822368854550548E-3</v>
      </c>
      <c r="BO30" s="85">
        <f t="shared" si="40"/>
        <v>28.067892645670405</v>
      </c>
      <c r="BP30" s="85">
        <f t="shared" si="41"/>
        <v>8.6236477643414494E-3</v>
      </c>
      <c r="BQ30" s="85">
        <f t="shared" si="42"/>
        <v>27.935935203585885</v>
      </c>
      <c r="BR30" s="85">
        <f t="shared" si="43"/>
        <v>8.6439909863180054E-3</v>
      </c>
      <c r="BS30" s="85">
        <f t="shared" si="44"/>
        <v>27.871574051198746</v>
      </c>
      <c r="BT30" s="85">
        <f t="shared" si="45"/>
        <v>8.65396560089003E-3</v>
      </c>
      <c r="BU30" s="85">
        <f t="shared" si="46"/>
        <v>27.840127336952325</v>
      </c>
      <c r="BV30" s="85">
        <f t="shared" si="47"/>
        <v>8.6588517491300449E-3</v>
      </c>
      <c r="BW30" s="85">
        <f t="shared" si="48"/>
        <v>27.824749352593972</v>
      </c>
    </row>
    <row r="31" spans="1:75" x14ac:dyDescent="0.4">
      <c r="Y31" s="142">
        <v>2.3E-3</v>
      </c>
      <c r="Z31" s="46">
        <f t="shared" si="0"/>
        <v>2.3126584014348541E-4</v>
      </c>
      <c r="AA31" s="84">
        <f t="shared" si="22"/>
        <v>103.1537987053175</v>
      </c>
      <c r="AB31" s="84">
        <f t="shared" si="23"/>
        <v>7.2732386183872722E-4</v>
      </c>
      <c r="AC31" s="84">
        <f t="shared" si="24"/>
        <v>324.97902390636386</v>
      </c>
      <c r="AD31" s="84">
        <f t="shared" si="1"/>
        <v>4.0977247602142245E-4</v>
      </c>
      <c r="AE31" s="84">
        <f t="shared" si="2"/>
        <v>576.38463163143115</v>
      </c>
      <c r="AF31" s="84">
        <f t="shared" si="3"/>
        <v>3.0769061697556542E-4</v>
      </c>
      <c r="AG31" s="84">
        <f t="shared" si="4"/>
        <v>767.42433627299295</v>
      </c>
      <c r="AH31" s="84">
        <f t="shared" si="5"/>
        <v>2.6665680134803306E-4</v>
      </c>
      <c r="AI31" s="84">
        <f t="shared" si="6"/>
        <v>885.43118859985475</v>
      </c>
      <c r="AJ31" s="84">
        <f t="shared" si="7"/>
        <v>2.4825216297683366E-4</v>
      </c>
      <c r="AK31" s="84">
        <f t="shared" si="8"/>
        <v>951.03270419960279</v>
      </c>
      <c r="AL31" s="84">
        <f t="shared" si="9"/>
        <v>2.3953706450503329E-4</v>
      </c>
      <c r="AM31" s="84">
        <f t="shared" si="10"/>
        <v>985.61380759269036</v>
      </c>
      <c r="AN31" s="84">
        <f t="shared" si="11"/>
        <v>2.3529736267913481E-4</v>
      </c>
      <c r="AO31" s="84">
        <f t="shared" si="12"/>
        <v>1003.3629695935183</v>
      </c>
      <c r="AP31" s="84">
        <f t="shared" si="13"/>
        <v>2.3320690996879743E-4</v>
      </c>
      <c r="AQ31" s="84">
        <f t="shared" si="14"/>
        <v>1012.3520279498964</v>
      </c>
      <c r="AR31" s="84">
        <f t="shared" si="15"/>
        <v>2.3216923496808072E-4</v>
      </c>
      <c r="AS31" s="84">
        <f t="shared" si="16"/>
        <v>1016.8742053759245</v>
      </c>
      <c r="AT31" s="84">
        <f t="shared" si="17"/>
        <v>2.3165241570758145E-4</v>
      </c>
      <c r="AU31" s="84">
        <f t="shared" si="18"/>
        <v>1019.1416125490458</v>
      </c>
      <c r="AV31" s="84">
        <f t="shared" si="19"/>
        <v>2.3139457969394329E-4</v>
      </c>
      <c r="AW31" s="84">
        <f t="shared" si="20"/>
        <v>1020.2765864977753</v>
      </c>
      <c r="AX31" s="84">
        <f t="shared" si="21"/>
        <v>2.3126584014348541E-4</v>
      </c>
      <c r="AY31" s="142">
        <v>2.3E-3</v>
      </c>
      <c r="AZ31" s="46">
        <f t="shared" si="25"/>
        <v>9.0460842637462239E-3</v>
      </c>
      <c r="BA31" s="85">
        <f t="shared" si="26"/>
        <v>103.1537987053175</v>
      </c>
      <c r="BB31" s="85">
        <f t="shared" si="27"/>
        <v>4.5999999999999999E-3</v>
      </c>
      <c r="BC31" s="85">
        <f t="shared" si="28"/>
        <v>51.862682160287321</v>
      </c>
      <c r="BD31" s="85">
        <f t="shared" si="29"/>
        <v>6.4874340802799401E-3</v>
      </c>
      <c r="BE31" s="85">
        <f t="shared" si="30"/>
        <v>36.942203047090331</v>
      </c>
      <c r="BF31" s="85">
        <f t="shared" si="31"/>
        <v>7.6866843804916062E-3</v>
      </c>
      <c r="BG31" s="85">
        <f t="shared" si="32"/>
        <v>31.269632603682183</v>
      </c>
      <c r="BH31" s="85">
        <f t="shared" si="33"/>
        <v>8.3548576591625876E-3</v>
      </c>
      <c r="BI31" s="85">
        <f t="shared" si="34"/>
        <v>28.815767512146873</v>
      </c>
      <c r="BJ31" s="85">
        <f t="shared" si="35"/>
        <v>8.7033279562312247E-3</v>
      </c>
      <c r="BK31" s="85">
        <f t="shared" si="36"/>
        <v>27.685565425935863</v>
      </c>
      <c r="BL31" s="85">
        <f t="shared" si="37"/>
        <v>8.8791981065368831E-3</v>
      </c>
      <c r="BM31" s="85">
        <f t="shared" si="38"/>
        <v>27.148861929944907</v>
      </c>
      <c r="BN31" s="85">
        <f t="shared" si="39"/>
        <v>8.9665346304094468E-3</v>
      </c>
      <c r="BO31" s="85">
        <f t="shared" si="40"/>
        <v>26.890164520600226</v>
      </c>
      <c r="BP31" s="85">
        <f t="shared" si="41"/>
        <v>9.0095627600281711E-3</v>
      </c>
      <c r="BQ31" s="85">
        <f t="shared" si="42"/>
        <v>26.764557110064743</v>
      </c>
      <c r="BR31" s="85">
        <f t="shared" si="43"/>
        <v>9.0306791791540421E-3</v>
      </c>
      <c r="BS31" s="85">
        <f t="shared" si="44"/>
        <v>26.703352294057172</v>
      </c>
      <c r="BT31" s="85">
        <f t="shared" si="45"/>
        <v>9.0410225379387761E-3</v>
      </c>
      <c r="BU31" s="85">
        <f t="shared" si="46"/>
        <v>26.673476996018639</v>
      </c>
      <c r="BV31" s="85">
        <f t="shared" si="47"/>
        <v>9.0460842637462239E-3</v>
      </c>
      <c r="BW31" s="85">
        <f t="shared" si="48"/>
        <v>26.658881843038134</v>
      </c>
    </row>
    <row r="32" spans="1:75" x14ac:dyDescent="0.4">
      <c r="Y32" s="142">
        <v>2.3999999999999998E-3</v>
      </c>
      <c r="Z32" s="46">
        <f t="shared" si="0"/>
        <v>2.413727844515719E-4</v>
      </c>
      <c r="AA32" s="84">
        <f t="shared" si="22"/>
        <v>98.879386896257657</v>
      </c>
      <c r="AB32" s="84">
        <f t="shared" si="23"/>
        <v>7.5894663844041092E-4</v>
      </c>
      <c r="AC32" s="84">
        <f t="shared" si="24"/>
        <v>311.46166951809329</v>
      </c>
      <c r="AD32" s="84">
        <f t="shared" si="1"/>
        <v>4.276237528206826E-4</v>
      </c>
      <c r="AE32" s="84">
        <f t="shared" si="2"/>
        <v>552.34672574777073</v>
      </c>
      <c r="AF32" s="84">
        <f t="shared" si="3"/>
        <v>3.2111325451917688E-4</v>
      </c>
      <c r="AG32" s="84">
        <f t="shared" si="4"/>
        <v>735.3692044469193</v>
      </c>
      <c r="AH32" s="84">
        <f t="shared" si="5"/>
        <v>2.7829884557967584E-4</v>
      </c>
      <c r="AI32" s="84">
        <f t="shared" si="6"/>
        <v>848.41451062924739</v>
      </c>
      <c r="AJ32" s="84">
        <f t="shared" si="7"/>
        <v>2.5909562535127845E-4</v>
      </c>
      <c r="AK32" s="84">
        <f t="shared" si="8"/>
        <v>911.25431870271552</v>
      </c>
      <c r="AL32" s="84">
        <f t="shared" si="9"/>
        <v>2.5000248432885809E-4</v>
      </c>
      <c r="AM32" s="84">
        <f t="shared" si="10"/>
        <v>944.3782455750079</v>
      </c>
      <c r="AN32" s="84">
        <f t="shared" si="11"/>
        <v>2.45578949368723E-4</v>
      </c>
      <c r="AO32" s="84">
        <f t="shared" si="12"/>
        <v>961.37892618735043</v>
      </c>
      <c r="AP32" s="84">
        <f t="shared" si="13"/>
        <v>2.4339789903874559E-4</v>
      </c>
      <c r="AQ32" s="84">
        <f t="shared" si="14"/>
        <v>969.98866617924796</v>
      </c>
      <c r="AR32" s="84">
        <f t="shared" si="15"/>
        <v>2.4231527630473211E-4</v>
      </c>
      <c r="AS32" s="84">
        <f t="shared" si="16"/>
        <v>974.31990206422074</v>
      </c>
      <c r="AT32" s="84">
        <f t="shared" si="17"/>
        <v>2.4177608296312191E-4</v>
      </c>
      <c r="AU32" s="84">
        <f t="shared" si="18"/>
        <v>976.49151641876858</v>
      </c>
      <c r="AV32" s="84">
        <f t="shared" si="19"/>
        <v>2.4150709104694284E-4</v>
      </c>
      <c r="AW32" s="84">
        <f t="shared" si="20"/>
        <v>977.57851335456598</v>
      </c>
      <c r="AX32" s="84">
        <f t="shared" si="21"/>
        <v>2.413727844515719E-4</v>
      </c>
      <c r="AY32" s="142">
        <v>2.3999999999999998E-3</v>
      </c>
      <c r="AZ32" s="46">
        <f t="shared" si="25"/>
        <v>9.43277197007562E-3</v>
      </c>
      <c r="BA32" s="85">
        <f t="shared" si="26"/>
        <v>98.879386896257657</v>
      </c>
      <c r="BB32" s="85">
        <f t="shared" si="27"/>
        <v>4.7999999999999996E-3</v>
      </c>
      <c r="BC32" s="85">
        <f t="shared" si="28"/>
        <v>49.725724077119061</v>
      </c>
      <c r="BD32" s="85">
        <f t="shared" si="29"/>
        <v>6.7686734432824769E-3</v>
      </c>
      <c r="BE32" s="85">
        <f t="shared" si="30"/>
        <v>35.431429712011166</v>
      </c>
      <c r="BF32" s="85">
        <f t="shared" si="31"/>
        <v>8.0186227396818084E-3</v>
      </c>
      <c r="BG32" s="85">
        <f t="shared" si="32"/>
        <v>29.999450768208472</v>
      </c>
      <c r="BH32" s="85">
        <f t="shared" si="33"/>
        <v>8.7143995455206836E-3</v>
      </c>
      <c r="BI32" s="85">
        <f t="shared" si="34"/>
        <v>27.651138937273824</v>
      </c>
      <c r="BJ32" s="85">
        <f t="shared" si="35"/>
        <v>9.0769011865211077E-3</v>
      </c>
      <c r="BK32" s="85">
        <f t="shared" si="36"/>
        <v>26.570374703957942</v>
      </c>
      <c r="BL32" s="85">
        <f t="shared" si="37"/>
        <v>9.2596651159633121E-3</v>
      </c>
      <c r="BM32" s="85">
        <f t="shared" si="38"/>
        <v>26.057585097862145</v>
      </c>
      <c r="BN32" s="85">
        <f t="shared" si="39"/>
        <v>9.3503321274146841E-3</v>
      </c>
      <c r="BO32" s="85">
        <f t="shared" si="40"/>
        <v>25.810639539643923</v>
      </c>
      <c r="BP32" s="85">
        <f t="shared" si="41"/>
        <v>9.3949557079711487E-3</v>
      </c>
      <c r="BQ32" s="85">
        <f t="shared" si="42"/>
        <v>25.690851573156237</v>
      </c>
      <c r="BR32" s="85">
        <f t="shared" si="43"/>
        <v>9.4168330256701304E-3</v>
      </c>
      <c r="BS32" s="85">
        <f t="shared" si="44"/>
        <v>25.632538866490265</v>
      </c>
      <c r="BT32" s="85">
        <f t="shared" si="45"/>
        <v>9.4275383458498133E-3</v>
      </c>
      <c r="BU32" s="85">
        <f t="shared" si="46"/>
        <v>25.604103140278418</v>
      </c>
      <c r="BV32" s="85">
        <f t="shared" si="47"/>
        <v>9.43277197007562E-3</v>
      </c>
      <c r="BW32" s="85">
        <f t="shared" si="48"/>
        <v>25.590224967278914</v>
      </c>
    </row>
    <row r="33" spans="25:75" x14ac:dyDescent="0.4">
      <c r="Y33" s="142">
        <v>2.3999999999999998E-3</v>
      </c>
      <c r="Z33" s="46">
        <f t="shared" si="0"/>
        <v>2.413727844515719E-4</v>
      </c>
      <c r="AA33" s="84">
        <f t="shared" si="22"/>
        <v>98.879386896257657</v>
      </c>
      <c r="AB33" s="84">
        <f t="shared" si="23"/>
        <v>7.5894663844041092E-4</v>
      </c>
      <c r="AC33" s="84">
        <f t="shared" si="24"/>
        <v>311.46166951809329</v>
      </c>
      <c r="AD33" s="84">
        <f t="shared" si="1"/>
        <v>4.276237528206826E-4</v>
      </c>
      <c r="AE33" s="84">
        <f t="shared" si="2"/>
        <v>552.34672574777073</v>
      </c>
      <c r="AF33" s="84">
        <f t="shared" si="3"/>
        <v>3.2111325451917688E-4</v>
      </c>
      <c r="AG33" s="84">
        <f t="shared" si="4"/>
        <v>735.3692044469193</v>
      </c>
      <c r="AH33" s="84">
        <f t="shared" si="5"/>
        <v>2.7829884557967584E-4</v>
      </c>
      <c r="AI33" s="84">
        <f t="shared" si="6"/>
        <v>848.41451062924739</v>
      </c>
      <c r="AJ33" s="84">
        <f t="shared" si="7"/>
        <v>2.5909562535127845E-4</v>
      </c>
      <c r="AK33" s="84">
        <f t="shared" si="8"/>
        <v>911.25431870271552</v>
      </c>
      <c r="AL33" s="84">
        <f t="shared" si="9"/>
        <v>2.5000248432885809E-4</v>
      </c>
      <c r="AM33" s="84">
        <f t="shared" si="10"/>
        <v>944.3782455750079</v>
      </c>
      <c r="AN33" s="84">
        <f t="shared" si="11"/>
        <v>2.45578949368723E-4</v>
      </c>
      <c r="AO33" s="84">
        <f t="shared" si="12"/>
        <v>961.37892618735043</v>
      </c>
      <c r="AP33" s="84">
        <f t="shared" si="13"/>
        <v>2.4339789903874559E-4</v>
      </c>
      <c r="AQ33" s="84">
        <f t="shared" si="14"/>
        <v>969.98866617924796</v>
      </c>
      <c r="AR33" s="84">
        <f t="shared" si="15"/>
        <v>2.4231527630473211E-4</v>
      </c>
      <c r="AS33" s="84">
        <f t="shared" si="16"/>
        <v>974.31990206422074</v>
      </c>
      <c r="AT33" s="84">
        <f t="shared" si="17"/>
        <v>2.4177608296312191E-4</v>
      </c>
      <c r="AU33" s="84">
        <f t="shared" si="18"/>
        <v>976.49151641876858</v>
      </c>
      <c r="AV33" s="84">
        <f t="shared" si="19"/>
        <v>2.4150709104694284E-4</v>
      </c>
      <c r="AW33" s="84">
        <f t="shared" si="20"/>
        <v>977.57851335456598</v>
      </c>
      <c r="AX33" s="84">
        <f t="shared" si="21"/>
        <v>2.413727844515719E-4</v>
      </c>
      <c r="AY33" s="142">
        <v>2.3999999999999998E-3</v>
      </c>
      <c r="AZ33" s="46">
        <f t="shared" si="25"/>
        <v>9.43277197007562E-3</v>
      </c>
      <c r="BA33" s="85">
        <f t="shared" si="26"/>
        <v>98.879386896257657</v>
      </c>
      <c r="BB33" s="85">
        <f t="shared" si="27"/>
        <v>4.7999999999999996E-3</v>
      </c>
      <c r="BC33" s="85">
        <f t="shared" si="28"/>
        <v>49.725724077119061</v>
      </c>
      <c r="BD33" s="85">
        <f t="shared" si="29"/>
        <v>6.7686734432824769E-3</v>
      </c>
      <c r="BE33" s="85">
        <f t="shared" si="30"/>
        <v>35.431429712011166</v>
      </c>
      <c r="BF33" s="85">
        <f t="shared" si="31"/>
        <v>8.0186227396818084E-3</v>
      </c>
      <c r="BG33" s="85">
        <f t="shared" si="32"/>
        <v>29.999450768208472</v>
      </c>
      <c r="BH33" s="85">
        <f t="shared" si="33"/>
        <v>8.7143995455206836E-3</v>
      </c>
      <c r="BI33" s="85">
        <f t="shared" si="34"/>
        <v>27.651138937273824</v>
      </c>
      <c r="BJ33" s="85">
        <f t="shared" si="35"/>
        <v>9.0769011865211077E-3</v>
      </c>
      <c r="BK33" s="85">
        <f t="shared" si="36"/>
        <v>26.570374703957942</v>
      </c>
      <c r="BL33" s="85">
        <f t="shared" si="37"/>
        <v>9.2596651159633121E-3</v>
      </c>
      <c r="BM33" s="85">
        <f t="shared" si="38"/>
        <v>26.057585097862145</v>
      </c>
      <c r="BN33" s="85">
        <f t="shared" si="39"/>
        <v>9.3503321274146841E-3</v>
      </c>
      <c r="BO33" s="85">
        <f t="shared" si="40"/>
        <v>25.810639539643923</v>
      </c>
      <c r="BP33" s="85">
        <f t="shared" si="41"/>
        <v>9.3949557079711487E-3</v>
      </c>
      <c r="BQ33" s="85">
        <f t="shared" si="42"/>
        <v>25.690851573156237</v>
      </c>
      <c r="BR33" s="85">
        <f t="shared" si="43"/>
        <v>9.4168330256701304E-3</v>
      </c>
      <c r="BS33" s="85">
        <f t="shared" si="44"/>
        <v>25.632538866490265</v>
      </c>
      <c r="BT33" s="85">
        <f t="shared" si="45"/>
        <v>9.4275383458498133E-3</v>
      </c>
      <c r="BU33" s="85">
        <f t="shared" si="46"/>
        <v>25.604103140278418</v>
      </c>
      <c r="BV33" s="85">
        <f t="shared" si="47"/>
        <v>9.43277197007562E-3</v>
      </c>
      <c r="BW33" s="85">
        <f t="shared" si="48"/>
        <v>25.590224967278914</v>
      </c>
    </row>
    <row r="34" spans="25:75" x14ac:dyDescent="0.4">
      <c r="Y34" s="142">
        <v>2.5000000000000001E-3</v>
      </c>
      <c r="Z34" s="46">
        <f t="shared" si="0"/>
        <v>2.5148408415623245E-4</v>
      </c>
      <c r="AA34" s="84">
        <f t="shared" si="22"/>
        <v>94.946941377699446</v>
      </c>
      <c r="AB34" s="84">
        <f t="shared" si="23"/>
        <v>7.9056941504209485E-4</v>
      </c>
      <c r="AC34" s="84">
        <f t="shared" si="24"/>
        <v>299.02570775502926</v>
      </c>
      <c r="AD34" s="84">
        <f t="shared" si="1"/>
        <v>4.454779727635133E-4</v>
      </c>
      <c r="AE34" s="84">
        <f t="shared" si="2"/>
        <v>530.23183855196442</v>
      </c>
      <c r="AF34" s="84">
        <f t="shared" si="3"/>
        <v>3.3453964916485828E-4</v>
      </c>
      <c r="AG34" s="84">
        <f t="shared" si="4"/>
        <v>705.87845962341578</v>
      </c>
      <c r="AH34" s="84">
        <f t="shared" si="5"/>
        <v>2.8994493964386243E-4</v>
      </c>
      <c r="AI34" s="84">
        <f t="shared" si="6"/>
        <v>814.35914080137979</v>
      </c>
      <c r="AJ34" s="84">
        <f t="shared" si="7"/>
        <v>2.6994327367688852E-4</v>
      </c>
      <c r="AK34" s="84">
        <f t="shared" si="8"/>
        <v>874.65817824685791</v>
      </c>
      <c r="AL34" s="84">
        <f t="shared" si="9"/>
        <v>2.6047216360972964E-4</v>
      </c>
      <c r="AM34" s="84">
        <f t="shared" si="10"/>
        <v>906.4415036216426</v>
      </c>
      <c r="AN34" s="84">
        <f t="shared" si="11"/>
        <v>2.5586483765670302E-4</v>
      </c>
      <c r="AO34" s="84">
        <f t="shared" si="12"/>
        <v>922.75358214484334</v>
      </c>
      <c r="AP34" s="84">
        <f t="shared" si="13"/>
        <v>2.5359321418832483E-4</v>
      </c>
      <c r="AQ34" s="84">
        <f t="shared" si="14"/>
        <v>931.01434978987766</v>
      </c>
      <c r="AR34" s="84">
        <f t="shared" si="15"/>
        <v>2.5246565786413979E-4</v>
      </c>
      <c r="AS34" s="84">
        <f t="shared" si="16"/>
        <v>935.16991980513296</v>
      </c>
      <c r="AT34" s="84">
        <f t="shared" si="17"/>
        <v>2.5190409851853399E-4</v>
      </c>
      <c r="AU34" s="84">
        <f t="shared" si="18"/>
        <v>937.2534049773858</v>
      </c>
      <c r="AV34" s="84">
        <f t="shared" si="19"/>
        <v>2.5162395525586988E-4</v>
      </c>
      <c r="AW34" s="84">
        <f t="shared" si="20"/>
        <v>938.29626318549913</v>
      </c>
      <c r="AX34" s="84">
        <f t="shared" si="21"/>
        <v>2.5148408415623245E-4</v>
      </c>
      <c r="AY34" s="142">
        <v>2.5000000000000001E-3</v>
      </c>
      <c r="AZ34" s="46">
        <f t="shared" si="25"/>
        <v>9.8189159108182308E-3</v>
      </c>
      <c r="BA34" s="85">
        <f t="shared" si="26"/>
        <v>94.946941377699446</v>
      </c>
      <c r="BB34" s="85">
        <f t="shared" si="27"/>
        <v>5.0000000000000001E-3</v>
      </c>
      <c r="BC34" s="85">
        <f t="shared" si="28"/>
        <v>47.759748841877247</v>
      </c>
      <c r="BD34" s="85">
        <f t="shared" si="29"/>
        <v>7.0498435081810832E-3</v>
      </c>
      <c r="BE34" s="85">
        <f t="shared" si="30"/>
        <v>34.041558807590221</v>
      </c>
      <c r="BF34" s="85">
        <f t="shared" si="31"/>
        <v>8.3503710606995379E-3</v>
      </c>
      <c r="BG34" s="85">
        <f t="shared" si="32"/>
        <v>28.830934375036097</v>
      </c>
      <c r="BH34" s="85">
        <f t="shared" si="33"/>
        <v>9.0736314452115972E-3</v>
      </c>
      <c r="BI34" s="85">
        <f t="shared" si="34"/>
        <v>26.579736974592127</v>
      </c>
      <c r="BJ34" s="85">
        <f t="shared" si="35"/>
        <v>9.4500728030583719E-3</v>
      </c>
      <c r="BK34" s="85">
        <f t="shared" si="36"/>
        <v>25.544457244082128</v>
      </c>
      <c r="BL34" s="85">
        <f t="shared" si="37"/>
        <v>9.639669719391418E-3</v>
      </c>
      <c r="BM34" s="85">
        <f t="shared" si="38"/>
        <v>25.053667973644348</v>
      </c>
      <c r="BN34" s="85">
        <f t="shared" si="39"/>
        <v>9.7336300318126186E-3</v>
      </c>
      <c r="BO34" s="85">
        <f t="shared" si="40"/>
        <v>24.81753283492019</v>
      </c>
      <c r="BP34" s="85">
        <f t="shared" si="41"/>
        <v>9.7798274236416908E-3</v>
      </c>
      <c r="BQ34" s="85">
        <f t="shared" si="42"/>
        <v>24.703097373534316</v>
      </c>
      <c r="BR34" s="85">
        <f t="shared" si="43"/>
        <v>9.8024534517152252E-3</v>
      </c>
      <c r="BS34" s="85">
        <f t="shared" si="44"/>
        <v>24.647444245131513</v>
      </c>
      <c r="BT34" s="85">
        <f t="shared" si="45"/>
        <v>9.8135140223579928E-3</v>
      </c>
      <c r="BU34" s="85">
        <f t="shared" si="46"/>
        <v>24.620332062578953</v>
      </c>
      <c r="BV34" s="85">
        <f t="shared" si="47"/>
        <v>9.8189159108182308E-3</v>
      </c>
      <c r="BW34" s="85">
        <f t="shared" si="48"/>
        <v>24.607112918447616</v>
      </c>
    </row>
    <row r="35" spans="25:75" x14ac:dyDescent="0.4">
      <c r="Y35" s="142">
        <v>2.5999999999999999E-3</v>
      </c>
      <c r="Z35" s="46">
        <f t="shared" si="0"/>
        <v>2.6159974279198607E-4</v>
      </c>
      <c r="AA35" s="84">
        <f t="shared" si="22"/>
        <v>91.317004490829916</v>
      </c>
      <c r="AB35" s="84">
        <f t="shared" si="23"/>
        <v>8.2219219164377856E-4</v>
      </c>
      <c r="AC35" s="84">
        <f t="shared" si="24"/>
        <v>287.54636254402891</v>
      </c>
      <c r="AD35" s="84">
        <f t="shared" si="1"/>
        <v>4.6333513816894872E-4</v>
      </c>
      <c r="AE35" s="84">
        <f t="shared" si="2"/>
        <v>509.81808332185227</v>
      </c>
      <c r="AF35" s="84">
        <f t="shared" si="3"/>
        <v>3.4796980387954854E-4</v>
      </c>
      <c r="AG35" s="84">
        <f t="shared" si="4"/>
        <v>678.6562111025022</v>
      </c>
      <c r="AH35" s="84">
        <f t="shared" si="5"/>
        <v>3.0159508678008641E-4</v>
      </c>
      <c r="AI35" s="84">
        <f t="shared" si="6"/>
        <v>782.92338986613322</v>
      </c>
      <c r="AJ35" s="84">
        <f t="shared" si="7"/>
        <v>2.8079511133039003E-4</v>
      </c>
      <c r="AK35" s="84">
        <f t="shared" si="8"/>
        <v>840.87710088878691</v>
      </c>
      <c r="AL35" s="84">
        <f t="shared" si="9"/>
        <v>2.7094610579801932E-4</v>
      </c>
      <c r="AM35" s="84">
        <f t="shared" si="10"/>
        <v>871.42294883938257</v>
      </c>
      <c r="AN35" s="84">
        <f t="shared" si="11"/>
        <v>2.6615503103350423E-4</v>
      </c>
      <c r="AO35" s="84">
        <f t="shared" si="12"/>
        <v>887.09939543036626</v>
      </c>
      <c r="AP35" s="84">
        <f t="shared" si="13"/>
        <v>2.637928589296223E-4</v>
      </c>
      <c r="AQ35" s="84">
        <f t="shared" si="14"/>
        <v>895.03803528645074</v>
      </c>
      <c r="AR35" s="84">
        <f t="shared" si="15"/>
        <v>2.6262038316995391E-4</v>
      </c>
      <c r="AS35" s="84">
        <f t="shared" si="16"/>
        <v>899.03145252783565</v>
      </c>
      <c r="AT35" s="84">
        <f t="shared" si="17"/>
        <v>2.6203646590355526E-4</v>
      </c>
      <c r="AU35" s="84">
        <f t="shared" si="18"/>
        <v>901.03358788934713</v>
      </c>
      <c r="AV35" s="84">
        <f t="shared" si="19"/>
        <v>2.6174517585362319E-4</v>
      </c>
      <c r="AW35" s="84">
        <f t="shared" si="20"/>
        <v>902.03570277646259</v>
      </c>
      <c r="AX35" s="84">
        <f t="shared" si="21"/>
        <v>2.6159974279198607E-4</v>
      </c>
      <c r="AY35" s="142">
        <v>2.5999999999999999E-3</v>
      </c>
      <c r="AZ35" s="46">
        <f t="shared" si="25"/>
        <v>1.0204517143232131E-2</v>
      </c>
      <c r="BA35" s="85">
        <f t="shared" si="26"/>
        <v>91.317004490829916</v>
      </c>
      <c r="BB35" s="85">
        <f t="shared" si="27"/>
        <v>5.1999999999999998E-3</v>
      </c>
      <c r="BC35" s="85">
        <f t="shared" si="28"/>
        <v>45.945027625523977</v>
      </c>
      <c r="BD35" s="85">
        <f t="shared" si="29"/>
        <v>7.3309441939084377E-3</v>
      </c>
      <c r="BE35" s="85">
        <f t="shared" si="30"/>
        <v>32.758639946458253</v>
      </c>
      <c r="BF35" s="85">
        <f t="shared" si="31"/>
        <v>8.6819292149095516E-3</v>
      </c>
      <c r="BG35" s="85">
        <f t="shared" si="32"/>
        <v>27.752352596532059</v>
      </c>
      <c r="BH35" s="85">
        <f t="shared" si="33"/>
        <v>9.4325533381038155E-3</v>
      </c>
      <c r="BI35" s="85">
        <f t="shared" si="34"/>
        <v>25.590804412428302</v>
      </c>
      <c r="BJ35" s="85">
        <f t="shared" si="35"/>
        <v>9.8228430113518079E-3</v>
      </c>
      <c r="BK35" s="85">
        <f t="shared" si="36"/>
        <v>24.59751191063625</v>
      </c>
      <c r="BL35" s="85">
        <f t="shared" si="37"/>
        <v>1.0019212372141865E-2</v>
      </c>
      <c r="BM35" s="85">
        <f t="shared" si="38"/>
        <v>24.127030159081162</v>
      </c>
      <c r="BN35" s="85">
        <f t="shared" si="39"/>
        <v>1.0116429013444089E-2</v>
      </c>
      <c r="BO35" s="85">
        <f t="shared" si="40"/>
        <v>23.900872598668236</v>
      </c>
      <c r="BP35" s="85">
        <f t="shared" si="41"/>
        <v>1.0164178737405568E-2</v>
      </c>
      <c r="BQ35" s="85">
        <f t="shared" si="42"/>
        <v>23.791376560393438</v>
      </c>
      <c r="BR35" s="85">
        <f t="shared" si="43"/>
        <v>1.0187541398034723E-2</v>
      </c>
      <c r="BS35" s="85">
        <f t="shared" si="44"/>
        <v>23.738177299171884</v>
      </c>
      <c r="BT35" s="85">
        <f t="shared" si="45"/>
        <v>1.0198950579940929E-2</v>
      </c>
      <c r="BU35" s="85">
        <f t="shared" si="46"/>
        <v>23.712286015282299</v>
      </c>
      <c r="BV35" s="85">
        <f t="shared" si="47"/>
        <v>1.0204517143232131E-2</v>
      </c>
      <c r="BW35" s="85">
        <f t="shared" si="48"/>
        <v>23.699674633898692</v>
      </c>
    </row>
    <row r="36" spans="25:75" x14ac:dyDescent="0.4">
      <c r="Y36" s="142">
        <v>2.7000000000000001E-3</v>
      </c>
      <c r="Z36" s="46">
        <f t="shared" si="0"/>
        <v>2.7171976388795063E-4</v>
      </c>
      <c r="AA36" s="84">
        <f t="shared" si="22"/>
        <v>87.955964155926893</v>
      </c>
      <c r="AB36" s="84">
        <f t="shared" ref="AB36:AB55" si="53">Y36/SQRT($Z$1)</f>
        <v>8.5381496824546237E-4</v>
      </c>
      <c r="AC36" s="84">
        <f t="shared" si="24"/>
        <v>276.9173431561187</v>
      </c>
      <c r="AD36" s="84">
        <f t="shared" si="1"/>
        <v>4.8119525135047647E-4</v>
      </c>
      <c r="AE36" s="84">
        <f t="shared" si="2"/>
        <v>490.91644544219844</v>
      </c>
      <c r="AF36" s="84">
        <f t="shared" si="3"/>
        <v>3.6140372162422353E-4</v>
      </c>
      <c r="AG36" s="84">
        <f t="shared" si="4"/>
        <v>653.45040384330298</v>
      </c>
      <c r="AH36" s="84">
        <f t="shared" si="5"/>
        <v>3.1324929022205568E-4</v>
      </c>
      <c r="AI36" s="84">
        <f t="shared" si="6"/>
        <v>753.8161892028096</v>
      </c>
      <c r="AJ36" s="84">
        <f t="shared" si="7"/>
        <v>2.9165114168289109E-4</v>
      </c>
      <c r="AK36" s="84">
        <f t="shared" si="8"/>
        <v>809.59830200990939</v>
      </c>
      <c r="AL36" s="84">
        <f t="shared" si="9"/>
        <v>2.8142431433858365E-4</v>
      </c>
      <c r="AM36" s="84">
        <f t="shared" si="10"/>
        <v>838.99833839296571</v>
      </c>
      <c r="AN36" s="84">
        <f t="shared" si="11"/>
        <v>2.7644953298409833E-4</v>
      </c>
      <c r="AO36" s="84">
        <f t="shared" si="12"/>
        <v>854.08623764287745</v>
      </c>
      <c r="AP36" s="84">
        <f t="shared" si="13"/>
        <v>2.7399683676929669E-4</v>
      </c>
      <c r="AQ36" s="84">
        <f t="shared" si="14"/>
        <v>861.72661154298498</v>
      </c>
      <c r="AR36" s="84">
        <f t="shared" si="15"/>
        <v>2.7277945574041092E-4</v>
      </c>
      <c r="AS36" s="84">
        <f t="shared" si="16"/>
        <v>865.56988765314725</v>
      </c>
      <c r="AT36" s="84">
        <f t="shared" si="17"/>
        <v>2.7217318864251682E-4</v>
      </c>
      <c r="AU36" s="84">
        <f t="shared" si="18"/>
        <v>867.49669931292601</v>
      </c>
      <c r="AV36" s="84">
        <f t="shared" si="19"/>
        <v>2.7187075636769852E-4</v>
      </c>
      <c r="AW36" s="84">
        <f t="shared" si="20"/>
        <v>868.46108901880575</v>
      </c>
      <c r="AX36" s="84">
        <f t="shared" si="21"/>
        <v>2.7171976388795063E-4</v>
      </c>
      <c r="AY36" s="142">
        <v>2.7000000000000001E-3</v>
      </c>
      <c r="AZ36" s="46">
        <f t="shared" si="25"/>
        <v>1.0589576738760079E-2</v>
      </c>
      <c r="BA36" s="85">
        <f t="shared" si="26"/>
        <v>87.955964155926893</v>
      </c>
      <c r="BB36" s="85">
        <f t="shared" si="27"/>
        <v>5.4000000000000003E-3</v>
      </c>
      <c r="BC36" s="85">
        <f t="shared" si="28"/>
        <v>44.264754388566253</v>
      </c>
      <c r="BD36" s="85">
        <f t="shared" si="29"/>
        <v>7.6119754201254388E-3</v>
      </c>
      <c r="BE36" s="85">
        <f t="shared" si="30"/>
        <v>31.570789465551602</v>
      </c>
      <c r="BF36" s="85">
        <f t="shared" si="31"/>
        <v>9.0132970770739392E-3</v>
      </c>
      <c r="BG36" s="85">
        <f t="shared" si="32"/>
        <v>26.753712506119381</v>
      </c>
      <c r="BH36" s="85">
        <f t="shared" si="33"/>
        <v>9.7911652114113269E-3</v>
      </c>
      <c r="BI36" s="85">
        <f t="shared" si="34"/>
        <v>24.675177701394283</v>
      </c>
      <c r="BJ36" s="85">
        <f t="shared" si="35"/>
        <v>1.0195212027773171E-2</v>
      </c>
      <c r="BK36" s="85">
        <f t="shared" si="36"/>
        <v>23.720763664162327</v>
      </c>
      <c r="BL36" s="85">
        <f t="shared" si="37"/>
        <v>1.0398293542657084E-2</v>
      </c>
      <c r="BM36" s="85">
        <f t="shared" si="38"/>
        <v>23.269084651054655</v>
      </c>
      <c r="BN36" s="85">
        <f t="shared" si="39"/>
        <v>1.0498729756371183E-2</v>
      </c>
      <c r="BO36" s="85">
        <f t="shared" si="40"/>
        <v>23.052164331356554</v>
      </c>
      <c r="BP36" s="85">
        <f t="shared" si="41"/>
        <v>1.0548010494202828E-2</v>
      </c>
      <c r="BQ36" s="85">
        <f t="shared" si="42"/>
        <v>22.947240512811049</v>
      </c>
      <c r="BR36" s="85">
        <f t="shared" si="43"/>
        <v>1.0572097819922863E-2</v>
      </c>
      <c r="BS36" s="85">
        <f t="shared" si="44"/>
        <v>22.896312254673763</v>
      </c>
      <c r="BT36" s="85">
        <f t="shared" si="45"/>
        <v>1.058384904545492E-2</v>
      </c>
      <c r="BU36" s="85">
        <f t="shared" si="46"/>
        <v>22.871550625139019</v>
      </c>
      <c r="BV36" s="85">
        <f t="shared" si="47"/>
        <v>1.0589576738760079E-2</v>
      </c>
      <c r="BW36" s="85">
        <f t="shared" si="48"/>
        <v>22.859501435134806</v>
      </c>
    </row>
    <row r="37" spans="25:75" x14ac:dyDescent="0.4">
      <c r="Y37" s="142">
        <v>2.8E-3</v>
      </c>
      <c r="Z37" s="46">
        <f t="shared" si="0"/>
        <v>2.8184415096784679E-4</v>
      </c>
      <c r="AA37" s="84">
        <f t="shared" si="22"/>
        <v>84.835010018949916</v>
      </c>
      <c r="AB37" s="84">
        <f t="shared" si="53"/>
        <v>8.8543774484714619E-4</v>
      </c>
      <c r="AC37" s="84">
        <f t="shared" si="24"/>
        <v>267.04754325217874</v>
      </c>
      <c r="AD37" s="84">
        <f t="shared" si="1"/>
        <v>4.9905831461604495E-4</v>
      </c>
      <c r="AE37" s="84">
        <f t="shared" si="2"/>
        <v>473.36491238559768</v>
      </c>
      <c r="AF37" s="84">
        <f t="shared" si="3"/>
        <v>3.7484140535390235E-4</v>
      </c>
      <c r="AG37" s="84">
        <f t="shared" si="4"/>
        <v>630.04499066777771</v>
      </c>
      <c r="AH37" s="84">
        <f t="shared" si="5"/>
        <v>3.2490755319769792E-4</v>
      </c>
      <c r="AI37" s="84">
        <f t="shared" si="6"/>
        <v>726.78805142202066</v>
      </c>
      <c r="AJ37" s="84">
        <f t="shared" si="7"/>
        <v>3.0251136809988693E-4</v>
      </c>
      <c r="AK37" s="84">
        <f t="shared" si="8"/>
        <v>780.55368050830998</v>
      </c>
      <c r="AL37" s="84">
        <f t="shared" si="9"/>
        <v>2.9190679267076906E-4</v>
      </c>
      <c r="AM37" s="84">
        <f t="shared" si="10"/>
        <v>808.88974985187735</v>
      </c>
      <c r="AN37" s="84">
        <f t="shared" si="11"/>
        <v>2.8674834698800259E-4</v>
      </c>
      <c r="AO37" s="84">
        <f t="shared" si="12"/>
        <v>823.43114158118112</v>
      </c>
      <c r="AP37" s="84">
        <f t="shared" si="13"/>
        <v>2.8420515120858173E-4</v>
      </c>
      <c r="AQ37" s="84">
        <f t="shared" si="14"/>
        <v>830.79455473689882</v>
      </c>
      <c r="AR37" s="84">
        <f t="shared" si="15"/>
        <v>2.8294287908833717E-4</v>
      </c>
      <c r="AS37" s="84">
        <f t="shared" si="16"/>
        <v>834.49841439859699</v>
      </c>
      <c r="AT37" s="84">
        <f t="shared" si="17"/>
        <v>2.8231427025434731E-4</v>
      </c>
      <c r="AU37" s="84">
        <f t="shared" si="18"/>
        <v>836.35528281203892</v>
      </c>
      <c r="AV37" s="84">
        <f t="shared" si="19"/>
        <v>2.820007003201927E-4</v>
      </c>
      <c r="AW37" s="84">
        <f t="shared" si="20"/>
        <v>837.28464210479478</v>
      </c>
      <c r="AX37" s="84">
        <f t="shared" si="21"/>
        <v>2.8184415096784679E-4</v>
      </c>
      <c r="AY37" s="142">
        <v>2.8E-3</v>
      </c>
      <c r="AZ37" s="46">
        <f t="shared" si="25"/>
        <v>1.097409578266182E-2</v>
      </c>
      <c r="BA37" s="85">
        <f t="shared" si="26"/>
        <v>84.835010018949916</v>
      </c>
      <c r="BB37" s="85">
        <f t="shared" si="27"/>
        <v>5.5999999999999999E-3</v>
      </c>
      <c r="BC37" s="85">
        <f t="shared" si="28"/>
        <v>42.704523954351487</v>
      </c>
      <c r="BD37" s="85">
        <f t="shared" si="29"/>
        <v>7.8929371072186654E-3</v>
      </c>
      <c r="BE37" s="85">
        <f t="shared" si="30"/>
        <v>30.467821368200269</v>
      </c>
      <c r="BF37" s="85">
        <f t="shared" si="31"/>
        <v>9.3444745253305154E-3</v>
      </c>
      <c r="BG37" s="85">
        <f t="shared" si="32"/>
        <v>25.82644873880184</v>
      </c>
      <c r="BH37" s="85">
        <f t="shared" si="33"/>
        <v>1.0149467059621923E-2</v>
      </c>
      <c r="BI37" s="85">
        <f t="shared" si="34"/>
        <v>23.825002371833698</v>
      </c>
      <c r="BJ37" s="85">
        <f t="shared" si="35"/>
        <v>1.0567180079413615E-2</v>
      </c>
      <c r="BK37" s="85">
        <f t="shared" si="36"/>
        <v>22.906691044229355</v>
      </c>
      <c r="BL37" s="85">
        <f t="shared" si="37"/>
        <v>1.0776913712285388E-2</v>
      </c>
      <c r="BM37" s="85">
        <f t="shared" si="38"/>
        <v>22.472471163833259</v>
      </c>
      <c r="BN37" s="85">
        <f t="shared" si="39"/>
        <v>1.0880532958602659E-2</v>
      </c>
      <c r="BO37" s="85">
        <f t="shared" si="40"/>
        <v>22.264127036625528</v>
      </c>
      <c r="BP37" s="85">
        <f t="shared" si="41"/>
        <v>1.0931323553231686E-2</v>
      </c>
      <c r="BQ37" s="85">
        <f t="shared" si="42"/>
        <v>22.163447559389688</v>
      </c>
      <c r="BR37" s="85">
        <f t="shared" si="43"/>
        <v>1.0956123686879938E-2</v>
      </c>
      <c r="BS37" s="85">
        <f t="shared" si="44"/>
        <v>22.114627023674871</v>
      </c>
      <c r="BT37" s="85">
        <f t="shared" si="45"/>
        <v>1.0968210459776218E-2</v>
      </c>
      <c r="BU37" s="85">
        <f t="shared" si="46"/>
        <v>22.090913576403363</v>
      </c>
      <c r="BV37" s="85">
        <f t="shared" si="47"/>
        <v>1.097409578266182E-2</v>
      </c>
      <c r="BW37" s="85">
        <f t="shared" si="48"/>
        <v>22.079385887748092</v>
      </c>
    </row>
    <row r="38" spans="25:75" x14ac:dyDescent="0.4">
      <c r="Y38" s="142">
        <v>2.8E-3</v>
      </c>
      <c r="Z38" s="46">
        <f t="shared" si="0"/>
        <v>2.8184415096784679E-4</v>
      </c>
      <c r="AA38" s="84">
        <f t="shared" si="22"/>
        <v>84.835010018949916</v>
      </c>
      <c r="AB38" s="84">
        <f t="shared" si="53"/>
        <v>8.8543774484714619E-4</v>
      </c>
      <c r="AC38" s="84">
        <f t="shared" si="24"/>
        <v>267.04754325217874</v>
      </c>
      <c r="AD38" s="84">
        <f t="shared" si="1"/>
        <v>4.9905831461604495E-4</v>
      </c>
      <c r="AE38" s="84">
        <f t="shared" si="2"/>
        <v>473.36491238559768</v>
      </c>
      <c r="AF38" s="84">
        <f t="shared" si="3"/>
        <v>3.7484140535390235E-4</v>
      </c>
      <c r="AG38" s="84">
        <f t="shared" si="4"/>
        <v>630.04499066777771</v>
      </c>
      <c r="AH38" s="84">
        <f t="shared" si="5"/>
        <v>3.2490755319769792E-4</v>
      </c>
      <c r="AI38" s="84">
        <f t="shared" si="6"/>
        <v>726.78805142202066</v>
      </c>
      <c r="AJ38" s="84">
        <f t="shared" si="7"/>
        <v>3.0251136809988693E-4</v>
      </c>
      <c r="AK38" s="84">
        <f t="shared" si="8"/>
        <v>780.55368050830998</v>
      </c>
      <c r="AL38" s="84">
        <f t="shared" si="9"/>
        <v>2.9190679267076906E-4</v>
      </c>
      <c r="AM38" s="84">
        <f t="shared" si="10"/>
        <v>808.88974985187735</v>
      </c>
      <c r="AN38" s="84">
        <f t="shared" si="11"/>
        <v>2.8674834698800259E-4</v>
      </c>
      <c r="AO38" s="84">
        <f t="shared" si="12"/>
        <v>823.43114158118112</v>
      </c>
      <c r="AP38" s="84">
        <f t="shared" si="13"/>
        <v>2.8420515120858173E-4</v>
      </c>
      <c r="AQ38" s="84">
        <f t="shared" si="14"/>
        <v>830.79455473689882</v>
      </c>
      <c r="AR38" s="84">
        <f t="shared" si="15"/>
        <v>2.8294287908833717E-4</v>
      </c>
      <c r="AS38" s="84">
        <f t="shared" si="16"/>
        <v>834.49841439859699</v>
      </c>
      <c r="AT38" s="84">
        <f t="shared" si="17"/>
        <v>2.8231427025434731E-4</v>
      </c>
      <c r="AU38" s="84">
        <f t="shared" si="18"/>
        <v>836.35528281203892</v>
      </c>
      <c r="AV38" s="84">
        <f t="shared" si="19"/>
        <v>2.820007003201927E-4</v>
      </c>
      <c r="AW38" s="84">
        <f t="shared" si="20"/>
        <v>837.28464210479478</v>
      </c>
      <c r="AX38" s="84">
        <f t="shared" si="21"/>
        <v>2.8184415096784679E-4</v>
      </c>
      <c r="AY38" s="142">
        <v>2.8E-3</v>
      </c>
      <c r="AZ38" s="46">
        <f t="shared" si="25"/>
        <v>1.097409578266182E-2</v>
      </c>
      <c r="BA38" s="85">
        <f t="shared" si="26"/>
        <v>84.835010018949916</v>
      </c>
      <c r="BB38" s="85">
        <f t="shared" si="27"/>
        <v>5.5999999999999999E-3</v>
      </c>
      <c r="BC38" s="85">
        <f t="shared" si="28"/>
        <v>42.704523954351487</v>
      </c>
      <c r="BD38" s="85">
        <f t="shared" si="29"/>
        <v>7.8929371072186654E-3</v>
      </c>
      <c r="BE38" s="85">
        <f t="shared" si="30"/>
        <v>30.467821368200269</v>
      </c>
      <c r="BF38" s="85">
        <f t="shared" si="31"/>
        <v>9.3444745253305154E-3</v>
      </c>
      <c r="BG38" s="85">
        <f t="shared" si="32"/>
        <v>25.82644873880184</v>
      </c>
      <c r="BH38" s="85">
        <f t="shared" si="33"/>
        <v>1.0149467059621923E-2</v>
      </c>
      <c r="BI38" s="85">
        <f t="shared" si="34"/>
        <v>23.825002371833698</v>
      </c>
      <c r="BJ38" s="85">
        <f t="shared" si="35"/>
        <v>1.0567180079413615E-2</v>
      </c>
      <c r="BK38" s="85">
        <f t="shared" si="36"/>
        <v>22.906691044229355</v>
      </c>
      <c r="BL38" s="85">
        <f t="shared" si="37"/>
        <v>1.0776913712285388E-2</v>
      </c>
      <c r="BM38" s="85">
        <f t="shared" si="38"/>
        <v>22.472471163833259</v>
      </c>
      <c r="BN38" s="85">
        <f t="shared" si="39"/>
        <v>1.0880532958602659E-2</v>
      </c>
      <c r="BO38" s="85">
        <f t="shared" si="40"/>
        <v>22.264127036625528</v>
      </c>
      <c r="BP38" s="85">
        <f t="shared" si="41"/>
        <v>1.0931323553231686E-2</v>
      </c>
      <c r="BQ38" s="85">
        <f t="shared" si="42"/>
        <v>22.163447559389688</v>
      </c>
      <c r="BR38" s="85">
        <f t="shared" si="43"/>
        <v>1.0956123686879938E-2</v>
      </c>
      <c r="BS38" s="85">
        <f t="shared" si="44"/>
        <v>22.114627023674871</v>
      </c>
      <c r="BT38" s="85">
        <f t="shared" si="45"/>
        <v>1.0968210459776218E-2</v>
      </c>
      <c r="BU38" s="85">
        <f t="shared" si="46"/>
        <v>22.090913576403363</v>
      </c>
      <c r="BV38" s="85">
        <f t="shared" si="47"/>
        <v>1.097409578266182E-2</v>
      </c>
      <c r="BW38" s="85">
        <f t="shared" si="48"/>
        <v>22.079385887748092</v>
      </c>
    </row>
    <row r="39" spans="25:75" x14ac:dyDescent="0.4">
      <c r="Y39" s="142">
        <v>2.8999999999999998E-3</v>
      </c>
      <c r="Z39" s="46">
        <f t="shared" si="0"/>
        <v>2.9197290755000302E-4</v>
      </c>
      <c r="AA39" s="84">
        <f t="shared" si="22"/>
        <v>81.92930556780199</v>
      </c>
      <c r="AB39" s="84">
        <f t="shared" si="53"/>
        <v>9.1706052144882989E-4</v>
      </c>
      <c r="AC39" s="84">
        <f t="shared" si="24"/>
        <v>257.85842288469217</v>
      </c>
      <c r="AD39" s="84">
        <f t="shared" si="1"/>
        <v>5.1692433026806961E-4</v>
      </c>
      <c r="AE39" s="84">
        <f t="shared" si="2"/>
        <v>457.02381818009127</v>
      </c>
      <c r="AF39" s="84">
        <f t="shared" si="3"/>
        <v>3.8828285801765415E-4</v>
      </c>
      <c r="AG39" s="84">
        <f t="shared" si="4"/>
        <v>608.25372400850938</v>
      </c>
      <c r="AH39" s="84">
        <f t="shared" si="5"/>
        <v>3.3656987892916675E-4</v>
      </c>
      <c r="AI39" s="84">
        <f t="shared" si="6"/>
        <v>701.62390118787687</v>
      </c>
      <c r="AJ39" s="84">
        <f t="shared" si="7"/>
        <v>3.1337579394126507E-4</v>
      </c>
      <c r="AK39" s="84">
        <f t="shared" si="8"/>
        <v>753.51211474415095</v>
      </c>
      <c r="AL39" s="84">
        <f t="shared" si="9"/>
        <v>3.0239354422841703E-4</v>
      </c>
      <c r="AM39" s="84">
        <f t="shared" si="10"/>
        <v>780.85759491366764</v>
      </c>
      <c r="AN39" s="84">
        <f t="shared" si="11"/>
        <v>2.9705147651928605E-4</v>
      </c>
      <c r="AO39" s="84">
        <f t="shared" si="12"/>
        <v>794.89017000256979</v>
      </c>
      <c r="AP39" s="84">
        <f t="shared" si="13"/>
        <v>2.9441780574329207E-4</v>
      </c>
      <c r="AQ39" s="84">
        <f t="shared" si="14"/>
        <v>801.9957236415255</v>
      </c>
      <c r="AR39" s="84">
        <f t="shared" si="15"/>
        <v>2.9311065672115463E-4</v>
      </c>
      <c r="AS39" s="84">
        <f t="shared" si="16"/>
        <v>805.56978208933378</v>
      </c>
      <c r="AT39" s="84">
        <f t="shared" si="17"/>
        <v>2.9245971425257789E-4</v>
      </c>
      <c r="AU39" s="84">
        <f t="shared" si="18"/>
        <v>807.36153111389103</v>
      </c>
      <c r="AV39" s="84">
        <f t="shared" si="19"/>
        <v>2.9213501122780873E-4</v>
      </c>
      <c r="AW39" s="84">
        <f t="shared" si="20"/>
        <v>808.25827599296974</v>
      </c>
      <c r="AX39" s="84">
        <f t="shared" si="21"/>
        <v>2.9197290755000302E-4</v>
      </c>
      <c r="AY39" s="142">
        <v>2.8999999999999998E-3</v>
      </c>
      <c r="AZ39" s="46">
        <f t="shared" si="25"/>
        <v>1.1358075373652177E-2</v>
      </c>
      <c r="BA39" s="85">
        <f t="shared" si="26"/>
        <v>81.92930556780199</v>
      </c>
      <c r="BB39" s="85">
        <f t="shared" si="27"/>
        <v>5.7999999999999996E-3</v>
      </c>
      <c r="BC39" s="85">
        <f t="shared" si="28"/>
        <v>41.251918067198325</v>
      </c>
      <c r="BD39" s="85">
        <f t="shared" si="29"/>
        <v>8.1738291762978935E-3</v>
      </c>
      <c r="BE39" s="85">
        <f t="shared" si="30"/>
        <v>29.440954623025149</v>
      </c>
      <c r="BF39" s="85">
        <f t="shared" si="31"/>
        <v>9.6754614411713336E-3</v>
      </c>
      <c r="BG39" s="85">
        <f t="shared" si="32"/>
        <v>24.963177359855909</v>
      </c>
      <c r="BH39" s="85">
        <f t="shared" si="33"/>
        <v>1.050745888442592E-2</v>
      </c>
      <c r="BI39" s="85">
        <f t="shared" si="34"/>
        <v>23.033507330417031</v>
      </c>
      <c r="BJ39" s="85">
        <f t="shared" si="35"/>
        <v>1.0938747403941301E-2</v>
      </c>
      <c r="BK39" s="85">
        <f t="shared" si="36"/>
        <v>22.148810035112167</v>
      </c>
      <c r="BL39" s="85">
        <f t="shared" si="37"/>
        <v>1.1155073375067277E-2</v>
      </c>
      <c r="BM39" s="85">
        <f t="shared" si="38"/>
        <v>21.730844626063337</v>
      </c>
      <c r="BN39" s="85">
        <f t="shared" si="39"/>
        <v>1.1261839331822602E-2</v>
      </c>
      <c r="BO39" s="85">
        <f t="shared" si="40"/>
        <v>21.530483996586547</v>
      </c>
      <c r="BP39" s="85">
        <f t="shared" si="41"/>
        <v>1.1314118787636612E-2</v>
      </c>
      <c r="BQ39" s="85">
        <f t="shared" si="42"/>
        <v>21.433754883490074</v>
      </c>
      <c r="BR39" s="85">
        <f t="shared" si="43"/>
        <v>1.1339619982274425E-2</v>
      </c>
      <c r="BS39" s="85">
        <f t="shared" si="44"/>
        <v>21.386895672098053</v>
      </c>
      <c r="BT39" s="85">
        <f t="shared" si="45"/>
        <v>1.1352035877447722E-2</v>
      </c>
      <c r="BU39" s="85">
        <f t="shared" si="46"/>
        <v>21.364157359510706</v>
      </c>
      <c r="BV39" s="85">
        <f t="shared" si="47"/>
        <v>1.1358075373652177E-2</v>
      </c>
      <c r="BW39" s="85">
        <f t="shared" si="48"/>
        <v>21.353114690338955</v>
      </c>
    </row>
    <row r="40" spans="25:75" x14ac:dyDescent="0.4">
      <c r="Y40" s="142">
        <v>3.0000000000000001E-3</v>
      </c>
      <c r="Z40" s="46">
        <f t="shared" si="0"/>
        <v>3.0210603714735963E-4</v>
      </c>
      <c r="AA40" s="84">
        <f t="shared" si="22"/>
        <v>79.217325825338975</v>
      </c>
      <c r="AB40" s="84">
        <f t="shared" si="53"/>
        <v>9.4868329805051371E-4</v>
      </c>
      <c r="AC40" s="84">
        <f t="shared" si="24"/>
        <v>249.28191409914456</v>
      </c>
      <c r="AD40" s="84">
        <f t="shared" si="1"/>
        <v>5.3479330060344046E-4</v>
      </c>
      <c r="AE40" s="84">
        <f t="shared" si="2"/>
        <v>441.77211898325868</v>
      </c>
      <c r="AF40" s="84">
        <f t="shared" si="3"/>
        <v>4.0172808255860461E-4</v>
      </c>
      <c r="AG40" s="84">
        <f t="shared" si="4"/>
        <v>587.91518930693258</v>
      </c>
      <c r="AH40" s="84">
        <f t="shared" si="5"/>
        <v>3.4823627063284738E-4</v>
      </c>
      <c r="AI40" s="84">
        <f t="shared" si="6"/>
        <v>678.1373398757363</v>
      </c>
      <c r="AJ40" s="84">
        <f t="shared" si="7"/>
        <v>3.2424442256131093E-4</v>
      </c>
      <c r="AK40" s="84">
        <f t="shared" si="8"/>
        <v>728.2732992959925</v>
      </c>
      <c r="AL40" s="84">
        <f t="shared" si="9"/>
        <v>3.1288457243986876E-4</v>
      </c>
      <c r="AM40" s="84">
        <f t="shared" si="10"/>
        <v>754.69423038260891</v>
      </c>
      <c r="AN40" s="84">
        <f t="shared" si="11"/>
        <v>3.0735892504657334E-4</v>
      </c>
      <c r="AO40" s="84">
        <f t="shared" si="12"/>
        <v>768.25191062974636</v>
      </c>
      <c r="AP40" s="84">
        <f t="shared" si="13"/>
        <v>3.0463480386382731E-4</v>
      </c>
      <c r="AQ40" s="84">
        <f t="shared" si="14"/>
        <v>775.11679586012838</v>
      </c>
      <c r="AR40" s="84">
        <f t="shared" si="15"/>
        <v>3.0328279214088499E-4</v>
      </c>
      <c r="AS40" s="84">
        <f t="shared" si="16"/>
        <v>778.56970680685777</v>
      </c>
      <c r="AT40" s="84">
        <f t="shared" si="17"/>
        <v>3.0260952414534682E-4</v>
      </c>
      <c r="AU40" s="84">
        <f t="shared" si="18"/>
        <v>780.30067791509612</v>
      </c>
      <c r="AV40" s="84">
        <f t="shared" si="19"/>
        <v>3.0227369260186007E-4</v>
      </c>
      <c r="AW40" s="84">
        <f t="shared" si="20"/>
        <v>781.16698278043395</v>
      </c>
      <c r="AX40" s="84">
        <f t="shared" si="21"/>
        <v>3.0210603714735963E-4</v>
      </c>
      <c r="AY40" s="142">
        <v>3.0000000000000001E-3</v>
      </c>
      <c r="AZ40" s="46">
        <f t="shared" si="25"/>
        <v>1.1741516623544779E-2</v>
      </c>
      <c r="BA40" s="85">
        <f t="shared" si="26"/>
        <v>79.217325825338975</v>
      </c>
      <c r="BB40" s="85">
        <f t="shared" si="27"/>
        <v>6.0000000000000001E-3</v>
      </c>
      <c r="BC40" s="85">
        <f t="shared" si="28"/>
        <v>39.896174238901402</v>
      </c>
      <c r="BD40" s="85">
        <f t="shared" si="29"/>
        <v>8.4546515491935731E-3</v>
      </c>
      <c r="BE40" s="85">
        <f t="shared" si="30"/>
        <v>28.482579003055925</v>
      </c>
      <c r="BF40" s="85">
        <f t="shared" si="31"/>
        <v>1.000625770942124E-2</v>
      </c>
      <c r="BG40" s="85">
        <f t="shared" si="32"/>
        <v>24.157498959784306</v>
      </c>
      <c r="BH40" s="85">
        <f t="shared" si="33"/>
        <v>1.086514069464526E-2</v>
      </c>
      <c r="BI40" s="85">
        <f t="shared" si="34"/>
        <v>22.294824297417822</v>
      </c>
      <c r="BJ40" s="85">
        <f t="shared" si="35"/>
        <v>1.1309914249460071E-2</v>
      </c>
      <c r="BK40" s="85">
        <f t="shared" si="36"/>
        <v>21.441501158334564</v>
      </c>
      <c r="BL40" s="85">
        <f t="shared" si="37"/>
        <v>1.153277303752382E-2</v>
      </c>
      <c r="BM40" s="85">
        <f t="shared" si="38"/>
        <v>21.038705978362419</v>
      </c>
      <c r="BN40" s="85">
        <f t="shared" si="39"/>
        <v>1.1642649601122225E-2</v>
      </c>
      <c r="BO40" s="85">
        <f t="shared" si="40"/>
        <v>20.845795392061252</v>
      </c>
      <c r="BP40" s="85">
        <f t="shared" si="41"/>
        <v>1.1696397084200474E-2</v>
      </c>
      <c r="BQ40" s="85">
        <f t="shared" si="42"/>
        <v>20.752752047417633</v>
      </c>
      <c r="BR40" s="85">
        <f t="shared" si="43"/>
        <v>1.1722587703009886E-2</v>
      </c>
      <c r="BS40" s="85">
        <f t="shared" si="44"/>
        <v>20.707722394079131</v>
      </c>
      <c r="BT40" s="85">
        <f t="shared" si="45"/>
        <v>1.1735326366330978E-2</v>
      </c>
      <c r="BU40" s="85">
        <f t="shared" si="46"/>
        <v>20.685893470019479</v>
      </c>
      <c r="BV40" s="85">
        <f t="shared" si="47"/>
        <v>1.1741516623544779E-2</v>
      </c>
      <c r="BW40" s="85">
        <f t="shared" si="48"/>
        <v>20.675302985651168</v>
      </c>
    </row>
    <row r="41" spans="25:75" x14ac:dyDescent="0.4">
      <c r="Y41" s="142">
        <v>3.0999999999999999E-3</v>
      </c>
      <c r="Z41" s="46">
        <f t="shared" si="0"/>
        <v>3.1224354326747335E-4</v>
      </c>
      <c r="AA41" s="84">
        <f t="shared" si="22"/>
        <v>76.680323230828847</v>
      </c>
      <c r="AB41" s="84">
        <f t="shared" si="53"/>
        <v>9.8030607465219742E-4</v>
      </c>
      <c r="AC41" s="84">
        <f t="shared" si="24"/>
        <v>241.25873190289443</v>
      </c>
      <c r="AD41" s="84">
        <f t="shared" si="1"/>
        <v>5.526652279135288E-4</v>
      </c>
      <c r="AE41" s="84">
        <f t="shared" si="2"/>
        <v>427.50438951293779</v>
      </c>
      <c r="AF41" s="84">
        <f t="shared" si="3"/>
        <v>4.1517708191394224E-4</v>
      </c>
      <c r="AG41" s="84">
        <f t="shared" si="4"/>
        <v>568.88879968932679</v>
      </c>
      <c r="AH41" s="84">
        <f t="shared" si="5"/>
        <v>3.5990673151936196E-4</v>
      </c>
      <c r="AI41" s="84">
        <f t="shared" si="6"/>
        <v>656.16602029619912</v>
      </c>
      <c r="AJ41" s="84">
        <f t="shared" si="7"/>
        <v>3.3511725730871216E-4</v>
      </c>
      <c r="AK41" s="84">
        <f t="shared" si="8"/>
        <v>704.66277460298852</v>
      </c>
      <c r="AL41" s="84">
        <f t="shared" si="9"/>
        <v>3.2337988072796999E-4</v>
      </c>
      <c r="AM41" s="84">
        <f t="shared" si="10"/>
        <v>730.21880573312808</v>
      </c>
      <c r="AN41" s="84">
        <f t="shared" si="11"/>
        <v>3.1767069603304949E-4</v>
      </c>
      <c r="AO41" s="84">
        <f t="shared" si="12"/>
        <v>743.33223018866113</v>
      </c>
      <c r="AP41" s="84">
        <f t="shared" si="13"/>
        <v>3.1485614905517605E-4</v>
      </c>
      <c r="AQ41" s="84">
        <f t="shared" si="14"/>
        <v>749.9719744662367</v>
      </c>
      <c r="AR41" s="84">
        <f t="shared" si="15"/>
        <v>3.1345928884415349E-4</v>
      </c>
      <c r="AS41" s="84">
        <f t="shared" si="16"/>
        <v>753.3115541702557</v>
      </c>
      <c r="AT41" s="84">
        <f t="shared" si="17"/>
        <v>3.1276370343540322E-4</v>
      </c>
      <c r="AU41" s="84">
        <f t="shared" si="18"/>
        <v>754.98566869306387</v>
      </c>
      <c r="AV41" s="84">
        <f t="shared" si="19"/>
        <v>3.1241674794827454E-4</v>
      </c>
      <c r="AW41" s="84">
        <f t="shared" si="20"/>
        <v>755.82349751921583</v>
      </c>
      <c r="AX41" s="84">
        <f t="shared" si="21"/>
        <v>3.1224354326747335E-4</v>
      </c>
      <c r="AY41" s="142">
        <v>3.0999999999999999E-3</v>
      </c>
      <c r="AZ41" s="46">
        <f t="shared" si="25"/>
        <v>1.2124420656901398E-2</v>
      </c>
      <c r="BA41" s="85">
        <f t="shared" si="26"/>
        <v>76.680323230828847</v>
      </c>
      <c r="BB41" s="85">
        <f t="shared" si="27"/>
        <v>6.1999999999999998E-3</v>
      </c>
      <c r="BC41" s="85">
        <f t="shared" si="28"/>
        <v>38.627918689460913</v>
      </c>
      <c r="BD41" s="85">
        <f t="shared" si="29"/>
        <v>8.7354041484543326E-3</v>
      </c>
      <c r="BE41" s="85">
        <f t="shared" si="30"/>
        <v>27.586066246309993</v>
      </c>
      <c r="BF41" s="85">
        <f t="shared" si="31"/>
        <v>1.0336863218216487E-2</v>
      </c>
      <c r="BG41" s="85">
        <f t="shared" si="32"/>
        <v>23.403839859923718</v>
      </c>
      <c r="BH41" s="85">
        <f t="shared" si="33"/>
        <v>1.1222512506162997E-2</v>
      </c>
      <c r="BI41" s="85">
        <f t="shared" si="34"/>
        <v>21.603842191612728</v>
      </c>
      <c r="BJ41" s="85">
        <f t="shared" si="35"/>
        <v>1.1680680874369265E-2</v>
      </c>
      <c r="BK41" s="85">
        <f t="shared" si="36"/>
        <v>20.779870031171747</v>
      </c>
      <c r="BL41" s="85">
        <f t="shared" si="37"/>
        <v>1.1910013218447183E-2</v>
      </c>
      <c r="BM41" s="85">
        <f t="shared" si="38"/>
        <v>20.391265719765205</v>
      </c>
      <c r="BN41" s="85">
        <f t="shared" si="39"/>
        <v>1.2022964504734855E-2</v>
      </c>
      <c r="BO41" s="85">
        <f t="shared" si="40"/>
        <v>20.205323318903421</v>
      </c>
      <c r="BP41" s="85">
        <f t="shared" si="41"/>
        <v>1.2078159343040771E-2</v>
      </c>
      <c r="BQ41" s="85">
        <f t="shared" si="42"/>
        <v>20.115726737734068</v>
      </c>
      <c r="BR41" s="85">
        <f t="shared" si="43"/>
        <v>1.2105027859196661E-2</v>
      </c>
      <c r="BS41" s="85">
        <f t="shared" si="44"/>
        <v>20.072407620295756</v>
      </c>
      <c r="BT41" s="85">
        <f t="shared" si="45"/>
        <v>1.211808300726345E-2</v>
      </c>
      <c r="BU41" s="85">
        <f t="shared" si="46"/>
        <v>20.051428698080485</v>
      </c>
      <c r="BV41" s="85">
        <f t="shared" si="47"/>
        <v>1.2124420656901398E-2</v>
      </c>
      <c r="BW41" s="85">
        <f t="shared" si="48"/>
        <v>20.04126074051953</v>
      </c>
    </row>
    <row r="42" spans="25:75" x14ac:dyDescent="0.4">
      <c r="Y42" s="142">
        <v>3.2000000000000002E-3</v>
      </c>
      <c r="Z42" s="46">
        <f t="shared" si="0"/>
        <v>3.2238542941252221E-4</v>
      </c>
      <c r="AA42" s="84">
        <f t="shared" si="22"/>
        <v>74.301893668637248</v>
      </c>
      <c r="AB42" s="84">
        <f t="shared" si="53"/>
        <v>1.0119288512538814E-3</v>
      </c>
      <c r="AC42" s="84">
        <f t="shared" si="24"/>
        <v>233.73700192738073</v>
      </c>
      <c r="AD42" s="84">
        <f t="shared" si="1"/>
        <v>5.7054011448419439E-4</v>
      </c>
      <c r="AE42" s="84">
        <f t="shared" si="2"/>
        <v>414.12838264718386</v>
      </c>
      <c r="AF42" s="84">
        <f t="shared" si="3"/>
        <v>4.2862985901492574E-4</v>
      </c>
      <c r="AG42" s="84">
        <f t="shared" si="4"/>
        <v>551.05154164105784</v>
      </c>
      <c r="AH42" s="84">
        <f t="shared" si="5"/>
        <v>3.7158126479357607E-4</v>
      </c>
      <c r="AI42" s="84">
        <f t="shared" si="6"/>
        <v>635.56788865834915</v>
      </c>
      <c r="AJ42" s="84">
        <f t="shared" si="7"/>
        <v>3.4599430152656502E-4</v>
      </c>
      <c r="AK42" s="84">
        <f t="shared" si="8"/>
        <v>682.52788854916662</v>
      </c>
      <c r="AL42" s="84">
        <f t="shared" si="9"/>
        <v>3.3387947251007618E-4</v>
      </c>
      <c r="AM42" s="84">
        <f t="shared" si="10"/>
        <v>707.27307675509428</v>
      </c>
      <c r="AN42" s="84">
        <f t="shared" si="11"/>
        <v>3.2798679293646475E-4</v>
      </c>
      <c r="AO42" s="84">
        <f t="shared" si="12"/>
        <v>719.97001206425375</v>
      </c>
      <c r="AP42" s="84">
        <f t="shared" si="13"/>
        <v>3.2508184479692178E-4</v>
      </c>
      <c r="AQ42" s="84">
        <f t="shared" si="14"/>
        <v>726.39868714891384</v>
      </c>
      <c r="AR42" s="84">
        <f t="shared" si="15"/>
        <v>3.2364015032219494E-4</v>
      </c>
      <c r="AS42" s="84">
        <f t="shared" si="16"/>
        <v>729.63201909595011</v>
      </c>
      <c r="AT42" s="84">
        <f t="shared" si="17"/>
        <v>3.2292225562011271E-4</v>
      </c>
      <c r="AU42" s="84">
        <f t="shared" si="18"/>
        <v>731.25283074024776</v>
      </c>
      <c r="AV42" s="84">
        <f t="shared" si="19"/>
        <v>3.2256418076759985E-4</v>
      </c>
      <c r="AW42" s="84">
        <f t="shared" si="20"/>
        <v>732.06396337955948</v>
      </c>
      <c r="AX42" s="84">
        <f t="shared" si="21"/>
        <v>3.2238542941252221E-4</v>
      </c>
      <c r="AY42" s="142">
        <v>3.2000000000000002E-3</v>
      </c>
      <c r="AZ42" s="46">
        <f t="shared" si="25"/>
        <v>1.2506788610686916E-2</v>
      </c>
      <c r="BA42" s="85">
        <f t="shared" si="26"/>
        <v>74.301893668637248</v>
      </c>
      <c r="BB42" s="85">
        <f t="shared" si="27"/>
        <v>6.4000000000000003E-3</v>
      </c>
      <c r="BC42" s="85">
        <f t="shared" si="28"/>
        <v>37.438949361425458</v>
      </c>
      <c r="BD42" s="85">
        <f t="shared" si="29"/>
        <v>9.0160868973444847E-3</v>
      </c>
      <c r="BE42" s="85">
        <f t="shared" si="30"/>
        <v>26.745616623762775</v>
      </c>
      <c r="BF42" s="85">
        <f t="shared" si="31"/>
        <v>1.0667277858983443E-2</v>
      </c>
      <c r="BG42" s="85">
        <f t="shared" si="32"/>
        <v>22.697323092001017</v>
      </c>
      <c r="BH42" s="85">
        <f t="shared" si="33"/>
        <v>1.1579574341853182E-2</v>
      </c>
      <c r="BI42" s="85">
        <f t="shared" si="34"/>
        <v>20.956088818012812</v>
      </c>
      <c r="BJ42" s="85">
        <f t="shared" si="35"/>
        <v>1.2051047547224641E-2</v>
      </c>
      <c r="BK42" s="85">
        <f t="shared" si="36"/>
        <v>20.159634070433448</v>
      </c>
      <c r="BL42" s="85">
        <f t="shared" si="37"/>
        <v>1.2286794448693255E-2</v>
      </c>
      <c r="BM42" s="85">
        <f t="shared" si="38"/>
        <v>19.784333039210928</v>
      </c>
      <c r="BN42" s="85">
        <f t="shared" si="39"/>
        <v>1.2402784793774066E-2</v>
      </c>
      <c r="BO42" s="85">
        <f t="shared" si="40"/>
        <v>19.604922113760392</v>
      </c>
      <c r="BP42" s="85">
        <f t="shared" si="41"/>
        <v>1.2459406477309908E-2</v>
      </c>
      <c r="BQ42" s="85">
        <f t="shared" si="42"/>
        <v>19.518555683322987</v>
      </c>
      <c r="BR42" s="85">
        <f t="shared" si="43"/>
        <v>1.248694147382831E-2</v>
      </c>
      <c r="BS42" s="85">
        <f t="shared" si="44"/>
        <v>19.476839230984538</v>
      </c>
      <c r="BT42" s="85">
        <f t="shared" si="45"/>
        <v>1.2500306893721048E-2</v>
      </c>
      <c r="BU42" s="85">
        <f t="shared" si="46"/>
        <v>19.456656488630625</v>
      </c>
      <c r="BV42" s="85">
        <f t="shared" si="47"/>
        <v>1.2506788610686916E-2</v>
      </c>
      <c r="BW42" s="85">
        <f t="shared" si="48"/>
        <v>19.446884179577275</v>
      </c>
    </row>
    <row r="43" spans="25:75" x14ac:dyDescent="0.4">
      <c r="Y43" s="142">
        <v>3.3E-3</v>
      </c>
      <c r="Z43" s="46">
        <f t="shared" si="0"/>
        <v>3.3253169907930926E-4</v>
      </c>
      <c r="AA43" s="84">
        <f t="shared" si="22"/>
        <v>72.067621400788497</v>
      </c>
      <c r="AB43" s="84">
        <f t="shared" si="53"/>
        <v>1.043551627855565E-3</v>
      </c>
      <c r="AC43" s="84">
        <f t="shared" si="24"/>
        <v>226.67113760629263</v>
      </c>
      <c r="AD43" s="84">
        <f t="shared" si="1"/>
        <v>5.8841796259579185E-4</v>
      </c>
      <c r="AE43" s="84">
        <f t="shared" si="2"/>
        <v>401.56303273332861</v>
      </c>
      <c r="AF43" s="84">
        <f t="shared" si="3"/>
        <v>4.420864167868893E-4</v>
      </c>
      <c r="AG43" s="84">
        <f t="shared" si="4"/>
        <v>534.29531237641504</v>
      </c>
      <c r="AH43" s="84">
        <f t="shared" si="5"/>
        <v>3.8325987365460363E-4</v>
      </c>
      <c r="AI43" s="84">
        <f t="shared" si="6"/>
        <v>616.21810981240992</v>
      </c>
      <c r="AJ43" s="84">
        <f t="shared" si="7"/>
        <v>3.5687555855237849E-4</v>
      </c>
      <c r="AK43" s="84">
        <f t="shared" si="8"/>
        <v>661.73449230511631</v>
      </c>
      <c r="AL43" s="84">
        <f t="shared" si="9"/>
        <v>3.443833511980571E-4</v>
      </c>
      <c r="AM43" s="84">
        <f t="shared" si="10"/>
        <v>685.71798035451013</v>
      </c>
      <c r="AN43" s="84">
        <f t="shared" si="11"/>
        <v>3.3830721920913965E-4</v>
      </c>
      <c r="AO43" s="84">
        <f t="shared" si="12"/>
        <v>698.02366892787859</v>
      </c>
      <c r="AP43" s="84">
        <f t="shared" si="13"/>
        <v>3.3531189456324637E-4</v>
      </c>
      <c r="AQ43" s="84">
        <f t="shared" si="14"/>
        <v>704.25406733161799</v>
      </c>
      <c r="AR43" s="84">
        <f t="shared" si="15"/>
        <v>3.3382538006085675E-4</v>
      </c>
      <c r="AS43" s="84">
        <f t="shared" si="16"/>
        <v>707.38759105568226</v>
      </c>
      <c r="AT43" s="84">
        <f t="shared" si="17"/>
        <v>3.330851841914608E-4</v>
      </c>
      <c r="AU43" s="84">
        <f t="shared" si="18"/>
        <v>708.95833046489929</v>
      </c>
      <c r="AV43" s="84">
        <f t="shared" si="19"/>
        <v>3.3271599455500717E-4</v>
      </c>
      <c r="AW43" s="84">
        <f t="shared" si="20"/>
        <v>709.74438496534947</v>
      </c>
      <c r="AX43" s="84">
        <f t="shared" si="21"/>
        <v>3.3253169907930926E-4</v>
      </c>
      <c r="AY43" s="142">
        <v>3.3E-3</v>
      </c>
      <c r="AZ43" s="46">
        <f t="shared" si="25"/>
        <v>1.2888621633929698E-2</v>
      </c>
      <c r="BA43" s="85">
        <f t="shared" si="26"/>
        <v>72.067621400788497</v>
      </c>
      <c r="BB43" s="85">
        <f t="shared" si="27"/>
        <v>6.6E-3</v>
      </c>
      <c r="BC43" s="85">
        <f t="shared" si="28"/>
        <v>36.322058386172486</v>
      </c>
      <c r="BD43" s="85">
        <f t="shared" si="29"/>
        <v>9.29669971984152E-3</v>
      </c>
      <c r="BE43" s="85">
        <f t="shared" si="30"/>
        <v>25.956133404050831</v>
      </c>
      <c r="BF43" s="85">
        <f t="shared" si="31"/>
        <v>1.0997501526417337E-2</v>
      </c>
      <c r="BG43" s="85">
        <f t="shared" si="32"/>
        <v>22.033662835951997</v>
      </c>
      <c r="BH43" s="85">
        <f t="shared" si="33"/>
        <v>1.193632623151113E-2</v>
      </c>
      <c r="BI43" s="85">
        <f t="shared" si="34"/>
        <v>20.347634066916399</v>
      </c>
      <c r="BJ43" s="85">
        <f t="shared" si="35"/>
        <v>1.2421014546600405E-2</v>
      </c>
      <c r="BK43" s="85">
        <f t="shared" si="36"/>
        <v>19.577029795559245</v>
      </c>
      <c r="BL43" s="85">
        <f t="shared" si="37"/>
        <v>1.2663117270976378E-2</v>
      </c>
      <c r="BM43" s="85">
        <f t="shared" si="38"/>
        <v>19.21422510494202</v>
      </c>
      <c r="BN43" s="85">
        <f t="shared" si="39"/>
        <v>1.2782111231974912E-2</v>
      </c>
      <c r="BO43" s="85">
        <f t="shared" si="40"/>
        <v>19.040948620605146</v>
      </c>
      <c r="BP43" s="85">
        <f t="shared" si="41"/>
        <v>1.2840139412899489E-2</v>
      </c>
      <c r="BQ43" s="85">
        <f t="shared" si="42"/>
        <v>18.957615406534426</v>
      </c>
      <c r="BR43" s="85">
        <f t="shared" si="43"/>
        <v>1.2868329582462741E-2</v>
      </c>
      <c r="BS43" s="85">
        <f t="shared" si="44"/>
        <v>18.917403548409599</v>
      </c>
      <c r="BT43" s="85">
        <f t="shared" si="45"/>
        <v>1.2881999131485817E-2</v>
      </c>
      <c r="BU43" s="85">
        <f t="shared" si="46"/>
        <v>18.897968054278778</v>
      </c>
      <c r="BV43" s="85">
        <f t="shared" si="47"/>
        <v>1.2888621633929698E-2</v>
      </c>
      <c r="BW43" s="85">
        <f t="shared" si="48"/>
        <v>18.888566958289566</v>
      </c>
    </row>
    <row r="44" spans="25:75" x14ac:dyDescent="0.4">
      <c r="Y44" s="142">
        <v>3.3999999999999998E-3</v>
      </c>
      <c r="Z44" s="46">
        <f t="shared" si="0"/>
        <v>3.4268235575926831E-4</v>
      </c>
      <c r="AA44" s="84">
        <f t="shared" si="22"/>
        <v>69.964786658486361</v>
      </c>
      <c r="AB44" s="84">
        <f t="shared" si="53"/>
        <v>1.0751744044572489E-3</v>
      </c>
      <c r="AC44" s="84">
        <f t="shared" si="24"/>
        <v>220.02091549876749</v>
      </c>
      <c r="AD44" s="84">
        <f t="shared" si="1"/>
        <v>6.0629877452317857E-4</v>
      </c>
      <c r="AE44" s="84">
        <f t="shared" si="2"/>
        <v>389.73681125426168</v>
      </c>
      <c r="AF44" s="84">
        <f t="shared" si="3"/>
        <v>4.5554675814925055E-4</v>
      </c>
      <c r="AG44" s="84">
        <f t="shared" si="4"/>
        <v>518.52472708435607</v>
      </c>
      <c r="AH44" s="84">
        <f t="shared" si="5"/>
        <v>3.9494256129581377E-4</v>
      </c>
      <c r="AI44" s="84">
        <f t="shared" si="6"/>
        <v>598.00653509663334</v>
      </c>
      <c r="AJ44" s="84">
        <f t="shared" si="7"/>
        <v>3.6776103171808078E-4</v>
      </c>
      <c r="AK44" s="84">
        <f t="shared" si="8"/>
        <v>642.1642192564334</v>
      </c>
      <c r="AL44" s="84">
        <f t="shared" si="9"/>
        <v>3.5489152019830243E-4</v>
      </c>
      <c r="AM44" s="84">
        <f t="shared" si="10"/>
        <v>665.43081380113802</v>
      </c>
      <c r="AN44" s="84">
        <f t="shared" si="11"/>
        <v>3.486319782979694E-4</v>
      </c>
      <c r="AO44" s="84">
        <f t="shared" si="12"/>
        <v>677.36827078342174</v>
      </c>
      <c r="AP44" s="84">
        <f t="shared" si="13"/>
        <v>3.4554630182293553E-4</v>
      </c>
      <c r="AQ44" s="84">
        <f t="shared" si="14"/>
        <v>683.41205627008469</v>
      </c>
      <c r="AR44" s="84">
        <f t="shared" si="15"/>
        <v>3.4401498154060494E-4</v>
      </c>
      <c r="AS44" s="84">
        <f t="shared" si="16"/>
        <v>686.45164311249164</v>
      </c>
      <c r="AT44" s="84">
        <f t="shared" si="17"/>
        <v>3.4325249263605868E-4</v>
      </c>
      <c r="AU44" s="84">
        <f t="shared" si="18"/>
        <v>687.97525587403584</v>
      </c>
      <c r="AV44" s="84">
        <f t="shared" si="19"/>
        <v>3.4287219280029665E-4</v>
      </c>
      <c r="AW44" s="84">
        <f t="shared" si="20"/>
        <v>688.73770751504378</v>
      </c>
      <c r="AX44" s="84">
        <f t="shared" si="21"/>
        <v>3.4268235575926831E-4</v>
      </c>
      <c r="AY44" s="142">
        <v>3.3999999999999998E-3</v>
      </c>
      <c r="AZ44" s="46">
        <f t="shared" si="25"/>
        <v>1.3269920887387533E-2</v>
      </c>
      <c r="BA44" s="85">
        <f t="shared" si="26"/>
        <v>69.964786658486361</v>
      </c>
      <c r="BB44" s="85">
        <f t="shared" si="27"/>
        <v>6.7999999999999996E-3</v>
      </c>
      <c r="BC44" s="85">
        <f t="shared" si="28"/>
        <v>35.27088587966869</v>
      </c>
      <c r="BD44" s="85">
        <f t="shared" si="29"/>
        <v>9.5772425406336278E-3</v>
      </c>
      <c r="BE44" s="85">
        <f t="shared" si="30"/>
        <v>25.213119471462509</v>
      </c>
      <c r="BF44" s="85">
        <f t="shared" si="31"/>
        <v>1.1327534118461099E-2</v>
      </c>
      <c r="BG44" s="85">
        <f t="shared" si="32"/>
        <v>21.409077486360331</v>
      </c>
      <c r="BH44" s="85">
        <f t="shared" si="33"/>
        <v>1.2292768211784098E-2</v>
      </c>
      <c r="BI44" s="85">
        <f t="shared" si="34"/>
        <v>19.775010195481947</v>
      </c>
      <c r="BJ44" s="85">
        <f t="shared" si="35"/>
        <v>1.2790582160952363E-2</v>
      </c>
      <c r="BK44" s="85">
        <f t="shared" si="36"/>
        <v>19.028736489991019</v>
      </c>
      <c r="BL44" s="85">
        <f t="shared" si="37"/>
        <v>1.3038982239666208E-2</v>
      </c>
      <c r="BM44" s="85">
        <f t="shared" si="38"/>
        <v>18.677692361655851</v>
      </c>
      <c r="BN44" s="85">
        <f t="shared" si="39"/>
        <v>1.3160944595438345E-2</v>
      </c>
      <c r="BO44" s="85">
        <f t="shared" si="40"/>
        <v>18.510188292586065</v>
      </c>
      <c r="BP44" s="85">
        <f t="shared" si="41"/>
        <v>1.322035908814862E-2</v>
      </c>
      <c r="BQ44" s="85">
        <f t="shared" si="42"/>
        <v>18.429708724127366</v>
      </c>
      <c r="BR44" s="85">
        <f t="shared" si="43"/>
        <v>1.3249193232908022E-2</v>
      </c>
      <c r="BS44" s="85">
        <f t="shared" si="44"/>
        <v>18.390912036542503</v>
      </c>
      <c r="BT44" s="85">
        <f t="shared" si="45"/>
        <v>1.3263160838318806E-2</v>
      </c>
      <c r="BU44" s="85">
        <f t="shared" si="46"/>
        <v>18.372179174152855</v>
      </c>
      <c r="BV44" s="85">
        <f t="shared" si="47"/>
        <v>1.3269920887387533E-2</v>
      </c>
      <c r="BW44" s="85">
        <f t="shared" si="48"/>
        <v>18.363127011333884</v>
      </c>
    </row>
    <row r="45" spans="25:75" x14ac:dyDescent="0.4">
      <c r="Y45" s="142">
        <v>3.5000000000000001E-3</v>
      </c>
      <c r="Z45" s="46">
        <f t="shared" si="0"/>
        <v>3.5283740293846715E-4</v>
      </c>
      <c r="AA45" s="84">
        <f t="shared" si="22"/>
        <v>67.982123360802646</v>
      </c>
      <c r="AB45" s="84">
        <f t="shared" si="53"/>
        <v>1.1067971810589327E-3</v>
      </c>
      <c r="AC45" s="84">
        <f t="shared" si="24"/>
        <v>213.75070912861301</v>
      </c>
      <c r="AD45" s="84">
        <f t="shared" si="1"/>
        <v>6.2418255253572077E-4</v>
      </c>
      <c r="AE45" s="84">
        <f t="shared" si="2"/>
        <v>378.58636438049501</v>
      </c>
      <c r="AF45" s="84">
        <f t="shared" si="3"/>
        <v>4.690108860155165E-4</v>
      </c>
      <c r="AG45" s="84">
        <f t="shared" si="4"/>
        <v>503.65530207498398</v>
      </c>
      <c r="AH45" s="84">
        <f t="shared" si="5"/>
        <v>4.0662933090483574E-4</v>
      </c>
      <c r="AI45" s="84">
        <f t="shared" si="6"/>
        <v>580.83560426758424</v>
      </c>
      <c r="AJ45" s="84">
        <f t="shared" si="7"/>
        <v>3.7865072435002334E-4</v>
      </c>
      <c r="AK45" s="84">
        <f t="shared" si="8"/>
        <v>623.71223040157884</v>
      </c>
      <c r="AL45" s="84">
        <f t="shared" si="9"/>
        <v>3.6540398291172579E-4</v>
      </c>
      <c r="AM45" s="84">
        <f t="shared" si="10"/>
        <v>646.30289753367981</v>
      </c>
      <c r="AN45" s="84">
        <f t="shared" si="11"/>
        <v>3.5896107364442826E-4</v>
      </c>
      <c r="AO45" s="84">
        <f t="shared" si="12"/>
        <v>657.89316534836803</v>
      </c>
      <c r="AP45" s="84">
        <f t="shared" si="13"/>
        <v>3.5578507003938256E-4</v>
      </c>
      <c r="AQ45" s="84">
        <f t="shared" si="14"/>
        <v>663.76100193343063</v>
      </c>
      <c r="AR45" s="84">
        <f t="shared" si="15"/>
        <v>3.5420895823652751E-4</v>
      </c>
      <c r="AS45" s="84">
        <f t="shared" si="16"/>
        <v>666.71201997910464</v>
      </c>
      <c r="AT45" s="84">
        <f t="shared" si="17"/>
        <v>3.5342418443514654E-4</v>
      </c>
      <c r="AU45" s="84">
        <f t="shared" si="18"/>
        <v>668.19119920219134</v>
      </c>
      <c r="AV45" s="84">
        <f t="shared" si="19"/>
        <v>3.5303277898790091E-4</v>
      </c>
      <c r="AW45" s="84">
        <f t="shared" si="20"/>
        <v>668.93139681102252</v>
      </c>
      <c r="AX45" s="84">
        <f t="shared" si="21"/>
        <v>3.5283740293846715E-4</v>
      </c>
      <c r="AY45" s="142">
        <v>3.5000000000000001E-3</v>
      </c>
      <c r="AZ45" s="46">
        <f t="shared" si="25"/>
        <v>1.3650687543218876E-2</v>
      </c>
      <c r="BA45" s="85">
        <f t="shared" si="26"/>
        <v>67.982123360802646</v>
      </c>
      <c r="BB45" s="85">
        <f t="shared" si="27"/>
        <v>7.0000000000000001E-3</v>
      </c>
      <c r="BC45" s="85">
        <f t="shared" si="28"/>
        <v>34.279798801814337</v>
      </c>
      <c r="BD45" s="85">
        <f t="shared" si="29"/>
        <v>9.8577152851171985E-3</v>
      </c>
      <c r="BE45" s="85">
        <f t="shared" si="30"/>
        <v>24.512591666558887</v>
      </c>
      <c r="BF45" s="85">
        <f t="shared" si="31"/>
        <v>1.1657375536284247E-2</v>
      </c>
      <c r="BG45" s="85">
        <f t="shared" si="32"/>
        <v>20.820217621792668</v>
      </c>
      <c r="BH45" s="85">
        <f t="shared" si="33"/>
        <v>1.2648900326102339E-2</v>
      </c>
      <c r="BI45" s="85">
        <f t="shared" si="34"/>
        <v>19.235145775317001</v>
      </c>
      <c r="BJ45" s="85">
        <f t="shared" si="35"/>
        <v>1.3159750688482174E-2</v>
      </c>
      <c r="BK45" s="85">
        <f t="shared" si="36"/>
        <v>18.511812949167322</v>
      </c>
      <c r="BL45" s="85">
        <f t="shared" si="37"/>
        <v>1.3414389920586609E-2</v>
      </c>
      <c r="BM45" s="85">
        <f t="shared" si="38"/>
        <v>18.171856633859015</v>
      </c>
      <c r="BN45" s="85">
        <f t="shared" si="39"/>
        <v>1.3539285672378647E-2</v>
      </c>
      <c r="BO45" s="85">
        <f t="shared" si="40"/>
        <v>18.009793962131074</v>
      </c>
      <c r="BP45" s="85">
        <f t="shared" si="41"/>
        <v>1.3600066453556143E-2</v>
      </c>
      <c r="BQ45" s="85">
        <f t="shared" si="42"/>
        <v>17.932003848050599</v>
      </c>
      <c r="BR45" s="85">
        <f t="shared" si="43"/>
        <v>1.36295334849128E-2</v>
      </c>
      <c r="BS45" s="85">
        <f t="shared" si="44"/>
        <v>17.894540566511342</v>
      </c>
      <c r="BT45" s="85">
        <f t="shared" si="45"/>
        <v>1.3643793143637964E-2</v>
      </c>
      <c r="BU45" s="85">
        <f t="shared" si="46"/>
        <v>17.87646954151608</v>
      </c>
      <c r="BV45" s="85">
        <f t="shared" si="47"/>
        <v>1.3650687543218876E-2</v>
      </c>
      <c r="BW45" s="85">
        <f t="shared" si="48"/>
        <v>17.867745941258189</v>
      </c>
    </row>
    <row r="46" spans="25:75" x14ac:dyDescent="0.4">
      <c r="Y46" s="142">
        <v>3.5999999999999999E-3</v>
      </c>
      <c r="Z46" s="46">
        <f t="shared" si="0"/>
        <v>3.6299684409761242E-4</v>
      </c>
      <c r="AA46" s="84">
        <f t="shared" si="22"/>
        <v>66.109617213584443</v>
      </c>
      <c r="AB46" s="84">
        <f t="shared" si="53"/>
        <v>1.1384199576606165E-3</v>
      </c>
      <c r="AC46" s="84">
        <f t="shared" si="24"/>
        <v>207.82885051699182</v>
      </c>
      <c r="AD46" s="84">
        <f t="shared" si="1"/>
        <v>6.4206929889730057E-4</v>
      </c>
      <c r="AE46" s="84">
        <f t="shared" si="2"/>
        <v>368.05537759688161</v>
      </c>
      <c r="AF46" s="84">
        <f t="shared" si="3"/>
        <v>4.8247880329328925E-4</v>
      </c>
      <c r="AG46" s="84">
        <f t="shared" si="4"/>
        <v>489.6119407349442</v>
      </c>
      <c r="AH46" s="84">
        <f t="shared" si="5"/>
        <v>4.1832018566356451E-4</v>
      </c>
      <c r="AI46" s="84">
        <f t="shared" si="6"/>
        <v>564.61859710870669</v>
      </c>
      <c r="AJ46" s="84">
        <f t="shared" si="7"/>
        <v>3.8954463976898635E-4</v>
      </c>
      <c r="AK46" s="84">
        <f t="shared" si="8"/>
        <v>606.28533551675775</v>
      </c>
      <c r="AL46" s="84">
        <f t="shared" si="9"/>
        <v>3.7592074273376969E-4</v>
      </c>
      <c r="AM46" s="84">
        <f t="shared" si="10"/>
        <v>628.23762749742275</v>
      </c>
      <c r="AN46" s="84">
        <f t="shared" si="11"/>
        <v>3.6929450868457492E-4</v>
      </c>
      <c r="AO46" s="84">
        <f t="shared" si="12"/>
        <v>639.49999503802269</v>
      </c>
      <c r="AP46" s="84">
        <f t="shared" si="13"/>
        <v>3.6602820267059348E-4</v>
      </c>
      <c r="AQ46" s="84">
        <f t="shared" si="14"/>
        <v>645.20165807173953</v>
      </c>
      <c r="AR46" s="84">
        <f t="shared" si="15"/>
        <v>3.6440731361833922E-4</v>
      </c>
      <c r="AS46" s="84">
        <f t="shared" si="16"/>
        <v>648.06902806658866</v>
      </c>
      <c r="AT46" s="84">
        <f t="shared" si="17"/>
        <v>3.6360026306459843E-4</v>
      </c>
      <c r="AU46" s="84">
        <f t="shared" si="18"/>
        <v>649.50624243537163</v>
      </c>
      <c r="AV46" s="84">
        <f t="shared" si="19"/>
        <v>3.6319775659688979E-4</v>
      </c>
      <c r="AW46" s="84">
        <f t="shared" si="20"/>
        <v>650.2254224373761</v>
      </c>
      <c r="AX46" s="84">
        <f t="shared" si="21"/>
        <v>3.6299684409761242E-4</v>
      </c>
      <c r="AY46" s="142">
        <v>3.5999999999999999E-3</v>
      </c>
      <c r="AZ46" s="46">
        <f t="shared" si="25"/>
        <v>1.4030922784659486E-2</v>
      </c>
      <c r="BA46" s="85">
        <f t="shared" si="26"/>
        <v>66.109617213584443</v>
      </c>
      <c r="BB46" s="85">
        <f t="shared" si="27"/>
        <v>7.1999999999999998E-3</v>
      </c>
      <c r="BC46" s="85">
        <f t="shared" si="28"/>
        <v>33.343790005896885</v>
      </c>
      <c r="BD46" s="85">
        <f t="shared" si="29"/>
        <v>1.0138117879394341E-2</v>
      </c>
      <c r="BE46" s="85">
        <f t="shared" si="30"/>
        <v>23.851009403357811</v>
      </c>
      <c r="BF46" s="85">
        <f t="shared" si="31"/>
        <v>1.1987025684261852E-2</v>
      </c>
      <c r="BG46" s="85">
        <f t="shared" si="32"/>
        <v>20.26410597924459</v>
      </c>
      <c r="BH46" s="85">
        <f t="shared" si="33"/>
        <v>1.3004722624610542E-2</v>
      </c>
      <c r="BI46" s="85">
        <f t="shared" si="34"/>
        <v>18.725310648802317</v>
      </c>
      <c r="BJ46" s="85">
        <f t="shared" si="35"/>
        <v>1.3528520437002709E-2</v>
      </c>
      <c r="BK46" s="85">
        <f t="shared" si="36"/>
        <v>18.023644770518587</v>
      </c>
      <c r="BL46" s="85">
        <f t="shared" si="37"/>
        <v>1.3789340890816676E-2</v>
      </c>
      <c r="BM46" s="85">
        <f t="shared" si="38"/>
        <v>17.694159545329171</v>
      </c>
      <c r="BN46" s="85">
        <f t="shared" si="39"/>
        <v>1.3917135262873987E-2</v>
      </c>
      <c r="BO46" s="85">
        <f t="shared" si="40"/>
        <v>17.537234816034353</v>
      </c>
      <c r="BP46" s="85">
        <f t="shared" si="41"/>
        <v>1.3979262471496803E-2</v>
      </c>
      <c r="BQ46" s="85">
        <f t="shared" si="42"/>
        <v>17.4619836360935</v>
      </c>
      <c r="BR46" s="85">
        <f t="shared" si="43"/>
        <v>1.4009351409861278E-2</v>
      </c>
      <c r="BS46" s="85">
        <f t="shared" si="44"/>
        <v>17.425778804474994</v>
      </c>
      <c r="BT46" s="85">
        <f t="shared" si="45"/>
        <v>1.4023897188201117E-2</v>
      </c>
      <c r="BU46" s="85">
        <f t="shared" si="46"/>
        <v>17.408332220113806</v>
      </c>
      <c r="BV46" s="85">
        <f t="shared" si="47"/>
        <v>1.4030922784659486E-2</v>
      </c>
      <c r="BW46" s="85">
        <f t="shared" si="48"/>
        <v>17.399918509029433</v>
      </c>
    </row>
    <row r="47" spans="25:75" x14ac:dyDescent="0.4">
      <c r="Y47" s="142">
        <v>3.7000000000000002E-3</v>
      </c>
      <c r="Z47" s="46">
        <f t="shared" si="0"/>
        <v>3.7316068271205452E-4</v>
      </c>
      <c r="AA47" s="84">
        <f t="shared" si="22"/>
        <v>64.338336549079116</v>
      </c>
      <c r="AB47" s="84">
        <f t="shared" si="53"/>
        <v>1.1700427342623003E-3</v>
      </c>
      <c r="AC47" s="84">
        <f t="shared" si="24"/>
        <v>202.22709525034639</v>
      </c>
      <c r="AD47" s="84">
        <f t="shared" si="1"/>
        <v>6.5995901586632356E-4</v>
      </c>
      <c r="AE47" s="84">
        <f t="shared" si="2"/>
        <v>358.09362444392048</v>
      </c>
      <c r="AF47" s="84">
        <f t="shared" si="3"/>
        <v>4.9595051288427432E-4</v>
      </c>
      <c r="AG47" s="84">
        <f t="shared" si="4"/>
        <v>476.32766500356621</v>
      </c>
      <c r="AH47" s="84">
        <f t="shared" si="5"/>
        <v>4.3001512874816736E-4</v>
      </c>
      <c r="AI47" s="84">
        <f t="shared" si="6"/>
        <v>549.27816856182721</v>
      </c>
      <c r="AJ47" s="84">
        <f t="shared" si="7"/>
        <v>4.0044278129018455E-4</v>
      </c>
      <c r="AK47" s="84">
        <f t="shared" si="8"/>
        <v>589.80041899676417</v>
      </c>
      <c r="AL47" s="84">
        <f t="shared" si="9"/>
        <v>3.8644180305441128E-4</v>
      </c>
      <c r="AM47" s="84">
        <f t="shared" si="10"/>
        <v>611.14884331902533</v>
      </c>
      <c r="AN47" s="84">
        <f t="shared" si="11"/>
        <v>3.7963228684905669E-4</v>
      </c>
      <c r="AO47" s="84">
        <f t="shared" si="12"/>
        <v>622.10103551986083</v>
      </c>
      <c r="AP47" s="84">
        <f t="shared" si="13"/>
        <v>3.7627570316919174E-4</v>
      </c>
      <c r="AQ47" s="84">
        <f t="shared" si="14"/>
        <v>627.64550775917462</v>
      </c>
      <c r="AR47" s="84">
        <f t="shared" si="15"/>
        <v>3.7461005115038698E-4</v>
      </c>
      <c r="AS47" s="84">
        <f t="shared" si="16"/>
        <v>630.43375147106167</v>
      </c>
      <c r="AT47" s="84">
        <f t="shared" si="17"/>
        <v>3.737807319949275E-4</v>
      </c>
      <c r="AU47" s="84">
        <f t="shared" si="18"/>
        <v>631.83126950680037</v>
      </c>
      <c r="AV47" s="84">
        <f t="shared" si="19"/>
        <v>3.7336712910097551E-4</v>
      </c>
      <c r="AW47" s="84">
        <f t="shared" si="20"/>
        <v>632.53056807697124</v>
      </c>
      <c r="AX47" s="84">
        <f t="shared" si="21"/>
        <v>3.7316068271205452E-4</v>
      </c>
      <c r="AY47" s="142">
        <v>3.7000000000000002E-3</v>
      </c>
      <c r="AZ47" s="46">
        <f t="shared" si="25"/>
        <v>1.4410627805704358E-2</v>
      </c>
      <c r="BA47" s="85">
        <f t="shared" si="26"/>
        <v>64.338336549079116</v>
      </c>
      <c r="BB47" s="85">
        <f t="shared" si="27"/>
        <v>7.4000000000000003E-3</v>
      </c>
      <c r="BC47" s="85">
        <f t="shared" si="28"/>
        <v>32.458393658403423</v>
      </c>
      <c r="BD47" s="85">
        <f t="shared" si="29"/>
        <v>1.0418450250270406E-2</v>
      </c>
      <c r="BE47" s="85">
        <f t="shared" si="30"/>
        <v>23.225214862109738</v>
      </c>
      <c r="BF47" s="85">
        <f t="shared" si="31"/>
        <v>1.2316484469953572E-2</v>
      </c>
      <c r="BG47" s="85">
        <f t="shared" si="32"/>
        <v>19.73808716246014</v>
      </c>
      <c r="BH47" s="85">
        <f t="shared" si="33"/>
        <v>1.3360235164099699E-2</v>
      </c>
      <c r="BI47" s="85">
        <f t="shared" si="34"/>
        <v>18.243069811417392</v>
      </c>
      <c r="BJ47" s="85">
        <f t="shared" si="35"/>
        <v>1.3896891723804542E-2</v>
      </c>
      <c r="BK47" s="85">
        <f t="shared" si="36"/>
        <v>17.561900191030645</v>
      </c>
      <c r="BL47" s="85">
        <f t="shared" si="37"/>
        <v>1.4163835738493825E-2</v>
      </c>
      <c r="BM47" s="85">
        <f t="shared" si="38"/>
        <v>17.242319302988392</v>
      </c>
      <c r="BN47" s="85">
        <f t="shared" si="39"/>
        <v>1.4294494178620063E-2</v>
      </c>
      <c r="BO47" s="85">
        <f t="shared" si="40"/>
        <v>17.090253644853174</v>
      </c>
      <c r="BP47" s="85">
        <f t="shared" si="41"/>
        <v>1.4357948115941389E-2</v>
      </c>
      <c r="BQ47" s="85">
        <f t="shared" si="42"/>
        <v>17.017403072160818</v>
      </c>
      <c r="BR47" s="85">
        <f t="shared" si="43"/>
        <v>1.4388648090472824E-2</v>
      </c>
      <c r="BS47" s="85">
        <f t="shared" si="44"/>
        <v>16.982387806869006</v>
      </c>
      <c r="BT47" s="85">
        <f t="shared" si="45"/>
        <v>1.4403474123793959E-2</v>
      </c>
      <c r="BU47" s="85">
        <f t="shared" si="46"/>
        <v>16.965531296788434</v>
      </c>
      <c r="BV47" s="85">
        <f t="shared" si="47"/>
        <v>1.4410627805704358E-2</v>
      </c>
      <c r="BW47" s="85">
        <f t="shared" si="48"/>
        <v>16.957410315303868</v>
      </c>
    </row>
    <row r="48" spans="25:75" x14ac:dyDescent="0.4">
      <c r="Y48" s="142">
        <v>3.8999999999999998E-3</v>
      </c>
      <c r="Z48" s="46">
        <f t="shared" si="0"/>
        <v>3.9350156618147322E-4</v>
      </c>
      <c r="AA48" s="84">
        <f t="shared" si="22"/>
        <v>61.068305339658998</v>
      </c>
      <c r="AB48" s="84">
        <f t="shared" si="53"/>
        <v>1.2332882874656677E-3</v>
      </c>
      <c r="AC48" s="84">
        <f t="shared" si="24"/>
        <v>191.88540141239841</v>
      </c>
      <c r="AD48" s="84">
        <f t="shared" si="1"/>
        <v>6.9574737063297638E-4</v>
      </c>
      <c r="AE48" s="84">
        <f t="shared" si="2"/>
        <v>339.70267035045566</v>
      </c>
      <c r="AF48" s="84">
        <f t="shared" si="3"/>
        <v>5.2290532058325238E-4</v>
      </c>
      <c r="AG48" s="84">
        <f t="shared" si="4"/>
        <v>451.80280584701308</v>
      </c>
      <c r="AH48" s="84">
        <f t="shared" si="5"/>
        <v>4.5341729257105664E-4</v>
      </c>
      <c r="AI48" s="84">
        <f t="shared" si="6"/>
        <v>520.95733120298655</v>
      </c>
      <c r="AJ48" s="84">
        <f t="shared" si="7"/>
        <v>4.2225175587234606E-4</v>
      </c>
      <c r="AK48" s="84">
        <f t="shared" si="8"/>
        <v>559.36668201678026</v>
      </c>
      <c r="AL48" s="84">
        <f t="shared" si="9"/>
        <v>4.0749683872409411E-4</v>
      </c>
      <c r="AM48" s="84">
        <f t="shared" si="10"/>
        <v>579.6002758482482</v>
      </c>
      <c r="AN48" s="84">
        <f t="shared" si="11"/>
        <v>4.0032088624658682E-4</v>
      </c>
      <c r="AO48" s="84">
        <f t="shared" si="12"/>
        <v>589.97983836609114</v>
      </c>
      <c r="AP48" s="84">
        <f t="shared" si="13"/>
        <v>3.9678382155215644E-4</v>
      </c>
      <c r="AQ48" s="84">
        <f t="shared" si="14"/>
        <v>595.23411337226355</v>
      </c>
      <c r="AR48" s="84">
        <f t="shared" si="15"/>
        <v>3.9502868649575988E-4</v>
      </c>
      <c r="AS48" s="84">
        <f t="shared" si="16"/>
        <v>597.87627851374759</v>
      </c>
      <c r="AT48" s="84">
        <f t="shared" si="17"/>
        <v>3.9415485461348607E-4</v>
      </c>
      <c r="AU48" s="84">
        <f t="shared" si="18"/>
        <v>599.20051144323077</v>
      </c>
      <c r="AV48" s="84">
        <f t="shared" si="19"/>
        <v>3.9371907266251983E-4</v>
      </c>
      <c r="AW48" s="84">
        <f t="shared" si="20"/>
        <v>599.86310608371821</v>
      </c>
      <c r="AX48" s="84">
        <f t="shared" si="21"/>
        <v>3.9350156618147322E-4</v>
      </c>
      <c r="AY48" s="142">
        <v>3.8999999999999998E-3</v>
      </c>
      <c r="AZ48" s="46">
        <f t="shared" si="25"/>
        <v>1.5168452014510957E-2</v>
      </c>
      <c r="BA48" s="85">
        <f t="shared" si="26"/>
        <v>61.068305339658998</v>
      </c>
      <c r="BB48" s="85">
        <f t="shared" si="27"/>
        <v>7.7999999999999996E-3</v>
      </c>
      <c r="BC48" s="85">
        <f t="shared" si="28"/>
        <v>30.82386514586587</v>
      </c>
      <c r="BD48" s="85">
        <f t="shared" si="29"/>
        <v>1.0978904032542017E-2</v>
      </c>
      <c r="BE48" s="85">
        <f t="shared" si="30"/>
        <v>22.0699770620725</v>
      </c>
      <c r="BF48" s="85">
        <f t="shared" si="31"/>
        <v>1.2974827600515632E-2</v>
      </c>
      <c r="BG48" s="85">
        <f t="shared" si="32"/>
        <v>18.767068165089025</v>
      </c>
      <c r="BH48" s="85">
        <f t="shared" si="33"/>
        <v>1.4070331226010193E-2</v>
      </c>
      <c r="BI48" s="85">
        <f t="shared" si="34"/>
        <v>17.352879710589661</v>
      </c>
      <c r="BJ48" s="85">
        <f t="shared" si="35"/>
        <v>1.4632440228009457E-2</v>
      </c>
      <c r="BK48" s="85">
        <f t="shared" si="36"/>
        <v>16.709550560185306</v>
      </c>
      <c r="BL48" s="85">
        <f t="shared" si="37"/>
        <v>1.4911459472863604E-2</v>
      </c>
      <c r="BM48" s="85">
        <f t="shared" si="38"/>
        <v>16.408252343968378</v>
      </c>
      <c r="BN48" s="85">
        <f t="shared" si="39"/>
        <v>1.5047743289277708E-2</v>
      </c>
      <c r="BO48" s="85">
        <f t="shared" si="40"/>
        <v>16.265153943774479</v>
      </c>
      <c r="BP48" s="85">
        <f t="shared" si="41"/>
        <v>1.5113792236553066E-2</v>
      </c>
      <c r="BQ48" s="85">
        <f t="shared" si="42"/>
        <v>16.19673212668728</v>
      </c>
      <c r="BR48" s="85">
        <f t="shared" si="43"/>
        <v>1.514568210446693E-2</v>
      </c>
      <c r="BS48" s="85">
        <f t="shared" si="44"/>
        <v>16.163910520207921</v>
      </c>
      <c r="BT48" s="85">
        <f t="shared" si="45"/>
        <v>1.5161051328512944E-2</v>
      </c>
      <c r="BU48" s="85">
        <f t="shared" si="46"/>
        <v>16.14814162778946</v>
      </c>
      <c r="BV48" s="85">
        <f t="shared" si="47"/>
        <v>1.5168452014510957E-2</v>
      </c>
      <c r="BW48" s="85">
        <f t="shared" si="48"/>
        <v>16.1405599060732</v>
      </c>
    </row>
    <row r="49" spans="25:75" x14ac:dyDescent="0.4">
      <c r="Y49" s="142">
        <v>4.0000000000000001E-3</v>
      </c>
      <c r="Z49" s="46">
        <f t="shared" si="0"/>
        <v>4.0367861796040798E-4</v>
      </c>
      <c r="AA49" s="84">
        <f t="shared" si="22"/>
        <v>59.555928276016758</v>
      </c>
      <c r="AB49" s="84">
        <f t="shared" si="53"/>
        <v>1.2649110640673518E-3</v>
      </c>
      <c r="AC49" s="84">
        <f t="shared" si="24"/>
        <v>187.10237200502797</v>
      </c>
      <c r="AD49" s="84">
        <f t="shared" si="1"/>
        <v>7.1364601292009486E-4</v>
      </c>
      <c r="AE49" s="84">
        <f t="shared" si="2"/>
        <v>331.19684186256615</v>
      </c>
      <c r="AF49" s="84">
        <f t="shared" si="3"/>
        <v>5.3638842446522702E-4</v>
      </c>
      <c r="AG49" s="84">
        <f t="shared" si="4"/>
        <v>440.46003794417771</v>
      </c>
      <c r="AH49" s="84">
        <f t="shared" si="5"/>
        <v>4.6512451963308843E-4</v>
      </c>
      <c r="AI49" s="84">
        <f t="shared" si="6"/>
        <v>507.85892159642538</v>
      </c>
      <c r="AJ49" s="84">
        <f t="shared" si="7"/>
        <v>4.3316259553595606E-4</v>
      </c>
      <c r="AK49" s="84">
        <f t="shared" si="8"/>
        <v>545.2910569787449</v>
      </c>
      <c r="AL49" s="84">
        <f t="shared" si="9"/>
        <v>4.1803082082580344E-4</v>
      </c>
      <c r="AM49" s="84">
        <f t="shared" si="10"/>
        <v>565.00904275455468</v>
      </c>
      <c r="AN49" s="84">
        <f t="shared" si="11"/>
        <v>4.1067171431391632E-4</v>
      </c>
      <c r="AO49" s="84">
        <f t="shared" si="12"/>
        <v>575.12376488882899</v>
      </c>
      <c r="AP49" s="84">
        <f t="shared" si="13"/>
        <v>4.0704444631489695E-4</v>
      </c>
      <c r="AQ49" s="84">
        <f t="shared" si="14"/>
        <v>580.24382424336534</v>
      </c>
      <c r="AR49" s="84">
        <f t="shared" si="15"/>
        <v>4.0524459121097647E-4</v>
      </c>
      <c r="AS49" s="84">
        <f t="shared" si="16"/>
        <v>582.81842840012223</v>
      </c>
      <c r="AT49" s="84">
        <f t="shared" si="17"/>
        <v>4.0434851521597439E-4</v>
      </c>
      <c r="AU49" s="84">
        <f t="shared" si="18"/>
        <v>584.10876717966391</v>
      </c>
      <c r="AV49" s="84">
        <f t="shared" si="19"/>
        <v>4.0390165064065211E-4</v>
      </c>
      <c r="AW49" s="84">
        <f t="shared" si="20"/>
        <v>584.75438637623995</v>
      </c>
      <c r="AX49" s="84">
        <f t="shared" si="21"/>
        <v>4.0367861796040798E-4</v>
      </c>
      <c r="AY49" s="142">
        <v>4.0000000000000001E-3</v>
      </c>
      <c r="AZ49" s="46">
        <f t="shared" si="25"/>
        <v>1.5546573641268886E-2</v>
      </c>
      <c r="BA49" s="85">
        <f t="shared" si="26"/>
        <v>59.555928276016758</v>
      </c>
      <c r="BB49" s="85">
        <f t="shared" si="27"/>
        <v>8.0000000000000002E-3</v>
      </c>
      <c r="BC49" s="85">
        <f t="shared" si="28"/>
        <v>30.067919722182605</v>
      </c>
      <c r="BD49" s="85">
        <f t="shared" si="29"/>
        <v>1.1259025301042164E-2</v>
      </c>
      <c r="BE49" s="85">
        <f t="shared" si="30"/>
        <v>21.535716104711678</v>
      </c>
      <c r="BF49" s="85">
        <f t="shared" si="31"/>
        <v>1.330371177624051E-2</v>
      </c>
      <c r="BG49" s="85">
        <f t="shared" si="32"/>
        <v>18.318016805123953</v>
      </c>
      <c r="BH49" s="85">
        <f t="shared" si="33"/>
        <v>1.4424914894637191E-2</v>
      </c>
      <c r="BI49" s="85">
        <f t="shared" si="34"/>
        <v>16.941215508386346</v>
      </c>
      <c r="BJ49" s="85">
        <f t="shared" si="35"/>
        <v>1.499961812619593E-2</v>
      </c>
      <c r="BK49" s="85">
        <f t="shared" si="36"/>
        <v>16.315388081787013</v>
      </c>
      <c r="BL49" s="85">
        <f t="shared" si="37"/>
        <v>1.5284589589379342E-2</v>
      </c>
      <c r="BM49" s="85">
        <f t="shared" si="38"/>
        <v>16.022544438558853</v>
      </c>
      <c r="BN49" s="85">
        <f t="shared" si="39"/>
        <v>1.5423635163493255E-2</v>
      </c>
      <c r="BO49" s="85">
        <f t="shared" si="40"/>
        <v>15.88359173268978</v>
      </c>
      <c r="BP49" s="85">
        <f t="shared" si="41"/>
        <v>1.5490952716176612E-2</v>
      </c>
      <c r="BQ49" s="85">
        <f t="shared" si="42"/>
        <v>15.81721666790579</v>
      </c>
      <c r="BR49" s="85">
        <f t="shared" si="43"/>
        <v>1.552342165732261E-2</v>
      </c>
      <c r="BS49" s="85">
        <f t="shared" si="44"/>
        <v>15.785408419271677</v>
      </c>
      <c r="BT49" s="85">
        <f t="shared" si="45"/>
        <v>1.5539053953610242E-2</v>
      </c>
      <c r="BU49" s="85">
        <f t="shared" si="46"/>
        <v>15.7701416940856</v>
      </c>
      <c r="BV49" s="85">
        <f t="shared" si="47"/>
        <v>1.5546573641268886E-2</v>
      </c>
      <c r="BW49" s="85">
        <f t="shared" si="48"/>
        <v>15.762808812392688</v>
      </c>
    </row>
    <row r="50" spans="25:75" x14ac:dyDescent="0.4">
      <c r="Y50" s="142">
        <v>4.1000000000000003E-3</v>
      </c>
      <c r="Z50" s="46">
        <f t="shared" si="0"/>
        <v>4.1386008104256377E-4</v>
      </c>
      <c r="AA50" s="84">
        <f t="shared" si="22"/>
        <v>58.117333740993743</v>
      </c>
      <c r="AB50" s="84">
        <f t="shared" si="53"/>
        <v>1.2965338406690356E-3</v>
      </c>
      <c r="AC50" s="84">
        <f t="shared" si="24"/>
        <v>182.55266370135396</v>
      </c>
      <c r="AD50" s="84">
        <f t="shared" si="1"/>
        <v>7.3154763479364618E-4</v>
      </c>
      <c r="AE50" s="84">
        <f t="shared" si="2"/>
        <v>323.10592393081498</v>
      </c>
      <c r="AF50" s="84">
        <f t="shared" si="3"/>
        <v>5.4987533220838918E-4</v>
      </c>
      <c r="AG50" s="84">
        <f t="shared" si="4"/>
        <v>429.67056252080846</v>
      </c>
      <c r="AH50" s="84">
        <f t="shared" si="5"/>
        <v>4.768358476684954E-4</v>
      </c>
      <c r="AI50" s="84">
        <f t="shared" si="6"/>
        <v>495.39944440232784</v>
      </c>
      <c r="AJ50" s="84">
        <f t="shared" si="7"/>
        <v>4.4407767450710427E-4</v>
      </c>
      <c r="AK50" s="84">
        <f t="shared" si="8"/>
        <v>531.90203383830772</v>
      </c>
      <c r="AL50" s="84">
        <f t="shared" si="9"/>
        <v>4.2856911693145568E-4</v>
      </c>
      <c r="AM50" s="84">
        <f t="shared" si="10"/>
        <v>551.12956386317046</v>
      </c>
      <c r="AN50" s="84">
        <f t="shared" si="11"/>
        <v>4.2102689917415198E-4</v>
      </c>
      <c r="AO50" s="84">
        <f t="shared" si="12"/>
        <v>560.99236521260434</v>
      </c>
      <c r="AP50" s="84">
        <f t="shared" si="13"/>
        <v>4.1730945270178154E-4</v>
      </c>
      <c r="AQ50" s="84">
        <f t="shared" si="14"/>
        <v>565.98475639351261</v>
      </c>
      <c r="AR50" s="84">
        <f t="shared" si="15"/>
        <v>4.1546489188022001E-4</v>
      </c>
      <c r="AS50" s="84">
        <f t="shared" si="16"/>
        <v>568.49509545524734</v>
      </c>
      <c r="AT50" s="84">
        <f t="shared" si="17"/>
        <v>4.1454657994786503E-4</v>
      </c>
      <c r="AU50" s="84">
        <f t="shared" si="18"/>
        <v>569.75319359652622</v>
      </c>
      <c r="AV50" s="84">
        <f t="shared" si="19"/>
        <v>4.1408863735523625E-4</v>
      </c>
      <c r="AW50" s="84">
        <f t="shared" si="20"/>
        <v>570.38266550040794</v>
      </c>
      <c r="AX50" s="84">
        <f t="shared" si="21"/>
        <v>4.1386008104256377E-4</v>
      </c>
      <c r="AY50" s="142">
        <v>4.1000000000000003E-3</v>
      </c>
      <c r="AZ50" s="46">
        <f t="shared" si="25"/>
        <v>1.5924169925023386E-2</v>
      </c>
      <c r="BA50" s="85">
        <f t="shared" si="26"/>
        <v>58.117333740993743</v>
      </c>
      <c r="BB50" s="85">
        <f t="shared" si="27"/>
        <v>8.2000000000000007E-3</v>
      </c>
      <c r="BC50" s="85">
        <f t="shared" si="28"/>
        <v>29.348865271325614</v>
      </c>
      <c r="BD50" s="85">
        <f t="shared" si="29"/>
        <v>1.1539076060345495E-2</v>
      </c>
      <c r="BE50" s="85">
        <f t="shared" si="30"/>
        <v>21.027540326489</v>
      </c>
      <c r="BF50" s="85">
        <f t="shared" si="31"/>
        <v>1.3632404251347133E-2</v>
      </c>
      <c r="BG50" s="85">
        <f t="shared" si="32"/>
        <v>17.890899449611069</v>
      </c>
      <c r="BH50" s="85">
        <f t="shared" si="33"/>
        <v>1.4779189096522927E-2</v>
      </c>
      <c r="BI50" s="85">
        <f t="shared" si="34"/>
        <v>16.549663941400681</v>
      </c>
      <c r="BJ50" s="85">
        <f t="shared" si="35"/>
        <v>1.536639892397116E-2</v>
      </c>
      <c r="BK50" s="85">
        <f t="shared" si="36"/>
        <v>15.940484767225502</v>
      </c>
      <c r="BL50" s="85">
        <f t="shared" si="37"/>
        <v>1.565726604260894E-2</v>
      </c>
      <c r="BM50" s="85">
        <f t="shared" si="38"/>
        <v>15.655682483059197</v>
      </c>
      <c r="BN50" s="85">
        <f t="shared" si="39"/>
        <v>1.5799039721095864E-2</v>
      </c>
      <c r="BO50" s="85">
        <f t="shared" si="40"/>
        <v>15.52067213797177</v>
      </c>
      <c r="BP50" s="85">
        <f t="shared" si="41"/>
        <v>1.5867606828683999E-2</v>
      </c>
      <c r="BQ50" s="85">
        <f t="shared" si="42"/>
        <v>15.456242965700168</v>
      </c>
      <c r="BR50" s="85">
        <f t="shared" si="43"/>
        <v>1.5900644404217824E-2</v>
      </c>
      <c r="BS50" s="85">
        <f t="shared" si="44"/>
        <v>15.425397851114598</v>
      </c>
      <c r="BT50" s="85">
        <f t="shared" si="45"/>
        <v>1.5916534181089563E-2</v>
      </c>
      <c r="BU50" s="85">
        <f t="shared" si="46"/>
        <v>15.410608238917595</v>
      </c>
      <c r="BV50" s="85">
        <f t="shared" si="47"/>
        <v>1.5924169925023386E-2</v>
      </c>
      <c r="BW50" s="85">
        <f t="shared" si="48"/>
        <v>15.403511689555652</v>
      </c>
    </row>
    <row r="51" spans="25:75" x14ac:dyDescent="0.4">
      <c r="Y51" s="142">
        <v>4.1999999999999997E-3</v>
      </c>
      <c r="Z51" s="46">
        <f t="shared" si="0"/>
        <v>4.2404595887657467E-4</v>
      </c>
      <c r="AA51" s="84">
        <f t="shared" si="22"/>
        <v>56.747251547915596</v>
      </c>
      <c r="AB51" s="84">
        <f t="shared" si="53"/>
        <v>1.3281566172707192E-3</v>
      </c>
      <c r="AC51" s="84">
        <f t="shared" si="24"/>
        <v>178.21961070763618</v>
      </c>
      <c r="AD51" s="84">
        <f t="shared" si="1"/>
        <v>7.4945223848475468E-4</v>
      </c>
      <c r="AE51" s="84">
        <f t="shared" si="2"/>
        <v>315.40028011691993</v>
      </c>
      <c r="AF51" s="84">
        <f t="shared" si="3"/>
        <v>5.6336604668505408E-4</v>
      </c>
      <c r="AG51" s="84">
        <f t="shared" si="4"/>
        <v>419.39485875082045</v>
      </c>
      <c r="AH51" s="84">
        <f t="shared" si="5"/>
        <v>4.8855127982488976E-4</v>
      </c>
      <c r="AI51" s="84">
        <f t="shared" si="6"/>
        <v>483.53326168236998</v>
      </c>
      <c r="AJ51" s="84">
        <f t="shared" si="7"/>
        <v>4.5499699607325366E-4</v>
      </c>
      <c r="AK51" s="84">
        <f t="shared" si="8"/>
        <v>519.1505697094675</v>
      </c>
      <c r="AL51" s="84">
        <f t="shared" si="9"/>
        <v>4.3911173040377138E-4</v>
      </c>
      <c r="AM51" s="84">
        <f t="shared" si="10"/>
        <v>537.91099970344339</v>
      </c>
      <c r="AN51" s="84">
        <f t="shared" si="11"/>
        <v>4.3138644423095548E-4</v>
      </c>
      <c r="AO51" s="84">
        <f t="shared" si="12"/>
        <v>547.53387704277816</v>
      </c>
      <c r="AP51" s="84">
        <f t="shared" si="13"/>
        <v>4.2757884413858831E-4</v>
      </c>
      <c r="AQ51" s="84">
        <f t="shared" si="14"/>
        <v>552.40467985337989</v>
      </c>
      <c r="AR51" s="84">
        <f t="shared" si="15"/>
        <v>4.2568959194106218E-4</v>
      </c>
      <c r="AS51" s="84">
        <f t="shared" si="16"/>
        <v>554.85381429028359</v>
      </c>
      <c r="AT51" s="84">
        <f t="shared" si="17"/>
        <v>4.2474905225293053E-4</v>
      </c>
      <c r="AU51" s="84">
        <f t="shared" si="18"/>
        <v>556.0812071975987</v>
      </c>
      <c r="AV51" s="84">
        <f t="shared" si="19"/>
        <v>4.2428003625326035E-4</v>
      </c>
      <c r="AW51" s="84">
        <f t="shared" si="20"/>
        <v>556.69530080664697</v>
      </c>
      <c r="AX51" s="84">
        <f t="shared" si="21"/>
        <v>4.2404595887657467E-4</v>
      </c>
      <c r="AY51" s="142">
        <v>4.1999999999999997E-3</v>
      </c>
      <c r="AZ51" s="46">
        <f t="shared" si="25"/>
        <v>1.6301242108975336E-2</v>
      </c>
      <c r="BA51" s="85">
        <f t="shared" si="26"/>
        <v>56.747251547915596</v>
      </c>
      <c r="BB51" s="85">
        <f t="shared" si="27"/>
        <v>8.3999999999999995E-3</v>
      </c>
      <c r="BC51" s="85">
        <f t="shared" si="28"/>
        <v>28.664066700318841</v>
      </c>
      <c r="BD51" s="85">
        <f t="shared" si="29"/>
        <v>1.1819056240736444E-2</v>
      </c>
      <c r="BE51" s="85">
        <f t="shared" si="30"/>
        <v>20.543586436694984</v>
      </c>
      <c r="BF51" s="85">
        <f t="shared" si="31"/>
        <v>1.3960904949006045E-2</v>
      </c>
      <c r="BG51" s="85">
        <f t="shared" si="32"/>
        <v>17.484149267100733</v>
      </c>
      <c r="BH51" s="85">
        <f t="shared" si="33"/>
        <v>1.5133153920681494E-2</v>
      </c>
      <c r="BI51" s="85">
        <f t="shared" si="34"/>
        <v>16.176788223384371</v>
      </c>
      <c r="BJ51" s="85">
        <f t="shared" si="35"/>
        <v>1.5732782984050023E-2</v>
      </c>
      <c r="BK51" s="85">
        <f t="shared" si="36"/>
        <v>15.583464750475567</v>
      </c>
      <c r="BL51" s="85">
        <f t="shared" si="37"/>
        <v>1.6029489473099789E-2</v>
      </c>
      <c r="BM51" s="85">
        <f t="shared" si="38"/>
        <v>15.306320098337221</v>
      </c>
      <c r="BN51" s="85">
        <f t="shared" si="39"/>
        <v>1.6173957828278882E-2</v>
      </c>
      <c r="BO51" s="85">
        <f t="shared" si="40"/>
        <v>15.175063287700329</v>
      </c>
      <c r="BP51" s="85">
        <f t="shared" si="41"/>
        <v>1.6243755601961906E-2</v>
      </c>
      <c r="BQ51" s="85">
        <f t="shared" si="42"/>
        <v>15.112486343994675</v>
      </c>
      <c r="BR51" s="85">
        <f t="shared" si="43"/>
        <v>1.6277351480197003E-2</v>
      </c>
      <c r="BS51" s="85">
        <f t="shared" si="44"/>
        <v>15.082557723521095</v>
      </c>
      <c r="BT51" s="85">
        <f t="shared" si="45"/>
        <v>1.6293493213366473E-2</v>
      </c>
      <c r="BU51" s="85">
        <f t="shared" si="46"/>
        <v>15.06822195863343</v>
      </c>
      <c r="BV51" s="85">
        <f t="shared" si="47"/>
        <v>1.6301242108975336E-2</v>
      </c>
      <c r="BW51" s="85">
        <f t="shared" si="48"/>
        <v>15.061350127412172</v>
      </c>
    </row>
    <row r="52" spans="25:75" x14ac:dyDescent="0.4">
      <c r="Y52" s="142">
        <v>4.4000000000000003E-3</v>
      </c>
      <c r="Z52" s="46">
        <f t="shared" si="0"/>
        <v>4.4443097256805501E-4</v>
      </c>
      <c r="AA52" s="84">
        <f t="shared" si="22"/>
        <v>54.193938980316048</v>
      </c>
      <c r="AB52" s="84">
        <f t="shared" si="53"/>
        <v>1.3914021704740868E-3</v>
      </c>
      <c r="AC52" s="84">
        <f t="shared" si="24"/>
        <v>170.14438283590027</v>
      </c>
      <c r="AD52" s="84">
        <f t="shared" si="1"/>
        <v>7.8527040021697113E-4</v>
      </c>
      <c r="AE52" s="84">
        <f t="shared" si="2"/>
        <v>301.03974019768947</v>
      </c>
      <c r="AF52" s="84">
        <f t="shared" si="3"/>
        <v>5.9035890729886931E-4</v>
      </c>
      <c r="AG52" s="84">
        <f t="shared" si="4"/>
        <v>400.24464687804124</v>
      </c>
      <c r="AH52" s="84">
        <f t="shared" si="5"/>
        <v>5.119944690626276E-4</v>
      </c>
      <c r="AI52" s="84">
        <f t="shared" si="6"/>
        <v>461.41897242830805</v>
      </c>
      <c r="AJ52" s="84">
        <f t="shared" si="7"/>
        <v>4.7684838011274059E-4</v>
      </c>
      <c r="AK52" s="84">
        <f t="shared" si="8"/>
        <v>495.38643916265079</v>
      </c>
      <c r="AL52" s="84">
        <f t="shared" si="9"/>
        <v>4.6020992287209499E-4</v>
      </c>
      <c r="AM52" s="84">
        <f t="shared" si="10"/>
        <v>513.27636654573337</v>
      </c>
      <c r="AN52" s="84">
        <f t="shared" si="11"/>
        <v>4.521186285220018E-4</v>
      </c>
      <c r="AO52" s="84">
        <f t="shared" si="12"/>
        <v>522.45211435854992</v>
      </c>
      <c r="AP52" s="84">
        <f t="shared" si="13"/>
        <v>4.4813079583830848E-4</v>
      </c>
      <c r="AQ52" s="84">
        <f t="shared" si="14"/>
        <v>527.09632171913597</v>
      </c>
      <c r="AR52" s="84">
        <f t="shared" si="15"/>
        <v>4.461522039611274E-4</v>
      </c>
      <c r="AS52" s="84">
        <f t="shared" si="16"/>
        <v>529.43139364775175</v>
      </c>
      <c r="AT52" s="84">
        <f t="shared" si="17"/>
        <v>4.4516723333100805E-4</v>
      </c>
      <c r="AU52" s="84">
        <f t="shared" si="18"/>
        <v>530.60156355568506</v>
      </c>
      <c r="AV52" s="84">
        <f t="shared" si="19"/>
        <v>4.4467608436092945E-4</v>
      </c>
      <c r="AW52" s="84">
        <f t="shared" si="20"/>
        <v>531.18699784310843</v>
      </c>
      <c r="AX52" s="84">
        <f t="shared" si="21"/>
        <v>4.4443097256805501E-4</v>
      </c>
      <c r="AY52" s="142">
        <v>4.4000000000000003E-3</v>
      </c>
      <c r="AZ52" s="46">
        <f t="shared" si="25"/>
        <v>1.7053819194785279E-2</v>
      </c>
      <c r="BA52" s="85">
        <f t="shared" si="26"/>
        <v>54.193938980316048</v>
      </c>
      <c r="BB52" s="85">
        <f t="shared" si="27"/>
        <v>8.8000000000000005E-3</v>
      </c>
      <c r="BC52" s="85">
        <f t="shared" si="28"/>
        <v>27.387894595659194</v>
      </c>
      <c r="BD52" s="85">
        <f t="shared" si="29"/>
        <v>1.2378804589358628E-2</v>
      </c>
      <c r="BE52" s="85">
        <f t="shared" si="30"/>
        <v>19.641738110629287</v>
      </c>
      <c r="BF52" s="85">
        <f t="shared" si="31"/>
        <v>1.4617330719943767E-2</v>
      </c>
      <c r="BG52" s="85">
        <f t="shared" si="32"/>
        <v>16.726195293387718</v>
      </c>
      <c r="BH52" s="85">
        <f t="shared" si="33"/>
        <v>1.5840155823036783E-2</v>
      </c>
      <c r="BI52" s="85">
        <f t="shared" si="34"/>
        <v>15.481970277744445</v>
      </c>
      <c r="BJ52" s="85">
        <f t="shared" si="35"/>
        <v>1.6464362385351032E-2</v>
      </c>
      <c r="BK52" s="85">
        <f t="shared" si="36"/>
        <v>14.918196545873224</v>
      </c>
      <c r="BL52" s="85">
        <f t="shared" si="37"/>
        <v>1.6772579877472056E-2</v>
      </c>
      <c r="BM52" s="85">
        <f t="shared" si="38"/>
        <v>14.655320523095062</v>
      </c>
      <c r="BN52" s="85">
        <f t="shared" si="39"/>
        <v>1.6922338206946465E-2</v>
      </c>
      <c r="BO52" s="85">
        <f t="shared" si="40"/>
        <v>14.531055738619392</v>
      </c>
      <c r="BP52" s="85">
        <f t="shared" si="41"/>
        <v>1.6994541292106782E-2</v>
      </c>
      <c r="BQ52" s="85">
        <f t="shared" si="42"/>
        <v>14.471927773898008</v>
      </c>
      <c r="BR52" s="85">
        <f t="shared" si="43"/>
        <v>1.7029223207442989E-2</v>
      </c>
      <c r="BS52" s="85">
        <f t="shared" si="44"/>
        <v>14.44370492901651</v>
      </c>
      <c r="BT52" s="85">
        <f t="shared" si="45"/>
        <v>1.7045852547985053E-2</v>
      </c>
      <c r="BU52" s="85">
        <f t="shared" si="46"/>
        <v>14.430213403451507</v>
      </c>
      <c r="BV52" s="85">
        <f t="shared" si="47"/>
        <v>1.7053819194785279E-2</v>
      </c>
      <c r="BW52" s="85">
        <f t="shared" si="48"/>
        <v>14.423759334086681</v>
      </c>
    </row>
    <row r="53" spans="25:75" x14ac:dyDescent="0.4">
      <c r="Y53" s="142">
        <v>4.4999999999999997E-3</v>
      </c>
      <c r="Z53" s="46">
        <f t="shared" si="0"/>
        <v>4.5463011529616154E-4</v>
      </c>
      <c r="AA53" s="84">
        <f t="shared" si="22"/>
        <v>53.002404069237663</v>
      </c>
      <c r="AB53" s="84">
        <f t="shared" si="53"/>
        <v>1.4230249470757704E-3</v>
      </c>
      <c r="AC53" s="84">
        <f t="shared" si="24"/>
        <v>166.37594670714083</v>
      </c>
      <c r="AD53" s="84">
        <f t="shared" si="1"/>
        <v>8.0318396269317763E-4</v>
      </c>
      <c r="AE53" s="84">
        <f t="shared" si="2"/>
        <v>294.3381442500355</v>
      </c>
      <c r="AF53" s="84">
        <f t="shared" si="3"/>
        <v>6.0386105915138412E-4</v>
      </c>
      <c r="AG53" s="84">
        <f t="shared" si="4"/>
        <v>391.30786353371542</v>
      </c>
      <c r="AH53" s="84">
        <f t="shared" si="5"/>
        <v>5.2372223241074908E-4</v>
      </c>
      <c r="AI53" s="84">
        <f t="shared" si="6"/>
        <v>451.09895156650725</v>
      </c>
      <c r="AJ53" s="84">
        <f t="shared" si="7"/>
        <v>4.8778044913335073E-4</v>
      </c>
      <c r="AK53" s="84">
        <f t="shared" si="8"/>
        <v>484.29649304474452</v>
      </c>
      <c r="AL53" s="84">
        <f t="shared" si="9"/>
        <v>4.7076550856637906E-4</v>
      </c>
      <c r="AM53" s="84">
        <f t="shared" si="10"/>
        <v>501.78018686586813</v>
      </c>
      <c r="AN53" s="84">
        <f t="shared" si="11"/>
        <v>4.62491274536671E-4</v>
      </c>
      <c r="AO53" s="84">
        <f t="shared" si="12"/>
        <v>510.74727501533476</v>
      </c>
      <c r="AP53" s="84">
        <f t="shared" si="13"/>
        <v>4.5841336292601966E-4</v>
      </c>
      <c r="AQ53" s="84">
        <f t="shared" si="14"/>
        <v>515.28573835425937</v>
      </c>
      <c r="AR53" s="84">
        <f t="shared" si="15"/>
        <v>4.5639012276880477E-4</v>
      </c>
      <c r="AS53" s="84">
        <f t="shared" si="16"/>
        <v>517.56758143532443</v>
      </c>
      <c r="AT53" s="84">
        <f t="shared" si="17"/>
        <v>4.5538294896490963E-4</v>
      </c>
      <c r="AU53" s="84">
        <f t="shared" si="18"/>
        <v>518.71104746923572</v>
      </c>
      <c r="AV53" s="84">
        <f t="shared" si="19"/>
        <v>4.5488074043791162E-4</v>
      </c>
      <c r="AW53" s="84">
        <f t="shared" si="20"/>
        <v>519.28310751851518</v>
      </c>
      <c r="AX53" s="84">
        <f t="shared" si="21"/>
        <v>4.5463011529616154E-4</v>
      </c>
      <c r="AY53" s="142">
        <v>4.4999999999999997E-3</v>
      </c>
      <c r="AZ53" s="46">
        <f t="shared" si="25"/>
        <v>1.742932662671199E-2</v>
      </c>
      <c r="BA53" s="85">
        <f t="shared" si="26"/>
        <v>53.002404069237663</v>
      </c>
      <c r="BB53" s="85">
        <f t="shared" si="27"/>
        <v>8.9999999999999993E-3</v>
      </c>
      <c r="BC53" s="85">
        <f t="shared" si="28"/>
        <v>26.792368794447764</v>
      </c>
      <c r="BD53" s="85">
        <f t="shared" si="29"/>
        <v>1.2658572621591027E-2</v>
      </c>
      <c r="BE53" s="85">
        <f t="shared" si="30"/>
        <v>19.220907580607307</v>
      </c>
      <c r="BF53" s="85">
        <f t="shared" si="31"/>
        <v>1.4945255654783137E-2</v>
      </c>
      <c r="BG53" s="85">
        <f t="shared" si="32"/>
        <v>16.37252255750883</v>
      </c>
      <c r="BH53" s="85">
        <f t="shared" si="33"/>
        <v>1.6193193110229247E-2</v>
      </c>
      <c r="BI53" s="85">
        <f t="shared" si="34"/>
        <v>15.157764026863921</v>
      </c>
      <c r="BJ53" s="85">
        <f t="shared" si="35"/>
        <v>1.6829558494999456E-2</v>
      </c>
      <c r="BK53" s="85">
        <f t="shared" si="36"/>
        <v>14.607780332216427</v>
      </c>
      <c r="BL53" s="85">
        <f t="shared" si="37"/>
        <v>1.7143448181319607E-2</v>
      </c>
      <c r="BM53" s="85">
        <f t="shared" si="38"/>
        <v>14.351561772792138</v>
      </c>
      <c r="BN53" s="85">
        <f t="shared" si="39"/>
        <v>1.7295802260931054E-2</v>
      </c>
      <c r="BO53" s="85">
        <f t="shared" si="40"/>
        <v>14.230558341352724</v>
      </c>
      <c r="BP53" s="85">
        <f t="shared" si="41"/>
        <v>1.7369180313721182E-2</v>
      </c>
      <c r="BQ53" s="85">
        <f t="shared" si="42"/>
        <v>14.173038467022442</v>
      </c>
      <c r="BR53" s="85">
        <f t="shared" si="43"/>
        <v>1.740439017585144E-2</v>
      </c>
      <c r="BS53" s="85">
        <f t="shared" si="44"/>
        <v>14.145610551621822</v>
      </c>
      <c r="BT53" s="85">
        <f t="shared" si="45"/>
        <v>1.7421255300336665E-2</v>
      </c>
      <c r="BU53" s="85">
        <f t="shared" si="46"/>
        <v>14.132512236848045</v>
      </c>
      <c r="BV53" s="85">
        <f t="shared" si="47"/>
        <v>1.742932662671199E-2</v>
      </c>
      <c r="BW53" s="85">
        <f t="shared" si="48"/>
        <v>14.126252619394251</v>
      </c>
    </row>
    <row r="54" spans="25:75" x14ac:dyDescent="0.4">
      <c r="Y54" s="142">
        <v>4.5999999999999999E-3</v>
      </c>
      <c r="Z54" s="46">
        <f t="shared" si="0"/>
        <v>4.6483368651740629E-4</v>
      </c>
      <c r="AA54" s="84">
        <f t="shared" si="22"/>
        <v>51.862682160287321</v>
      </c>
      <c r="AB54" s="84">
        <f t="shared" si="53"/>
        <v>1.4546477236774544E-3</v>
      </c>
      <c r="AC54" s="84">
        <f t="shared" si="24"/>
        <v>162.77135793847717</v>
      </c>
      <c r="AD54" s="84">
        <f t="shared" si="1"/>
        <v>8.2110051585715274E-4</v>
      </c>
      <c r="AE54" s="84">
        <f t="shared" si="2"/>
        <v>287.92791512862766</v>
      </c>
      <c r="AF54" s="84">
        <f t="shared" si="3"/>
        <v>6.1736702916814453E-4</v>
      </c>
      <c r="AG54" s="84">
        <f t="shared" si="4"/>
        <v>382.75962445492365</v>
      </c>
      <c r="AH54" s="84">
        <f t="shared" si="5"/>
        <v>5.3545411241342643E-4</v>
      </c>
      <c r="AI54" s="84">
        <f t="shared" si="6"/>
        <v>441.22761484600898</v>
      </c>
      <c r="AJ54" s="84">
        <f t="shared" si="7"/>
        <v>4.9871677384351863E-4</v>
      </c>
      <c r="AK54" s="84">
        <f t="shared" si="8"/>
        <v>473.68870654187674</v>
      </c>
      <c r="AL54" s="84">
        <f t="shared" si="9"/>
        <v>4.8132542502388865E-4</v>
      </c>
      <c r="AM54" s="84">
        <f t="shared" si="10"/>
        <v>490.78382978565827</v>
      </c>
      <c r="AN54" s="84">
        <f t="shared" si="11"/>
        <v>4.7286829430877021E-4</v>
      </c>
      <c r="AO54" s="84">
        <f t="shared" si="12"/>
        <v>499.5513309467126</v>
      </c>
      <c r="AP54" s="84">
        <f t="shared" si="13"/>
        <v>4.6870032871325747E-4</v>
      </c>
      <c r="AQ54" s="84">
        <f t="shared" si="14"/>
        <v>503.98864817315513</v>
      </c>
      <c r="AR54" s="84">
        <f t="shared" si="15"/>
        <v>4.6663245466499877E-4</v>
      </c>
      <c r="AS54" s="84">
        <f t="shared" si="16"/>
        <v>506.21957691645412</v>
      </c>
      <c r="AT54" s="84">
        <f t="shared" si="17"/>
        <v>4.6560308589377477E-4</v>
      </c>
      <c r="AU54" s="84">
        <f t="shared" si="18"/>
        <v>507.33750024051545</v>
      </c>
      <c r="AV54" s="84">
        <f t="shared" si="19"/>
        <v>4.6508982243301743E-4</v>
      </c>
      <c r="AW54" s="84">
        <f t="shared" si="20"/>
        <v>507.89676761363978</v>
      </c>
      <c r="AX54" s="84">
        <f t="shared" si="21"/>
        <v>4.6483368651740629E-4</v>
      </c>
      <c r="AY54" s="142">
        <v>4.5999999999999999E-3</v>
      </c>
      <c r="AZ54" s="46">
        <f t="shared" si="25"/>
        <v>1.7804315018422702E-2</v>
      </c>
      <c r="BA54" s="85">
        <f t="shared" si="26"/>
        <v>51.862682160287321</v>
      </c>
      <c r="BB54" s="85">
        <f t="shared" si="27"/>
        <v>9.1999999999999998E-3</v>
      </c>
      <c r="BC54" s="85">
        <f t="shared" si="28"/>
        <v>26.222749204618033</v>
      </c>
      <c r="BD54" s="85">
        <f t="shared" si="29"/>
        <v>1.2938269802908485E-2</v>
      </c>
      <c r="BE54" s="85">
        <f t="shared" si="30"/>
        <v>18.818394837414544</v>
      </c>
      <c r="BF54" s="85">
        <f t="shared" si="31"/>
        <v>1.5272988535255201E-2</v>
      </c>
      <c r="BG54" s="85">
        <f t="shared" si="32"/>
        <v>16.034252268828659</v>
      </c>
      <c r="BH54" s="85">
        <f t="shared" si="33"/>
        <v>1.6545921437556507E-2</v>
      </c>
      <c r="BI54" s="85">
        <f t="shared" si="34"/>
        <v>14.847680969304282</v>
      </c>
      <c r="BJ54" s="85">
        <f t="shared" si="35"/>
        <v>1.7194359403555726E-2</v>
      </c>
      <c r="BK54" s="85">
        <f t="shared" si="36"/>
        <v>14.310887798974148</v>
      </c>
      <c r="BL54" s="85">
        <f t="shared" si="37"/>
        <v>1.751386612200146E-2</v>
      </c>
      <c r="BM54" s="85">
        <f t="shared" si="38"/>
        <v>14.06103641287925</v>
      </c>
      <c r="BN54" s="85">
        <f t="shared" si="39"/>
        <v>1.7668783429053869E-2</v>
      </c>
      <c r="BO54" s="85">
        <f t="shared" si="40"/>
        <v>13.943151479207089</v>
      </c>
      <c r="BP54" s="85">
        <f t="shared" si="41"/>
        <v>1.7743318205105062E-2</v>
      </c>
      <c r="BQ54" s="85">
        <f t="shared" si="42"/>
        <v>13.88716883446742</v>
      </c>
      <c r="BR54" s="85">
        <f t="shared" si="43"/>
        <v>1.7779046107100169E-2</v>
      </c>
      <c r="BS54" s="85">
        <f t="shared" si="44"/>
        <v>13.86050056596334</v>
      </c>
      <c r="BT54" s="85">
        <f t="shared" si="45"/>
        <v>1.7796141756962484E-2</v>
      </c>
      <c r="BU54" s="85">
        <f t="shared" si="46"/>
        <v>13.847777864470117</v>
      </c>
      <c r="BV54" s="85">
        <f t="shared" si="47"/>
        <v>1.7804315018422702E-2</v>
      </c>
      <c r="BW54" s="85">
        <f t="shared" si="48"/>
        <v>13.841703916418849</v>
      </c>
    </row>
    <row r="55" spans="25:75" x14ac:dyDescent="0.4">
      <c r="Y55" s="142">
        <v>4.7999999999999996E-3</v>
      </c>
      <c r="Z55" s="46">
        <f t="shared" si="0"/>
        <v>4.85254128122121E-4</v>
      </c>
      <c r="AA55" s="84">
        <f t="shared" si="22"/>
        <v>49.725724077119061</v>
      </c>
      <c r="AB55" s="84">
        <f t="shared" si="53"/>
        <v>1.5178932768808218E-3</v>
      </c>
      <c r="AC55" s="84">
        <f t="shared" si="24"/>
        <v>156.01276063924976</v>
      </c>
      <c r="AD55" s="84">
        <f t="shared" si="1"/>
        <v>8.5694260305907172E-4</v>
      </c>
      <c r="AE55" s="84">
        <f t="shared" si="2"/>
        <v>275.9087157623058</v>
      </c>
      <c r="AF55" s="84">
        <f t="shared" si="3"/>
        <v>6.4439043506093032E-4</v>
      </c>
      <c r="AG55" s="84">
        <f t="shared" si="4"/>
        <v>366.73164325435016</v>
      </c>
      <c r="AH55" s="84">
        <f t="shared" si="5"/>
        <v>5.5893023485358473E-4</v>
      </c>
      <c r="AI55" s="84">
        <f t="shared" si="6"/>
        <v>422.71882310993328</v>
      </c>
      <c r="AJ55" s="84">
        <f t="shared" si="7"/>
        <v>5.2060220336638244E-4</v>
      </c>
      <c r="AK55" s="84">
        <f t="shared" si="8"/>
        <v>453.79907284769104</v>
      </c>
      <c r="AL55" s="84">
        <f t="shared" si="9"/>
        <v>5.0245826356551154E-4</v>
      </c>
      <c r="AM55" s="84">
        <f t="shared" si="10"/>
        <v>470.16562817406356</v>
      </c>
      <c r="AN55" s="84">
        <f t="shared" si="11"/>
        <v>4.9363546862706898E-4</v>
      </c>
      <c r="AO55" s="84">
        <f t="shared" si="12"/>
        <v>478.55890522992536</v>
      </c>
      <c r="AP55" s="84">
        <f t="shared" si="13"/>
        <v>4.8928746997716822E-4</v>
      </c>
      <c r="AQ55" s="84">
        <f t="shared" si="14"/>
        <v>482.80657448965525</v>
      </c>
      <c r="AR55" s="84">
        <f t="shared" si="15"/>
        <v>4.8713037136125593E-4</v>
      </c>
      <c r="AS55" s="84">
        <f t="shared" si="16"/>
        <v>484.94203946340997</v>
      </c>
      <c r="AT55" s="84">
        <f t="shared" si="17"/>
        <v>4.8605663729965934E-4</v>
      </c>
      <c r="AU55" s="84">
        <f t="shared" si="18"/>
        <v>486.01207057131217</v>
      </c>
      <c r="AV55" s="84">
        <f t="shared" si="19"/>
        <v>4.85521277853794E-4</v>
      </c>
      <c r="AW55" s="84">
        <f t="shared" si="20"/>
        <v>486.54735188863964</v>
      </c>
      <c r="AX55" s="84">
        <f t="shared" si="21"/>
        <v>4.85254128122121E-4</v>
      </c>
      <c r="AY55" s="142">
        <v>4.7999999999999996E-3</v>
      </c>
      <c r="AZ55" s="46">
        <f t="shared" si="25"/>
        <v>1.8552739829649213E-2</v>
      </c>
      <c r="BA55" s="85">
        <f t="shared" si="26"/>
        <v>49.725724077119061</v>
      </c>
      <c r="BB55" s="85">
        <f t="shared" si="27"/>
        <v>9.5999999999999992E-3</v>
      </c>
      <c r="BC55" s="85">
        <f t="shared" si="28"/>
        <v>25.154752024712632</v>
      </c>
      <c r="BD55" s="85">
        <f t="shared" si="29"/>
        <v>1.3497451348282858E-2</v>
      </c>
      <c r="BE55" s="85">
        <f t="shared" si="30"/>
        <v>18.063743044996425</v>
      </c>
      <c r="BF55" s="85">
        <f t="shared" si="31"/>
        <v>1.5927877889127341E-2</v>
      </c>
      <c r="BG55" s="85">
        <f t="shared" si="32"/>
        <v>15.400068019917418</v>
      </c>
      <c r="BH55" s="85">
        <f t="shared" si="33"/>
        <v>1.7250451696910495E-2</v>
      </c>
      <c r="BI55" s="85">
        <f t="shared" si="34"/>
        <v>14.266353057377197</v>
      </c>
      <c r="BJ55" s="85">
        <f t="shared" si="35"/>
        <v>1.7922777245338771E-2</v>
      </c>
      <c r="BK55" s="85">
        <f t="shared" si="36"/>
        <v>13.754292136105015</v>
      </c>
      <c r="BL55" s="85">
        <f t="shared" si="37"/>
        <v>1.8253353676258886E-2</v>
      </c>
      <c r="BM55" s="85">
        <f t="shared" si="38"/>
        <v>13.516376707198962</v>
      </c>
      <c r="BN55" s="85">
        <f t="shared" si="39"/>
        <v>1.841330077673748E-2</v>
      </c>
      <c r="BO55" s="85">
        <f t="shared" si="40"/>
        <v>13.404335864931038</v>
      </c>
      <c r="BP55" s="85">
        <f t="shared" si="41"/>
        <v>1.8490094907438588E-2</v>
      </c>
      <c r="BQ55" s="85">
        <f t="shared" si="42"/>
        <v>13.351232786999379</v>
      </c>
      <c r="BR55" s="85">
        <f t="shared" si="43"/>
        <v>1.852682958850109E-2</v>
      </c>
      <c r="BS55" s="85">
        <f t="shared" si="44"/>
        <v>13.325986775591112</v>
      </c>
      <c r="BT55" s="85">
        <f t="shared" si="45"/>
        <v>1.8544370774804968E-2</v>
      </c>
      <c r="BU55" s="85">
        <f t="shared" si="46"/>
        <v>13.313966905664488</v>
      </c>
      <c r="BV55" s="85">
        <f t="shared" si="47"/>
        <v>1.8552739829649213E-2</v>
      </c>
      <c r="BW55" s="85">
        <f t="shared" si="48"/>
        <v>13.308240145862984</v>
      </c>
    </row>
    <row r="56" spans="25:75" x14ac:dyDescent="0.4">
      <c r="Y56" s="142">
        <v>4.8999999999999998E-3</v>
      </c>
      <c r="Z56" s="46">
        <f t="shared" ref="Z56:Z103" si="54">AX56</f>
        <v>4.9547100533373154E-4</v>
      </c>
      <c r="AA56" s="84">
        <f t="shared" ref="AA56:AA103" si="55">(1+0.0712/Y56*(2.514+0.8*EXP(-0.55*Y56/(0.0712))))</f>
        <v>48.72267214829197</v>
      </c>
      <c r="AB56" s="84">
        <f t="shared" ref="AB56:AB103" si="56">Y56/SQRT($Z$1)</f>
        <v>1.5495160534825057E-3</v>
      </c>
      <c r="AC56" s="84">
        <f t="shared" ref="AC56:AC103" si="57">(1+0.0712/AB56*(2.514+0.8*EXP(-0.55*AB56/(0.0712))))</f>
        <v>152.84036107750001</v>
      </c>
      <c r="AD56" s="84">
        <f t="shared" ref="AD56:AD103" si="58">$Y56/SQRT(($Z$1*AC56)/($AA56))</f>
        <v>8.7486814148885145E-4</v>
      </c>
      <c r="AE56" s="84">
        <f t="shared" ref="AE56:AE103" si="59">(1+0.0712/AD56*(2.514+0.8*EXP(-0.55*AD56/(0.0712))))</f>
        <v>270.2670411244622</v>
      </c>
      <c r="AF56" s="84">
        <f t="shared" ref="AF56:AF103" si="60">$Y56/SQRT(($Z$1*AE56)/($AA56))</f>
        <v>6.5790787660566176E-4</v>
      </c>
      <c r="AG56" s="84">
        <f t="shared" ref="AG56:AG103" si="61">(1+0.0712/AF56*(2.514+0.8*EXP(-0.55*AF56/(0.0712))))</f>
        <v>359.20828912274879</v>
      </c>
      <c r="AH56" s="84">
        <f t="shared" ref="AH56:AH103" si="62">$Y56/SQRT(($Z$1*AG56)/($AA56))</f>
        <v>5.7067448351247644E-4</v>
      </c>
      <c r="AI56" s="84">
        <f t="shared" ref="AI56:AI103" si="63">(1+0.0712/AH56*(2.514+0.8*EXP(-0.55*AH56/(0.0712))))</f>
        <v>414.03100573042138</v>
      </c>
      <c r="AJ56" s="84">
        <f t="shared" ref="AJ56:AJ103" si="64">$Y56/SQRT(($Z$1*AI56)/($AA56))</f>
        <v>5.3155131468223882E-4</v>
      </c>
      <c r="AK56" s="84">
        <f t="shared" ref="AK56:AK103" si="65">(1+0.0712/AJ56*(2.514+0.8*EXP(-0.55*AJ56/(0.0712))))</f>
        <v>444.46310586541955</v>
      </c>
      <c r="AL56" s="84">
        <f t="shared" ref="AL56:AL103" si="66">$Y56/SQRT(($Z$1*AK56)/($AA56))</f>
        <v>5.1303119230456252E-4</v>
      </c>
      <c r="AM56" s="84">
        <f t="shared" ref="AM56:AM103" si="67">(1+0.0712/AL56*(2.514+0.8*EXP(-0.55*AL56/(0.0712))))</f>
        <v>460.48768128506174</v>
      </c>
      <c r="AN56" s="84">
        <f t="shared" ref="AN56:AN103" si="68">$Y56/SQRT(($Z$1*AM56)/($AA56))</f>
        <v>5.0402562991077964E-4</v>
      </c>
      <c r="AO56" s="84">
        <f t="shared" ref="AO56:AO103" si="69">(1+0.0712/AN56*(2.514+0.8*EXP(-0.55*AN56/(0.0712))))</f>
        <v>468.70530286963418</v>
      </c>
      <c r="AP56" s="84">
        <f t="shared" ref="AP56:AP103" si="70">$Y56/SQRT(($Z$1*AO56)/($AA56))</f>
        <v>4.9958765223594246E-4</v>
      </c>
      <c r="AQ56" s="84">
        <f t="shared" ref="AQ56:AQ103" si="71">(1+0.0712/AP56*(2.514+0.8*EXP(-0.55*AP56/(0.0712))))</f>
        <v>472.86395418687169</v>
      </c>
      <c r="AR56" s="84">
        <f t="shared" ref="AR56:AR103" si="72">$Y56/SQRT(($Z$1*AQ56)/($AA56))</f>
        <v>4.973859629671866E-4</v>
      </c>
      <c r="AS56" s="84">
        <f t="shared" ref="AS56:AS103" si="73">(1+0.0712/AR56*(2.514+0.8*EXP(-0.55*AR56/(0.0712))))</f>
        <v>474.95460993876009</v>
      </c>
      <c r="AT56" s="84">
        <f t="shared" ref="AT56:AT103" si="74">$Y56/SQRT(($Z$1*AS56)/($AA56))</f>
        <v>4.96290058595035E-4</v>
      </c>
      <c r="AU56" s="84">
        <f t="shared" ref="AU56:AU103" si="75">(1+0.0712/AT56*(2.514+0.8*EXP(-0.55*AT56/(0.0712))))</f>
        <v>476.00216120652431</v>
      </c>
      <c r="AV56" s="84">
        <f t="shared" ref="AV56:AV103" si="76">$Y56/SQRT(($Z$1*AU56)/($AA56))</f>
        <v>4.9574365810429381E-4</v>
      </c>
      <c r="AW56" s="84">
        <f t="shared" ref="AW56:AW103" si="77">(1+0.0712/AV56*(2.514+0.8*EXP(-0.55*AV56/(0.0712))))</f>
        <v>476.52618386731154</v>
      </c>
      <c r="AX56" s="84">
        <f t="shared" ref="AX56:AX103" si="78">$Y56/SQRT(($Z$1*AW56)/($AA56))</f>
        <v>4.9547100533373154E-4</v>
      </c>
      <c r="AY56" s="142">
        <v>4.8999999999999998E-3</v>
      </c>
      <c r="AZ56" s="46">
        <f t="shared" si="25"/>
        <v>1.892617884211488E-2</v>
      </c>
      <c r="BA56" s="85">
        <f t="shared" si="26"/>
        <v>48.72267214829197</v>
      </c>
      <c r="BB56" s="85">
        <f t="shared" si="27"/>
        <v>9.7999999999999997E-3</v>
      </c>
      <c r="BC56" s="85">
        <f t="shared" si="28"/>
        <v>24.653466558048653</v>
      </c>
      <c r="BD56" s="85">
        <f t="shared" si="29"/>
        <v>1.3776935581769924E-2</v>
      </c>
      <c r="BE56" s="85">
        <f t="shared" si="30"/>
        <v>17.709547819300884</v>
      </c>
      <c r="BF56" s="85">
        <f t="shared" si="31"/>
        <v>1.6255034247918809E-2</v>
      </c>
      <c r="BG56" s="85">
        <f t="shared" si="32"/>
        <v>15.102425034257449</v>
      </c>
      <c r="BH56" s="85">
        <f t="shared" si="33"/>
        <v>1.7602253885828607E-2</v>
      </c>
      <c r="BI56" s="85">
        <f t="shared" si="34"/>
        <v>13.993522688598201</v>
      </c>
      <c r="BJ56" s="85">
        <f t="shared" si="35"/>
        <v>1.828639501262258E-2</v>
      </c>
      <c r="BK56" s="85">
        <f t="shared" si="36"/>
        <v>13.493070722798429</v>
      </c>
      <c r="BL56" s="85">
        <f t="shared" si="37"/>
        <v>1.862242469342416E-2</v>
      </c>
      <c r="BM56" s="85">
        <f t="shared" si="38"/>
        <v>13.260756620909332</v>
      </c>
      <c r="BN56" s="85">
        <f t="shared" si="39"/>
        <v>1.8784838813358597E-2</v>
      </c>
      <c r="BO56" s="85">
        <f t="shared" si="40"/>
        <v>13.151457384318643</v>
      </c>
      <c r="BP56" s="85">
        <f t="shared" si="41"/>
        <v>1.8862735895196152E-2</v>
      </c>
      <c r="BQ56" s="85">
        <f t="shared" si="42"/>
        <v>13.099704586547313</v>
      </c>
      <c r="BR56" s="85">
        <f t="shared" si="43"/>
        <v>1.8899959524391045E-2</v>
      </c>
      <c r="BS56" s="85">
        <f t="shared" si="44"/>
        <v>13.075125141636454</v>
      </c>
      <c r="BT56" s="85">
        <f t="shared" si="45"/>
        <v>1.8917715851426011E-2</v>
      </c>
      <c r="BU56" s="85">
        <f t="shared" si="46"/>
        <v>13.063434464590832</v>
      </c>
      <c r="BV56" s="85">
        <f t="shared" si="47"/>
        <v>1.892617884211488E-2</v>
      </c>
      <c r="BW56" s="85">
        <f t="shared" si="48"/>
        <v>13.057870210139637</v>
      </c>
    </row>
    <row r="57" spans="25:75" x14ac:dyDescent="0.4">
      <c r="Y57" s="142">
        <v>5.1000000000000004E-3</v>
      </c>
      <c r="Z57" s="46">
        <f t="shared" si="54"/>
        <v>5.1591808960606137E-4</v>
      </c>
      <c r="AA57" s="84">
        <f t="shared" si="55"/>
        <v>46.834593645719181</v>
      </c>
      <c r="AB57" s="84">
        <f t="shared" si="56"/>
        <v>1.6127616066858735E-3</v>
      </c>
      <c r="AC57" s="84">
        <f t="shared" si="57"/>
        <v>146.86879167858399</v>
      </c>
      <c r="AD57" s="84">
        <f t="shared" si="58"/>
        <v>9.1072821894522499E-4</v>
      </c>
      <c r="AE57" s="84">
        <f t="shared" si="59"/>
        <v>259.64739989593807</v>
      </c>
      <c r="AF57" s="84">
        <f t="shared" si="60"/>
        <v>6.8495425101996001E-4</v>
      </c>
      <c r="AG57" s="84">
        <f t="shared" si="61"/>
        <v>345.04665083348425</v>
      </c>
      <c r="AH57" s="84">
        <f t="shared" si="62"/>
        <v>5.9417537121899831E-4</v>
      </c>
      <c r="AI57" s="84">
        <f t="shared" si="63"/>
        <v>397.67743449770865</v>
      </c>
      <c r="AJ57" s="84">
        <f t="shared" si="64"/>
        <v>5.5346234663945337E-4</v>
      </c>
      <c r="AK57" s="84">
        <f t="shared" si="65"/>
        <v>426.88948973763831</v>
      </c>
      <c r="AL57" s="84">
        <f t="shared" si="66"/>
        <v>5.3419008531595746E-4</v>
      </c>
      <c r="AM57" s="84">
        <f t="shared" si="67"/>
        <v>442.2703401388448</v>
      </c>
      <c r="AN57" s="84">
        <f t="shared" si="68"/>
        <v>5.2481911753096341E-4</v>
      </c>
      <c r="AO57" s="84">
        <f t="shared" si="69"/>
        <v>450.1573175731537</v>
      </c>
      <c r="AP57" s="84">
        <f t="shared" si="70"/>
        <v>5.2020125692244694E-4</v>
      </c>
      <c r="AQ57" s="84">
        <f t="shared" si="71"/>
        <v>454.14840665711512</v>
      </c>
      <c r="AR57" s="84">
        <f t="shared" si="72"/>
        <v>5.1791042966948728E-4</v>
      </c>
      <c r="AS57" s="84">
        <f t="shared" si="73"/>
        <v>456.15471622469533</v>
      </c>
      <c r="AT57" s="84">
        <f t="shared" si="74"/>
        <v>5.1677020937675926E-4</v>
      </c>
      <c r="AU57" s="84">
        <f t="shared" si="75"/>
        <v>457.15995284696623</v>
      </c>
      <c r="AV57" s="84">
        <f t="shared" si="76"/>
        <v>5.1620174070782893E-4</v>
      </c>
      <c r="AW57" s="84">
        <f t="shared" si="77"/>
        <v>457.66278294422608</v>
      </c>
      <c r="AX57" s="84">
        <f t="shared" si="78"/>
        <v>5.1591808960606137E-4</v>
      </c>
      <c r="AY57" s="142">
        <v>5.1000000000000004E-3</v>
      </c>
      <c r="AZ57" s="46">
        <f t="shared" si="25"/>
        <v>1.9671516616607088E-2</v>
      </c>
      <c r="BA57" s="85">
        <f t="shared" si="26"/>
        <v>46.834593645719181</v>
      </c>
      <c r="BB57" s="85">
        <f t="shared" si="27"/>
        <v>1.0200000000000001E-2</v>
      </c>
      <c r="BC57" s="85">
        <f t="shared" si="28"/>
        <v>23.709907437869074</v>
      </c>
      <c r="BD57" s="85">
        <f t="shared" si="29"/>
        <v>1.4335690648957638E-2</v>
      </c>
      <c r="BE57" s="85">
        <f t="shared" si="30"/>
        <v>17.042883026509617</v>
      </c>
      <c r="BF57" s="85">
        <f t="shared" si="31"/>
        <v>1.6908770064609599E-2</v>
      </c>
      <c r="BG57" s="85">
        <f t="shared" si="32"/>
        <v>14.542223316382369</v>
      </c>
      <c r="BH57" s="85">
        <f t="shared" si="33"/>
        <v>1.8304933067944468E-2</v>
      </c>
      <c r="BI57" s="85">
        <f t="shared" si="34"/>
        <v>13.480031671998095</v>
      </c>
      <c r="BJ57" s="85">
        <f t="shared" si="35"/>
        <v>1.9012450384111527E-2</v>
      </c>
      <c r="BK57" s="85">
        <f t="shared" si="36"/>
        <v>13.001431584723541</v>
      </c>
      <c r="BL57" s="85">
        <f t="shared" si="37"/>
        <v>1.9359224782185158E-2</v>
      </c>
      <c r="BM57" s="85">
        <f t="shared" si="38"/>
        <v>12.779658622499019</v>
      </c>
      <c r="BN57" s="85">
        <f t="shared" si="39"/>
        <v>1.9526478320258559E-2</v>
      </c>
      <c r="BO57" s="85">
        <f t="shared" si="40"/>
        <v>12.675517039805614</v>
      </c>
      <c r="BP57" s="85">
        <f t="shared" si="41"/>
        <v>1.9606528648502118E-2</v>
      </c>
      <c r="BQ57" s="85">
        <f t="shared" si="42"/>
        <v>12.626303318424959</v>
      </c>
      <c r="BR57" s="85">
        <f t="shared" si="43"/>
        <v>1.964470180994515E-2</v>
      </c>
      <c r="BS57" s="85">
        <f t="shared" si="44"/>
        <v>12.602976610418917</v>
      </c>
      <c r="BT57" s="85">
        <f t="shared" si="45"/>
        <v>1.9662873484480939E-2</v>
      </c>
      <c r="BU57" s="85">
        <f t="shared" si="46"/>
        <v>12.591904229587342</v>
      </c>
      <c r="BV57" s="85">
        <f t="shared" si="47"/>
        <v>1.9671516616607088E-2</v>
      </c>
      <c r="BW57" s="85">
        <f t="shared" si="48"/>
        <v>12.58664498469823</v>
      </c>
    </row>
    <row r="58" spans="25:75" x14ac:dyDescent="0.4">
      <c r="Y58" s="142">
        <v>5.1999999999999998E-3</v>
      </c>
      <c r="Z58" s="46">
        <f t="shared" si="54"/>
        <v>5.2614830346314138E-4</v>
      </c>
      <c r="AA58" s="84">
        <f t="shared" si="55"/>
        <v>45.945027625523977</v>
      </c>
      <c r="AB58" s="84">
        <f t="shared" si="56"/>
        <v>1.6443843832875571E-3</v>
      </c>
      <c r="AC58" s="84">
        <f t="shared" si="57"/>
        <v>144.0552668510131</v>
      </c>
      <c r="AD58" s="84">
        <f t="shared" si="58"/>
        <v>9.2866276233135149E-4</v>
      </c>
      <c r="AE58" s="84">
        <f t="shared" si="59"/>
        <v>254.64390612054842</v>
      </c>
      <c r="AF58" s="84">
        <f t="shared" si="60"/>
        <v>6.9848318952337493E-4</v>
      </c>
      <c r="AG58" s="84">
        <f t="shared" si="61"/>
        <v>338.37432562698791</v>
      </c>
      <c r="AH58" s="84">
        <f t="shared" si="62"/>
        <v>6.059320164541333E-4</v>
      </c>
      <c r="AI58" s="84">
        <f t="shared" si="63"/>
        <v>389.97237065389805</v>
      </c>
      <c r="AJ58" s="84">
        <f t="shared" si="64"/>
        <v>5.6442427375099594E-4</v>
      </c>
      <c r="AK58" s="84">
        <f t="shared" si="65"/>
        <v>418.60959776807255</v>
      </c>
      <c r="AL58" s="84">
        <f t="shared" si="66"/>
        <v>5.447760562108364E-4</v>
      </c>
      <c r="AM58" s="84">
        <f t="shared" si="67"/>
        <v>433.68715557898963</v>
      </c>
      <c r="AN58" s="84">
        <f t="shared" si="68"/>
        <v>5.3522245057285802E-4</v>
      </c>
      <c r="AO58" s="84">
        <f t="shared" si="69"/>
        <v>441.41834946481134</v>
      </c>
      <c r="AP58" s="84">
        <f t="shared" si="70"/>
        <v>5.3051468610035095E-4</v>
      </c>
      <c r="AQ58" s="84">
        <f t="shared" si="71"/>
        <v>445.3304914288932</v>
      </c>
      <c r="AR58" s="84">
        <f t="shared" si="72"/>
        <v>5.2817931153987814E-4</v>
      </c>
      <c r="AS58" s="84">
        <f t="shared" si="73"/>
        <v>447.29706125668855</v>
      </c>
      <c r="AT58" s="84">
        <f t="shared" si="74"/>
        <v>5.2701694564965683E-4</v>
      </c>
      <c r="AU58" s="84">
        <f t="shared" si="75"/>
        <v>448.2823613424423</v>
      </c>
      <c r="AV58" s="84">
        <f t="shared" si="76"/>
        <v>5.2643744985390449E-4</v>
      </c>
      <c r="AW58" s="84">
        <f t="shared" si="77"/>
        <v>448.77520658128668</v>
      </c>
      <c r="AX58" s="84">
        <f t="shared" si="78"/>
        <v>5.2614830346314138E-4</v>
      </c>
      <c r="AY58" s="142">
        <v>5.1999999999999998E-3</v>
      </c>
      <c r="AZ58" s="46">
        <f t="shared" si="25"/>
        <v>2.004341801331834E-2</v>
      </c>
      <c r="BA58" s="85">
        <f t="shared" si="26"/>
        <v>45.945027625523977</v>
      </c>
      <c r="BB58" s="85">
        <f t="shared" si="27"/>
        <v>1.04E-2</v>
      </c>
      <c r="BC58" s="85">
        <f t="shared" si="28"/>
        <v>23.265364061842266</v>
      </c>
      <c r="BD58" s="85">
        <f t="shared" si="29"/>
        <v>1.4614961356108985E-2</v>
      </c>
      <c r="BE58" s="85">
        <f t="shared" si="30"/>
        <v>16.728808526008869</v>
      </c>
      <c r="BF58" s="85">
        <f t="shared" si="31"/>
        <v>1.7235349425351345E-2</v>
      </c>
      <c r="BG58" s="85">
        <f t="shared" si="32"/>
        <v>14.278315007383924</v>
      </c>
      <c r="BH58" s="85">
        <f t="shared" si="33"/>
        <v>1.8655810352625972E-2</v>
      </c>
      <c r="BI58" s="85">
        <f t="shared" si="34"/>
        <v>13.23813346563367</v>
      </c>
      <c r="BJ58" s="85">
        <f t="shared" si="35"/>
        <v>1.9374888869072491E-2</v>
      </c>
      <c r="BK58" s="85">
        <f t="shared" si="36"/>
        <v>12.769828779825822</v>
      </c>
      <c r="BL58" s="85">
        <f t="shared" si="37"/>
        <v>1.9726955308968008E-2</v>
      </c>
      <c r="BM58" s="85">
        <f t="shared" si="38"/>
        <v>12.553021033368157</v>
      </c>
      <c r="BN58" s="85">
        <f t="shared" si="39"/>
        <v>1.9896581699092936E-2</v>
      </c>
      <c r="BO58" s="85">
        <f t="shared" si="40"/>
        <v>12.451307998397894</v>
      </c>
      <c r="BP58" s="85">
        <f t="shared" si="41"/>
        <v>1.9977682639970157E-2</v>
      </c>
      <c r="BQ58" s="85">
        <f t="shared" si="42"/>
        <v>12.403289274059878</v>
      </c>
      <c r="BR58" s="85">
        <f t="shared" si="43"/>
        <v>2.0016316591574528E-2</v>
      </c>
      <c r="BS58" s="85">
        <f t="shared" si="44"/>
        <v>12.380551825172159</v>
      </c>
      <c r="BT58" s="85">
        <f t="shared" si="45"/>
        <v>2.0034688600001703E-2</v>
      </c>
      <c r="BU58" s="85">
        <f t="shared" si="46"/>
        <v>12.369770089320909</v>
      </c>
      <c r="BV58" s="85">
        <f t="shared" si="47"/>
        <v>2.004341801331834E-2</v>
      </c>
      <c r="BW58" s="85">
        <f t="shared" si="48"/>
        <v>12.364654118871881</v>
      </c>
    </row>
    <row r="59" spans="25:75" x14ac:dyDescent="0.4">
      <c r="Y59" s="142">
        <v>5.4000000000000003E-3</v>
      </c>
      <c r="Z59" s="46">
        <f t="shared" si="54"/>
        <v>5.4662209157038504E-4</v>
      </c>
      <c r="AA59" s="84">
        <f t="shared" si="55"/>
        <v>44.264754388566253</v>
      </c>
      <c r="AB59" s="84">
        <f t="shared" si="56"/>
        <v>1.7076299364909247E-3</v>
      </c>
      <c r="AC59" s="84">
        <f t="shared" si="57"/>
        <v>138.74083696096943</v>
      </c>
      <c r="AD59" s="84">
        <f t="shared" si="58"/>
        <v>9.6454086927805585E-4</v>
      </c>
      <c r="AE59" s="84">
        <f t="shared" si="59"/>
        <v>245.19284517015197</v>
      </c>
      <c r="AF59" s="84">
        <f t="shared" si="60"/>
        <v>7.2555258316389583E-4</v>
      </c>
      <c r="AG59" s="84">
        <f t="shared" si="61"/>
        <v>325.77101631452183</v>
      </c>
      <c r="AH59" s="84">
        <f t="shared" si="62"/>
        <v>6.2945772511462626E-4</v>
      </c>
      <c r="AI59" s="84">
        <f t="shared" si="63"/>
        <v>375.4183309758472</v>
      </c>
      <c r="AJ59" s="84">
        <f t="shared" si="64"/>
        <v>5.8636096637427917E-4</v>
      </c>
      <c r="AK59" s="84">
        <f t="shared" si="65"/>
        <v>402.96977307423435</v>
      </c>
      <c r="AL59" s="84">
        <f t="shared" si="66"/>
        <v>5.6596106329487327E-4</v>
      </c>
      <c r="AM59" s="84">
        <f t="shared" si="67"/>
        <v>417.47444670102976</v>
      </c>
      <c r="AN59" s="84">
        <f t="shared" si="68"/>
        <v>5.5604231184377473E-4</v>
      </c>
      <c r="AO59" s="84">
        <f t="shared" si="69"/>
        <v>424.91138416641536</v>
      </c>
      <c r="AP59" s="84">
        <f t="shared" si="70"/>
        <v>5.5115481496106585E-4</v>
      </c>
      <c r="AQ59" s="84">
        <f t="shared" si="71"/>
        <v>428.67440470845804</v>
      </c>
      <c r="AR59" s="84">
        <f t="shared" si="72"/>
        <v>5.4873038921446208E-4</v>
      </c>
      <c r="AS59" s="84">
        <f t="shared" si="73"/>
        <v>430.56591114508922</v>
      </c>
      <c r="AT59" s="84">
        <f t="shared" si="74"/>
        <v>5.4752375688621262E-4</v>
      </c>
      <c r="AU59" s="84">
        <f t="shared" si="75"/>
        <v>431.5135536610116</v>
      </c>
      <c r="AV59" s="84">
        <f t="shared" si="76"/>
        <v>5.4692222077761421E-4</v>
      </c>
      <c r="AW59" s="84">
        <f t="shared" si="77"/>
        <v>431.98753880432065</v>
      </c>
      <c r="AX59" s="84">
        <f t="shared" si="78"/>
        <v>5.4662209157038504E-4</v>
      </c>
      <c r="AY59" s="142">
        <v>5.4000000000000003E-3</v>
      </c>
      <c r="AZ59" s="46">
        <f t="shared" si="25"/>
        <v>2.0785692460317397E-2</v>
      </c>
      <c r="BA59" s="85">
        <f t="shared" si="26"/>
        <v>44.264754388566253</v>
      </c>
      <c r="BB59" s="85">
        <f t="shared" si="27"/>
        <v>1.0800000000000001E-2</v>
      </c>
      <c r="BC59" s="85">
        <f t="shared" si="28"/>
        <v>22.425705850320217</v>
      </c>
      <c r="BD59" s="85">
        <f t="shared" si="29"/>
        <v>1.517328880613727E-2</v>
      </c>
      <c r="BE59" s="85">
        <f t="shared" si="30"/>
        <v>16.135608799024368</v>
      </c>
      <c r="BF59" s="85">
        <f t="shared" si="31"/>
        <v>1.7887930830204294E-2</v>
      </c>
      <c r="BG59" s="85">
        <f t="shared" si="32"/>
        <v>13.779884432125687</v>
      </c>
      <c r="BH59" s="85">
        <f t="shared" si="33"/>
        <v>1.9356641080113857E-2</v>
      </c>
      <c r="BI59" s="85">
        <f t="shared" si="34"/>
        <v>12.78128153121852</v>
      </c>
      <c r="BJ59" s="85">
        <f t="shared" si="35"/>
        <v>2.0098589695670258E-2</v>
      </c>
      <c r="BK59" s="85">
        <f t="shared" si="36"/>
        <v>12.332423193868163</v>
      </c>
      <c r="BL59" s="85">
        <f t="shared" si="37"/>
        <v>2.0461081026925544E-2</v>
      </c>
      <c r="BM59" s="85">
        <f t="shared" si="38"/>
        <v>12.124991624405666</v>
      </c>
      <c r="BN59" s="85">
        <f t="shared" si="39"/>
        <v>2.0635360539791429E-2</v>
      </c>
      <c r="BO59" s="85">
        <f t="shared" si="40"/>
        <v>12.027862904852107</v>
      </c>
      <c r="BP59" s="85">
        <f t="shared" si="41"/>
        <v>2.071851147484426E-2</v>
      </c>
      <c r="BQ59" s="85">
        <f t="shared" si="42"/>
        <v>11.982098873106263</v>
      </c>
      <c r="BR59" s="85">
        <f t="shared" si="43"/>
        <v>2.0758039566144155E-2</v>
      </c>
      <c r="BS59" s="85">
        <f t="shared" si="44"/>
        <v>11.960472588379131</v>
      </c>
      <c r="BT59" s="85">
        <f t="shared" si="45"/>
        <v>2.0776797877157284E-2</v>
      </c>
      <c r="BU59" s="85">
        <f t="shared" si="46"/>
        <v>11.950238562588922</v>
      </c>
      <c r="BV59" s="85">
        <f t="shared" si="47"/>
        <v>2.0785692460317397E-2</v>
      </c>
      <c r="BW59" s="85">
        <f t="shared" si="48"/>
        <v>11.945392392218935</v>
      </c>
    </row>
    <row r="60" spans="25:75" x14ac:dyDescent="0.4">
      <c r="Y60" s="142">
        <v>5.5999999999999999E-3</v>
      </c>
      <c r="Z60" s="46">
        <f t="shared" si="54"/>
        <v>5.6711371607515116E-4</v>
      </c>
      <c r="AA60" s="84">
        <f t="shared" si="55"/>
        <v>42.704523954351487</v>
      </c>
      <c r="AB60" s="84">
        <f t="shared" si="56"/>
        <v>1.7708754896942924E-3</v>
      </c>
      <c r="AC60" s="84">
        <f t="shared" si="57"/>
        <v>133.8060167826026</v>
      </c>
      <c r="AD60" s="84">
        <f t="shared" si="58"/>
        <v>1.0004310175396242E-3</v>
      </c>
      <c r="AE60" s="84">
        <f t="shared" si="59"/>
        <v>236.41683809633065</v>
      </c>
      <c r="AF60" s="84">
        <f t="shared" si="60"/>
        <v>7.5263735097006595E-4</v>
      </c>
      <c r="AG60" s="84">
        <f t="shared" si="61"/>
        <v>314.0679072302126</v>
      </c>
      <c r="AH60" s="84">
        <f t="shared" si="62"/>
        <v>6.5300001186504772E-4</v>
      </c>
      <c r="AI60" s="84">
        <f t="shared" si="63"/>
        <v>361.90382718452935</v>
      </c>
      <c r="AJ60" s="84">
        <f t="shared" si="64"/>
        <v>6.0831479831304446E-4</v>
      </c>
      <c r="AK60" s="84">
        <f t="shared" si="65"/>
        <v>388.44704227202203</v>
      </c>
      <c r="AL60" s="84">
        <f t="shared" si="66"/>
        <v>5.8716351272971841E-4</v>
      </c>
      <c r="AM60" s="84">
        <f t="shared" si="67"/>
        <v>402.41975439485469</v>
      </c>
      <c r="AN60" s="84">
        <f t="shared" si="68"/>
        <v>5.7687978893337228E-4</v>
      </c>
      <c r="AO60" s="84">
        <f t="shared" si="69"/>
        <v>409.58345556889827</v>
      </c>
      <c r="AP60" s="84">
        <f t="shared" si="70"/>
        <v>5.7181266021391912E-4</v>
      </c>
      <c r="AQ60" s="84">
        <f t="shared" si="71"/>
        <v>413.208007407389</v>
      </c>
      <c r="AR60" s="84">
        <f t="shared" si="72"/>
        <v>5.6929924126615614E-4</v>
      </c>
      <c r="AS60" s="84">
        <f t="shared" si="73"/>
        <v>415.02981285165322</v>
      </c>
      <c r="AT60" s="84">
        <f t="shared" si="74"/>
        <v>5.6804837555105654E-4</v>
      </c>
      <c r="AU60" s="84">
        <f t="shared" si="75"/>
        <v>415.94248805453759</v>
      </c>
      <c r="AV60" s="84">
        <f t="shared" si="76"/>
        <v>5.6742481773904745E-4</v>
      </c>
      <c r="AW60" s="84">
        <f t="shared" si="77"/>
        <v>416.3989605010658</v>
      </c>
      <c r="AX60" s="84">
        <f t="shared" si="78"/>
        <v>5.6711371607515116E-4</v>
      </c>
      <c r="AY60" s="142">
        <v>5.5999999999999999E-3</v>
      </c>
      <c r="AZ60" s="46">
        <f t="shared" si="25"/>
        <v>2.1525938028435432E-2</v>
      </c>
      <c r="BA60" s="85">
        <f t="shared" si="26"/>
        <v>42.704523954351487</v>
      </c>
      <c r="BB60" s="85">
        <f t="shared" si="27"/>
        <v>1.12E-2</v>
      </c>
      <c r="BC60" s="85">
        <f t="shared" si="28"/>
        <v>21.646067894291914</v>
      </c>
      <c r="BD60" s="85">
        <f t="shared" si="29"/>
        <v>1.5731330562987981E-2</v>
      </c>
      <c r="BE60" s="85">
        <f t="shared" si="30"/>
        <v>15.584847168014981</v>
      </c>
      <c r="BF60" s="85">
        <f t="shared" si="31"/>
        <v>1.8539742217349497E-2</v>
      </c>
      <c r="BG60" s="85">
        <f t="shared" si="32"/>
        <v>13.317136350745704</v>
      </c>
      <c r="BH60" s="85">
        <f t="shared" si="33"/>
        <v>2.005624111072277E-2</v>
      </c>
      <c r="BI60" s="85">
        <f t="shared" si="34"/>
        <v>12.357147094845539</v>
      </c>
      <c r="BJ60" s="85">
        <f t="shared" si="35"/>
        <v>2.0820725427676424E-2</v>
      </c>
      <c r="BK60" s="85">
        <f t="shared" si="36"/>
        <v>11.926345228211046</v>
      </c>
      <c r="BL60" s="85">
        <f t="shared" si="37"/>
        <v>2.1193431323002571E-2</v>
      </c>
      <c r="BM60" s="85">
        <f t="shared" si="38"/>
        <v>11.727616695494195</v>
      </c>
      <c r="BN60" s="85">
        <f t="shared" si="39"/>
        <v>2.1372242025224635E-2</v>
      </c>
      <c r="BO60" s="85">
        <f t="shared" si="40"/>
        <v>11.634740995382874</v>
      </c>
      <c r="BP60" s="85">
        <f t="shared" si="41"/>
        <v>2.145737569410534E-2</v>
      </c>
      <c r="BQ60" s="85">
        <f t="shared" si="42"/>
        <v>11.591067333653843</v>
      </c>
      <c r="BR60" s="85">
        <f t="shared" si="43"/>
        <v>2.1497762013184374E-2</v>
      </c>
      <c r="BS60" s="85">
        <f t="shared" si="44"/>
        <v>11.57047041749435</v>
      </c>
      <c r="BT60" s="85">
        <f t="shared" si="45"/>
        <v>2.1516887887344967E-2</v>
      </c>
      <c r="BU60" s="85">
        <f t="shared" si="46"/>
        <v>11.560743326660063</v>
      </c>
      <c r="BV60" s="85">
        <f t="shared" si="47"/>
        <v>2.1525938028435432E-2</v>
      </c>
      <c r="BW60" s="85">
        <f t="shared" si="48"/>
        <v>11.55614662220524</v>
      </c>
    </row>
    <row r="61" spans="25:75" x14ac:dyDescent="0.4">
      <c r="Y61" s="142">
        <v>5.7999999999999996E-3</v>
      </c>
      <c r="Z61" s="46">
        <f t="shared" si="54"/>
        <v>5.8762320395173095E-4</v>
      </c>
      <c r="AA61" s="84">
        <f t="shared" si="55"/>
        <v>41.251918067198325</v>
      </c>
      <c r="AB61" s="84">
        <f t="shared" si="56"/>
        <v>1.8341210428976598E-3</v>
      </c>
      <c r="AC61" s="84">
        <f t="shared" si="57"/>
        <v>129.21153634216597</v>
      </c>
      <c r="AD61" s="84">
        <f t="shared" si="58"/>
        <v>1.0363332243399461E-3</v>
      </c>
      <c r="AE61" s="84">
        <f t="shared" si="59"/>
        <v>228.24605190997974</v>
      </c>
      <c r="AF61" s="84">
        <f t="shared" si="60"/>
        <v>7.7973751524594006E-4</v>
      </c>
      <c r="AG61" s="84">
        <f t="shared" si="61"/>
        <v>303.17187458274572</v>
      </c>
      <c r="AH61" s="84">
        <f t="shared" si="62"/>
        <v>6.7655890123029163E-4</v>
      </c>
      <c r="AI61" s="84">
        <f t="shared" si="63"/>
        <v>349.32132160068988</v>
      </c>
      <c r="AJ61" s="84">
        <f t="shared" si="64"/>
        <v>6.3028579522901747E-4</v>
      </c>
      <c r="AK61" s="84">
        <f t="shared" si="65"/>
        <v>374.92584452781352</v>
      </c>
      <c r="AL61" s="84">
        <f t="shared" si="66"/>
        <v>6.0838343079027215E-4</v>
      </c>
      <c r="AM61" s="84">
        <f t="shared" si="67"/>
        <v>388.4032844941641</v>
      </c>
      <c r="AN61" s="84">
        <f t="shared" si="68"/>
        <v>5.9773490845015814E-4</v>
      </c>
      <c r="AO61" s="84">
        <f t="shared" si="69"/>
        <v>395.31259503508898</v>
      </c>
      <c r="AP61" s="84">
        <f t="shared" si="70"/>
        <v>5.9248824864749003E-4</v>
      </c>
      <c r="AQ61" s="84">
        <f t="shared" si="71"/>
        <v>398.80822889614603</v>
      </c>
      <c r="AR61" s="84">
        <f t="shared" si="72"/>
        <v>5.8988589457945777E-4</v>
      </c>
      <c r="AS61" s="84">
        <f t="shared" si="73"/>
        <v>400.56514102254704</v>
      </c>
      <c r="AT61" s="84">
        <f t="shared" si="74"/>
        <v>5.8859082857905525E-4</v>
      </c>
      <c r="AU61" s="84">
        <f t="shared" si="75"/>
        <v>401.44526087011195</v>
      </c>
      <c r="AV61" s="84">
        <f t="shared" si="76"/>
        <v>5.8794526769915861E-4</v>
      </c>
      <c r="AW61" s="84">
        <f t="shared" si="77"/>
        <v>401.8854286342289</v>
      </c>
      <c r="AX61" s="84">
        <f t="shared" si="78"/>
        <v>5.8762320395173095E-4</v>
      </c>
      <c r="AY61" s="142">
        <v>5.7999999999999996E-3</v>
      </c>
      <c r="AZ61" s="46">
        <f t="shared" si="25"/>
        <v>2.2264165495703904E-2</v>
      </c>
      <c r="BA61" s="85">
        <f t="shared" si="26"/>
        <v>41.251918067198325</v>
      </c>
      <c r="BB61" s="85">
        <f t="shared" si="27"/>
        <v>1.1599999999999999E-2</v>
      </c>
      <c r="BC61" s="85">
        <f t="shared" si="28"/>
        <v>20.920241068752734</v>
      </c>
      <c r="BD61" s="85">
        <f t="shared" si="29"/>
        <v>1.6289086146875333E-2</v>
      </c>
      <c r="BE61" s="85">
        <f t="shared" si="30"/>
        <v>15.072133129612032</v>
      </c>
      <c r="BF61" s="85">
        <f t="shared" si="31"/>
        <v>1.9190783311289129E-2</v>
      </c>
      <c r="BG61" s="85">
        <f t="shared" si="32"/>
        <v>12.886378828345922</v>
      </c>
      <c r="BH61" s="85">
        <f t="shared" si="33"/>
        <v>2.0754611831011113E-2</v>
      </c>
      <c r="BI61" s="85">
        <f t="shared" si="34"/>
        <v>11.962344672074359</v>
      </c>
      <c r="BJ61" s="85">
        <f t="shared" si="35"/>
        <v>2.1541299880669971E-2</v>
      </c>
      <c r="BK61" s="85">
        <f t="shared" si="36"/>
        <v>11.54835297093129</v>
      </c>
      <c r="BL61" s="85">
        <f t="shared" si="37"/>
        <v>2.1924012335270325E-2</v>
      </c>
      <c r="BM61" s="85">
        <f t="shared" si="38"/>
        <v>11.357723838224276</v>
      </c>
      <c r="BN61" s="85">
        <f t="shared" si="39"/>
        <v>2.2107234100592583E-2</v>
      </c>
      <c r="BO61" s="85">
        <f t="shared" si="40"/>
        <v>11.268804063409414</v>
      </c>
      <c r="BP61" s="85">
        <f t="shared" si="41"/>
        <v>2.2194284493037841E-2</v>
      </c>
      <c r="BQ61" s="85">
        <f t="shared" si="42"/>
        <v>11.227073417708825</v>
      </c>
      <c r="BR61" s="85">
        <f t="shared" si="43"/>
        <v>2.2235493931046593E-2</v>
      </c>
      <c r="BS61" s="85">
        <f t="shared" si="44"/>
        <v>11.207432527578048</v>
      </c>
      <c r="BT61" s="85">
        <f t="shared" si="45"/>
        <v>2.2254969119540034E-2</v>
      </c>
      <c r="BU61" s="85">
        <f t="shared" si="46"/>
        <v>11.19817581603159</v>
      </c>
      <c r="BV61" s="85">
        <f t="shared" si="47"/>
        <v>2.2264165495703904E-2</v>
      </c>
      <c r="BW61" s="85">
        <f t="shared" si="48"/>
        <v>11.193810351524883</v>
      </c>
    </row>
    <row r="62" spans="25:75" x14ac:dyDescent="0.4">
      <c r="Y62" s="142">
        <v>5.8999999999999999E-3</v>
      </c>
      <c r="Z62" s="46">
        <f t="shared" si="54"/>
        <v>5.9788465506088544E-4</v>
      </c>
      <c r="AA62" s="84">
        <f t="shared" si="55"/>
        <v>40.56255404649913</v>
      </c>
      <c r="AB62" s="84">
        <f t="shared" si="56"/>
        <v>1.8657438194993436E-3</v>
      </c>
      <c r="AC62" s="84">
        <f t="shared" si="57"/>
        <v>127.03110764107232</v>
      </c>
      <c r="AD62" s="84">
        <f t="shared" si="58"/>
        <v>1.0542888550512694E-3</v>
      </c>
      <c r="AE62" s="84">
        <f t="shared" si="59"/>
        <v>224.36838298722932</v>
      </c>
      <c r="AF62" s="84">
        <f t="shared" si="60"/>
        <v>7.9329337800482214E-4</v>
      </c>
      <c r="AG62" s="84">
        <f t="shared" si="61"/>
        <v>298.00086342068431</v>
      </c>
      <c r="AH62" s="84">
        <f t="shared" si="62"/>
        <v>6.8834457953295897E-4</v>
      </c>
      <c r="AI62" s="84">
        <f t="shared" si="63"/>
        <v>343.34994970752223</v>
      </c>
      <c r="AJ62" s="84">
        <f t="shared" si="64"/>
        <v>6.4127773854886464E-4</v>
      </c>
      <c r="AK62" s="84">
        <f t="shared" si="65"/>
        <v>368.50899235622188</v>
      </c>
      <c r="AL62" s="84">
        <f t="shared" si="66"/>
        <v>6.1899994874262284E-4</v>
      </c>
      <c r="AM62" s="84">
        <f t="shared" si="67"/>
        <v>381.75138878931131</v>
      </c>
      <c r="AN62" s="84">
        <f t="shared" si="68"/>
        <v>6.0816909241065442E-4</v>
      </c>
      <c r="AO62" s="84">
        <f t="shared" si="69"/>
        <v>388.53997223460635</v>
      </c>
      <c r="AP62" s="84">
        <f t="shared" si="70"/>
        <v>6.028327049053397E-4</v>
      </c>
      <c r="AQ62" s="84">
        <f t="shared" si="71"/>
        <v>391.97442511437805</v>
      </c>
      <c r="AR62" s="84">
        <f t="shared" si="72"/>
        <v>6.0018590508753805E-4</v>
      </c>
      <c r="AS62" s="84">
        <f t="shared" si="73"/>
        <v>393.70054067554508</v>
      </c>
      <c r="AT62" s="84">
        <f t="shared" si="74"/>
        <v>5.9886875137333227E-4</v>
      </c>
      <c r="AU62" s="84">
        <f t="shared" si="75"/>
        <v>394.5652106794218</v>
      </c>
      <c r="AV62" s="84">
        <f t="shared" si="76"/>
        <v>5.9821219595597864E-4</v>
      </c>
      <c r="AW62" s="84">
        <f t="shared" si="77"/>
        <v>394.99764071795238</v>
      </c>
      <c r="AX62" s="84">
        <f t="shared" si="78"/>
        <v>5.9788465506088544E-4</v>
      </c>
      <c r="AY62" s="142">
        <v>5.8999999999999999E-3</v>
      </c>
      <c r="AZ62" s="46">
        <f t="shared" si="25"/>
        <v>2.2632525832602002E-2</v>
      </c>
      <c r="BA62" s="85">
        <f t="shared" si="26"/>
        <v>40.56255404649913</v>
      </c>
      <c r="BB62" s="85">
        <f t="shared" si="27"/>
        <v>1.18E-2</v>
      </c>
      <c r="BC62" s="85">
        <f t="shared" si="28"/>
        <v>20.575796689665491</v>
      </c>
      <c r="BD62" s="85">
        <f t="shared" si="29"/>
        <v>1.6567856476879188E-2</v>
      </c>
      <c r="BE62" s="85">
        <f t="shared" si="30"/>
        <v>14.828834709308063</v>
      </c>
      <c r="BF62" s="85">
        <f t="shared" si="31"/>
        <v>1.9516014924309492E-2</v>
      </c>
      <c r="BG62" s="85">
        <f t="shared" si="32"/>
        <v>12.681979681543771</v>
      </c>
      <c r="BH62" s="85">
        <f t="shared" si="33"/>
        <v>2.1103336656356324E-2</v>
      </c>
      <c r="BI62" s="85">
        <f t="shared" si="34"/>
        <v>11.775010525426486</v>
      </c>
      <c r="BJ62" s="85">
        <f t="shared" si="35"/>
        <v>2.1901002850304281E-2</v>
      </c>
      <c r="BK62" s="85">
        <f t="shared" si="36"/>
        <v>11.368996087098449</v>
      </c>
      <c r="BL62" s="85">
        <f t="shared" si="37"/>
        <v>2.2288641310575872E-2</v>
      </c>
      <c r="BM62" s="85">
        <f t="shared" si="38"/>
        <v>11.182209434668657</v>
      </c>
      <c r="BN62" s="85">
        <f t="shared" si="39"/>
        <v>2.2474024123674885E-2</v>
      </c>
      <c r="BO62" s="85">
        <f t="shared" si="40"/>
        <v>11.095165633072229</v>
      </c>
      <c r="BP62" s="85">
        <f t="shared" si="41"/>
        <v>2.2562008512309384E-2</v>
      </c>
      <c r="BQ62" s="85">
        <f t="shared" si="42"/>
        <v>11.054355911800847</v>
      </c>
      <c r="BR62" s="85">
        <f t="shared" si="43"/>
        <v>2.2603616592468286E-2</v>
      </c>
      <c r="BS62" s="85">
        <f t="shared" si="44"/>
        <v>11.035167859788547</v>
      </c>
      <c r="BT62" s="85">
        <f t="shared" si="45"/>
        <v>2.2623259746123732E-2</v>
      </c>
      <c r="BU62" s="85">
        <f t="shared" si="46"/>
        <v>11.026133791868016</v>
      </c>
      <c r="BV62" s="85">
        <f t="shared" si="47"/>
        <v>2.2632525832602002E-2</v>
      </c>
      <c r="BW62" s="85">
        <f t="shared" si="48"/>
        <v>11.021877693366978</v>
      </c>
    </row>
    <row r="63" spans="25:75" x14ac:dyDescent="0.4">
      <c r="Y63" s="142">
        <v>6.1000000000000004E-3</v>
      </c>
      <c r="Z63" s="46">
        <f t="shared" si="54"/>
        <v>6.1842098838779615E-4</v>
      </c>
      <c r="AA63" s="84">
        <f t="shared" si="55"/>
        <v>39.25164826915816</v>
      </c>
      <c r="AB63" s="84">
        <f t="shared" si="56"/>
        <v>1.9289893727027115E-3</v>
      </c>
      <c r="AC63" s="84">
        <f t="shared" si="57"/>
        <v>122.88472384564797</v>
      </c>
      <c r="AD63" s="84">
        <f t="shared" si="58"/>
        <v>1.0902091817679381E-3</v>
      </c>
      <c r="AE63" s="84">
        <f t="shared" si="59"/>
        <v>216.99444044075639</v>
      </c>
      <c r="AF63" s="84">
        <f t="shared" si="60"/>
        <v>8.2041667860376923E-4</v>
      </c>
      <c r="AG63" s="84">
        <f t="shared" si="61"/>
        <v>288.16744095651529</v>
      </c>
      <c r="AH63" s="84">
        <f t="shared" si="62"/>
        <v>7.1192841860836316E-4</v>
      </c>
      <c r="AI63" s="84">
        <f t="shared" si="63"/>
        <v>331.99452853196919</v>
      </c>
      <c r="AJ63" s="84">
        <f t="shared" si="64"/>
        <v>6.6327453085541393E-4</v>
      </c>
      <c r="AK63" s="84">
        <f t="shared" si="65"/>
        <v>356.30642985247039</v>
      </c>
      <c r="AL63" s="84">
        <f t="shared" si="66"/>
        <v>6.402461188194672E-4</v>
      </c>
      <c r="AM63" s="84">
        <f t="shared" si="67"/>
        <v>369.10185998569438</v>
      </c>
      <c r="AN63" s="84">
        <f t="shared" si="68"/>
        <v>6.2905072527324123E-4</v>
      </c>
      <c r="AO63" s="84">
        <f t="shared" si="69"/>
        <v>375.66086533239059</v>
      </c>
      <c r="AP63" s="84">
        <f t="shared" si="70"/>
        <v>6.2353495815355695E-4</v>
      </c>
      <c r="AQ63" s="84">
        <f t="shared" si="71"/>
        <v>378.97897489384889</v>
      </c>
      <c r="AR63" s="84">
        <f t="shared" si="72"/>
        <v>6.2079931051712244E-4</v>
      </c>
      <c r="AS63" s="84">
        <f t="shared" si="73"/>
        <v>380.64652700868214</v>
      </c>
      <c r="AT63" s="84">
        <f t="shared" si="74"/>
        <v>6.1943800626459728E-4</v>
      </c>
      <c r="AU63" s="84">
        <f t="shared" si="75"/>
        <v>381.48181728461424</v>
      </c>
      <c r="AV63" s="84">
        <f t="shared" si="76"/>
        <v>6.1875947578166079E-4</v>
      </c>
      <c r="AW63" s="84">
        <f t="shared" si="77"/>
        <v>381.89953313443499</v>
      </c>
      <c r="AX63" s="84">
        <f t="shared" si="78"/>
        <v>6.1842098838779615E-4</v>
      </c>
      <c r="AY63" s="142">
        <v>6.1000000000000004E-3</v>
      </c>
      <c r="AZ63" s="46">
        <f t="shared" si="25"/>
        <v>2.3367746537591733E-2</v>
      </c>
      <c r="BA63" s="85">
        <f t="shared" si="26"/>
        <v>39.25164826915816</v>
      </c>
      <c r="BB63" s="85">
        <f t="shared" si="27"/>
        <v>1.2200000000000001E-2</v>
      </c>
      <c r="BC63" s="85">
        <f t="shared" si="28"/>
        <v>19.920818209771657</v>
      </c>
      <c r="BD63" s="85">
        <f t="shared" si="29"/>
        <v>1.7125181924521341E-2</v>
      </c>
      <c r="BE63" s="85">
        <f t="shared" si="30"/>
        <v>14.366214103163285</v>
      </c>
      <c r="BF63" s="85">
        <f t="shared" si="31"/>
        <v>2.0165900158343106E-2</v>
      </c>
      <c r="BG63" s="85">
        <f t="shared" si="32"/>
        <v>12.293340303028501</v>
      </c>
      <c r="BH63" s="85">
        <f t="shared" si="33"/>
        <v>2.1799866196200678E-2</v>
      </c>
      <c r="BI63" s="85">
        <f t="shared" si="34"/>
        <v>11.418825488174285</v>
      </c>
      <c r="BJ63" s="85">
        <f t="shared" si="35"/>
        <v>2.2619242780453963E-2</v>
      </c>
      <c r="BK63" s="85">
        <f t="shared" si="36"/>
        <v>11.027979951268874</v>
      </c>
      <c r="BL63" s="85">
        <f t="shared" si="37"/>
        <v>2.3016580163219922E-2</v>
      </c>
      <c r="BM63" s="85">
        <f t="shared" si="38"/>
        <v>10.848497716471142</v>
      </c>
      <c r="BN63" s="85">
        <f t="shared" si="39"/>
        <v>2.3206197228683237E-2</v>
      </c>
      <c r="BO63" s="85">
        <f t="shared" si="40"/>
        <v>10.765018563698762</v>
      </c>
      <c r="BP63" s="85">
        <f t="shared" si="41"/>
        <v>2.3296001649949851E-2</v>
      </c>
      <c r="BQ63" s="85">
        <f t="shared" si="42"/>
        <v>10.725957800825114</v>
      </c>
      <c r="BR63" s="85">
        <f t="shared" si="43"/>
        <v>2.3338381671735919E-2</v>
      </c>
      <c r="BS63" s="85">
        <f t="shared" si="44"/>
        <v>10.707629198666567</v>
      </c>
      <c r="BT63" s="85">
        <f t="shared" si="45"/>
        <v>2.3358347670210697E-2</v>
      </c>
      <c r="BU63" s="85">
        <f t="shared" si="46"/>
        <v>10.699017384322707</v>
      </c>
      <c r="BV63" s="85">
        <f t="shared" si="47"/>
        <v>2.3367746537591733E-2</v>
      </c>
      <c r="BW63" s="85">
        <f t="shared" si="48"/>
        <v>10.694968538367084</v>
      </c>
    </row>
    <row r="64" spans="25:75" x14ac:dyDescent="0.4">
      <c r="Y64" s="142">
        <v>6.3E-3</v>
      </c>
      <c r="Z64" s="46">
        <f t="shared" si="54"/>
        <v>6.389752521541042E-4</v>
      </c>
      <c r="AA64" s="84">
        <f t="shared" si="55"/>
        <v>38.02399519154757</v>
      </c>
      <c r="AB64" s="84">
        <f t="shared" si="56"/>
        <v>1.9922349259060791E-3</v>
      </c>
      <c r="AC64" s="84">
        <f t="shared" si="57"/>
        <v>119.00160923673991</v>
      </c>
      <c r="AD64" s="84">
        <f t="shared" si="58"/>
        <v>1.1261416097102911E-3</v>
      </c>
      <c r="AE64" s="84">
        <f t="shared" si="59"/>
        <v>210.08866579866947</v>
      </c>
      <c r="AF64" s="84">
        <f t="shared" si="60"/>
        <v>8.4755543102972499E-4</v>
      </c>
      <c r="AG64" s="84">
        <f t="shared" si="61"/>
        <v>278.95833182974474</v>
      </c>
      <c r="AH64" s="84">
        <f t="shared" si="62"/>
        <v>7.3552892121862151E-4</v>
      </c>
      <c r="AI64" s="84">
        <f t="shared" si="63"/>
        <v>321.36005402246104</v>
      </c>
      <c r="AJ64" s="84">
        <f t="shared" si="64"/>
        <v>6.8528855191181122E-4</v>
      </c>
      <c r="AK64" s="84">
        <f t="shared" si="65"/>
        <v>344.87860276399272</v>
      </c>
      <c r="AL64" s="84">
        <f t="shared" si="66"/>
        <v>6.6150982283410035E-4</v>
      </c>
      <c r="AM64" s="84">
        <f t="shared" si="67"/>
        <v>357.25544768069784</v>
      </c>
      <c r="AN64" s="84">
        <f t="shared" si="68"/>
        <v>6.4995006671266051E-4</v>
      </c>
      <c r="AO64" s="84">
        <f t="shared" si="69"/>
        <v>363.59945300877649</v>
      </c>
      <c r="AP64" s="84">
        <f t="shared" si="70"/>
        <v>6.4425502118414335E-4</v>
      </c>
      <c r="AQ64" s="84">
        <f t="shared" si="71"/>
        <v>366.80860722721201</v>
      </c>
      <c r="AR64" s="84">
        <f t="shared" si="72"/>
        <v>6.4143058405066906E-4</v>
      </c>
      <c r="AS64" s="84">
        <f t="shared" si="73"/>
        <v>368.42131487807836</v>
      </c>
      <c r="AT64" s="84">
        <f t="shared" si="74"/>
        <v>6.4002516248773389E-4</v>
      </c>
      <c r="AU64" s="84">
        <f t="shared" si="75"/>
        <v>369.22909119891546</v>
      </c>
      <c r="AV64" s="84">
        <f t="shared" si="76"/>
        <v>6.3932467564016538E-4</v>
      </c>
      <c r="AW64" s="84">
        <f t="shared" si="77"/>
        <v>369.63302732105274</v>
      </c>
      <c r="AX64" s="84">
        <f t="shared" si="78"/>
        <v>6.389752521541042E-4</v>
      </c>
      <c r="AY64" s="142">
        <v>6.3E-3</v>
      </c>
      <c r="AZ64" s="46">
        <f t="shared" si="25"/>
        <v>2.4100976436021583E-2</v>
      </c>
      <c r="BA64" s="85">
        <f t="shared" si="26"/>
        <v>38.02399519154757</v>
      </c>
      <c r="BB64" s="85">
        <f t="shared" si="27"/>
        <v>1.26E-2</v>
      </c>
      <c r="BC64" s="85">
        <f t="shared" si="28"/>
        <v>19.307464943759861</v>
      </c>
      <c r="BD64" s="85">
        <f t="shared" si="29"/>
        <v>1.7682220045206285E-2</v>
      </c>
      <c r="BE64" s="85">
        <f t="shared" si="30"/>
        <v>13.933024372802844</v>
      </c>
      <c r="BF64" s="85">
        <f t="shared" si="31"/>
        <v>2.0815014602334765E-2</v>
      </c>
      <c r="BG64" s="85">
        <f t="shared" si="32"/>
        <v>11.929445775943746</v>
      </c>
      <c r="BH64" s="85">
        <f t="shared" si="33"/>
        <v>2.2495170259501724E-2</v>
      </c>
      <c r="BI64" s="85">
        <f t="shared" si="34"/>
        <v>11.085328207467358</v>
      </c>
      <c r="BJ64" s="85">
        <f t="shared" si="35"/>
        <v>2.3335931447753214E-2</v>
      </c>
      <c r="BK64" s="85">
        <f t="shared" si="36"/>
        <v>10.70868705760628</v>
      </c>
      <c r="BL64" s="85">
        <f t="shared" si="37"/>
        <v>2.3742765583661486E-2</v>
      </c>
      <c r="BM64" s="85">
        <f t="shared" si="38"/>
        <v>10.536042026278979</v>
      </c>
      <c r="BN64" s="85">
        <f t="shared" si="39"/>
        <v>2.3936501272054468E-2</v>
      </c>
      <c r="BO64" s="85">
        <f t="shared" si="40"/>
        <v>10.455897564649524</v>
      </c>
      <c r="BP64" s="85">
        <f t="shared" si="41"/>
        <v>2.4028062801097042E-2</v>
      </c>
      <c r="BQ64" s="85">
        <f t="shared" si="42"/>
        <v>10.418471717098443</v>
      </c>
      <c r="BR64" s="85">
        <f t="shared" si="43"/>
        <v>2.4071181623311864E-2</v>
      </c>
      <c r="BS64" s="85">
        <f t="shared" si="44"/>
        <v>10.400945817515218</v>
      </c>
      <c r="BT64" s="85">
        <f t="shared" si="45"/>
        <v>2.409145341173782E-2</v>
      </c>
      <c r="BU64" s="85">
        <f t="shared" si="46"/>
        <v>10.392727985234684</v>
      </c>
      <c r="BV64" s="85">
        <f t="shared" si="47"/>
        <v>2.4100976436021583E-2</v>
      </c>
      <c r="BW64" s="85">
        <f t="shared" si="48"/>
        <v>10.388872305071983</v>
      </c>
    </row>
    <row r="65" spans="25:75" x14ac:dyDescent="0.4">
      <c r="Y65" s="142">
        <v>6.4999999999999997E-3</v>
      </c>
      <c r="Z65" s="46">
        <f t="shared" si="54"/>
        <v>6.5954747303995206E-4</v>
      </c>
      <c r="AA65" s="84">
        <f t="shared" si="55"/>
        <v>36.871909918273687</v>
      </c>
      <c r="AB65" s="84">
        <f t="shared" si="56"/>
        <v>2.0554804791094463E-3</v>
      </c>
      <c r="AC65" s="84">
        <f t="shared" si="57"/>
        <v>115.35746204010229</v>
      </c>
      <c r="AD65" s="84">
        <f t="shared" si="58"/>
        <v>1.1620861558045571E-3</v>
      </c>
      <c r="AE65" s="84">
        <f t="shared" si="59"/>
        <v>203.60784371285052</v>
      </c>
      <c r="AF65" s="84">
        <f t="shared" si="60"/>
        <v>8.7470965726501801E-4</v>
      </c>
      <c r="AG65" s="84">
        <f t="shared" si="61"/>
        <v>270.31590744380316</v>
      </c>
      <c r="AH65" s="84">
        <f t="shared" si="62"/>
        <v>7.5914611157533788E-4</v>
      </c>
      <c r="AI65" s="84">
        <f t="shared" si="63"/>
        <v>311.37997771119177</v>
      </c>
      <c r="AJ65" s="84">
        <f t="shared" si="64"/>
        <v>7.0731982707487092E-4</v>
      </c>
      <c r="AK65" s="84">
        <f t="shared" si="65"/>
        <v>334.15399758467589</v>
      </c>
      <c r="AL65" s="84">
        <f t="shared" si="66"/>
        <v>6.8279108676168657E-4</v>
      </c>
      <c r="AM65" s="84">
        <f t="shared" si="67"/>
        <v>346.13801861813255</v>
      </c>
      <c r="AN65" s="84">
        <f t="shared" si="68"/>
        <v>6.7086714304050621E-4</v>
      </c>
      <c r="AO65" s="84">
        <f t="shared" si="69"/>
        <v>352.28025636084135</v>
      </c>
      <c r="AP65" s="84">
        <f t="shared" si="70"/>
        <v>6.6499292049021789E-4</v>
      </c>
      <c r="AQ65" s="84">
        <f t="shared" si="71"/>
        <v>355.38716125601093</v>
      </c>
      <c r="AR65" s="84">
        <f t="shared" si="72"/>
        <v>6.6207975227793666E-4</v>
      </c>
      <c r="AS65" s="84">
        <f t="shared" si="73"/>
        <v>356.9484001404104</v>
      </c>
      <c r="AT65" s="84">
        <f t="shared" si="74"/>
        <v>6.6063024668321882E-4</v>
      </c>
      <c r="AU65" s="84">
        <f t="shared" si="75"/>
        <v>357.73035605676012</v>
      </c>
      <c r="AV65" s="84">
        <f t="shared" si="76"/>
        <v>6.5990782219822188E-4</v>
      </c>
      <c r="AW65" s="84">
        <f t="shared" si="77"/>
        <v>358.12136065578585</v>
      </c>
      <c r="AX65" s="84">
        <f t="shared" si="78"/>
        <v>6.5954747303995206E-4</v>
      </c>
      <c r="AY65" s="142">
        <v>6.4999999999999997E-3</v>
      </c>
      <c r="AZ65" s="46">
        <f t="shared" si="25"/>
        <v>2.4832226567793162E-2</v>
      </c>
      <c r="BA65" s="85">
        <f t="shared" si="26"/>
        <v>36.871909918273687</v>
      </c>
      <c r="BB65" s="85">
        <f t="shared" si="27"/>
        <v>1.2999999999999999E-2</v>
      </c>
      <c r="BC65" s="85">
        <f t="shared" si="28"/>
        <v>18.731894446744118</v>
      </c>
      <c r="BD65" s="85">
        <f t="shared" si="29"/>
        <v>1.8238970395323906E-2</v>
      </c>
      <c r="BE65" s="85">
        <f t="shared" si="30"/>
        <v>13.52654851032031</v>
      </c>
      <c r="BF65" s="85">
        <f t="shared" si="31"/>
        <v>2.1463358132698864E-2</v>
      </c>
      <c r="BG65" s="85">
        <f t="shared" si="32"/>
        <v>11.588011401421779</v>
      </c>
      <c r="BH65" s="85">
        <f t="shared" si="33"/>
        <v>2.318925052180202E-2</v>
      </c>
      <c r="BI65" s="85">
        <f t="shared" si="34"/>
        <v>10.772423639262469</v>
      </c>
      <c r="BJ65" s="85">
        <f t="shared" si="35"/>
        <v>2.4051073040505425E-2</v>
      </c>
      <c r="BK65" s="85">
        <f t="shared" si="36"/>
        <v>10.409111222889724</v>
      </c>
      <c r="BL65" s="85">
        <f t="shared" si="37"/>
        <v>2.4467204102506895E-2</v>
      </c>
      <c r="BM65" s="85">
        <f t="shared" si="38"/>
        <v>10.242879203650846</v>
      </c>
      <c r="BN65" s="85">
        <f t="shared" si="39"/>
        <v>2.4664944572288166E-2</v>
      </c>
      <c r="BO65" s="85">
        <f t="shared" si="40"/>
        <v>10.165860649626767</v>
      </c>
      <c r="BP65" s="85">
        <f t="shared" si="41"/>
        <v>2.4758201501084369E-2</v>
      </c>
      <c r="BQ65" s="85">
        <f t="shared" si="42"/>
        <v>10.129966181130586</v>
      </c>
      <c r="BR65" s="85">
        <f t="shared" si="43"/>
        <v>2.48020267528864E-2</v>
      </c>
      <c r="BS65" s="85">
        <f t="shared" si="44"/>
        <v>10.113191471662864</v>
      </c>
      <c r="BT65" s="85">
        <f t="shared" si="45"/>
        <v>2.482258774064728E-2</v>
      </c>
      <c r="BU65" s="85">
        <f t="shared" si="46"/>
        <v>10.105341963239843</v>
      </c>
      <c r="BV65" s="85">
        <f t="shared" si="47"/>
        <v>2.4832226567793162E-2</v>
      </c>
      <c r="BW65" s="85">
        <f t="shared" si="48"/>
        <v>10.101666667902965</v>
      </c>
    </row>
    <row r="66" spans="25:75" x14ac:dyDescent="0.4">
      <c r="Y66" s="142">
        <v>6.7000000000000002E-3</v>
      </c>
      <c r="Z66" s="46">
        <f t="shared" si="54"/>
        <v>6.8013767764175416E-4</v>
      </c>
      <c r="AA66" s="84">
        <f t="shared" si="55"/>
        <v>35.788625153439007</v>
      </c>
      <c r="AB66" s="84">
        <f t="shared" si="56"/>
        <v>2.1187260323128139E-3</v>
      </c>
      <c r="AC66" s="84">
        <f t="shared" si="57"/>
        <v>111.9308821858782</v>
      </c>
      <c r="AD66" s="84">
        <f t="shared" si="58"/>
        <v>1.19804283689241E-3</v>
      </c>
      <c r="AE66" s="84">
        <f t="shared" si="59"/>
        <v>197.51391887635313</v>
      </c>
      <c r="AF66" s="84">
        <f t="shared" si="60"/>
        <v>9.0187937920051969E-4</v>
      </c>
      <c r="AG66" s="84">
        <f t="shared" si="61"/>
        <v>262.18942022761848</v>
      </c>
      <c r="AH66" s="84">
        <f t="shared" si="62"/>
        <v>7.8278001380101107E-4</v>
      </c>
      <c r="AI66" s="84">
        <f t="shared" si="63"/>
        <v>301.99569721463996</v>
      </c>
      <c r="AJ66" s="84">
        <f t="shared" si="64"/>
        <v>7.2936838161465761E-4</v>
      </c>
      <c r="AK66" s="84">
        <f t="shared" si="65"/>
        <v>324.06963973278675</v>
      </c>
      <c r="AL66" s="84">
        <f t="shared" si="66"/>
        <v>7.0408993649209598E-4</v>
      </c>
      <c r="AM66" s="84">
        <f t="shared" si="67"/>
        <v>335.68429127199647</v>
      </c>
      <c r="AN66" s="84">
        <f t="shared" si="68"/>
        <v>6.9180198048387066E-4</v>
      </c>
      <c r="AO66" s="84">
        <f t="shared" si="69"/>
        <v>341.63680888999392</v>
      </c>
      <c r="AP66" s="84">
        <f t="shared" si="70"/>
        <v>6.8574868248080616E-4</v>
      </c>
      <c r="AQ66" s="84">
        <f t="shared" si="71"/>
        <v>344.64756995359807</v>
      </c>
      <c r="AR66" s="84">
        <f t="shared" si="72"/>
        <v>6.8274684170479302E-4</v>
      </c>
      <c r="AS66" s="84">
        <f t="shared" si="73"/>
        <v>346.1604134733762</v>
      </c>
      <c r="AT66" s="84">
        <f t="shared" si="74"/>
        <v>6.8125328540773525E-4</v>
      </c>
      <c r="AU66" s="84">
        <f t="shared" si="75"/>
        <v>346.91809087744116</v>
      </c>
      <c r="AV66" s="84">
        <f t="shared" si="76"/>
        <v>6.8050894203881157E-4</v>
      </c>
      <c r="AW66" s="84">
        <f t="shared" si="77"/>
        <v>347.29693620074448</v>
      </c>
      <c r="AX66" s="84">
        <f t="shared" si="78"/>
        <v>6.8013767764175416E-4</v>
      </c>
      <c r="AY66" s="142">
        <v>6.7000000000000002E-3</v>
      </c>
      <c r="AZ66" s="46">
        <f t="shared" si="25"/>
        <v>2.5561508033135647E-2</v>
      </c>
      <c r="BA66" s="85">
        <f t="shared" si="26"/>
        <v>35.788625153439007</v>
      </c>
      <c r="BB66" s="85">
        <f t="shared" si="27"/>
        <v>1.34E-2</v>
      </c>
      <c r="BC66" s="85">
        <f t="shared" si="28"/>
        <v>18.190723073579363</v>
      </c>
      <c r="BD66" s="85">
        <f t="shared" si="29"/>
        <v>1.8795432541428389E-2</v>
      </c>
      <c r="BE66" s="85">
        <f t="shared" si="30"/>
        <v>13.144393928188702</v>
      </c>
      <c r="BF66" s="85">
        <f t="shared" si="31"/>
        <v>2.2110930667879617E-2</v>
      </c>
      <c r="BG66" s="85">
        <f t="shared" si="32"/>
        <v>11.267025284439381</v>
      </c>
      <c r="BH66" s="85">
        <f t="shared" si="33"/>
        <v>2.38821087370455E-2</v>
      </c>
      <c r="BI66" s="85">
        <f t="shared" si="34"/>
        <v>10.478266901531022</v>
      </c>
      <c r="BJ66" s="85">
        <f t="shared" si="35"/>
        <v>2.4764671845887119E-2</v>
      </c>
      <c r="BK66" s="85">
        <f t="shared" si="36"/>
        <v>10.127485819502407</v>
      </c>
      <c r="BL66" s="85">
        <f t="shared" si="37"/>
        <v>2.5189902351945643E-2</v>
      </c>
      <c r="BM66" s="85">
        <f t="shared" si="38"/>
        <v>9.9672805101072051</v>
      </c>
      <c r="BN66" s="85">
        <f t="shared" si="39"/>
        <v>2.5391535541978091E-2</v>
      </c>
      <c r="BO66" s="85">
        <f t="shared" si="40"/>
        <v>9.8931977286314297</v>
      </c>
      <c r="BP66" s="85">
        <f t="shared" si="41"/>
        <v>2.5486427368705995E-2</v>
      </c>
      <c r="BQ66" s="85">
        <f t="shared" si="42"/>
        <v>9.8587403569391032</v>
      </c>
      <c r="BR66" s="85">
        <f t="shared" si="43"/>
        <v>2.5530927439718069E-2</v>
      </c>
      <c r="BS66" s="85">
        <f t="shared" si="44"/>
        <v>9.8426699359696581</v>
      </c>
      <c r="BT66" s="85">
        <f t="shared" si="45"/>
        <v>2.555176149270573E-2</v>
      </c>
      <c r="BU66" s="85">
        <f t="shared" si="46"/>
        <v>9.8351653950771354</v>
      </c>
      <c r="BV66" s="85">
        <f t="shared" si="47"/>
        <v>2.5561508033135647E-2</v>
      </c>
      <c r="BW66" s="85">
        <f t="shared" si="48"/>
        <v>9.8316588537855925</v>
      </c>
    </row>
    <row r="67" spans="25:75" x14ac:dyDescent="0.4">
      <c r="Y67" s="142">
        <v>6.8999999999999999E-3</v>
      </c>
      <c r="Z67" s="46">
        <f t="shared" si="54"/>
        <v>7.0074589247233563E-4</v>
      </c>
      <c r="AA67" s="84">
        <f t="shared" si="55"/>
        <v>34.768158215207855</v>
      </c>
      <c r="AB67" s="84">
        <f t="shared" si="56"/>
        <v>2.1819715855161815E-3</v>
      </c>
      <c r="AC67" s="84">
        <f t="shared" si="57"/>
        <v>108.70295077173201</v>
      </c>
      <c r="AD67" s="84">
        <f t="shared" si="58"/>
        <v>1.2340116697311856E-3</v>
      </c>
      <c r="AE67" s="84">
        <f t="shared" si="59"/>
        <v>191.77324819134944</v>
      </c>
      <c r="AF67" s="84">
        <f t="shared" si="60"/>
        <v>9.2906461863584628E-4</v>
      </c>
      <c r="AG67" s="84">
        <f t="shared" si="61"/>
        <v>254.53400638554598</v>
      </c>
      <c r="AH67" s="84">
        <f t="shared" si="62"/>
        <v>8.0643065192921321E-4</v>
      </c>
      <c r="AI67" s="84">
        <f t="shared" si="63"/>
        <v>293.15540462715359</v>
      </c>
      <c r="AJ67" s="84">
        <f t="shared" si="64"/>
        <v>7.5143424071464769E-4</v>
      </c>
      <c r="AK67" s="84">
        <f t="shared" si="65"/>
        <v>314.56985602570228</v>
      </c>
      <c r="AL67" s="84">
        <f t="shared" si="66"/>
        <v>7.2540639783005574E-4</v>
      </c>
      <c r="AM67" s="84">
        <f t="shared" si="67"/>
        <v>325.83655298703087</v>
      </c>
      <c r="AN67" s="84">
        <f t="shared" si="68"/>
        <v>7.1275460518549082E-4</v>
      </c>
      <c r="AO67" s="84">
        <f t="shared" si="69"/>
        <v>331.61035035642243</v>
      </c>
      <c r="AP67" s="84">
        <f t="shared" si="70"/>
        <v>7.0652233348098253E-4</v>
      </c>
      <c r="AQ67" s="84">
        <f t="shared" si="71"/>
        <v>334.53054217849979</v>
      </c>
      <c r="AR67" s="84">
        <f t="shared" si="72"/>
        <v>7.0343187875335418E-4</v>
      </c>
      <c r="AS67" s="84">
        <f t="shared" si="73"/>
        <v>335.99779648859527</v>
      </c>
      <c r="AT67" s="84">
        <f t="shared" si="74"/>
        <v>7.018943051343105E-4</v>
      </c>
      <c r="AU67" s="84">
        <f t="shared" si="75"/>
        <v>336.73260319774352</v>
      </c>
      <c r="AV67" s="84">
        <f t="shared" si="76"/>
        <v>7.0112806166130472E-4</v>
      </c>
      <c r="AW67" s="84">
        <f t="shared" si="77"/>
        <v>337.09999434215462</v>
      </c>
      <c r="AX67" s="84">
        <f t="shared" si="78"/>
        <v>7.0074589247233563E-4</v>
      </c>
      <c r="AY67" s="142">
        <v>6.8999999999999999E-3</v>
      </c>
      <c r="AZ67" s="46">
        <f t="shared" si="25"/>
        <v>2.6288831986602593E-2</v>
      </c>
      <c r="BA67" s="85">
        <f t="shared" si="26"/>
        <v>34.768158215207855</v>
      </c>
      <c r="BB67" s="85">
        <f t="shared" si="27"/>
        <v>1.38E-2</v>
      </c>
      <c r="BC67" s="85">
        <f t="shared" si="28"/>
        <v>17.6809594861443</v>
      </c>
      <c r="BD67" s="85">
        <f t="shared" si="29"/>
        <v>1.9351606060162473E-2</v>
      </c>
      <c r="BE67" s="85">
        <f t="shared" si="30"/>
        <v>12.784445441809098</v>
      </c>
      <c r="BF67" s="85">
        <f t="shared" si="31"/>
        <v>2.2757732167749456E-2</v>
      </c>
      <c r="BG67" s="85">
        <f t="shared" si="32"/>
        <v>10.964708797010527</v>
      </c>
      <c r="BH67" s="85">
        <f t="shared" si="33"/>
        <v>2.457374673577245E-2</v>
      </c>
      <c r="BI67" s="85">
        <f t="shared" si="34"/>
        <v>10.201227018845081</v>
      </c>
      <c r="BJ67" s="85">
        <f t="shared" si="35"/>
        <v>2.5476732246680747E-2</v>
      </c>
      <c r="BK67" s="85">
        <f t="shared" si="36"/>
        <v>9.8622490571272881</v>
      </c>
      <c r="BL67" s="85">
        <f t="shared" si="37"/>
        <v>2.5910867061260376E-2</v>
      </c>
      <c r="BM67" s="85">
        <f t="shared" si="38"/>
        <v>9.7077176547689206</v>
      </c>
      <c r="BN67" s="85">
        <f t="shared" si="39"/>
        <v>2.6116282682517547E-2</v>
      </c>
      <c r="BO67" s="85">
        <f t="shared" si="40"/>
        <v>9.6363969995769221</v>
      </c>
      <c r="BP67" s="85">
        <f t="shared" si="41"/>
        <v>2.621275010048121E-2</v>
      </c>
      <c r="BQ67" s="85">
        <f t="shared" si="42"/>
        <v>9.6032906251731358</v>
      </c>
      <c r="BR67" s="85">
        <f t="shared" si="43"/>
        <v>2.6257894130698133E-2</v>
      </c>
      <c r="BS67" s="85">
        <f t="shared" si="44"/>
        <v>9.5878816683413834</v>
      </c>
      <c r="BT67" s="85">
        <f t="shared" si="45"/>
        <v>2.6278985563503141E-2</v>
      </c>
      <c r="BU67" s="85">
        <f t="shared" si="46"/>
        <v>9.5807007742080401</v>
      </c>
      <c r="BV67" s="85">
        <f t="shared" si="47"/>
        <v>2.6288831986602593E-2</v>
      </c>
      <c r="BW67" s="85">
        <f t="shared" si="48"/>
        <v>9.5773523733006822</v>
      </c>
    </row>
    <row r="68" spans="25:75" x14ac:dyDescent="0.4">
      <c r="Y68" s="142">
        <v>7.1000000000000004E-3</v>
      </c>
      <c r="Z68" s="46">
        <f t="shared" si="54"/>
        <v>7.2137214396107154E-4</v>
      </c>
      <c r="AA68" s="84">
        <f t="shared" si="55"/>
        <v>33.80520052678348</v>
      </c>
      <c r="AB68" s="84">
        <f t="shared" si="56"/>
        <v>2.2452171387195492E-3</v>
      </c>
      <c r="AC68" s="84">
        <f t="shared" si="57"/>
        <v>105.65688060263479</v>
      </c>
      <c r="AD68" s="84">
        <f t="shared" si="58"/>
        <v>1.2699926709940996E-3</v>
      </c>
      <c r="AE68" s="84">
        <f t="shared" si="59"/>
        <v>186.35597933122614</v>
      </c>
      <c r="AF68" s="84">
        <f t="shared" si="60"/>
        <v>9.5626539727956502E-4</v>
      </c>
      <c r="AG68" s="84">
        <f t="shared" si="61"/>
        <v>247.30985719660464</v>
      </c>
      <c r="AH68" s="84">
        <f t="shared" si="62"/>
        <v>8.300980499047685E-4</v>
      </c>
      <c r="AI68" s="84">
        <f t="shared" si="63"/>
        <v>284.81312955223791</v>
      </c>
      <c r="AJ68" s="84">
        <f t="shared" si="64"/>
        <v>7.7351742947189017E-4</v>
      </c>
      <c r="AK68" s="84">
        <f t="shared" si="65"/>
        <v>305.60524631384118</v>
      </c>
      <c r="AL68" s="84">
        <f t="shared" si="66"/>
        <v>7.4674049649530133E-4</v>
      </c>
      <c r="AM68" s="84">
        <f t="shared" si="67"/>
        <v>316.5435939405902</v>
      </c>
      <c r="AN68" s="84">
        <f t="shared" si="68"/>
        <v>7.337250432038942E-4</v>
      </c>
      <c r="AO68" s="84">
        <f t="shared" si="69"/>
        <v>322.14874139053694</v>
      </c>
      <c r="AP68" s="84">
        <f t="shared" si="70"/>
        <v>7.2731389973201301E-4</v>
      </c>
      <c r="AQ68" s="84">
        <f t="shared" si="71"/>
        <v>324.98346747932396</v>
      </c>
      <c r="AR68" s="84">
        <f t="shared" si="72"/>
        <v>7.2413488976212658E-4</v>
      </c>
      <c r="AS68" s="84">
        <f t="shared" si="73"/>
        <v>326.40770160007236</v>
      </c>
      <c r="AT68" s="84">
        <f t="shared" si="74"/>
        <v>7.2255333225245777E-4</v>
      </c>
      <c r="AU68" s="84">
        <f t="shared" si="75"/>
        <v>327.1209264638494</v>
      </c>
      <c r="AV68" s="84">
        <f t="shared" si="76"/>
        <v>7.2176520748160251E-4</v>
      </c>
      <c r="AW68" s="84">
        <f t="shared" si="77"/>
        <v>327.47750894189284</v>
      </c>
      <c r="AX68" s="84">
        <f t="shared" si="78"/>
        <v>7.2137214396107154E-4</v>
      </c>
      <c r="AY68" s="142">
        <v>7.1000000000000004E-3</v>
      </c>
      <c r="AZ68" s="46">
        <f t="shared" si="25"/>
        <v>2.7014209631296776E-2</v>
      </c>
      <c r="BA68" s="85">
        <f t="shared" si="26"/>
        <v>33.80520052678348</v>
      </c>
      <c r="BB68" s="85">
        <f t="shared" si="27"/>
        <v>1.4200000000000001E-2</v>
      </c>
      <c r="BC68" s="85">
        <f t="shared" si="28"/>
        <v>17.199949398829997</v>
      </c>
      <c r="BD68" s="85">
        <f t="shared" si="29"/>
        <v>1.9907490538181895E-2</v>
      </c>
      <c r="BE68" s="85">
        <f t="shared" si="30"/>
        <v>12.444826198670798</v>
      </c>
      <c r="BF68" s="85">
        <f t="shared" si="31"/>
        <v>2.3403762633012359E-2</v>
      </c>
      <c r="BG68" s="85">
        <f t="shared" si="32"/>
        <v>10.679483723656174</v>
      </c>
      <c r="BH68" s="85">
        <f t="shared" si="33"/>
        <v>2.526416642333966E-2</v>
      </c>
      <c r="BI68" s="85">
        <f t="shared" si="34"/>
        <v>9.9398567946386667</v>
      </c>
      <c r="BJ68" s="85">
        <f t="shared" si="35"/>
        <v>2.6187258718071378E-2</v>
      </c>
      <c r="BK68" s="85">
        <f t="shared" si="36"/>
        <v>9.6120151323248511</v>
      </c>
      <c r="BL68" s="85">
        <f t="shared" si="37"/>
        <v>2.6630105052447457E-2</v>
      </c>
      <c r="BM68" s="85">
        <f t="shared" si="38"/>
        <v>9.4628345621415946</v>
      </c>
      <c r="BN68" s="85">
        <f t="shared" si="39"/>
        <v>2.6839194578957521E-2</v>
      </c>
      <c r="BO68" s="85">
        <f t="shared" si="40"/>
        <v>9.394117020194459</v>
      </c>
      <c r="BP68" s="85">
        <f t="shared" si="41"/>
        <v>2.6937179465103669E-2</v>
      </c>
      <c r="BQ68" s="85">
        <f t="shared" si="42"/>
        <v>9.3622828058519598</v>
      </c>
      <c r="BR68" s="85">
        <f t="shared" si="43"/>
        <v>2.698293733462168E-2</v>
      </c>
      <c r="BS68" s="85">
        <f t="shared" si="44"/>
        <v>9.3474961075818292</v>
      </c>
      <c r="BT68" s="85">
        <f t="shared" si="45"/>
        <v>2.7004270902671827E-2</v>
      </c>
      <c r="BU68" s="85">
        <f t="shared" si="46"/>
        <v>9.3406193461519269</v>
      </c>
      <c r="BV68" s="85">
        <f t="shared" si="47"/>
        <v>2.7014209631296776E-2</v>
      </c>
      <c r="BW68" s="85">
        <f t="shared" si="48"/>
        <v>9.3374193747437175</v>
      </c>
    </row>
    <row r="69" spans="25:75" x14ac:dyDescent="0.4">
      <c r="Y69" s="142">
        <v>7.4000000000000003E-3</v>
      </c>
      <c r="Z69" s="46">
        <f t="shared" si="54"/>
        <v>7.5234539753748521E-4</v>
      </c>
      <c r="AA69" s="84">
        <f t="shared" si="55"/>
        <v>32.458393658403423</v>
      </c>
      <c r="AB69" s="84">
        <f t="shared" si="56"/>
        <v>2.3400854685246006E-3</v>
      </c>
      <c r="AC69" s="84">
        <f t="shared" si="57"/>
        <v>101.39650938220011</v>
      </c>
      <c r="AD69" s="84">
        <f t="shared" si="58"/>
        <v>1.3239870249499635E-3</v>
      </c>
      <c r="AE69" s="84">
        <f t="shared" si="59"/>
        <v>178.77909462816248</v>
      </c>
      <c r="AF69" s="84">
        <f t="shared" si="60"/>
        <v>9.9709574852485769E-4</v>
      </c>
      <c r="AG69" s="84">
        <f t="shared" si="61"/>
        <v>237.20576406116672</v>
      </c>
      <c r="AH69" s="84">
        <f t="shared" si="62"/>
        <v>8.6563062374327799E-4</v>
      </c>
      <c r="AI69" s="84">
        <f t="shared" si="63"/>
        <v>273.14516983018819</v>
      </c>
      <c r="AJ69" s="84">
        <f t="shared" si="64"/>
        <v>8.0667476040265031E-4</v>
      </c>
      <c r="AK69" s="84">
        <f t="shared" si="65"/>
        <v>293.06686293234401</v>
      </c>
      <c r="AL69" s="84">
        <f t="shared" si="66"/>
        <v>7.787747705350085E-4</v>
      </c>
      <c r="AM69" s="84">
        <f t="shared" si="67"/>
        <v>303.54596918683472</v>
      </c>
      <c r="AN69" s="84">
        <f t="shared" si="68"/>
        <v>7.6521415699665836E-4</v>
      </c>
      <c r="AO69" s="84">
        <f t="shared" si="69"/>
        <v>308.91523754409781</v>
      </c>
      <c r="AP69" s="84">
        <f t="shared" si="70"/>
        <v>7.5853489740081972E-4</v>
      </c>
      <c r="AQ69" s="84">
        <f t="shared" si="71"/>
        <v>311.63042894938286</v>
      </c>
      <c r="AR69" s="84">
        <f t="shared" si="72"/>
        <v>7.5522316486078796E-4</v>
      </c>
      <c r="AS69" s="84">
        <f t="shared" si="73"/>
        <v>312.99449405625973</v>
      </c>
      <c r="AT69" s="84">
        <f t="shared" si="74"/>
        <v>7.5357569431079151E-4</v>
      </c>
      <c r="AU69" s="84">
        <f t="shared" si="75"/>
        <v>313.67753415380395</v>
      </c>
      <c r="AV69" s="84">
        <f t="shared" si="76"/>
        <v>7.5275478291267892E-4</v>
      </c>
      <c r="AW69" s="84">
        <f t="shared" si="77"/>
        <v>314.01899947984106</v>
      </c>
      <c r="AX69" s="84">
        <f t="shared" si="78"/>
        <v>7.5234539753748521E-4</v>
      </c>
      <c r="AY69" s="142">
        <v>7.4000000000000003E-3</v>
      </c>
      <c r="AZ69" s="46">
        <f t="shared" ref="AZ69:AZ132" si="79">BV69</f>
        <v>2.8098651380667531E-2</v>
      </c>
      <c r="BA69" s="85">
        <f t="shared" ref="BA69:BA132" si="80">(1+0.0712/$AY69*(2.514+0.8*EXP(-0.55*$AY69/0.0712)))</f>
        <v>32.458393658403423</v>
      </c>
      <c r="BB69" s="85">
        <f t="shared" ref="BB69:BB132" si="81">AY69*SQRT($AZ$1/(1*1))</f>
        <v>1.4800000000000001E-2</v>
      </c>
      <c r="BC69" s="85">
        <f t="shared" ref="BC69:BC132" si="82">(1+0.0712/BB69*(2.514+0.8*EXP(-0.55*BB69/0.0712)))</f>
        <v>16.527246997103745</v>
      </c>
      <c r="BD69" s="85">
        <f t="shared" ref="BD69:BD132" si="83">$AY69*SQRT(($AZ$1*$BA69)/(1*1*BC69))</f>
        <v>2.0740774424118265E-2</v>
      </c>
      <c r="BE69" s="85">
        <f t="shared" ref="BE69:BE132" si="84">(1+0.0712/BD69*(2.514+0.8*EXP(-0.55*BD69/0.0712)))</f>
        <v>11.969908385073138</v>
      </c>
      <c r="BF69" s="85">
        <f t="shared" ref="BF69:BF132" si="85">$AY69*SQRT(($AZ$1*$BA69)/(1*1*BE69))</f>
        <v>2.4371362741441759E-2</v>
      </c>
      <c r="BG69" s="85">
        <f t="shared" ref="BG69:BG132" si="86">(1+0.0712/BF69*(2.514+0.8*EXP(-0.55*BF69/0.0712)))</f>
        <v>10.280660057352881</v>
      </c>
      <c r="BH69" s="85">
        <f t="shared" ref="BH69:BH132" si="87">$AY69*SQRT(($AZ$1*$BA69)/(1*1*BG69))</f>
        <v>2.6297515968608048E-2</v>
      </c>
      <c r="BI69" s="85">
        <f t="shared" ref="BI69:BI132" si="88">(1+0.0712/BH69*(2.514+0.8*EXP(-0.55*BH69/0.0712)))</f>
        <v>9.5744013645857251</v>
      </c>
      <c r="BJ69" s="85">
        <f t="shared" ref="BJ69:BJ132" si="89">$AY69*SQRT(($AZ$1*$BA69)/(1*1*BI69))</f>
        <v>2.7250182315905674E-2</v>
      </c>
      <c r="BK69" s="85">
        <f t="shared" ref="BK69:BK132" si="90">(1+0.0712/BJ69*(2.514+0.8*EXP(-0.55*BJ69/0.0712)))</f>
        <v>9.2621318343507699</v>
      </c>
      <c r="BL69" s="85">
        <f t="shared" ref="BL69:BL132" si="91">$AY69*SQRT(($AZ$1*$BA69)/(1*1*BK69))</f>
        <v>2.7705739582481962E-2</v>
      </c>
      <c r="BM69" s="85">
        <f t="shared" ref="BM69:BM132" si="92">(1+0.0712/BL69*(2.514+0.8*EXP(-0.55*BL69/0.0712)))</f>
        <v>9.120428875048141</v>
      </c>
      <c r="BN69" s="85">
        <f t="shared" ref="BN69:BN132" si="93">$AY69*SQRT(($AZ$1*$BA69)/(1*1*BM69))</f>
        <v>2.792014031312547E-2</v>
      </c>
      <c r="BO69" s="85">
        <f t="shared" ref="BO69:BO132" si="94">(1+0.0712/BN69*(2.514+0.8*EXP(-0.55*BN69/0.0712)))</f>
        <v>9.0553459759068566</v>
      </c>
      <c r="BP69" s="85">
        <f t="shared" ref="BP69:BP132" si="95">$AY69*SQRT(($AZ$1*$BA69)/(1*1*BO69))</f>
        <v>2.8020294980762608E-2</v>
      </c>
      <c r="BQ69" s="85">
        <f t="shared" ref="BQ69:BQ132" si="96">(1+0.0712/BP69*(2.514+0.8*EXP(-0.55*BP69/0.0712)))</f>
        <v>9.0252861395290012</v>
      </c>
      <c r="BR69" s="85">
        <f t="shared" ref="BR69:BR132" si="97">$AY69*SQRT(($AZ$1*$BA69)/(1*1*BQ69))</f>
        <v>2.8066918727687816E-2</v>
      </c>
      <c r="BS69" s="85">
        <f t="shared" ref="BS69:BS132" si="98">(1+0.0712/BR69*(2.514+0.8*EXP(-0.55*BR69/0.0712)))</f>
        <v>9.0113662740832545</v>
      </c>
      <c r="BT69" s="85">
        <f t="shared" ref="BT69:BT132" si="99">$AY69*SQRT(($AZ$1*$BA69)/(1*1*BS69))</f>
        <v>2.8088587859913815E-2</v>
      </c>
      <c r="BU69" s="85">
        <f t="shared" ref="BU69:BU132" si="100">(1+0.0712/BT69*(2.514+0.8*EXP(-0.55*BT69/0.0712)))</f>
        <v>9.0049125955276477</v>
      </c>
      <c r="BV69" s="85">
        <f t="shared" ref="BV69:BV132" si="101">$AY69*SQRT(($AZ$1*$BA69)/(1*1*BU69))</f>
        <v>2.8098651380667531E-2</v>
      </c>
      <c r="BW69" s="85">
        <f t="shared" ref="BW69:BW132" si="102">(1+0.0712/BV69*(2.514+0.8*EXP(-0.55*BV69/0.0712)))</f>
        <v>9.0019187956739355</v>
      </c>
    </row>
    <row r="70" spans="25:75" x14ac:dyDescent="0.4">
      <c r="Y70" s="142">
        <v>7.6E-3</v>
      </c>
      <c r="Z70" s="46">
        <f t="shared" si="54"/>
        <v>7.7301685575373736E-4</v>
      </c>
      <c r="AA70" s="84">
        <f t="shared" si="55"/>
        <v>31.619614013599652</v>
      </c>
      <c r="AB70" s="84">
        <f t="shared" si="56"/>
        <v>2.4033310217279683E-3</v>
      </c>
      <c r="AC70" s="84">
        <f t="shared" si="57"/>
        <v>98.743127233841633</v>
      </c>
      <c r="AD70" s="84">
        <f t="shared" si="58"/>
        <v>1.3599985196684607E-3</v>
      </c>
      <c r="AE70" s="84">
        <f t="shared" si="59"/>
        <v>174.06013906860264</v>
      </c>
      <c r="AF70" s="84">
        <f t="shared" si="60"/>
        <v>1.0243354695688735E-3</v>
      </c>
      <c r="AG70" s="84">
        <f t="shared" si="61"/>
        <v>230.91283408011702</v>
      </c>
      <c r="AH70" s="84">
        <f t="shared" si="62"/>
        <v>8.8934002551503829E-4</v>
      </c>
      <c r="AI70" s="84">
        <f t="shared" si="63"/>
        <v>265.87825205993096</v>
      </c>
      <c r="AJ70" s="84">
        <f t="shared" si="64"/>
        <v>8.288013825369097E-4</v>
      </c>
      <c r="AK70" s="84">
        <f t="shared" si="65"/>
        <v>285.25784178510031</v>
      </c>
      <c r="AL70" s="84">
        <f t="shared" si="66"/>
        <v>8.0015307448593257E-4</v>
      </c>
      <c r="AM70" s="84">
        <f t="shared" si="67"/>
        <v>295.45093192577389</v>
      </c>
      <c r="AN70" s="84">
        <f t="shared" si="68"/>
        <v>7.8622924176177092E-4</v>
      </c>
      <c r="AO70" s="84">
        <f t="shared" si="69"/>
        <v>300.67329503134545</v>
      </c>
      <c r="AP70" s="84">
        <f t="shared" si="70"/>
        <v>7.7937136603582053E-4</v>
      </c>
      <c r="AQ70" s="84">
        <f t="shared" si="71"/>
        <v>303.31404061096117</v>
      </c>
      <c r="AR70" s="84">
        <f t="shared" si="72"/>
        <v>7.7597122545363566E-4</v>
      </c>
      <c r="AS70" s="84">
        <f t="shared" si="73"/>
        <v>304.64063276514798</v>
      </c>
      <c r="AT70" s="84">
        <f t="shared" si="74"/>
        <v>7.742798548151862E-4</v>
      </c>
      <c r="AU70" s="84">
        <f t="shared" si="75"/>
        <v>305.30487400568273</v>
      </c>
      <c r="AV70" s="84">
        <f t="shared" si="76"/>
        <v>7.7343710925053806E-4</v>
      </c>
      <c r="AW70" s="84">
        <f t="shared" si="77"/>
        <v>305.63692450833781</v>
      </c>
      <c r="AX70" s="84">
        <f t="shared" si="78"/>
        <v>7.7301685575373736E-4</v>
      </c>
      <c r="AY70" s="142">
        <v>7.6E-3</v>
      </c>
      <c r="AZ70" s="46">
        <f t="shared" si="79"/>
        <v>2.8819212536075528E-2</v>
      </c>
      <c r="BA70" s="85">
        <f t="shared" si="80"/>
        <v>31.619614013599652</v>
      </c>
      <c r="BB70" s="85">
        <f t="shared" si="81"/>
        <v>1.52E-2</v>
      </c>
      <c r="BC70" s="85">
        <f t="shared" si="82"/>
        <v>16.108323131800347</v>
      </c>
      <c r="BD70" s="85">
        <f t="shared" si="83"/>
        <v>2.1295934557002117E-2</v>
      </c>
      <c r="BE70" s="85">
        <f t="shared" si="84"/>
        <v>11.674184398589732</v>
      </c>
      <c r="BF70" s="85">
        <f t="shared" si="85"/>
        <v>2.501546588589789E-2</v>
      </c>
      <c r="BG70" s="85">
        <f t="shared" si="86"/>
        <v>10.032338014054222</v>
      </c>
      <c r="BH70" s="85">
        <f t="shared" si="87"/>
        <v>2.6984898689428341E-2</v>
      </c>
      <c r="BI70" s="85">
        <f t="shared" si="88"/>
        <v>9.3468634195457163</v>
      </c>
      <c r="BJ70" s="85">
        <f t="shared" si="89"/>
        <v>2.7956894120952952E-2</v>
      </c>
      <c r="BK70" s="85">
        <f t="shared" si="90"/>
        <v>9.0442897724303908</v>
      </c>
      <c r="BL70" s="85">
        <f t="shared" si="91"/>
        <v>2.8420691194771665E-2</v>
      </c>
      <c r="BM70" s="85">
        <f t="shared" si="92"/>
        <v>8.9072397085478094</v>
      </c>
      <c r="BN70" s="85">
        <f t="shared" si="93"/>
        <v>2.8638502163268065E-2</v>
      </c>
      <c r="BO70" s="85">
        <f t="shared" si="94"/>
        <v>8.8444164180034246</v>
      </c>
      <c r="BP70" s="85">
        <f t="shared" si="95"/>
        <v>2.8740034091201294E-2</v>
      </c>
      <c r="BQ70" s="85">
        <f t="shared" si="96"/>
        <v>8.8154584642536111</v>
      </c>
      <c r="BR70" s="85">
        <f t="shared" si="97"/>
        <v>2.8787199546844583E-2</v>
      </c>
      <c r="BS70" s="85">
        <f t="shared" si="98"/>
        <v>8.8020762064997164</v>
      </c>
      <c r="BT70" s="85">
        <f t="shared" si="99"/>
        <v>2.880907457963466E-2</v>
      </c>
      <c r="BU70" s="85">
        <f t="shared" si="100"/>
        <v>8.7958845474038405</v>
      </c>
      <c r="BV70" s="85">
        <f t="shared" si="101"/>
        <v>2.8819212536075528E-2</v>
      </c>
      <c r="BW70" s="85">
        <f t="shared" si="102"/>
        <v>8.7930182336210478</v>
      </c>
    </row>
    <row r="71" spans="25:75" x14ac:dyDescent="0.4">
      <c r="Y71" s="142">
        <v>7.7999999999999996E-3</v>
      </c>
      <c r="Z71" s="46">
        <f t="shared" si="54"/>
        <v>7.9370644247579237E-4</v>
      </c>
      <c r="AA71" s="84">
        <f t="shared" si="55"/>
        <v>30.82386514586587</v>
      </c>
      <c r="AB71" s="84">
        <f t="shared" si="56"/>
        <v>2.4665765749313355E-3</v>
      </c>
      <c r="AC71" s="84">
        <f t="shared" si="57"/>
        <v>96.225821375394489</v>
      </c>
      <c r="AD71" s="84">
        <f t="shared" si="58"/>
        <v>1.396022240508033E-3</v>
      </c>
      <c r="AE71" s="84">
        <f t="shared" si="59"/>
        <v>169.58316687924</v>
      </c>
      <c r="AF71" s="84">
        <f t="shared" si="60"/>
        <v>1.0515908050872035E-3</v>
      </c>
      <c r="AG71" s="84">
        <f t="shared" si="61"/>
        <v>224.94259548519244</v>
      </c>
      <c r="AH71" s="84">
        <f t="shared" si="62"/>
        <v>9.1306627024473818E-4</v>
      </c>
      <c r="AI71" s="84">
        <f t="shared" si="63"/>
        <v>258.98397334016562</v>
      </c>
      <c r="AJ71" s="84">
        <f t="shared" si="64"/>
        <v>8.5094542148982826E-4</v>
      </c>
      <c r="AK71" s="84">
        <f t="shared" si="65"/>
        <v>277.84926195051838</v>
      </c>
      <c r="AL71" s="84">
        <f t="shared" si="66"/>
        <v>8.2154910511610579E-4</v>
      </c>
      <c r="AM71" s="84">
        <f t="shared" si="67"/>
        <v>287.77100556475341</v>
      </c>
      <c r="AN71" s="84">
        <f t="shared" si="68"/>
        <v>8.0726223038746984E-4</v>
      </c>
      <c r="AO71" s="84">
        <f t="shared" si="69"/>
        <v>292.85399852525887</v>
      </c>
      <c r="AP71" s="84">
        <f t="shared" si="70"/>
        <v>8.0022584110817476E-4</v>
      </c>
      <c r="AQ71" s="84">
        <f t="shared" si="71"/>
        <v>295.42411697098549</v>
      </c>
      <c r="AR71" s="84">
        <f t="shared" si="72"/>
        <v>7.9673735153507064E-4</v>
      </c>
      <c r="AS71" s="84">
        <f t="shared" si="73"/>
        <v>296.71515843796328</v>
      </c>
      <c r="AT71" s="84">
        <f t="shared" si="74"/>
        <v>7.9500211441878722E-4</v>
      </c>
      <c r="AU71" s="84">
        <f t="shared" si="75"/>
        <v>297.36156520123313</v>
      </c>
      <c r="AV71" s="84">
        <f t="shared" si="76"/>
        <v>7.9413755358653533E-4</v>
      </c>
      <c r="AW71" s="84">
        <f t="shared" si="77"/>
        <v>297.6846838843183</v>
      </c>
      <c r="AX71" s="84">
        <f t="shared" si="78"/>
        <v>7.9370644247579237E-4</v>
      </c>
      <c r="AY71" s="142">
        <v>7.7999999999999996E-3</v>
      </c>
      <c r="AZ71" s="46">
        <f t="shared" si="79"/>
        <v>2.9537866897636499E-2</v>
      </c>
      <c r="BA71" s="85">
        <f t="shared" si="80"/>
        <v>30.82386514586587</v>
      </c>
      <c r="BB71" s="85">
        <f t="shared" si="81"/>
        <v>1.5599999999999999E-2</v>
      </c>
      <c r="BC71" s="85">
        <f t="shared" si="82"/>
        <v>15.710913539956513</v>
      </c>
      <c r="BD71" s="85">
        <f t="shared" si="83"/>
        <v>2.1850804280235052E-2</v>
      </c>
      <c r="BE71" s="85">
        <f t="shared" si="84"/>
        <v>11.393670786803961</v>
      </c>
      <c r="BF71" s="85">
        <f t="shared" si="85"/>
        <v>2.5658798311260424E-2</v>
      </c>
      <c r="BG71" s="85">
        <f t="shared" si="86"/>
        <v>9.7968030266285222</v>
      </c>
      <c r="BH71" s="85">
        <f t="shared" si="87"/>
        <v>2.7671070331907386E-2</v>
      </c>
      <c r="BI71" s="85">
        <f t="shared" si="88"/>
        <v>9.1310481343108059</v>
      </c>
      <c r="BJ71" s="85">
        <f t="shared" si="89"/>
        <v>2.8662088342647482E-2</v>
      </c>
      <c r="BK71" s="85">
        <f t="shared" si="90"/>
        <v>8.8376710149218187</v>
      </c>
      <c r="BL71" s="85">
        <f t="shared" si="91"/>
        <v>2.9133940635346186E-2</v>
      </c>
      <c r="BM71" s="85">
        <f t="shared" si="92"/>
        <v>8.7050318712504691</v>
      </c>
      <c r="BN71" s="85">
        <f t="shared" si="93"/>
        <v>2.9355059405034738E-2</v>
      </c>
      <c r="BO71" s="85">
        <f t="shared" si="94"/>
        <v>8.6443491017329883</v>
      </c>
      <c r="BP71" s="85">
        <f t="shared" si="95"/>
        <v>2.9457914517336325E-2</v>
      </c>
      <c r="BQ71" s="85">
        <f t="shared" si="96"/>
        <v>8.6164340103583648</v>
      </c>
      <c r="BR71" s="85">
        <f t="shared" si="97"/>
        <v>2.9505594069171807E-2</v>
      </c>
      <c r="BS71" s="85">
        <f t="shared" si="98"/>
        <v>8.6035600304468094</v>
      </c>
      <c r="BT71" s="85">
        <f t="shared" si="99"/>
        <v>2.9527661238514032E-2</v>
      </c>
      <c r="BU71" s="85">
        <f t="shared" si="100"/>
        <v>8.5976158075673403</v>
      </c>
      <c r="BV71" s="85">
        <f t="shared" si="101"/>
        <v>2.9537866897636499E-2</v>
      </c>
      <c r="BW71" s="85">
        <f t="shared" si="102"/>
        <v>8.5948697327599568</v>
      </c>
    </row>
    <row r="72" spans="25:75" x14ac:dyDescent="0.4">
      <c r="Y72" s="142">
        <v>8.0999999999999996E-3</v>
      </c>
      <c r="Z72" s="46">
        <f t="shared" si="54"/>
        <v>8.2477487048119083E-4</v>
      </c>
      <c r="AA72" s="84">
        <f t="shared" si="55"/>
        <v>29.703951918214972</v>
      </c>
      <c r="AB72" s="84">
        <f t="shared" si="56"/>
        <v>2.5614449047363869E-3</v>
      </c>
      <c r="AC72" s="84">
        <f t="shared" si="57"/>
        <v>92.682956226912765</v>
      </c>
      <c r="AD72" s="84">
        <f t="shared" si="58"/>
        <v>1.4500807813721899E-3</v>
      </c>
      <c r="AE72" s="84">
        <f t="shared" si="59"/>
        <v>163.28221740519629</v>
      </c>
      <c r="AF72" s="84">
        <f t="shared" si="60"/>
        <v>1.0925031320761932E-3</v>
      </c>
      <c r="AG72" s="84">
        <f t="shared" si="61"/>
        <v>216.53999654635243</v>
      </c>
      <c r="AH72" s="84">
        <f t="shared" si="62"/>
        <v>9.4868726937196086E-4</v>
      </c>
      <c r="AI72" s="84">
        <f t="shared" si="63"/>
        <v>249.28087293210757</v>
      </c>
      <c r="AJ72" s="84">
        <f t="shared" si="64"/>
        <v>8.8419419048421633E-4</v>
      </c>
      <c r="AK72" s="84">
        <f t="shared" si="65"/>
        <v>267.42233424668558</v>
      </c>
      <c r="AL72" s="84">
        <f t="shared" si="66"/>
        <v>8.5367644399133799E-4</v>
      </c>
      <c r="AM72" s="84">
        <f t="shared" si="67"/>
        <v>276.96218660290475</v>
      </c>
      <c r="AN72" s="84">
        <f t="shared" si="68"/>
        <v>8.3884533921984412E-4</v>
      </c>
      <c r="AO72" s="84">
        <f t="shared" si="69"/>
        <v>281.84903174205959</v>
      </c>
      <c r="AP72" s="84">
        <f t="shared" si="70"/>
        <v>8.3154137234567424E-4</v>
      </c>
      <c r="AQ72" s="84">
        <f t="shared" si="71"/>
        <v>284.3197507839119</v>
      </c>
      <c r="AR72" s="84">
        <f t="shared" si="72"/>
        <v>8.2792047022192141E-4</v>
      </c>
      <c r="AS72" s="84">
        <f t="shared" si="73"/>
        <v>285.56075899950946</v>
      </c>
      <c r="AT72" s="84">
        <f t="shared" si="74"/>
        <v>8.2611949652130947E-4</v>
      </c>
      <c r="AU72" s="84">
        <f t="shared" si="75"/>
        <v>286.18206599865852</v>
      </c>
      <c r="AV72" s="84">
        <f t="shared" si="76"/>
        <v>8.2522224828130493E-4</v>
      </c>
      <c r="AW72" s="84">
        <f t="shared" si="77"/>
        <v>286.49261432254934</v>
      </c>
      <c r="AX72" s="84">
        <f t="shared" si="78"/>
        <v>8.2477487048119083E-4</v>
      </c>
      <c r="AY72" s="142">
        <v>8.0999999999999996E-3</v>
      </c>
      <c r="AZ72" s="46">
        <f t="shared" si="79"/>
        <v>3.0612298048281691E-2</v>
      </c>
      <c r="BA72" s="85">
        <f t="shared" si="80"/>
        <v>29.703951918214972</v>
      </c>
      <c r="BB72" s="85">
        <f t="shared" si="81"/>
        <v>1.6199999999999999E-2</v>
      </c>
      <c r="BC72" s="85">
        <f t="shared" si="82"/>
        <v>15.151652104429594</v>
      </c>
      <c r="BD72" s="85">
        <f t="shared" si="83"/>
        <v>2.268256354196355E-2</v>
      </c>
      <c r="BE72" s="85">
        <f t="shared" si="84"/>
        <v>10.998954651310084</v>
      </c>
      <c r="BF72" s="85">
        <f t="shared" si="85"/>
        <v>2.6622352248923224E-2</v>
      </c>
      <c r="BG72" s="85">
        <f t="shared" si="86"/>
        <v>9.4654033718324602</v>
      </c>
      <c r="BH72" s="85">
        <f t="shared" si="87"/>
        <v>2.8698061899408021E-2</v>
      </c>
      <c r="BI72" s="85">
        <f t="shared" si="88"/>
        <v>8.8274044036195569</v>
      </c>
      <c r="BJ72" s="85">
        <f t="shared" si="89"/>
        <v>2.9717044843257302E-2</v>
      </c>
      <c r="BK72" s="85">
        <f t="shared" si="90"/>
        <v>8.5469664483943095</v>
      </c>
      <c r="BL72" s="85">
        <f t="shared" si="91"/>
        <v>3.020063896713715E-2</v>
      </c>
      <c r="BM72" s="85">
        <f t="shared" si="92"/>
        <v>8.4205290507678079</v>
      </c>
      <c r="BN72" s="85">
        <f t="shared" si="93"/>
        <v>3.0426531115686432E-2</v>
      </c>
      <c r="BO72" s="85">
        <f t="shared" si="94"/>
        <v>8.362853010529987</v>
      </c>
      <c r="BP72" s="85">
        <f t="shared" si="95"/>
        <v>3.0531272075430538E-2</v>
      </c>
      <c r="BQ72" s="85">
        <f t="shared" si="96"/>
        <v>8.3364010994107236</v>
      </c>
      <c r="BR72" s="85">
        <f t="shared" si="97"/>
        <v>3.0579672509303935E-2</v>
      </c>
      <c r="BS72" s="85">
        <f t="shared" si="98"/>
        <v>8.3242393023655623</v>
      </c>
      <c r="BT72" s="85">
        <f t="shared" si="99"/>
        <v>3.0602002960028504E-2</v>
      </c>
      <c r="BU72" s="85">
        <f t="shared" si="100"/>
        <v>8.3186412667243008</v>
      </c>
      <c r="BV72" s="85">
        <f t="shared" si="101"/>
        <v>3.0612298048281691E-2</v>
      </c>
      <c r="BW72" s="85">
        <f t="shared" si="102"/>
        <v>8.3160631494956494</v>
      </c>
    </row>
    <row r="73" spans="25:75" x14ac:dyDescent="0.4">
      <c r="Y73" s="142">
        <v>8.3000000000000001E-3</v>
      </c>
      <c r="Z73" s="46">
        <f t="shared" si="54"/>
        <v>8.4550989228000654E-4</v>
      </c>
      <c r="AA73" s="84">
        <f t="shared" si="55"/>
        <v>29.002338772866725</v>
      </c>
      <c r="AB73" s="84">
        <f t="shared" si="56"/>
        <v>2.6246904579397545E-3</v>
      </c>
      <c r="AC73" s="84">
        <f t="shared" si="57"/>
        <v>90.463336217304359</v>
      </c>
      <c r="AD73" s="84">
        <f t="shared" si="58"/>
        <v>1.4861351386340252E-3</v>
      </c>
      <c r="AE73" s="84">
        <f t="shared" si="59"/>
        <v>159.33461808106017</v>
      </c>
      <c r="AF73" s="84">
        <f t="shared" si="60"/>
        <v>1.1197975967771458E-3</v>
      </c>
      <c r="AG73" s="84">
        <f t="shared" si="61"/>
        <v>211.27569143632783</v>
      </c>
      <c r="AH73" s="84">
        <f t="shared" si="62"/>
        <v>9.7245572432564796E-4</v>
      </c>
      <c r="AI73" s="84">
        <f t="shared" si="63"/>
        <v>243.20179559944214</v>
      </c>
      <c r="AJ73" s="84">
        <f t="shared" si="64"/>
        <v>9.0638187940354591E-4</v>
      </c>
      <c r="AK73" s="84">
        <f t="shared" si="65"/>
        <v>260.88977737690021</v>
      </c>
      <c r="AL73" s="84">
        <f t="shared" si="66"/>
        <v>8.7511690199436863E-4</v>
      </c>
      <c r="AM73" s="84">
        <f t="shared" si="67"/>
        <v>270.19037511284506</v>
      </c>
      <c r="AN73" s="84">
        <f t="shared" si="68"/>
        <v>8.5992319967066343E-4</v>
      </c>
      <c r="AO73" s="84">
        <f t="shared" si="69"/>
        <v>274.95433427593201</v>
      </c>
      <c r="AP73" s="84">
        <f t="shared" si="70"/>
        <v>8.5244097649310251E-4</v>
      </c>
      <c r="AQ73" s="84">
        <f t="shared" si="71"/>
        <v>277.36278014195</v>
      </c>
      <c r="AR73" s="84">
        <f t="shared" si="72"/>
        <v>8.4873187343615666E-4</v>
      </c>
      <c r="AS73" s="84">
        <f t="shared" si="73"/>
        <v>278.57244291310548</v>
      </c>
      <c r="AT73" s="84">
        <f t="shared" si="74"/>
        <v>8.4688711750942759E-4</v>
      </c>
      <c r="AU73" s="84">
        <f t="shared" si="75"/>
        <v>279.17802515976615</v>
      </c>
      <c r="AV73" s="84">
        <f t="shared" si="76"/>
        <v>8.4596810136552947E-4</v>
      </c>
      <c r="AW73" s="84">
        <f t="shared" si="77"/>
        <v>279.48069830712728</v>
      </c>
      <c r="AX73" s="84">
        <f t="shared" si="78"/>
        <v>8.4550989228000654E-4</v>
      </c>
      <c r="AY73" s="142">
        <v>8.3000000000000001E-3</v>
      </c>
      <c r="AZ73" s="46">
        <f t="shared" si="79"/>
        <v>3.1326235151046142E-2</v>
      </c>
      <c r="BA73" s="85">
        <f t="shared" si="80"/>
        <v>29.002338772866725</v>
      </c>
      <c r="BB73" s="85">
        <f t="shared" si="81"/>
        <v>1.66E-2</v>
      </c>
      <c r="BC73" s="85">
        <f t="shared" si="82"/>
        <v>14.801307598139205</v>
      </c>
      <c r="BD73" s="85">
        <f t="shared" si="83"/>
        <v>2.3236705646748321E-2</v>
      </c>
      <c r="BE73" s="85">
        <f t="shared" si="84"/>
        <v>10.751714842574746</v>
      </c>
      <c r="BF73" s="85">
        <f t="shared" si="85"/>
        <v>2.7263758733955246E-2</v>
      </c>
      <c r="BG73" s="85">
        <f t="shared" si="86"/>
        <v>9.2578400707639066</v>
      </c>
      <c r="BH73" s="85">
        <f t="shared" si="87"/>
        <v>2.9381215704260309E-2</v>
      </c>
      <c r="BI73" s="85">
        <f t="shared" si="88"/>
        <v>8.6372316038591475</v>
      </c>
      <c r="BJ73" s="85">
        <f t="shared" si="89"/>
        <v>3.0418466503877792E-2</v>
      </c>
      <c r="BK73" s="85">
        <f t="shared" si="90"/>
        <v>8.3648972891678177</v>
      </c>
      <c r="BL73" s="85">
        <f t="shared" si="91"/>
        <v>3.09096645787009E-2</v>
      </c>
      <c r="BM73" s="85">
        <f t="shared" si="92"/>
        <v>8.2423411918019625</v>
      </c>
      <c r="BN73" s="85">
        <f t="shared" si="93"/>
        <v>3.1138615907647407E-2</v>
      </c>
      <c r="BO73" s="85">
        <f t="shared" si="94"/>
        <v>8.1865450397133621</v>
      </c>
      <c r="BP73" s="85">
        <f t="shared" si="95"/>
        <v>3.1244549766697292E-2</v>
      </c>
      <c r="BQ73" s="85">
        <f t="shared" si="96"/>
        <v>8.1610068511250944</v>
      </c>
      <c r="BR73" s="85">
        <f t="shared" si="97"/>
        <v>3.1293398270007627E-2</v>
      </c>
      <c r="BS73" s="85">
        <f t="shared" si="98"/>
        <v>8.1492891834027468</v>
      </c>
      <c r="BT73" s="85">
        <f t="shared" si="99"/>
        <v>3.1315888202389182E-2</v>
      </c>
      <c r="BU73" s="85">
        <f t="shared" si="100"/>
        <v>8.143906707595173</v>
      </c>
      <c r="BV73" s="85">
        <f t="shared" si="101"/>
        <v>3.1326235151046142E-2</v>
      </c>
      <c r="BW73" s="85">
        <f t="shared" si="102"/>
        <v>8.1414330008465505</v>
      </c>
    </row>
    <row r="74" spans="25:75" x14ac:dyDescent="0.4">
      <c r="Y74" s="142">
        <v>8.6E-3</v>
      </c>
      <c r="Z74" s="46">
        <f t="shared" si="54"/>
        <v>8.76646594293834E-4</v>
      </c>
      <c r="AA74" s="84">
        <f t="shared" si="55"/>
        <v>28.011134041149621</v>
      </c>
      <c r="AB74" s="84">
        <f t="shared" si="56"/>
        <v>2.719558787744806E-3</v>
      </c>
      <c r="AC74" s="84">
        <f t="shared" si="57"/>
        <v>87.327486899899839</v>
      </c>
      <c r="AD74" s="84">
        <f t="shared" si="58"/>
        <v>1.5402397097814971E-3</v>
      </c>
      <c r="AE74" s="84">
        <f t="shared" si="59"/>
        <v>153.75746283776812</v>
      </c>
      <c r="AF74" s="84">
        <f t="shared" si="60"/>
        <v>1.1607687165833809E-3</v>
      </c>
      <c r="AG74" s="84">
        <f t="shared" si="61"/>
        <v>203.83829273500774</v>
      </c>
      <c r="AH74" s="84">
        <f t="shared" si="62"/>
        <v>1.0081401483810078E-3</v>
      </c>
      <c r="AI74" s="84">
        <f t="shared" si="63"/>
        <v>234.61329419940967</v>
      </c>
      <c r="AJ74" s="84">
        <f t="shared" si="64"/>
        <v>9.3969623840865107E-4</v>
      </c>
      <c r="AK74" s="84">
        <f t="shared" si="65"/>
        <v>251.66060824378118</v>
      </c>
      <c r="AL74" s="84">
        <f t="shared" si="66"/>
        <v>9.0731099995085144E-4</v>
      </c>
      <c r="AM74" s="84">
        <f t="shared" si="67"/>
        <v>260.62319305083503</v>
      </c>
      <c r="AN74" s="84">
        <f t="shared" si="68"/>
        <v>8.9157373587361529E-4</v>
      </c>
      <c r="AO74" s="84">
        <f t="shared" si="69"/>
        <v>265.21354271862191</v>
      </c>
      <c r="AP74" s="84">
        <f t="shared" si="70"/>
        <v>8.8382432184438931E-4</v>
      </c>
      <c r="AQ74" s="84">
        <f t="shared" si="71"/>
        <v>267.53401130581801</v>
      </c>
      <c r="AR74" s="84">
        <f t="shared" si="72"/>
        <v>8.7998302878495454E-4</v>
      </c>
      <c r="AS74" s="84">
        <f t="shared" si="73"/>
        <v>268.69939053252926</v>
      </c>
      <c r="AT74" s="84">
        <f t="shared" si="74"/>
        <v>8.7807266289331384E-4</v>
      </c>
      <c r="AU74" s="84">
        <f t="shared" si="75"/>
        <v>269.2827575808912</v>
      </c>
      <c r="AV74" s="84">
        <f t="shared" si="76"/>
        <v>8.7712103051219457E-4</v>
      </c>
      <c r="AW74" s="84">
        <f t="shared" si="77"/>
        <v>269.57430508664191</v>
      </c>
      <c r="AX74" s="84">
        <f t="shared" si="78"/>
        <v>8.76646594293834E-4</v>
      </c>
      <c r="AY74" s="142">
        <v>8.6E-3</v>
      </c>
      <c r="AZ74" s="46">
        <f t="shared" si="79"/>
        <v>3.2393643805396423E-2</v>
      </c>
      <c r="BA74" s="85">
        <f t="shared" si="80"/>
        <v>28.011134041149621</v>
      </c>
      <c r="BB74" s="85">
        <f t="shared" si="81"/>
        <v>1.72E-2</v>
      </c>
      <c r="BC74" s="85">
        <f t="shared" si="82"/>
        <v>14.306396259983599</v>
      </c>
      <c r="BD74" s="85">
        <f t="shared" si="83"/>
        <v>2.4067371835996648E-2</v>
      </c>
      <c r="BE74" s="85">
        <f t="shared" si="84"/>
        <v>10.402491790087144</v>
      </c>
      <c r="BF74" s="85">
        <f t="shared" si="85"/>
        <v>2.8224424926847951E-2</v>
      </c>
      <c r="BG74" s="85">
        <f t="shared" si="86"/>
        <v>8.9646832886412966</v>
      </c>
      <c r="BH74" s="85">
        <f t="shared" si="87"/>
        <v>3.0403691504284187E-2</v>
      </c>
      <c r="BI74" s="85">
        <f t="shared" si="88"/>
        <v>8.3686453959320612</v>
      </c>
      <c r="BJ74" s="85">
        <f t="shared" si="89"/>
        <v>3.1467787578403891E-2</v>
      </c>
      <c r="BK74" s="85">
        <f t="shared" si="90"/>
        <v>8.1077554877972542</v>
      </c>
      <c r="BL74" s="85">
        <f t="shared" si="91"/>
        <v>3.197006147405012E-2</v>
      </c>
      <c r="BM74" s="85">
        <f t="shared" si="92"/>
        <v>7.9906767379433061</v>
      </c>
      <c r="BN74" s="85">
        <f t="shared" si="93"/>
        <v>3.2203421169197069E-2</v>
      </c>
      <c r="BO74" s="85">
        <f t="shared" si="94"/>
        <v>7.9375308521936141</v>
      </c>
      <c r="BP74" s="85">
        <f t="shared" si="95"/>
        <v>3.2311050614317653E-2</v>
      </c>
      <c r="BQ74" s="85">
        <f t="shared" si="96"/>
        <v>7.913279255833257</v>
      </c>
      <c r="BR74" s="85">
        <f t="shared" si="97"/>
        <v>3.2360524105996227E-2</v>
      </c>
      <c r="BS74" s="85">
        <f t="shared" si="98"/>
        <v>7.9021860823262271</v>
      </c>
      <c r="BT74" s="85">
        <f t="shared" si="99"/>
        <v>3.2383230165306164E-2</v>
      </c>
      <c r="BU74" s="85">
        <f t="shared" si="100"/>
        <v>7.8971062404137538</v>
      </c>
      <c r="BV74" s="85">
        <f t="shared" si="101"/>
        <v>3.2393643805396423E-2</v>
      </c>
      <c r="BW74" s="85">
        <f t="shared" si="102"/>
        <v>7.8947788775089434</v>
      </c>
    </row>
    <row r="75" spans="25:75" x14ac:dyDescent="0.4">
      <c r="Y75" s="142">
        <v>8.8000000000000005E-3</v>
      </c>
      <c r="Z75" s="46">
        <f t="shared" si="54"/>
        <v>8.9742721272665737E-4</v>
      </c>
      <c r="AA75" s="84">
        <f t="shared" si="55"/>
        <v>27.387894595659194</v>
      </c>
      <c r="AB75" s="84">
        <f t="shared" si="56"/>
        <v>2.7828043409481736E-3</v>
      </c>
      <c r="AC75" s="84">
        <f t="shared" si="57"/>
        <v>85.355708839869365</v>
      </c>
      <c r="AD75" s="84">
        <f t="shared" si="58"/>
        <v>1.5763248040313726E-3</v>
      </c>
      <c r="AE75" s="84">
        <f t="shared" si="59"/>
        <v>150.25059997832696</v>
      </c>
      <c r="AF75" s="84">
        <f t="shared" si="60"/>
        <v>1.1881024421983174E-3</v>
      </c>
      <c r="AG75" s="84">
        <f t="shared" si="61"/>
        <v>199.16172254754048</v>
      </c>
      <c r="AH75" s="84">
        <f t="shared" si="62"/>
        <v>1.0319509593628715E-3</v>
      </c>
      <c r="AI75" s="84">
        <f t="shared" si="63"/>
        <v>229.2129246669125</v>
      </c>
      <c r="AJ75" s="84">
        <f t="shared" si="64"/>
        <v>9.6192773039850265E-4</v>
      </c>
      <c r="AK75" s="84">
        <f t="shared" si="65"/>
        <v>245.85739725164959</v>
      </c>
      <c r="AL75" s="84">
        <f t="shared" si="66"/>
        <v>9.2879604238362435E-4</v>
      </c>
      <c r="AM75" s="84">
        <f t="shared" si="67"/>
        <v>254.60744612768349</v>
      </c>
      <c r="AN75" s="84">
        <f t="shared" si="68"/>
        <v>9.1269662735703986E-4</v>
      </c>
      <c r="AO75" s="84">
        <f t="shared" si="69"/>
        <v>259.08863401054583</v>
      </c>
      <c r="AP75" s="84">
        <f t="shared" si="70"/>
        <v>9.0476921543345377E-4</v>
      </c>
      <c r="AQ75" s="84">
        <f t="shared" si="71"/>
        <v>261.35378466052077</v>
      </c>
      <c r="AR75" s="84">
        <f t="shared" si="72"/>
        <v>9.0083987011465173E-4</v>
      </c>
      <c r="AS75" s="84">
        <f t="shared" si="73"/>
        <v>262.4913195938546</v>
      </c>
      <c r="AT75" s="84">
        <f t="shared" si="74"/>
        <v>8.9888580657138519E-4</v>
      </c>
      <c r="AU75" s="84">
        <f t="shared" si="75"/>
        <v>263.06071837943216</v>
      </c>
      <c r="AV75" s="84">
        <f t="shared" si="76"/>
        <v>8.9791245381685015E-4</v>
      </c>
      <c r="AW75" s="84">
        <f t="shared" si="77"/>
        <v>263.34527043606795</v>
      </c>
      <c r="AX75" s="84">
        <f t="shared" si="78"/>
        <v>8.9742721272665737E-4</v>
      </c>
      <c r="AY75" s="142">
        <v>8.8000000000000005E-3</v>
      </c>
      <c r="AZ75" s="46">
        <f t="shared" si="79"/>
        <v>3.3102934881980038E-2</v>
      </c>
      <c r="BA75" s="85">
        <f t="shared" si="80"/>
        <v>27.387894595659194</v>
      </c>
      <c r="BB75" s="85">
        <f t="shared" si="81"/>
        <v>1.7600000000000001E-2</v>
      </c>
      <c r="BC75" s="85">
        <f t="shared" si="82"/>
        <v>13.995235845108541</v>
      </c>
      <c r="BD75" s="85">
        <f t="shared" si="83"/>
        <v>2.4620784163729172E-2</v>
      </c>
      <c r="BE75" s="85">
        <f t="shared" si="84"/>
        <v>10.182953146478207</v>
      </c>
      <c r="BF75" s="85">
        <f t="shared" si="85"/>
        <v>2.8863907158979518E-2</v>
      </c>
      <c r="BG75" s="85">
        <f t="shared" si="86"/>
        <v>8.7804058026912024</v>
      </c>
      <c r="BH75" s="85">
        <f t="shared" si="87"/>
        <v>3.1083842350466066E-2</v>
      </c>
      <c r="BI75" s="85">
        <f t="shared" si="88"/>
        <v>8.1998183178336213</v>
      </c>
      <c r="BJ75" s="85">
        <f t="shared" si="89"/>
        <v>3.2165468155194832E-2</v>
      </c>
      <c r="BK75" s="85">
        <f t="shared" si="90"/>
        <v>7.9461215453947069</v>
      </c>
      <c r="BL75" s="85">
        <f t="shared" si="91"/>
        <v>3.267490922994281E-2</v>
      </c>
      <c r="BM75" s="85">
        <f t="shared" si="92"/>
        <v>7.8324828254098797</v>
      </c>
      <c r="BN75" s="85">
        <f t="shared" si="93"/>
        <v>3.2911089993337188E-2</v>
      </c>
      <c r="BO75" s="85">
        <f t="shared" si="94"/>
        <v>7.7809997037129097</v>
      </c>
      <c r="BP75" s="85">
        <f t="shared" si="95"/>
        <v>3.3019788891265493E-2</v>
      </c>
      <c r="BQ75" s="85">
        <f t="shared" si="96"/>
        <v>7.7575542919674891</v>
      </c>
      <c r="BR75" s="85">
        <f t="shared" si="97"/>
        <v>3.3069648580780278E-2</v>
      </c>
      <c r="BS75" s="85">
        <f t="shared" si="98"/>
        <v>7.7468518667222526</v>
      </c>
      <c r="BT75" s="85">
        <f t="shared" si="99"/>
        <v>3.3092483875269439E-2</v>
      </c>
      <c r="BU75" s="85">
        <f t="shared" si="100"/>
        <v>7.7419610846379943</v>
      </c>
      <c r="BV75" s="85">
        <f t="shared" si="101"/>
        <v>3.3102934881980038E-2</v>
      </c>
      <c r="BW75" s="85">
        <f t="shared" si="102"/>
        <v>7.7397249898138059</v>
      </c>
    </row>
    <row r="76" spans="25:75" x14ac:dyDescent="0.4">
      <c r="Y76" s="142">
        <v>9.1000000000000004E-3</v>
      </c>
      <c r="Z76" s="46">
        <f t="shared" si="54"/>
        <v>9.2863243012005555E-4</v>
      </c>
      <c r="AA76" s="84">
        <f t="shared" si="55"/>
        <v>26.504427480821224</v>
      </c>
      <c r="AB76" s="84">
        <f t="shared" si="56"/>
        <v>2.8776726707532251E-3</v>
      </c>
      <c r="AC76" s="84">
        <f t="shared" si="57"/>
        <v>82.560559599897459</v>
      </c>
      <c r="AD76" s="84">
        <f t="shared" si="58"/>
        <v>1.630475555345696E-3</v>
      </c>
      <c r="AE76" s="84">
        <f t="shared" si="59"/>
        <v>145.27931099541246</v>
      </c>
      <c r="AF76" s="84">
        <f t="shared" si="60"/>
        <v>1.2291325513713151E-3</v>
      </c>
      <c r="AG76" s="84">
        <f t="shared" si="61"/>
        <v>192.53226457400334</v>
      </c>
      <c r="AH76" s="84">
        <f t="shared" si="62"/>
        <v>1.0676990260296852E-3</v>
      </c>
      <c r="AI76" s="84">
        <f t="shared" si="63"/>
        <v>221.55742180140615</v>
      </c>
      <c r="AJ76" s="84">
        <f t="shared" si="64"/>
        <v>9.9530790807309324E-4</v>
      </c>
      <c r="AK76" s="84">
        <f t="shared" si="65"/>
        <v>237.63083738366285</v>
      </c>
      <c r="AL76" s="84">
        <f t="shared" si="66"/>
        <v>9.610571340251346E-4</v>
      </c>
      <c r="AM76" s="84">
        <f t="shared" si="67"/>
        <v>246.07960276089477</v>
      </c>
      <c r="AN76" s="84">
        <f t="shared" si="68"/>
        <v>9.4441482876884704E-4</v>
      </c>
      <c r="AO76" s="84">
        <f t="shared" si="69"/>
        <v>250.40604740923141</v>
      </c>
      <c r="AP76" s="84">
        <f t="shared" si="70"/>
        <v>9.3622061447980534E-4</v>
      </c>
      <c r="AQ76" s="84">
        <f t="shared" si="71"/>
        <v>252.59278195241424</v>
      </c>
      <c r="AR76" s="84">
        <f t="shared" si="72"/>
        <v>9.3215930263297012E-4</v>
      </c>
      <c r="AS76" s="84">
        <f t="shared" si="73"/>
        <v>253.69084627596766</v>
      </c>
      <c r="AT76" s="84">
        <f t="shared" si="74"/>
        <v>9.3013975622938713E-4</v>
      </c>
      <c r="AU76" s="84">
        <f t="shared" si="75"/>
        <v>254.24044446070798</v>
      </c>
      <c r="AV76" s="84">
        <f t="shared" si="76"/>
        <v>9.2913385865878129E-4</v>
      </c>
      <c r="AW76" s="84">
        <f t="shared" si="77"/>
        <v>254.5150802125373</v>
      </c>
      <c r="AX76" s="84">
        <f t="shared" si="78"/>
        <v>9.2863243012005555E-4</v>
      </c>
      <c r="AY76" s="142">
        <v>9.1000000000000004E-3</v>
      </c>
      <c r="AZ76" s="46">
        <f t="shared" si="79"/>
        <v>3.4163427996744253E-2</v>
      </c>
      <c r="BA76" s="85">
        <f t="shared" si="80"/>
        <v>26.504427480821224</v>
      </c>
      <c r="BB76" s="85">
        <f t="shared" si="81"/>
        <v>1.8200000000000001E-2</v>
      </c>
      <c r="BC76" s="85">
        <f t="shared" si="82"/>
        <v>13.554189190403877</v>
      </c>
      <c r="BD76" s="85">
        <f t="shared" si="83"/>
        <v>2.5450354152826541E-2</v>
      </c>
      <c r="BE76" s="85">
        <f t="shared" si="84"/>
        <v>9.8718089690673558</v>
      </c>
      <c r="BF76" s="85">
        <f t="shared" si="85"/>
        <v>2.9821688561835889E-2</v>
      </c>
      <c r="BG76" s="85">
        <f t="shared" si="86"/>
        <v>8.5192575212406538</v>
      </c>
      <c r="BH76" s="85">
        <f t="shared" si="87"/>
        <v>3.210182541886171E-2</v>
      </c>
      <c r="BI76" s="85">
        <f t="shared" si="88"/>
        <v>7.9605729842647461</v>
      </c>
      <c r="BJ76" s="85">
        <f t="shared" si="89"/>
        <v>3.3209201823173252E-2</v>
      </c>
      <c r="BK76" s="85">
        <f t="shared" si="90"/>
        <v>7.7170685441448814</v>
      </c>
      <c r="BL76" s="85">
        <f t="shared" si="91"/>
        <v>3.3729074362675499E-2</v>
      </c>
      <c r="BM76" s="85">
        <f t="shared" si="92"/>
        <v>7.6083003440628989</v>
      </c>
      <c r="BN76" s="85">
        <f t="shared" si="93"/>
        <v>3.3969314080283738E-2</v>
      </c>
      <c r="BO76" s="85">
        <f t="shared" si="94"/>
        <v>7.5591689303834269</v>
      </c>
      <c r="BP76" s="85">
        <f t="shared" si="95"/>
        <v>3.4079528399498432E-2</v>
      </c>
      <c r="BQ76" s="85">
        <f t="shared" si="96"/>
        <v>7.5368622745288025</v>
      </c>
      <c r="BR76" s="85">
        <f t="shared" si="97"/>
        <v>3.4129923287224209E-2</v>
      </c>
      <c r="BS76" s="85">
        <f t="shared" si="98"/>
        <v>7.5267109867706479</v>
      </c>
      <c r="BT76" s="85">
        <f t="shared" si="99"/>
        <v>3.4152931074627926E-2</v>
      </c>
      <c r="BU76" s="85">
        <f t="shared" si="100"/>
        <v>7.5220864414065254</v>
      </c>
      <c r="BV76" s="85">
        <f t="shared" si="101"/>
        <v>3.4163427996744253E-2</v>
      </c>
      <c r="BW76" s="85">
        <f t="shared" si="102"/>
        <v>7.5199786517714697</v>
      </c>
    </row>
    <row r="77" spans="25:75" x14ac:dyDescent="0.4">
      <c r="Y77" s="142">
        <v>9.4000000000000004E-3</v>
      </c>
      <c r="Z77" s="46">
        <f t="shared" si="54"/>
        <v>9.5987887179880161E-4</v>
      </c>
      <c r="AA77" s="84">
        <f t="shared" si="55"/>
        <v>25.677382217381272</v>
      </c>
      <c r="AB77" s="84">
        <f t="shared" si="56"/>
        <v>2.9725410005582765E-3</v>
      </c>
      <c r="AC77" s="84">
        <f t="shared" si="57"/>
        <v>79.943834205788832</v>
      </c>
      <c r="AD77" s="84">
        <f t="shared" si="58"/>
        <v>1.6846540859045487E-3</v>
      </c>
      <c r="AE77" s="84">
        <f t="shared" si="59"/>
        <v>140.62531324556181</v>
      </c>
      <c r="AF77" s="84">
        <f t="shared" si="60"/>
        <v>1.2701981476397125E-3</v>
      </c>
      <c r="AG77" s="84">
        <f t="shared" si="61"/>
        <v>186.32592429454712</v>
      </c>
      <c r="AH77" s="84">
        <f t="shared" si="62"/>
        <v>1.1034853819029816E-3</v>
      </c>
      <c r="AI77" s="84">
        <f t="shared" si="63"/>
        <v>214.39052949702756</v>
      </c>
      <c r="AJ77" s="84">
        <f t="shared" si="64"/>
        <v>1.0287276858782131E-3</v>
      </c>
      <c r="AK77" s="84">
        <f t="shared" si="65"/>
        <v>229.92934328409993</v>
      </c>
      <c r="AL77" s="84">
        <f t="shared" si="66"/>
        <v>9.933585336731332E-4</v>
      </c>
      <c r="AM77" s="84">
        <f t="shared" si="67"/>
        <v>238.096060405168</v>
      </c>
      <c r="AN77" s="84">
        <f t="shared" si="68"/>
        <v>9.7617374266106534E-4</v>
      </c>
      <c r="AO77" s="84">
        <f t="shared" si="69"/>
        <v>242.27764210168669</v>
      </c>
      <c r="AP77" s="84">
        <f t="shared" si="70"/>
        <v>9.6771295993853135E-4</v>
      </c>
      <c r="AQ77" s="84">
        <f t="shared" si="71"/>
        <v>244.39096773545114</v>
      </c>
      <c r="AR77" s="84">
        <f t="shared" si="72"/>
        <v>9.6351981609471549E-4</v>
      </c>
      <c r="AS77" s="84">
        <f t="shared" si="73"/>
        <v>245.45208198911638</v>
      </c>
      <c r="AT77" s="84">
        <f t="shared" si="74"/>
        <v>9.614348633272897E-4</v>
      </c>
      <c r="AU77" s="84">
        <f t="shared" si="75"/>
        <v>245.98314410079882</v>
      </c>
      <c r="AV77" s="84">
        <f t="shared" si="76"/>
        <v>9.603964639139799E-4</v>
      </c>
      <c r="AW77" s="84">
        <f t="shared" si="77"/>
        <v>246.24849687908468</v>
      </c>
      <c r="AX77" s="84">
        <f t="shared" si="78"/>
        <v>9.5987887179880161E-4</v>
      </c>
      <c r="AY77" s="142">
        <v>9.4000000000000004E-3</v>
      </c>
      <c r="AZ77" s="46">
        <f t="shared" si="79"/>
        <v>3.5219823156077183E-2</v>
      </c>
      <c r="BA77" s="85">
        <f t="shared" si="80"/>
        <v>25.677382217381272</v>
      </c>
      <c r="BB77" s="85">
        <f t="shared" si="81"/>
        <v>1.8800000000000001E-2</v>
      </c>
      <c r="BC77" s="85">
        <f t="shared" si="82"/>
        <v>13.141350998628713</v>
      </c>
      <c r="BD77" s="85">
        <f t="shared" si="83"/>
        <v>2.6279265011142264E-2</v>
      </c>
      <c r="BE77" s="85">
        <f t="shared" si="84"/>
        <v>9.5806057097616542</v>
      </c>
      <c r="BF77" s="85">
        <f t="shared" si="85"/>
        <v>3.077774085288423E-2</v>
      </c>
      <c r="BG77" s="85">
        <f t="shared" si="86"/>
        <v>8.2748704523014247</v>
      </c>
      <c r="BH77" s="85">
        <f t="shared" si="87"/>
        <v>3.311712447848876E-2</v>
      </c>
      <c r="BI77" s="85">
        <f t="shared" si="88"/>
        <v>7.7366912600499855</v>
      </c>
      <c r="BJ77" s="85">
        <f t="shared" si="89"/>
        <v>3.4249606724640051E-2</v>
      </c>
      <c r="BK77" s="85">
        <f t="shared" si="90"/>
        <v>7.5027230634141091</v>
      </c>
      <c r="BL77" s="85">
        <f t="shared" si="91"/>
        <v>3.4779534422409303E-2</v>
      </c>
      <c r="BM77" s="85">
        <f t="shared" si="92"/>
        <v>7.3985073937163497</v>
      </c>
      <c r="BN77" s="85">
        <f t="shared" si="93"/>
        <v>3.502363079378093E-2</v>
      </c>
      <c r="BO77" s="85">
        <f t="shared" si="94"/>
        <v>7.3515712650890039</v>
      </c>
      <c r="BP77" s="85">
        <f t="shared" si="95"/>
        <v>3.5135257145098429E-2</v>
      </c>
      <c r="BQ77" s="85">
        <f t="shared" si="96"/>
        <v>7.3303259422394476</v>
      </c>
      <c r="BR77" s="85">
        <f t="shared" si="97"/>
        <v>3.5186136178829028E-2</v>
      </c>
      <c r="BS77" s="85">
        <f t="shared" si="98"/>
        <v>7.3206874005738065</v>
      </c>
      <c r="BT77" s="85">
        <f t="shared" si="99"/>
        <v>3.520929189250134E-2</v>
      </c>
      <c r="BU77" s="85">
        <f t="shared" si="100"/>
        <v>7.3163100610410234</v>
      </c>
      <c r="BV77" s="85">
        <f t="shared" si="101"/>
        <v>3.5219823156077183E-2</v>
      </c>
      <c r="BW77" s="85">
        <f t="shared" si="102"/>
        <v>7.3143211557349499</v>
      </c>
    </row>
    <row r="78" spans="25:75" x14ac:dyDescent="0.4">
      <c r="Y78" s="142">
        <v>9.7000000000000003E-3</v>
      </c>
      <c r="Z78" s="46">
        <f t="shared" si="54"/>
        <v>9.9116662354974887E-4</v>
      </c>
      <c r="AA78" s="84">
        <f t="shared" si="55"/>
        <v>24.90152372015709</v>
      </c>
      <c r="AB78" s="84">
        <f t="shared" si="56"/>
        <v>3.0674093303633279E-3</v>
      </c>
      <c r="AC78" s="84">
        <f t="shared" si="57"/>
        <v>77.488977860576227</v>
      </c>
      <c r="AD78" s="84">
        <f t="shared" si="58"/>
        <v>1.7388604485614008E-3</v>
      </c>
      <c r="AE78" s="84">
        <f t="shared" si="59"/>
        <v>136.25916766303149</v>
      </c>
      <c r="AF78" s="84">
        <f t="shared" si="60"/>
        <v>1.3112993005613904E-3</v>
      </c>
      <c r="AG78" s="84">
        <f t="shared" si="61"/>
        <v>180.50344407195851</v>
      </c>
      <c r="AH78" s="84">
        <f t="shared" si="62"/>
        <v>1.1393101041762522E-3</v>
      </c>
      <c r="AI78" s="84">
        <f t="shared" si="63"/>
        <v>207.66691373271391</v>
      </c>
      <c r="AJ78" s="84">
        <f t="shared" si="64"/>
        <v>1.0621871449873988E-3</v>
      </c>
      <c r="AK78" s="84">
        <f t="shared" si="65"/>
        <v>222.70419865362817</v>
      </c>
      <c r="AL78" s="84">
        <f t="shared" si="66"/>
        <v>1.0257003246592761E-3</v>
      </c>
      <c r="AM78" s="84">
        <f t="shared" si="67"/>
        <v>230.60631813743001</v>
      </c>
      <c r="AN78" s="84">
        <f t="shared" si="68"/>
        <v>1.0079734535394828E-3</v>
      </c>
      <c r="AO78" s="84">
        <f t="shared" si="69"/>
        <v>234.65200048450674</v>
      </c>
      <c r="AP78" s="84">
        <f t="shared" si="70"/>
        <v>9.9924633694783971E-4</v>
      </c>
      <c r="AQ78" s="84">
        <f t="shared" si="71"/>
        <v>236.69645984501742</v>
      </c>
      <c r="AR78" s="84">
        <f t="shared" si="72"/>
        <v>9.9492149597397344E-4</v>
      </c>
      <c r="AS78" s="84">
        <f t="shared" si="73"/>
        <v>237.72291071642712</v>
      </c>
      <c r="AT78" s="84">
        <f t="shared" si="74"/>
        <v>9.927712135149795E-4</v>
      </c>
      <c r="AU78" s="84">
        <f t="shared" si="75"/>
        <v>238.23658396171845</v>
      </c>
      <c r="AV78" s="84">
        <f t="shared" si="76"/>
        <v>9.9170035532307422E-4</v>
      </c>
      <c r="AW78" s="84">
        <f t="shared" si="77"/>
        <v>238.49322833816078</v>
      </c>
      <c r="AX78" s="84">
        <f t="shared" si="78"/>
        <v>9.9116662354974887E-4</v>
      </c>
      <c r="AY78" s="142">
        <v>9.7000000000000003E-3</v>
      </c>
      <c r="AZ78" s="46">
        <f t="shared" si="79"/>
        <v>3.6272158859478008E-2</v>
      </c>
      <c r="BA78" s="85">
        <f t="shared" si="80"/>
        <v>24.90152372015709</v>
      </c>
      <c r="BB78" s="85">
        <f t="shared" si="81"/>
        <v>1.9400000000000001E-2</v>
      </c>
      <c r="BC78" s="85">
        <f t="shared" si="82"/>
        <v>12.754103736316965</v>
      </c>
      <c r="BD78" s="85">
        <f t="shared" si="83"/>
        <v>2.710751573725264E-2</v>
      </c>
      <c r="BE78" s="85">
        <f t="shared" si="84"/>
        <v>9.3074925282546346</v>
      </c>
      <c r="BF78" s="85">
        <f t="shared" si="85"/>
        <v>3.1732065565356724E-2</v>
      </c>
      <c r="BG78" s="85">
        <f t="shared" si="86"/>
        <v>8.0456883047350161</v>
      </c>
      <c r="BH78" s="85">
        <f t="shared" si="87"/>
        <v>3.4129748596975588E-2</v>
      </c>
      <c r="BI78" s="85">
        <f t="shared" si="88"/>
        <v>7.5267461233644726</v>
      </c>
      <c r="BJ78" s="85">
        <f t="shared" si="89"/>
        <v>3.5286700984818578E-2</v>
      </c>
      <c r="BK78" s="85">
        <f t="shared" si="90"/>
        <v>7.3017186913747878</v>
      </c>
      <c r="BL78" s="85">
        <f t="shared" si="91"/>
        <v>3.5826315200572528E-2</v>
      </c>
      <c r="BM78" s="85">
        <f t="shared" si="92"/>
        <v>7.2017669351730893</v>
      </c>
      <c r="BN78" s="85">
        <f t="shared" si="93"/>
        <v>3.6074071340809519E-2</v>
      </c>
      <c r="BO78" s="85">
        <f t="shared" si="94"/>
        <v>7.1568841396138012</v>
      </c>
      <c r="BP78" s="85">
        <f t="shared" si="95"/>
        <v>3.6187009778979679E-2</v>
      </c>
      <c r="BQ78" s="85">
        <f t="shared" si="96"/>
        <v>7.1366299140968179</v>
      </c>
      <c r="BR78" s="85">
        <f t="shared" si="97"/>
        <v>3.6238323954536703E-2</v>
      </c>
      <c r="BS78" s="85">
        <f t="shared" si="98"/>
        <v>7.1274693101978182</v>
      </c>
      <c r="BT78" s="85">
        <f t="shared" si="99"/>
        <v>3.6261604190550183E-2</v>
      </c>
      <c r="BU78" s="85">
        <f t="shared" si="100"/>
        <v>7.1233219345747045</v>
      </c>
      <c r="BV78" s="85">
        <f t="shared" si="101"/>
        <v>3.6272158859478008E-2</v>
      </c>
      <c r="BW78" s="85">
        <f t="shared" si="102"/>
        <v>7.121443386204712</v>
      </c>
    </row>
    <row r="79" spans="25:75" x14ac:dyDescent="0.4">
      <c r="Y79" s="142">
        <v>0.01</v>
      </c>
      <c r="Z79" s="46">
        <f t="shared" si="54"/>
        <v>1.0224957707466683E-3</v>
      </c>
      <c r="AA79" s="84">
        <f t="shared" si="55"/>
        <v>24.172245114341084</v>
      </c>
      <c r="AB79" s="84">
        <f t="shared" si="56"/>
        <v>3.1622776601683794E-3</v>
      </c>
      <c r="AC79" s="84">
        <f t="shared" si="57"/>
        <v>75.181422342933516</v>
      </c>
      <c r="AD79" s="84">
        <f t="shared" si="58"/>
        <v>1.7930946957585572E-3</v>
      </c>
      <c r="AE79" s="84">
        <f t="shared" si="59"/>
        <v>132.15496786865208</v>
      </c>
      <c r="AF79" s="84">
        <f t="shared" si="60"/>
        <v>1.3524360792471315E-3</v>
      </c>
      <c r="AG79" s="84">
        <f t="shared" si="61"/>
        <v>175.03027718230786</v>
      </c>
      <c r="AH79" s="84">
        <f t="shared" si="62"/>
        <v>1.1751732696058225E-3</v>
      </c>
      <c r="AI79" s="84">
        <f t="shared" si="63"/>
        <v>201.34668056521505</v>
      </c>
      <c r="AJ79" s="84">
        <f t="shared" si="64"/>
        <v>1.0956863661476094E-3</v>
      </c>
      <c r="AK79" s="84">
        <f t="shared" si="65"/>
        <v>215.912533143134</v>
      </c>
      <c r="AL79" s="84">
        <f t="shared" si="66"/>
        <v>1.0580825898952159E-3</v>
      </c>
      <c r="AM79" s="84">
        <f t="shared" si="67"/>
        <v>223.56593513911102</v>
      </c>
      <c r="AN79" s="84">
        <f t="shared" si="68"/>
        <v>1.039814045493443E-3</v>
      </c>
      <c r="AO79" s="84">
        <f t="shared" si="69"/>
        <v>227.48387506012537</v>
      </c>
      <c r="AP79" s="84">
        <f t="shared" si="70"/>
        <v>1.0308208302312997E-3</v>
      </c>
      <c r="AQ79" s="84">
        <f t="shared" si="71"/>
        <v>229.4636019695233</v>
      </c>
      <c r="AR79" s="84">
        <f t="shared" si="72"/>
        <v>1.026364427331068E-3</v>
      </c>
      <c r="AS79" s="84">
        <f t="shared" si="73"/>
        <v>230.45747035623918</v>
      </c>
      <c r="AT79" s="84">
        <f t="shared" si="74"/>
        <v>1.0241488920289931E-3</v>
      </c>
      <c r="AU79" s="84">
        <f t="shared" si="75"/>
        <v>230.95479869918475</v>
      </c>
      <c r="AV79" s="84">
        <f t="shared" si="76"/>
        <v>1.0230456182135285E-3</v>
      </c>
      <c r="AW79" s="84">
        <f t="shared" si="77"/>
        <v>231.20325753704628</v>
      </c>
      <c r="AX79" s="84">
        <f t="shared" si="78"/>
        <v>1.0224957707466683E-3</v>
      </c>
      <c r="AY79" s="142">
        <v>0.01</v>
      </c>
      <c r="AZ79" s="46">
        <f t="shared" si="79"/>
        <v>3.7320473554805104E-2</v>
      </c>
      <c r="BA79" s="85">
        <f t="shared" si="80"/>
        <v>24.172245114341084</v>
      </c>
      <c r="BB79" s="85">
        <f t="shared" si="81"/>
        <v>0.02</v>
      </c>
      <c r="BC79" s="85">
        <f t="shared" si="82"/>
        <v>12.390143975155075</v>
      </c>
      <c r="BD79" s="85">
        <f t="shared" si="83"/>
        <v>2.7935105375402221E-2</v>
      </c>
      <c r="BE79" s="85">
        <f t="shared" si="84"/>
        <v>9.050840689967286</v>
      </c>
      <c r="BF79" s="85">
        <f t="shared" si="85"/>
        <v>3.2684664400877965E-2</v>
      </c>
      <c r="BG79" s="85">
        <f t="shared" si="86"/>
        <v>7.8303415547972097</v>
      </c>
      <c r="BH79" s="85">
        <f t="shared" si="87"/>
        <v>3.5139707111232661E-2</v>
      </c>
      <c r="BI79" s="85">
        <f t="shared" si="88"/>
        <v>7.3294818176717733</v>
      </c>
      <c r="BJ79" s="85">
        <f t="shared" si="89"/>
        <v>3.6320503007779198E-2</v>
      </c>
      <c r="BK79" s="85">
        <f t="shared" si="90"/>
        <v>7.1128530185816894</v>
      </c>
      <c r="BL79" s="85">
        <f t="shared" si="91"/>
        <v>3.6869442709065101E-2</v>
      </c>
      <c r="BM79" s="85">
        <f t="shared" si="92"/>
        <v>7.016902415255025</v>
      </c>
      <c r="BN79" s="85">
        <f t="shared" si="93"/>
        <v>3.7120667068631472E-2</v>
      </c>
      <c r="BO79" s="85">
        <f t="shared" si="94"/>
        <v>6.9739437409787852</v>
      </c>
      <c r="BP79" s="85">
        <f t="shared" si="95"/>
        <v>3.7234821019237592E-2</v>
      </c>
      <c r="BQ79" s="85">
        <f t="shared" si="96"/>
        <v>6.9546167053003369</v>
      </c>
      <c r="BR79" s="85">
        <f t="shared" si="97"/>
        <v>3.728652332471883E-2</v>
      </c>
      <c r="BS79" s="85">
        <f t="shared" si="98"/>
        <v>6.9459023857442297</v>
      </c>
      <c r="BT79" s="85">
        <f t="shared" si="99"/>
        <v>3.730990580348742E-2</v>
      </c>
      <c r="BU79" s="85">
        <f t="shared" si="100"/>
        <v>6.9419693072123456</v>
      </c>
      <c r="BV79" s="85">
        <f t="shared" si="101"/>
        <v>3.7320473554805104E-2</v>
      </c>
      <c r="BW79" s="85">
        <f t="shared" si="102"/>
        <v>6.9401933749202209</v>
      </c>
    </row>
    <row r="80" spans="25:75" x14ac:dyDescent="0.4">
      <c r="Y80" s="142">
        <v>1.03E-2</v>
      </c>
      <c r="Z80" s="46">
        <f t="shared" si="54"/>
        <v>1.0538663983512774E-3</v>
      </c>
      <c r="AA80" s="84">
        <f t="shared" si="55"/>
        <v>23.485476248552192</v>
      </c>
      <c r="AB80" s="84">
        <f t="shared" si="56"/>
        <v>3.2571459899734304E-3</v>
      </c>
      <c r="AC80" s="84">
        <f t="shared" si="57"/>
        <v>73.008296700043516</v>
      </c>
      <c r="AD80" s="84">
        <f t="shared" si="58"/>
        <v>1.847356879528775E-3</v>
      </c>
      <c r="AE80" s="84">
        <f t="shared" si="59"/>
        <v>128.2898257009119</v>
      </c>
      <c r="AF80" s="84">
        <f t="shared" si="60"/>
        <v>1.3936085523621436E-3</v>
      </c>
      <c r="AG80" s="84">
        <f t="shared" si="61"/>
        <v>169.87590175962325</v>
      </c>
      <c r="AH80" s="84">
        <f t="shared" si="62"/>
        <v>1.2110749545121821E-3</v>
      </c>
      <c r="AI80" s="84">
        <f t="shared" si="63"/>
        <v>195.39458388476308</v>
      </c>
      <c r="AJ80" s="84">
        <f t="shared" si="64"/>
        <v>1.1292254296804277E-3</v>
      </c>
      <c r="AK80" s="84">
        <f t="shared" si="65"/>
        <v>209.51647100176288</v>
      </c>
      <c r="AL80" s="84">
        <f t="shared" si="66"/>
        <v>1.0905054118737273E-3</v>
      </c>
      <c r="AM80" s="84">
        <f t="shared" si="67"/>
        <v>216.93564815666977</v>
      </c>
      <c r="AN80" s="84">
        <f t="shared" si="68"/>
        <v>1.0716956021969263E-3</v>
      </c>
      <c r="AO80" s="84">
        <f t="shared" si="69"/>
        <v>220.73328987772905</v>
      </c>
      <c r="AP80" s="84">
        <f t="shared" si="70"/>
        <v>1.0624365240988979E-3</v>
      </c>
      <c r="AQ80" s="84">
        <f t="shared" si="71"/>
        <v>222.65205697279558</v>
      </c>
      <c r="AR80" s="84">
        <f t="shared" si="72"/>
        <v>1.0578486948136037E-3</v>
      </c>
      <c r="AS80" s="84">
        <f t="shared" si="73"/>
        <v>223.61524195777099</v>
      </c>
      <c r="AT80" s="84">
        <f t="shared" si="74"/>
        <v>1.0555679836935527E-3</v>
      </c>
      <c r="AU80" s="84">
        <f t="shared" si="75"/>
        <v>224.0971781480203</v>
      </c>
      <c r="AV80" s="84">
        <f t="shared" si="76"/>
        <v>1.0544323375006753E-3</v>
      </c>
      <c r="AW80" s="84">
        <f t="shared" si="77"/>
        <v>224.3379286263897</v>
      </c>
      <c r="AX80" s="84">
        <f t="shared" si="78"/>
        <v>1.0538663983512774E-3</v>
      </c>
      <c r="AY80" s="142">
        <v>1.03E-2</v>
      </c>
      <c r="AZ80" s="46">
        <f t="shared" si="79"/>
        <v>3.8364805614644254E-2</v>
      </c>
      <c r="BA80" s="85">
        <f t="shared" si="80"/>
        <v>23.485476248552192</v>
      </c>
      <c r="BB80" s="85">
        <f t="shared" si="81"/>
        <v>2.06E-2</v>
      </c>
      <c r="BC80" s="85">
        <f t="shared" si="82"/>
        <v>12.047436648508096</v>
      </c>
      <c r="BD80" s="85">
        <f t="shared" si="83"/>
        <v>2.8762033014962187E-2</v>
      </c>
      <c r="BE80" s="85">
        <f t="shared" si="84"/>
        <v>8.8092112205265742</v>
      </c>
      <c r="BF80" s="85">
        <f t="shared" si="85"/>
        <v>3.3635539225490667E-2</v>
      </c>
      <c r="BG80" s="85">
        <f t="shared" si="86"/>
        <v>7.6276202469009355</v>
      </c>
      <c r="BH80" s="85">
        <f t="shared" si="87"/>
        <v>3.6147009616634654E-2</v>
      </c>
      <c r="BI80" s="85">
        <f t="shared" si="88"/>
        <v>7.1437889099107634</v>
      </c>
      <c r="BJ80" s="85">
        <f t="shared" si="89"/>
        <v>3.7351031458652414E-2</v>
      </c>
      <c r="BK80" s="85">
        <f t="shared" si="90"/>
        <v>6.9350637536192981</v>
      </c>
      <c r="BL80" s="85">
        <f t="shared" si="91"/>
        <v>3.7908943157846008E-2</v>
      </c>
      <c r="BM80" s="85">
        <f t="shared" si="92"/>
        <v>6.8428743942697832</v>
      </c>
      <c r="BN80" s="85">
        <f t="shared" si="93"/>
        <v>3.8163449440248562E-2</v>
      </c>
      <c r="BO80" s="85">
        <f t="shared" si="94"/>
        <v>6.801721890716963</v>
      </c>
      <c r="BP80" s="85">
        <f t="shared" si="95"/>
        <v>3.8278725626117033E-2</v>
      </c>
      <c r="BQ80" s="85">
        <f t="shared" si="96"/>
        <v>6.7832637314359161</v>
      </c>
      <c r="BR80" s="85">
        <f t="shared" si="97"/>
        <v>3.8330770986446445E-2</v>
      </c>
      <c r="BS80" s="85">
        <f t="shared" si="98"/>
        <v>6.7749668317543428</v>
      </c>
      <c r="BT80" s="85">
        <f t="shared" si="99"/>
        <v>3.8354234514903392E-2</v>
      </c>
      <c r="BU80" s="85">
        <f t="shared" si="100"/>
        <v>6.77123377579401</v>
      </c>
      <c r="BV80" s="85">
        <f t="shared" si="101"/>
        <v>3.8364805614644254E-2</v>
      </c>
      <c r="BW80" s="85">
        <f t="shared" si="102"/>
        <v>6.7695534138456326</v>
      </c>
    </row>
    <row r="81" spans="25:75" x14ac:dyDescent="0.4">
      <c r="Y81" s="142">
        <v>1.06E-2</v>
      </c>
      <c r="Z81" s="46">
        <f t="shared" si="54"/>
        <v>1.0852785909142655E-3</v>
      </c>
      <c r="AA81" s="84">
        <f t="shared" si="55"/>
        <v>22.837607743407279</v>
      </c>
      <c r="AB81" s="84">
        <f t="shared" si="56"/>
        <v>3.3520143197784819E-3</v>
      </c>
      <c r="AC81" s="84">
        <f t="shared" si="57"/>
        <v>70.958187068091974</v>
      </c>
      <c r="AD81" s="84">
        <f t="shared" si="58"/>
        <v>1.901647051496873E-3</v>
      </c>
      <c r="AE81" s="84">
        <f t="shared" si="59"/>
        <v>124.64344410968695</v>
      </c>
      <c r="AF81" s="84">
        <f t="shared" si="60"/>
        <v>1.4348167881275741E-3</v>
      </c>
      <c r="AG81" s="84">
        <f t="shared" si="61"/>
        <v>165.01325124052565</v>
      </c>
      <c r="AH81" s="84">
        <f t="shared" si="62"/>
        <v>1.2470152347813131E-3</v>
      </c>
      <c r="AI81" s="84">
        <f t="shared" si="63"/>
        <v>189.77936770279754</v>
      </c>
      <c r="AJ81" s="84">
        <f t="shared" si="64"/>
        <v>1.1628044154832595E-3</v>
      </c>
      <c r="AK81" s="84">
        <f t="shared" si="65"/>
        <v>203.48242429416052</v>
      </c>
      <c r="AL81" s="84">
        <f t="shared" si="66"/>
        <v>1.1229688726698299E-3</v>
      </c>
      <c r="AM81" s="84">
        <f t="shared" si="67"/>
        <v>210.68063882731201</v>
      </c>
      <c r="AN81" s="84">
        <f t="shared" si="68"/>
        <v>1.1036182069096298E-3</v>
      </c>
      <c r="AO81" s="84">
        <f t="shared" si="69"/>
        <v>214.36479455967617</v>
      </c>
      <c r="AP81" s="84">
        <f t="shared" si="70"/>
        <v>1.0940935024480927E-3</v>
      </c>
      <c r="AQ81" s="84">
        <f t="shared" si="71"/>
        <v>216.22605418059197</v>
      </c>
      <c r="AR81" s="84">
        <f t="shared" si="72"/>
        <v>1.0893743826575081E-3</v>
      </c>
      <c r="AS81" s="84">
        <f t="shared" si="73"/>
        <v>217.16029361488026</v>
      </c>
      <c r="AT81" s="84">
        <f t="shared" si="74"/>
        <v>1.0870285729215994E-3</v>
      </c>
      <c r="AU81" s="84">
        <f t="shared" si="75"/>
        <v>217.62770951380534</v>
      </c>
      <c r="AV81" s="84">
        <f t="shared" si="76"/>
        <v>1.085860597688743E-3</v>
      </c>
      <c r="AW81" s="84">
        <f t="shared" si="77"/>
        <v>217.8611882993703</v>
      </c>
      <c r="AX81" s="84">
        <f t="shared" si="78"/>
        <v>1.0852785909142655E-3</v>
      </c>
      <c r="AY81" s="142">
        <v>1.06E-2</v>
      </c>
      <c r="AZ81" s="46">
        <f t="shared" si="79"/>
        <v>3.9405193314243449E-2</v>
      </c>
      <c r="BA81" s="85">
        <f t="shared" si="80"/>
        <v>22.837607743407279</v>
      </c>
      <c r="BB81" s="85">
        <f t="shared" si="81"/>
        <v>2.12E-2</v>
      </c>
      <c r="BC81" s="85">
        <f t="shared" si="82"/>
        <v>11.724177075705523</v>
      </c>
      <c r="BD81" s="85">
        <f t="shared" si="83"/>
        <v>2.9588297789892054E-2</v>
      </c>
      <c r="BE81" s="85">
        <f t="shared" si="84"/>
        <v>8.5813280528796483</v>
      </c>
      <c r="BF81" s="85">
        <f t="shared" si="85"/>
        <v>3.4584692065737853E-2</v>
      </c>
      <c r="BG81" s="85">
        <f t="shared" si="86"/>
        <v>7.4364514131171164</v>
      </c>
      <c r="BH81" s="85">
        <f t="shared" si="87"/>
        <v>3.7151665956461244E-2</v>
      </c>
      <c r="BI81" s="85">
        <f t="shared" si="88"/>
        <v>6.9686835840846655</v>
      </c>
      <c r="BJ81" s="85">
        <f t="shared" si="89"/>
        <v>3.8378305246436602E-2</v>
      </c>
      <c r="BK81" s="85">
        <f t="shared" si="90"/>
        <v>6.7674088945852686</v>
      </c>
      <c r="BL81" s="85">
        <f t="shared" si="91"/>
        <v>3.8944842933463779E-2</v>
      </c>
      <c r="BM81" s="85">
        <f t="shared" si="92"/>
        <v>6.6787611424061781</v>
      </c>
      <c r="BN81" s="85">
        <f t="shared" si="93"/>
        <v>3.9202450011076993E-2</v>
      </c>
      <c r="BO81" s="85">
        <f t="shared" si="94"/>
        <v>6.639306850324469</v>
      </c>
      <c r="BP81" s="85">
        <f t="shared" si="95"/>
        <v>3.9318758378374855E-2</v>
      </c>
      <c r="BQ81" s="85">
        <f t="shared" si="96"/>
        <v>6.6216642176324116</v>
      </c>
      <c r="BR81" s="85">
        <f t="shared" si="97"/>
        <v>3.9371103600255253E-2</v>
      </c>
      <c r="BS81" s="85">
        <f t="shared" si="98"/>
        <v>6.6137583480260105</v>
      </c>
      <c r="BT81" s="85">
        <f t="shared" si="99"/>
        <v>3.939462803463635E-2</v>
      </c>
      <c r="BU81" s="85">
        <f t="shared" si="100"/>
        <v>6.6102122754017509</v>
      </c>
      <c r="BV81" s="85">
        <f t="shared" si="101"/>
        <v>3.9405193314243449E-2</v>
      </c>
      <c r="BW81" s="85">
        <f t="shared" si="102"/>
        <v>6.6086210546659654</v>
      </c>
    </row>
    <row r="82" spans="25:75" x14ac:dyDescent="0.4">
      <c r="Y82" s="142">
        <v>1.0999999999999999E-2</v>
      </c>
      <c r="Z82" s="46">
        <f t="shared" si="54"/>
        <v>1.1272263163029223E-3</v>
      </c>
      <c r="AA82" s="84">
        <f t="shared" si="55"/>
        <v>22.028793578163903</v>
      </c>
      <c r="AB82" s="84">
        <f t="shared" si="56"/>
        <v>3.4785054261852167E-3</v>
      </c>
      <c r="AC82" s="84">
        <f t="shared" si="57"/>
        <v>68.39866958363659</v>
      </c>
      <c r="AD82" s="84">
        <f t="shared" si="58"/>
        <v>1.9740775731184974E-3</v>
      </c>
      <c r="AE82" s="84">
        <f t="shared" si="59"/>
        <v>120.09096086908427</v>
      </c>
      <c r="AF82" s="84">
        <f t="shared" si="60"/>
        <v>1.4898168503556667E-3</v>
      </c>
      <c r="AG82" s="84">
        <f t="shared" si="61"/>
        <v>158.94225853774375</v>
      </c>
      <c r="AH82" s="84">
        <f t="shared" si="62"/>
        <v>1.2949957760544789E-3</v>
      </c>
      <c r="AI82" s="84">
        <f t="shared" si="63"/>
        <v>182.76881092071437</v>
      </c>
      <c r="AJ82" s="84">
        <f t="shared" si="64"/>
        <v>1.2076386351650428E-3</v>
      </c>
      <c r="AK82" s="84">
        <f t="shared" si="65"/>
        <v>195.94897140727042</v>
      </c>
      <c r="AL82" s="84">
        <f t="shared" si="66"/>
        <v>1.1663168440811868E-3</v>
      </c>
      <c r="AM82" s="84">
        <f t="shared" si="67"/>
        <v>202.87132389778932</v>
      </c>
      <c r="AN82" s="84">
        <f t="shared" si="68"/>
        <v>1.146245675450769E-3</v>
      </c>
      <c r="AO82" s="84">
        <f t="shared" si="69"/>
        <v>206.41379847820787</v>
      </c>
      <c r="AP82" s="84">
        <f t="shared" si="70"/>
        <v>1.1363671714560159E-3</v>
      </c>
      <c r="AQ82" s="84">
        <f t="shared" si="71"/>
        <v>208.2032635998824</v>
      </c>
      <c r="AR82" s="84">
        <f t="shared" si="72"/>
        <v>1.1314732096134811E-3</v>
      </c>
      <c r="AS82" s="84">
        <f t="shared" si="73"/>
        <v>209.10136655190382</v>
      </c>
      <c r="AT82" s="84">
        <f t="shared" si="74"/>
        <v>1.1290407221219538E-3</v>
      </c>
      <c r="AU82" s="84">
        <f t="shared" si="75"/>
        <v>209.55065500686086</v>
      </c>
      <c r="AV82" s="84">
        <f t="shared" si="76"/>
        <v>1.1278297090743512E-3</v>
      </c>
      <c r="AW82" s="84">
        <f t="shared" si="77"/>
        <v>209.77505571510196</v>
      </c>
      <c r="AX82" s="84">
        <f t="shared" si="78"/>
        <v>1.1272263163029223E-3</v>
      </c>
      <c r="AY82" s="142">
        <v>1.0999999999999999E-2</v>
      </c>
      <c r="AZ82" s="46">
        <f t="shared" si="79"/>
        <v>4.0786307173776702E-2</v>
      </c>
      <c r="BA82" s="85">
        <f t="shared" si="80"/>
        <v>22.028793578163903</v>
      </c>
      <c r="BB82" s="85">
        <f t="shared" si="81"/>
        <v>2.1999999999999999E-2</v>
      </c>
      <c r="BC82" s="85">
        <f t="shared" si="82"/>
        <v>11.320665807117253</v>
      </c>
      <c r="BD82" s="85">
        <f t="shared" si="83"/>
        <v>3.0688951619267789E-2</v>
      </c>
      <c r="BE82" s="85">
        <f t="shared" si="84"/>
        <v>8.2969220813317435</v>
      </c>
      <c r="BF82" s="85">
        <f t="shared" si="85"/>
        <v>3.5847554339207784E-2</v>
      </c>
      <c r="BG82" s="85">
        <f t="shared" si="86"/>
        <v>7.1978948278647374</v>
      </c>
      <c r="BH82" s="85">
        <f t="shared" si="87"/>
        <v>3.8487108942043942E-2</v>
      </c>
      <c r="BI82" s="85">
        <f t="shared" si="88"/>
        <v>6.7501799617088336</v>
      </c>
      <c r="BJ82" s="85">
        <f t="shared" si="89"/>
        <v>3.9742973926630475E-2</v>
      </c>
      <c r="BK82" s="85">
        <f t="shared" si="90"/>
        <v>6.558198033825561</v>
      </c>
      <c r="BL82" s="85">
        <f t="shared" si="91"/>
        <v>4.0320487483220736E-2</v>
      </c>
      <c r="BM82" s="85">
        <f t="shared" si="92"/>
        <v>6.473961677375593</v>
      </c>
      <c r="BN82" s="85">
        <f t="shared" si="93"/>
        <v>4.0581955973431554E-2</v>
      </c>
      <c r="BO82" s="85">
        <f t="shared" si="94"/>
        <v>6.436618967168477</v>
      </c>
      <c r="BP82" s="85">
        <f t="shared" si="95"/>
        <v>4.0699505931447354E-2</v>
      </c>
      <c r="BQ82" s="85">
        <f t="shared" si="96"/>
        <v>6.4199882847367533</v>
      </c>
      <c r="BR82" s="85">
        <f t="shared" si="97"/>
        <v>4.0752186929536902E-2</v>
      </c>
      <c r="BS82" s="85">
        <f t="shared" si="98"/>
        <v>6.412566511861157</v>
      </c>
      <c r="BT82" s="85">
        <f t="shared" si="99"/>
        <v>4.07757629822968E-2</v>
      </c>
      <c r="BU82" s="85">
        <f t="shared" si="100"/>
        <v>6.4092513507784172</v>
      </c>
      <c r="BV82" s="85">
        <f t="shared" si="101"/>
        <v>4.0786307173776702E-2</v>
      </c>
      <c r="BW82" s="85">
        <f t="shared" si="102"/>
        <v>6.4077699241338912</v>
      </c>
    </row>
    <row r="83" spans="25:75" x14ac:dyDescent="0.4">
      <c r="Y83" s="142">
        <v>1.1299999999999999E-2</v>
      </c>
      <c r="Z83" s="46">
        <f t="shared" si="54"/>
        <v>1.158735820275829E-3</v>
      </c>
      <c r="AA83" s="84">
        <f t="shared" si="55"/>
        <v>21.459789620700615</v>
      </c>
      <c r="AB83" s="84">
        <f t="shared" si="56"/>
        <v>3.5733737559902681E-3</v>
      </c>
      <c r="AC83" s="84">
        <f t="shared" si="57"/>
        <v>66.597956828895178</v>
      </c>
      <c r="AD83" s="84">
        <f t="shared" si="58"/>
        <v>2.0284332493653661E-3</v>
      </c>
      <c r="AE83" s="84">
        <f t="shared" si="59"/>
        <v>116.88808528643071</v>
      </c>
      <c r="AF83" s="84">
        <f t="shared" si="60"/>
        <v>1.5311087951267854E-3</v>
      </c>
      <c r="AG83" s="84">
        <f t="shared" si="61"/>
        <v>154.67103970774062</v>
      </c>
      <c r="AH83" s="84">
        <f t="shared" si="62"/>
        <v>1.3310264048513785E-3</v>
      </c>
      <c r="AI83" s="84">
        <f t="shared" si="63"/>
        <v>177.83657364691263</v>
      </c>
      <c r="AJ83" s="84">
        <f t="shared" si="64"/>
        <v>1.2413110812696064E-3</v>
      </c>
      <c r="AK83" s="84">
        <f t="shared" si="65"/>
        <v>190.64886152357789</v>
      </c>
      <c r="AL83" s="84">
        <f t="shared" si="66"/>
        <v>1.1988754456273675E-3</v>
      </c>
      <c r="AM83" s="84">
        <f t="shared" si="67"/>
        <v>197.37713888145964</v>
      </c>
      <c r="AN83" s="84">
        <f t="shared" si="68"/>
        <v>1.1782643803202675E-3</v>
      </c>
      <c r="AO83" s="84">
        <f t="shared" si="69"/>
        <v>200.81993838151416</v>
      </c>
      <c r="AP83" s="84">
        <f t="shared" si="70"/>
        <v>1.1681208042207474E-3</v>
      </c>
      <c r="AQ83" s="84">
        <f t="shared" si="71"/>
        <v>202.558895218998</v>
      </c>
      <c r="AR83" s="84">
        <f t="shared" si="72"/>
        <v>1.1630958702466576E-3</v>
      </c>
      <c r="AS83" s="84">
        <f t="shared" si="73"/>
        <v>203.43157589740088</v>
      </c>
      <c r="AT83" s="84">
        <f t="shared" si="74"/>
        <v>1.1605984649681001E-3</v>
      </c>
      <c r="AU83" s="84">
        <f t="shared" si="75"/>
        <v>203.86811165179091</v>
      </c>
      <c r="AV83" s="84">
        <f t="shared" si="76"/>
        <v>1.159355224357174E-3</v>
      </c>
      <c r="AW83" s="84">
        <f t="shared" si="77"/>
        <v>204.0861259548262</v>
      </c>
      <c r="AX83" s="84">
        <f t="shared" si="78"/>
        <v>1.158735820275829E-3</v>
      </c>
      <c r="AY83" s="142">
        <v>1.1299999999999999E-2</v>
      </c>
      <c r="AZ83" s="46">
        <f t="shared" si="79"/>
        <v>4.1817639516262384E-2</v>
      </c>
      <c r="BA83" s="85">
        <f t="shared" si="80"/>
        <v>21.459789620700615</v>
      </c>
      <c r="BB83" s="85">
        <f t="shared" si="81"/>
        <v>2.2599999999999999E-2</v>
      </c>
      <c r="BC83" s="85">
        <f t="shared" si="82"/>
        <v>11.036832881263464</v>
      </c>
      <c r="BD83" s="85">
        <f t="shared" si="83"/>
        <v>3.1513666588591928E-2</v>
      </c>
      <c r="BE83" s="85">
        <f t="shared" si="84"/>
        <v>8.0969054452834701</v>
      </c>
      <c r="BF83" s="85">
        <f t="shared" si="85"/>
        <v>3.679269796970519E-2</v>
      </c>
      <c r="BG83" s="85">
        <f t="shared" si="86"/>
        <v>7.0301434078944105</v>
      </c>
      <c r="BH83" s="85">
        <f t="shared" si="87"/>
        <v>3.9485630490832278E-2</v>
      </c>
      <c r="BI83" s="85">
        <f t="shared" si="88"/>
        <v>6.5965346861516672</v>
      </c>
      <c r="BJ83" s="85">
        <f t="shared" si="89"/>
        <v>4.0762728282130248E-2</v>
      </c>
      <c r="BK83" s="85">
        <f t="shared" si="90"/>
        <v>6.4110837549475885</v>
      </c>
      <c r="BL83" s="85">
        <f t="shared" si="91"/>
        <v>4.1348089142247586E-2</v>
      </c>
      <c r="BM83" s="85">
        <f t="shared" si="92"/>
        <v>6.329943409452806</v>
      </c>
      <c r="BN83" s="85">
        <f t="shared" si="93"/>
        <v>4.1612255413366842E-2</v>
      </c>
      <c r="BO83" s="85">
        <f t="shared" si="94"/>
        <v>6.2940799792064732</v>
      </c>
      <c r="BP83" s="85">
        <f t="shared" si="95"/>
        <v>4.1730639546484823E-2</v>
      </c>
      <c r="BQ83" s="85">
        <f t="shared" si="96"/>
        <v>6.2781567232594266</v>
      </c>
      <c r="BR83" s="85">
        <f t="shared" si="97"/>
        <v>4.1783526634441952E-2</v>
      </c>
      <c r="BS83" s="85">
        <f t="shared" si="98"/>
        <v>6.2710725719148641</v>
      </c>
      <c r="BT83" s="85">
        <f t="shared" si="99"/>
        <v>4.1807120467509631E-2</v>
      </c>
      <c r="BU83" s="85">
        <f t="shared" si="100"/>
        <v>6.2679180456344943</v>
      </c>
      <c r="BV83" s="85">
        <f t="shared" si="101"/>
        <v>4.1817639516262384E-2</v>
      </c>
      <c r="BW83" s="85">
        <f t="shared" si="102"/>
        <v>6.2665127929274167</v>
      </c>
    </row>
    <row r="84" spans="25:75" x14ac:dyDescent="0.4">
      <c r="Y84" s="142">
        <v>1.17E-2</v>
      </c>
      <c r="Z84" s="46">
        <f t="shared" si="54"/>
        <v>1.2008135969748767E-3</v>
      </c>
      <c r="AA84" s="84">
        <f t="shared" si="55"/>
        <v>20.74654556769098</v>
      </c>
      <c r="AB84" s="84">
        <f t="shared" si="56"/>
        <v>3.6998648623970038E-3</v>
      </c>
      <c r="AC84" s="84">
        <f t="shared" si="57"/>
        <v>64.340665600669553</v>
      </c>
      <c r="AD84" s="84">
        <f t="shared" si="58"/>
        <v>2.1009512933232062E-3</v>
      </c>
      <c r="AE84" s="84">
        <f t="shared" si="59"/>
        <v>112.87305630347053</v>
      </c>
      <c r="AF84" s="84">
        <f t="shared" si="60"/>
        <v>1.5862207125327764E-3</v>
      </c>
      <c r="AG84" s="84">
        <f t="shared" si="61"/>
        <v>149.31676296141379</v>
      </c>
      <c r="AH84" s="84">
        <f t="shared" si="62"/>
        <v>1.3791276819116042E-3</v>
      </c>
      <c r="AI84" s="84">
        <f t="shared" si="63"/>
        <v>171.65367317238778</v>
      </c>
      <c r="AJ84" s="84">
        <f t="shared" si="64"/>
        <v>1.2862702004320201E-3</v>
      </c>
      <c r="AK84" s="84">
        <f t="shared" si="65"/>
        <v>184.00481768811454</v>
      </c>
      <c r="AL84" s="84">
        <f t="shared" si="66"/>
        <v>1.2423505650843198E-3</v>
      </c>
      <c r="AM84" s="84">
        <f t="shared" si="67"/>
        <v>190.48981629596076</v>
      </c>
      <c r="AN84" s="84">
        <f t="shared" si="68"/>
        <v>1.2210202804500293E-3</v>
      </c>
      <c r="AO84" s="84">
        <f t="shared" si="69"/>
        <v>193.80767123620927</v>
      </c>
      <c r="AP84" s="84">
        <f t="shared" si="70"/>
        <v>1.2105236461610002E-3</v>
      </c>
      <c r="AQ84" s="84">
        <f t="shared" si="71"/>
        <v>195.48331546409398</v>
      </c>
      <c r="AR84" s="84">
        <f t="shared" si="72"/>
        <v>1.2053242958700815E-3</v>
      </c>
      <c r="AS84" s="84">
        <f t="shared" si="73"/>
        <v>196.3241293042762</v>
      </c>
      <c r="AT84" s="84">
        <f t="shared" si="74"/>
        <v>1.202740454587344E-3</v>
      </c>
      <c r="AU84" s="84">
        <f t="shared" si="75"/>
        <v>196.74467965000218</v>
      </c>
      <c r="AV84" s="84">
        <f t="shared" si="76"/>
        <v>1.2014543117969284E-3</v>
      </c>
      <c r="AW84" s="84">
        <f t="shared" si="77"/>
        <v>196.95468870175736</v>
      </c>
      <c r="AX84" s="84">
        <f t="shared" si="78"/>
        <v>1.2008135969748767E-3</v>
      </c>
      <c r="AY84" s="142">
        <v>1.17E-2</v>
      </c>
      <c r="AZ84" s="46">
        <f t="shared" si="79"/>
        <v>4.3186817120632916E-2</v>
      </c>
      <c r="BA84" s="85">
        <f t="shared" si="80"/>
        <v>20.74654556769098</v>
      </c>
      <c r="BB84" s="85">
        <f t="shared" si="81"/>
        <v>2.3400000000000001E-2</v>
      </c>
      <c r="BC84" s="85">
        <f t="shared" si="82"/>
        <v>10.681099198667084</v>
      </c>
      <c r="BD84" s="85">
        <f t="shared" si="83"/>
        <v>3.2612251306081565E-2</v>
      </c>
      <c r="BE84" s="85">
        <f t="shared" si="84"/>
        <v>7.8462670300454667</v>
      </c>
      <c r="BF84" s="85">
        <f t="shared" si="85"/>
        <v>3.805022352818551E-2</v>
      </c>
      <c r="BG84" s="85">
        <f t="shared" si="86"/>
        <v>6.8199614930877619</v>
      </c>
      <c r="BH84" s="85">
        <f t="shared" si="87"/>
        <v>4.0812931781015194E-2</v>
      </c>
      <c r="BI84" s="85">
        <f t="shared" si="88"/>
        <v>6.4040326850159346</v>
      </c>
      <c r="BJ84" s="85">
        <f t="shared" si="89"/>
        <v>4.2117441822246381E-2</v>
      </c>
      <c r="BK84" s="85">
        <f t="shared" si="90"/>
        <v>6.2267596439930957</v>
      </c>
      <c r="BL84" s="85">
        <f t="shared" si="91"/>
        <v>4.2712766694621894E-2</v>
      </c>
      <c r="BM84" s="85">
        <f t="shared" si="92"/>
        <v>6.1494904457608266</v>
      </c>
      <c r="BN84" s="85">
        <f t="shared" si="93"/>
        <v>4.2980274909828142E-2</v>
      </c>
      <c r="BO84" s="85">
        <f t="shared" si="94"/>
        <v>6.1154732535313254</v>
      </c>
      <c r="BP84" s="85">
        <f t="shared" si="95"/>
        <v>4.3099647578735176E-2</v>
      </c>
      <c r="BQ84" s="85">
        <f t="shared" si="96"/>
        <v>6.1004310142120461</v>
      </c>
      <c r="BR84" s="85">
        <f t="shared" si="97"/>
        <v>4.3152751700017845E-2</v>
      </c>
      <c r="BS84" s="85">
        <f t="shared" si="98"/>
        <v>6.0937663287121868</v>
      </c>
      <c r="BT84" s="85">
        <f t="shared" si="99"/>
        <v>4.3176343097348004E-2</v>
      </c>
      <c r="BU84" s="85">
        <f t="shared" si="100"/>
        <v>6.0908108661502194</v>
      </c>
      <c r="BV84" s="85">
        <f t="shared" si="101"/>
        <v>4.3186817120632916E-2</v>
      </c>
      <c r="BW84" s="85">
        <f t="shared" si="102"/>
        <v>6.089499755645126</v>
      </c>
    </row>
    <row r="85" spans="25:75" x14ac:dyDescent="0.4">
      <c r="Y85" s="142">
        <v>1.2E-2</v>
      </c>
      <c r="Z85" s="46">
        <f t="shared" si="54"/>
        <v>1.2324208652720367E-3</v>
      </c>
      <c r="AA85" s="84">
        <f t="shared" si="55"/>
        <v>20.2428441324288</v>
      </c>
      <c r="AB85" s="84">
        <f t="shared" si="56"/>
        <v>3.7947331922020548E-3</v>
      </c>
      <c r="AC85" s="84">
        <f t="shared" si="57"/>
        <v>62.746462811162488</v>
      </c>
      <c r="AD85" s="84">
        <f t="shared" si="58"/>
        <v>2.1553727475803236E-3</v>
      </c>
      <c r="AE85" s="84">
        <f t="shared" si="59"/>
        <v>110.03742175663166</v>
      </c>
      <c r="AF85" s="84">
        <f t="shared" si="60"/>
        <v>1.6275967297393978E-3</v>
      </c>
      <c r="AG85" s="84">
        <f t="shared" si="61"/>
        <v>145.53527477976493</v>
      </c>
      <c r="AH85" s="84">
        <f t="shared" si="62"/>
        <v>1.4152490645623678E-3</v>
      </c>
      <c r="AI85" s="84">
        <f t="shared" si="63"/>
        <v>167.2869722296555</v>
      </c>
      <c r="AJ85" s="84">
        <f t="shared" si="64"/>
        <v>1.3200365341866113E-3</v>
      </c>
      <c r="AK85" s="84">
        <f t="shared" si="65"/>
        <v>179.31243988666287</v>
      </c>
      <c r="AL85" s="84">
        <f t="shared" si="66"/>
        <v>1.2750047466981724E-3</v>
      </c>
      <c r="AM85" s="84">
        <f t="shared" si="67"/>
        <v>185.62562758550257</v>
      </c>
      <c r="AN85" s="84">
        <f t="shared" si="68"/>
        <v>1.2531355313050172E-3</v>
      </c>
      <c r="AO85" s="84">
        <f t="shared" si="69"/>
        <v>188.85524359143164</v>
      </c>
      <c r="AP85" s="84">
        <f t="shared" si="70"/>
        <v>1.2423743826730639E-3</v>
      </c>
      <c r="AQ85" s="84">
        <f t="shared" si="71"/>
        <v>190.48617522751479</v>
      </c>
      <c r="AR85" s="84">
        <f t="shared" si="72"/>
        <v>1.2370443804819462E-3</v>
      </c>
      <c r="AS85" s="84">
        <f t="shared" si="73"/>
        <v>191.30448425076472</v>
      </c>
      <c r="AT85" s="84">
        <f t="shared" si="74"/>
        <v>1.2343958032116176E-3</v>
      </c>
      <c r="AU85" s="84">
        <f t="shared" si="75"/>
        <v>191.71374555322103</v>
      </c>
      <c r="AV85" s="84">
        <f t="shared" si="76"/>
        <v>1.2330775348345967E-3</v>
      </c>
      <c r="AW85" s="84">
        <f t="shared" si="77"/>
        <v>191.91810126414103</v>
      </c>
      <c r="AX85" s="84">
        <f t="shared" si="78"/>
        <v>1.2324208652720367E-3</v>
      </c>
      <c r="AY85" s="142">
        <v>1.2E-2</v>
      </c>
      <c r="AZ85" s="46">
        <f t="shared" si="79"/>
        <v>4.4209299927802141E-2</v>
      </c>
      <c r="BA85" s="85">
        <f t="shared" si="80"/>
        <v>20.2428441324288</v>
      </c>
      <c r="BB85" s="85">
        <f t="shared" si="81"/>
        <v>2.4E-2</v>
      </c>
      <c r="BC85" s="85">
        <f t="shared" si="82"/>
        <v>10.429911955515546</v>
      </c>
      <c r="BD85" s="85">
        <f t="shared" si="83"/>
        <v>3.3435412541905921E-2</v>
      </c>
      <c r="BE85" s="85">
        <f t="shared" si="84"/>
        <v>7.6693222468453257</v>
      </c>
      <c r="BF85" s="85">
        <f t="shared" si="85"/>
        <v>3.8991371737604037E-2</v>
      </c>
      <c r="BG85" s="85">
        <f t="shared" si="86"/>
        <v>6.6715960426543734</v>
      </c>
      <c r="BH85" s="85">
        <f t="shared" si="87"/>
        <v>4.1805376212374352E-2</v>
      </c>
      <c r="BI85" s="85">
        <f t="shared" si="88"/>
        <v>6.2681511318144869</v>
      </c>
      <c r="BJ85" s="85">
        <f t="shared" si="89"/>
        <v>4.3129783454488611E-2</v>
      </c>
      <c r="BK85" s="85">
        <f t="shared" si="90"/>
        <v>6.0966468610153051</v>
      </c>
      <c r="BL85" s="85">
        <f t="shared" si="91"/>
        <v>4.373221628478148E-2</v>
      </c>
      <c r="BM85" s="85">
        <f t="shared" si="92"/>
        <v>6.0221043496371429</v>
      </c>
      <c r="BN85" s="85">
        <f t="shared" si="93"/>
        <v>4.4002045823250902E-2</v>
      </c>
      <c r="BO85" s="85">
        <f t="shared" si="94"/>
        <v>5.9893851135178666</v>
      </c>
      <c r="BP85" s="85">
        <f t="shared" si="95"/>
        <v>4.4122070868414111E-2</v>
      </c>
      <c r="BQ85" s="85">
        <f t="shared" si="96"/>
        <v>5.9749608880582326</v>
      </c>
      <c r="BR85" s="85">
        <f t="shared" si="97"/>
        <v>4.4175296577456523E-2</v>
      </c>
      <c r="BS85" s="85">
        <f t="shared" si="98"/>
        <v>5.9685897315393133</v>
      </c>
      <c r="BT85" s="85">
        <f t="shared" si="99"/>
        <v>4.4198867695074584E-2</v>
      </c>
      <c r="BU85" s="85">
        <f t="shared" si="100"/>
        <v>5.9657732033110866</v>
      </c>
      <c r="BV85" s="85">
        <f t="shared" si="101"/>
        <v>4.4209299927802141E-2</v>
      </c>
      <c r="BW85" s="85">
        <f t="shared" si="102"/>
        <v>5.964527617486695</v>
      </c>
    </row>
    <row r="86" spans="25:75" x14ac:dyDescent="0.4">
      <c r="Y86" s="142">
        <v>1.24E-2</v>
      </c>
      <c r="Z86" s="46">
        <f t="shared" si="54"/>
        <v>1.2746292937245375E-3</v>
      </c>
      <c r="AA86" s="84">
        <f t="shared" si="55"/>
        <v>19.609190198141828</v>
      </c>
      <c r="AB86" s="84">
        <f t="shared" si="56"/>
        <v>3.9212242986087897E-3</v>
      </c>
      <c r="AC86" s="84">
        <f t="shared" si="57"/>
        <v>60.740864633710366</v>
      </c>
      <c r="AD86" s="84">
        <f t="shared" si="58"/>
        <v>2.2279786754550806E-3</v>
      </c>
      <c r="AE86" s="84">
        <f t="shared" si="59"/>
        <v>106.4699847923544</v>
      </c>
      <c r="AF86" s="84">
        <f t="shared" si="60"/>
        <v>1.6828209831922965E-3</v>
      </c>
      <c r="AG86" s="84">
        <f t="shared" si="61"/>
        <v>140.7778806817806</v>
      </c>
      <c r="AH86" s="84">
        <f t="shared" si="62"/>
        <v>1.4634716142141518E-3</v>
      </c>
      <c r="AI86" s="84">
        <f t="shared" si="63"/>
        <v>161.79334665426884</v>
      </c>
      <c r="AJ86" s="84">
        <f t="shared" si="64"/>
        <v>1.3651211190797894E-3</v>
      </c>
      <c r="AK86" s="84">
        <f t="shared" si="65"/>
        <v>173.40909931937523</v>
      </c>
      <c r="AL86" s="84">
        <f t="shared" si="66"/>
        <v>1.3186075964614484E-3</v>
      </c>
      <c r="AM86" s="84">
        <f t="shared" si="67"/>
        <v>179.50614401091079</v>
      </c>
      <c r="AN86" s="84">
        <f t="shared" si="68"/>
        <v>1.2960204539933544E-3</v>
      </c>
      <c r="AO86" s="84">
        <f t="shared" si="69"/>
        <v>182.62475388919944</v>
      </c>
      <c r="AP86" s="84">
        <f t="shared" si="70"/>
        <v>1.2849069932003414E-3</v>
      </c>
      <c r="AQ86" s="84">
        <f t="shared" si="71"/>
        <v>184.19943673546797</v>
      </c>
      <c r="AR86" s="84">
        <f t="shared" si="72"/>
        <v>1.279403002911019E-3</v>
      </c>
      <c r="AS86" s="84">
        <f t="shared" si="73"/>
        <v>184.98943473207623</v>
      </c>
      <c r="AT86" s="84">
        <f t="shared" si="74"/>
        <v>1.2766682326851636E-3</v>
      </c>
      <c r="AU86" s="84">
        <f t="shared" si="75"/>
        <v>185.38449453922428</v>
      </c>
      <c r="AV86" s="84">
        <f t="shared" si="76"/>
        <v>1.2753071984320087E-3</v>
      </c>
      <c r="AW86" s="84">
        <f t="shared" si="77"/>
        <v>185.58173846170149</v>
      </c>
      <c r="AX86" s="84">
        <f t="shared" si="78"/>
        <v>1.2746292937245375E-3</v>
      </c>
      <c r="AY86" s="142">
        <v>1.24E-2</v>
      </c>
      <c r="AZ86" s="46">
        <f t="shared" si="79"/>
        <v>4.5566814199050058E-2</v>
      </c>
      <c r="BA86" s="85">
        <f t="shared" si="80"/>
        <v>19.609190198141828</v>
      </c>
      <c r="BB86" s="85">
        <f t="shared" si="81"/>
        <v>2.4799999999999999E-2</v>
      </c>
      <c r="BC86" s="85">
        <f t="shared" si="82"/>
        <v>10.113965926526488</v>
      </c>
      <c r="BD86" s="85">
        <f t="shared" si="83"/>
        <v>3.453192326804614E-2</v>
      </c>
      <c r="BE86" s="85">
        <f t="shared" si="84"/>
        <v>7.4468019005876895</v>
      </c>
      <c r="BF86" s="85">
        <f t="shared" si="85"/>
        <v>4.0243580183782685E-2</v>
      </c>
      <c r="BG86" s="85">
        <f t="shared" si="86"/>
        <v>6.4850386719673319</v>
      </c>
      <c r="BH86" s="85">
        <f t="shared" si="87"/>
        <v>4.31246144339631E-2</v>
      </c>
      <c r="BI86" s="85">
        <f t="shared" si="88"/>
        <v>6.0972955540033489</v>
      </c>
      <c r="BJ86" s="85">
        <f t="shared" si="89"/>
        <v>4.4474685611212379E-2</v>
      </c>
      <c r="BK86" s="85">
        <f t="shared" si="90"/>
        <v>5.933039641949339</v>
      </c>
      <c r="BL86" s="85">
        <f t="shared" si="91"/>
        <v>4.5086122350592436E-2</v>
      </c>
      <c r="BM86" s="85">
        <f t="shared" si="92"/>
        <v>5.8619179468108928</v>
      </c>
      <c r="BN86" s="85">
        <f t="shared" si="93"/>
        <v>4.5358809016006814E-2</v>
      </c>
      <c r="BO86" s="85">
        <f t="shared" si="94"/>
        <v>5.8308239473288994</v>
      </c>
      <c r="BP86" s="85">
        <f t="shared" si="95"/>
        <v>4.5479590530194895E-2</v>
      </c>
      <c r="BQ86" s="85">
        <f t="shared" si="96"/>
        <v>5.8171718401961572</v>
      </c>
      <c r="BR86" s="85">
        <f t="shared" si="97"/>
        <v>4.5532926446586332E-2</v>
      </c>
      <c r="BS86" s="85">
        <f t="shared" si="98"/>
        <v>5.8111665027643298</v>
      </c>
      <c r="BT86" s="85">
        <f t="shared" si="99"/>
        <v>4.5556447539952541E-2</v>
      </c>
      <c r="BU86" s="85">
        <f t="shared" si="100"/>
        <v>5.8085226695079211</v>
      </c>
      <c r="BV86" s="85">
        <f t="shared" si="101"/>
        <v>4.5566814199050058E-2</v>
      </c>
      <c r="BW86" s="85">
        <f t="shared" si="102"/>
        <v>5.8073583053371287</v>
      </c>
    </row>
    <row r="87" spans="25:75" x14ac:dyDescent="0.4">
      <c r="Y87" s="142">
        <v>1.2800000000000001E-2</v>
      </c>
      <c r="Z87" s="46">
        <f t="shared" si="54"/>
        <v>1.3169126472684621E-3</v>
      </c>
      <c r="AA87" s="84">
        <f t="shared" si="55"/>
        <v>19.015178239980546</v>
      </c>
      <c r="AB87" s="84">
        <f t="shared" si="56"/>
        <v>4.0477154050155258E-3</v>
      </c>
      <c r="AC87" s="84">
        <f t="shared" si="57"/>
        <v>58.86062937673222</v>
      </c>
      <c r="AD87" s="84">
        <f t="shared" si="58"/>
        <v>2.3006349824558031E-3</v>
      </c>
      <c r="AE87" s="84">
        <f t="shared" si="59"/>
        <v>103.12548463464115</v>
      </c>
      <c r="AF87" s="84">
        <f t="shared" si="60"/>
        <v>1.7381096417357896E-3</v>
      </c>
      <c r="AG87" s="84">
        <f t="shared" si="61"/>
        <v>136.31778275386455</v>
      </c>
      <c r="AH87" s="84">
        <f t="shared" si="62"/>
        <v>1.5117637007223499E-3</v>
      </c>
      <c r="AI87" s="84">
        <f t="shared" si="63"/>
        <v>156.64303649480752</v>
      </c>
      <c r="AJ87" s="84">
        <f t="shared" si="64"/>
        <v>1.4102776501918521E-3</v>
      </c>
      <c r="AK87" s="84">
        <f t="shared" si="65"/>
        <v>167.87468992027561</v>
      </c>
      <c r="AL87" s="84">
        <f t="shared" si="66"/>
        <v>1.3622836937141538E-3</v>
      </c>
      <c r="AM87" s="84">
        <f t="shared" si="67"/>
        <v>173.7691075456369</v>
      </c>
      <c r="AN87" s="84">
        <f t="shared" si="68"/>
        <v>1.3389793665321908E-3</v>
      </c>
      <c r="AO87" s="84">
        <f t="shared" si="69"/>
        <v>176.78365384011681</v>
      </c>
      <c r="AP87" s="84">
        <f t="shared" si="70"/>
        <v>1.3275140219939363E-3</v>
      </c>
      <c r="AQ87" s="84">
        <f t="shared" si="71"/>
        <v>178.30560628999504</v>
      </c>
      <c r="AR87" s="84">
        <f t="shared" si="72"/>
        <v>1.3218362894228154E-3</v>
      </c>
      <c r="AS87" s="84">
        <f t="shared" si="73"/>
        <v>179.0690643620463</v>
      </c>
      <c r="AT87" s="84">
        <f t="shared" si="74"/>
        <v>1.3190154657110867E-3</v>
      </c>
      <c r="AU87" s="84">
        <f t="shared" si="75"/>
        <v>179.45081121732562</v>
      </c>
      <c r="AV87" s="84">
        <f t="shared" si="76"/>
        <v>1.3176117437703875E-3</v>
      </c>
      <c r="AW87" s="84">
        <f t="shared" si="77"/>
        <v>179.64138837332328</v>
      </c>
      <c r="AX87" s="84">
        <f t="shared" si="78"/>
        <v>1.3169126472684621E-3</v>
      </c>
      <c r="AY87" s="142">
        <v>1.2800000000000001E-2</v>
      </c>
      <c r="AZ87" s="46">
        <f t="shared" si="79"/>
        <v>4.6917784945251485E-2</v>
      </c>
      <c r="BA87" s="85">
        <f t="shared" si="80"/>
        <v>19.015178239980546</v>
      </c>
      <c r="BB87" s="85">
        <f t="shared" si="81"/>
        <v>2.5600000000000001E-2</v>
      </c>
      <c r="BC87" s="85">
        <f t="shared" si="82"/>
        <v>9.8178366824222092</v>
      </c>
      <c r="BD87" s="85">
        <f t="shared" si="83"/>
        <v>3.5627246935853701E-2</v>
      </c>
      <c r="BE87" s="85">
        <f t="shared" si="84"/>
        <v>7.2382850757911275</v>
      </c>
      <c r="BF87" s="85">
        <f t="shared" si="85"/>
        <v>4.1492759984062197E-2</v>
      </c>
      <c r="BG87" s="85">
        <f t="shared" si="86"/>
        <v>6.3102456997963987</v>
      </c>
      <c r="BH87" s="85">
        <f t="shared" si="87"/>
        <v>4.4439281732299003E-2</v>
      </c>
      <c r="BI87" s="85">
        <f t="shared" si="88"/>
        <v>5.9372183471456434</v>
      </c>
      <c r="BJ87" s="85">
        <f t="shared" si="89"/>
        <v>4.5814046809573551E-2</v>
      </c>
      <c r="BK87" s="85">
        <f t="shared" si="90"/>
        <v>5.7797473871265383</v>
      </c>
      <c r="BL87" s="85">
        <f t="shared" si="91"/>
        <v>4.6433961502656967E-2</v>
      </c>
      <c r="BM87" s="85">
        <f t="shared" si="92"/>
        <v>5.711822058274497</v>
      </c>
      <c r="BN87" s="85">
        <f t="shared" si="93"/>
        <v>4.6709243225692157E-2</v>
      </c>
      <c r="BO87" s="85">
        <f t="shared" si="94"/>
        <v>5.6822432287495808</v>
      </c>
      <c r="BP87" s="85">
        <f t="shared" si="95"/>
        <v>4.6830657548436454E-2</v>
      </c>
      <c r="BQ87" s="85">
        <f t="shared" si="96"/>
        <v>5.6693090730915818</v>
      </c>
      <c r="BR87" s="85">
        <f t="shared" si="97"/>
        <v>4.6884047646355127E-2</v>
      </c>
      <c r="BS87" s="85">
        <f t="shared" si="98"/>
        <v>5.6636429167956077</v>
      </c>
      <c r="BT87" s="85">
        <f t="shared" si="99"/>
        <v>4.6907494210369785E-2</v>
      </c>
      <c r="BU87" s="85">
        <f t="shared" si="100"/>
        <v>5.6611587135869836</v>
      </c>
      <c r="BV87" s="85">
        <f t="shared" si="101"/>
        <v>4.6917784945251485E-2</v>
      </c>
      <c r="BW87" s="85">
        <f t="shared" si="102"/>
        <v>5.6600691855526524</v>
      </c>
    </row>
    <row r="88" spans="25:75" x14ac:dyDescent="0.4">
      <c r="Y88" s="142">
        <v>1.32E-2</v>
      </c>
      <c r="Z88" s="46">
        <f t="shared" si="54"/>
        <v>1.3592711184540237E-3</v>
      </c>
      <c r="AA88" s="84">
        <f t="shared" si="55"/>
        <v>18.457204326440934</v>
      </c>
      <c r="AB88" s="84">
        <f t="shared" si="56"/>
        <v>4.1742065114222602E-3</v>
      </c>
      <c r="AC88" s="84">
        <f t="shared" si="57"/>
        <v>57.094360398750048</v>
      </c>
      <c r="AD88" s="84">
        <f t="shared" si="58"/>
        <v>2.373341783197824E-3</v>
      </c>
      <c r="AE88" s="84">
        <f t="shared" si="59"/>
        <v>99.983654844567639</v>
      </c>
      <c r="AF88" s="84">
        <f t="shared" si="60"/>
        <v>1.7934628586170219E-3</v>
      </c>
      <c r="AG88" s="84">
        <f t="shared" si="61"/>
        <v>132.12795523732447</v>
      </c>
      <c r="AH88" s="84">
        <f t="shared" si="62"/>
        <v>1.5601254956707092E-3</v>
      </c>
      <c r="AI88" s="84">
        <f t="shared" si="63"/>
        <v>151.80483287161638</v>
      </c>
      <c r="AJ88" s="84">
        <f t="shared" si="64"/>
        <v>1.4555063088037773E-3</v>
      </c>
      <c r="AK88" s="84">
        <f t="shared" si="65"/>
        <v>162.67567437054115</v>
      </c>
      <c r="AL88" s="84">
        <f t="shared" si="66"/>
        <v>1.4060332250165873E-3</v>
      </c>
      <c r="AM88" s="84">
        <f t="shared" si="67"/>
        <v>168.37975229369698</v>
      </c>
      <c r="AN88" s="84">
        <f t="shared" si="68"/>
        <v>1.3820124583532702E-3</v>
      </c>
      <c r="AO88" s="84">
        <f t="shared" si="69"/>
        <v>171.29654648359477</v>
      </c>
      <c r="AP88" s="84">
        <f t="shared" si="70"/>
        <v>1.37019566002912E-3</v>
      </c>
      <c r="AQ88" s="84">
        <f t="shared" si="71"/>
        <v>172.76896711541801</v>
      </c>
      <c r="AR88" s="84">
        <f t="shared" si="72"/>
        <v>1.3643444318101211E-3</v>
      </c>
      <c r="AS88" s="84">
        <f t="shared" si="73"/>
        <v>173.50749537545877</v>
      </c>
      <c r="AT88" s="84">
        <f t="shared" si="74"/>
        <v>1.3614376945087466E-3</v>
      </c>
      <c r="AU88" s="84">
        <f t="shared" si="75"/>
        <v>173.8767370556115</v>
      </c>
      <c r="AV88" s="84">
        <f t="shared" si="76"/>
        <v>1.3599913632885449E-3</v>
      </c>
      <c r="AW88" s="84">
        <f t="shared" si="77"/>
        <v>174.06105201557952</v>
      </c>
      <c r="AX88" s="84">
        <f t="shared" si="78"/>
        <v>1.3592711184540237E-3</v>
      </c>
      <c r="AY88" s="142">
        <v>1.32E-2</v>
      </c>
      <c r="AZ88" s="46">
        <f t="shared" si="79"/>
        <v>4.8262299457449372E-2</v>
      </c>
      <c r="BA88" s="85">
        <f t="shared" si="80"/>
        <v>18.457204326440934</v>
      </c>
      <c r="BB88" s="85">
        <f t="shared" si="81"/>
        <v>2.64E-2</v>
      </c>
      <c r="BC88" s="85">
        <f t="shared" si="82"/>
        <v>9.539722278177571</v>
      </c>
      <c r="BD88" s="85">
        <f t="shared" si="83"/>
        <v>3.6721382308799462E-2</v>
      </c>
      <c r="BE88" s="85">
        <f t="shared" si="84"/>
        <v>7.042497684494025</v>
      </c>
      <c r="BF88" s="85">
        <f t="shared" si="85"/>
        <v>4.2738918717580773E-2</v>
      </c>
      <c r="BG88" s="85">
        <f t="shared" si="86"/>
        <v>6.1461459110907981</v>
      </c>
      <c r="BH88" s="85">
        <f t="shared" si="87"/>
        <v>4.5749405374661739E-2</v>
      </c>
      <c r="BI88" s="85">
        <f t="shared" si="88"/>
        <v>5.7869374169449577</v>
      </c>
      <c r="BJ88" s="85">
        <f t="shared" si="89"/>
        <v>4.714791523106894E-2</v>
      </c>
      <c r="BK88" s="85">
        <f t="shared" si="90"/>
        <v>5.635829851591005</v>
      </c>
      <c r="BL88" s="85">
        <f t="shared" si="91"/>
        <v>4.7775798057163081E-2</v>
      </c>
      <c r="BM88" s="85">
        <f t="shared" si="92"/>
        <v>5.5708967551289348</v>
      </c>
      <c r="BN88" s="85">
        <f t="shared" si="93"/>
        <v>4.8053423295927607E-2</v>
      </c>
      <c r="BO88" s="85">
        <f t="shared" si="94"/>
        <v>5.5427330522405871</v>
      </c>
      <c r="BP88" s="85">
        <f t="shared" si="95"/>
        <v>4.817535299229201E-2</v>
      </c>
      <c r="BQ88" s="85">
        <f t="shared" si="96"/>
        <v>5.5304676625865641</v>
      </c>
      <c r="BR88" s="85">
        <f t="shared" si="97"/>
        <v>4.8228744699693356E-2</v>
      </c>
      <c r="BS88" s="85">
        <f t="shared" si="98"/>
        <v>5.5251165315469422</v>
      </c>
      <c r="BT88" s="85">
        <f t="shared" si="99"/>
        <v>4.8252094060169878E-2</v>
      </c>
      <c r="BU88" s="85">
        <f t="shared" si="100"/>
        <v>5.5227801303291084</v>
      </c>
      <c r="BV88" s="85">
        <f t="shared" si="101"/>
        <v>4.8262299457449372E-2</v>
      </c>
      <c r="BW88" s="85">
        <f t="shared" si="102"/>
        <v>5.5217596685037842</v>
      </c>
    </row>
    <row r="89" spans="25:75" x14ac:dyDescent="0.4">
      <c r="Y89" s="142">
        <v>1.3599999999999999E-2</v>
      </c>
      <c r="Z89" s="46">
        <f t="shared" si="54"/>
        <v>1.4017048985622434E-3</v>
      </c>
      <c r="AA89" s="84">
        <f t="shared" si="55"/>
        <v>17.932088518306465</v>
      </c>
      <c r="AB89" s="84">
        <f t="shared" si="56"/>
        <v>4.3006976178289955E-3</v>
      </c>
      <c r="AC89" s="84">
        <f t="shared" si="57"/>
        <v>55.432001839647825</v>
      </c>
      <c r="AD89" s="84">
        <f t="shared" si="58"/>
        <v>2.4460991910541813E-3</v>
      </c>
      <c r="AE89" s="84">
        <f t="shared" si="59"/>
        <v>97.026613267150225</v>
      </c>
      <c r="AF89" s="84">
        <f t="shared" si="60"/>
        <v>1.8488807857239052E-3</v>
      </c>
      <c r="AG89" s="84">
        <f t="shared" si="61"/>
        <v>128.18455186728352</v>
      </c>
      <c r="AH89" s="84">
        <f t="shared" si="62"/>
        <v>1.608557169308382E-3</v>
      </c>
      <c r="AI89" s="84">
        <f t="shared" si="63"/>
        <v>147.25119852728881</v>
      </c>
      <c r="AJ89" s="84">
        <f t="shared" si="64"/>
        <v>1.5008072748908547E-3</v>
      </c>
      <c r="AK89" s="84">
        <f t="shared" si="65"/>
        <v>157.78246090540685</v>
      </c>
      <c r="AL89" s="84">
        <f t="shared" si="66"/>
        <v>1.4498563756414258E-3</v>
      </c>
      <c r="AM89" s="84">
        <f t="shared" si="67"/>
        <v>163.30740245039223</v>
      </c>
      <c r="AN89" s="84">
        <f t="shared" si="68"/>
        <v>1.4251199176104042E-3</v>
      </c>
      <c r="AO89" s="84">
        <f t="shared" si="69"/>
        <v>166.1321991925436</v>
      </c>
      <c r="AP89" s="84">
        <f t="shared" si="70"/>
        <v>1.4129520970080536E-3</v>
      </c>
      <c r="AQ89" s="84">
        <f t="shared" si="71"/>
        <v>167.55800439450633</v>
      </c>
      <c r="AR89" s="84">
        <f t="shared" si="72"/>
        <v>1.4069276205948926E-3</v>
      </c>
      <c r="AS89" s="84">
        <f t="shared" si="73"/>
        <v>168.27307090530627</v>
      </c>
      <c r="AT89" s="84">
        <f t="shared" si="74"/>
        <v>1.4039351100277005E-3</v>
      </c>
      <c r="AU89" s="84">
        <f t="shared" si="75"/>
        <v>168.63054392224703</v>
      </c>
      <c r="AV89" s="84">
        <f t="shared" si="76"/>
        <v>1.4024462481559286E-3</v>
      </c>
      <c r="AW89" s="84">
        <f t="shared" si="77"/>
        <v>168.80896556407538</v>
      </c>
      <c r="AX89" s="84">
        <f t="shared" si="78"/>
        <v>1.4017048985622434E-3</v>
      </c>
      <c r="AY89" s="142">
        <v>1.3599999999999999E-2</v>
      </c>
      <c r="AZ89" s="46">
        <f t="shared" si="79"/>
        <v>4.9600444265872207E-2</v>
      </c>
      <c r="BA89" s="85">
        <f t="shared" si="80"/>
        <v>17.932088518306465</v>
      </c>
      <c r="BB89" s="85">
        <f t="shared" si="81"/>
        <v>2.7199999999999998E-2</v>
      </c>
      <c r="BC89" s="85">
        <f t="shared" si="82"/>
        <v>9.2780327648059835</v>
      </c>
      <c r="BD89" s="85">
        <f t="shared" si="83"/>
        <v>3.7814328275929017E-2</v>
      </c>
      <c r="BE89" s="85">
        <f t="shared" si="84"/>
        <v>6.8583155420551298</v>
      </c>
      <c r="BF89" s="85">
        <f t="shared" si="85"/>
        <v>4.3982064363724545E-2</v>
      </c>
      <c r="BG89" s="85">
        <f t="shared" si="86"/>
        <v>5.9917941422405656</v>
      </c>
      <c r="BH89" s="85">
        <f t="shared" si="87"/>
        <v>4.7055013137864386E-2</v>
      </c>
      <c r="BI89" s="85">
        <f t="shared" si="88"/>
        <v>5.6455862551294356</v>
      </c>
      <c r="BJ89" s="85">
        <f t="shared" si="89"/>
        <v>4.847633940394875E-2</v>
      </c>
      <c r="BK89" s="85">
        <f t="shared" si="90"/>
        <v>5.5004574706962943</v>
      </c>
      <c r="BL89" s="85">
        <f t="shared" si="91"/>
        <v>4.9111696383111379E-2</v>
      </c>
      <c r="BM89" s="85">
        <f t="shared" si="92"/>
        <v>5.4383304114790478</v>
      </c>
      <c r="BN89" s="85">
        <f t="shared" si="93"/>
        <v>4.9391423835567674E-2</v>
      </c>
      <c r="BO89" s="85">
        <f t="shared" si="94"/>
        <v>5.4114906436563937</v>
      </c>
      <c r="BP89" s="85">
        <f t="shared" si="95"/>
        <v>4.9513757473628593E-2</v>
      </c>
      <c r="BQ89" s="85">
        <f t="shared" si="96"/>
        <v>5.3998492335732138</v>
      </c>
      <c r="BR89" s="85">
        <f t="shared" si="97"/>
        <v>4.9567101520637737E-2</v>
      </c>
      <c r="BS89" s="85">
        <f t="shared" si="98"/>
        <v>5.3947911633166754</v>
      </c>
      <c r="BT89" s="85">
        <f t="shared" si="99"/>
        <v>4.9590332739003179E-2</v>
      </c>
      <c r="BU89" s="85">
        <f t="shared" si="100"/>
        <v>5.3925918275494045</v>
      </c>
      <c r="BV89" s="85">
        <f t="shared" si="101"/>
        <v>4.9600444265872207E-2</v>
      </c>
      <c r="BW89" s="85">
        <f t="shared" si="102"/>
        <v>5.3916352048710889</v>
      </c>
    </row>
    <row r="90" spans="25:75" x14ac:dyDescent="0.4">
      <c r="Y90" s="142">
        <v>1.4E-2</v>
      </c>
      <c r="Z90" s="46">
        <f t="shared" si="54"/>
        <v>1.4442141776091516E-3</v>
      </c>
      <c r="AA90" s="84">
        <f t="shared" si="55"/>
        <v>17.43701429832025</v>
      </c>
      <c r="AB90" s="84">
        <f t="shared" si="56"/>
        <v>4.4271887242357307E-3</v>
      </c>
      <c r="AC90" s="84">
        <f t="shared" si="57"/>
        <v>53.86464708047707</v>
      </c>
      <c r="AD90" s="84">
        <f t="shared" si="58"/>
        <v>2.5189073181622382E-3</v>
      </c>
      <c r="AE90" s="84">
        <f t="shared" si="59"/>
        <v>94.23852141936257</v>
      </c>
      <c r="AF90" s="84">
        <f t="shared" si="60"/>
        <v>1.904363573591352E-3</v>
      </c>
      <c r="AG90" s="84">
        <f t="shared" si="61"/>
        <v>124.4664516593004</v>
      </c>
      <c r="AH90" s="84">
        <f t="shared" si="62"/>
        <v>1.6570588905553743E-3</v>
      </c>
      <c r="AI90" s="84">
        <f t="shared" si="63"/>
        <v>142.95774330923882</v>
      </c>
      <c r="AJ90" s="84">
        <f t="shared" si="64"/>
        <v>1.5461807271276041E-3</v>
      </c>
      <c r="AK90" s="84">
        <f t="shared" si="65"/>
        <v>153.16883966363176</v>
      </c>
      <c r="AL90" s="84">
        <f t="shared" si="66"/>
        <v>1.4937533295783271E-3</v>
      </c>
      <c r="AM90" s="84">
        <f t="shared" si="67"/>
        <v>158.52488800360541</v>
      </c>
      <c r="AN90" s="84">
        <f t="shared" si="68"/>
        <v>1.4683019311838941E-3</v>
      </c>
      <c r="AO90" s="84">
        <f t="shared" si="69"/>
        <v>161.26294876864182</v>
      </c>
      <c r="AP90" s="84">
        <f t="shared" si="70"/>
        <v>1.4557835213641103E-3</v>
      </c>
      <c r="AQ90" s="84">
        <f t="shared" si="71"/>
        <v>162.6448049887546</v>
      </c>
      <c r="AR90" s="84">
        <f t="shared" si="72"/>
        <v>1.4495860450325186E-3</v>
      </c>
      <c r="AS90" s="84">
        <f t="shared" si="73"/>
        <v>163.33775199738923</v>
      </c>
      <c r="AT90" s="84">
        <f t="shared" si="74"/>
        <v>1.4465079019519314E-3</v>
      </c>
      <c r="AU90" s="84">
        <f t="shared" si="75"/>
        <v>163.68412974266579</v>
      </c>
      <c r="AV90" s="84">
        <f t="shared" si="76"/>
        <v>1.4449765882768308E-3</v>
      </c>
      <c r="AW90" s="84">
        <f t="shared" si="77"/>
        <v>163.85699533078756</v>
      </c>
      <c r="AX90" s="84">
        <f t="shared" si="78"/>
        <v>1.4442141776091516E-3</v>
      </c>
      <c r="AY90" s="142">
        <v>1.4E-2</v>
      </c>
      <c r="AZ90" s="46">
        <f t="shared" si="79"/>
        <v>5.0932305098717233E-2</v>
      </c>
      <c r="BA90" s="85">
        <f t="shared" si="80"/>
        <v>17.43701429832025</v>
      </c>
      <c r="BB90" s="85">
        <f t="shared" si="81"/>
        <v>2.8000000000000001E-2</v>
      </c>
      <c r="BC90" s="85">
        <f t="shared" si="82"/>
        <v>9.0313599041960337</v>
      </c>
      <c r="BD90" s="85">
        <f t="shared" si="83"/>
        <v>3.890608384974989E-2</v>
      </c>
      <c r="BE90" s="85">
        <f t="shared" si="84"/>
        <v>6.6847429523073716</v>
      </c>
      <c r="BF90" s="85">
        <f t="shared" si="85"/>
        <v>4.5222205288072879E-2</v>
      </c>
      <c r="BG90" s="85">
        <f t="shared" si="86"/>
        <v>5.8463532734046844</v>
      </c>
      <c r="BH90" s="85">
        <f t="shared" si="87"/>
        <v>4.8356133274294666E-2</v>
      </c>
      <c r="BI90" s="85">
        <f t="shared" si="88"/>
        <v>5.5123974263632576</v>
      </c>
      <c r="BJ90" s="85">
        <f t="shared" si="89"/>
        <v>4.979936815370193E-2</v>
      </c>
      <c r="BK90" s="85">
        <f t="shared" si="90"/>
        <v>5.3728955471947133</v>
      </c>
      <c r="BL90" s="85">
        <f t="shared" si="91"/>
        <v>5.0441720846618368E-2</v>
      </c>
      <c r="BM90" s="85">
        <f t="shared" si="92"/>
        <v>5.313404230496543</v>
      </c>
      <c r="BN90" s="85">
        <f t="shared" si="93"/>
        <v>5.0723319163676298E-2</v>
      </c>
      <c r="BO90" s="85">
        <f t="shared" si="94"/>
        <v>5.2878050531574541</v>
      </c>
      <c r="BP90" s="85">
        <f t="shared" si="95"/>
        <v>5.0845951095669931E-2</v>
      </c>
      <c r="BQ90" s="85">
        <f t="shared" si="96"/>
        <v>5.2767467357313018</v>
      </c>
      <c r="BR90" s="85">
        <f t="shared" si="97"/>
        <v>5.0899201367104983E-2</v>
      </c>
      <c r="BS90" s="85">
        <f t="shared" si="98"/>
        <v>5.2719617038220434</v>
      </c>
      <c r="BT90" s="85">
        <f t="shared" si="99"/>
        <v>5.0922295148572688E-2</v>
      </c>
      <c r="BU90" s="85">
        <f t="shared" si="100"/>
        <v>5.2698896637699404</v>
      </c>
      <c r="BV90" s="85">
        <f t="shared" si="101"/>
        <v>5.0932305098717233E-2</v>
      </c>
      <c r="BW90" s="85">
        <f t="shared" si="102"/>
        <v>5.2689921336445567</v>
      </c>
    </row>
    <row r="91" spans="25:75" x14ac:dyDescent="0.4">
      <c r="Y91" s="142">
        <v>1.4500000000000001E-2</v>
      </c>
      <c r="Z91" s="46">
        <f t="shared" si="54"/>
        <v>1.497457234237412E-3</v>
      </c>
      <c r="AA91" s="84">
        <f t="shared" si="55"/>
        <v>16.856629777088614</v>
      </c>
      <c r="AB91" s="84">
        <f t="shared" si="56"/>
        <v>4.5853026072441502E-3</v>
      </c>
      <c r="AC91" s="84">
        <f t="shared" si="57"/>
        <v>52.027074858323189</v>
      </c>
      <c r="AD91" s="84">
        <f t="shared" si="58"/>
        <v>2.6099889698403909E-3</v>
      </c>
      <c r="AE91" s="84">
        <f t="shared" si="59"/>
        <v>90.969692133505689</v>
      </c>
      <c r="AF91" s="84">
        <f t="shared" si="60"/>
        <v>1.9738084960212701E-3</v>
      </c>
      <c r="AG91" s="84">
        <f t="shared" si="61"/>
        <v>120.10725487757058</v>
      </c>
      <c r="AH91" s="84">
        <f t="shared" si="62"/>
        <v>1.7177848017616057E-3</v>
      </c>
      <c r="AI91" s="84">
        <f t="shared" si="63"/>
        <v>137.92400061691885</v>
      </c>
      <c r="AJ91" s="84">
        <f t="shared" si="64"/>
        <v>1.6029997461738253E-3</v>
      </c>
      <c r="AK91" s="84">
        <f t="shared" si="65"/>
        <v>147.75974191170337</v>
      </c>
      <c r="AL91" s="84">
        <f t="shared" si="66"/>
        <v>1.5487285861348296E-3</v>
      </c>
      <c r="AM91" s="84">
        <f t="shared" si="67"/>
        <v>152.91778696838327</v>
      </c>
      <c r="AN91" s="84">
        <f t="shared" si="68"/>
        <v>1.522384572804715E-3</v>
      </c>
      <c r="AO91" s="84">
        <f t="shared" si="69"/>
        <v>155.55416345366584</v>
      </c>
      <c r="AP91" s="84">
        <f t="shared" si="70"/>
        <v>1.5094285378283187E-3</v>
      </c>
      <c r="AQ91" s="84">
        <f t="shared" si="71"/>
        <v>156.8844970119911</v>
      </c>
      <c r="AR91" s="84">
        <f t="shared" si="72"/>
        <v>1.5030151619922264E-3</v>
      </c>
      <c r="AS91" s="84">
        <f t="shared" si="73"/>
        <v>157.55151297717532</v>
      </c>
      <c r="AT91" s="84">
        <f t="shared" si="74"/>
        <v>1.4998301768574833E-3</v>
      </c>
      <c r="AU91" s="84">
        <f t="shared" si="75"/>
        <v>157.88488370358294</v>
      </c>
      <c r="AV91" s="84">
        <f t="shared" si="76"/>
        <v>1.4982459096448404E-3</v>
      </c>
      <c r="AW91" s="84">
        <f t="shared" si="77"/>
        <v>158.05123598795916</v>
      </c>
      <c r="AX91" s="84">
        <f t="shared" si="78"/>
        <v>1.497457234237412E-3</v>
      </c>
      <c r="AY91" s="142">
        <v>1.4500000000000001E-2</v>
      </c>
      <c r="AZ91" s="46">
        <f t="shared" si="79"/>
        <v>5.2588423540674389E-2</v>
      </c>
      <c r="BA91" s="85">
        <f t="shared" si="80"/>
        <v>16.856629777088614</v>
      </c>
      <c r="BB91" s="85">
        <f t="shared" si="81"/>
        <v>2.9000000000000001E-2</v>
      </c>
      <c r="BC91" s="85">
        <f t="shared" si="82"/>
        <v>8.7422421626764262</v>
      </c>
      <c r="BD91" s="85">
        <f t="shared" si="83"/>
        <v>4.0269103018339476E-2</v>
      </c>
      <c r="BE91" s="85">
        <f t="shared" si="84"/>
        <v>6.4813578747671796</v>
      </c>
      <c r="BF91" s="85">
        <f t="shared" si="85"/>
        <v>4.6768169399680579E-2</v>
      </c>
      <c r="BG91" s="85">
        <f t="shared" si="86"/>
        <v>5.6759573973015973</v>
      </c>
      <c r="BH91" s="85">
        <f t="shared" si="87"/>
        <v>4.997626647465072E-2</v>
      </c>
      <c r="BI91" s="85">
        <f t="shared" si="88"/>
        <v>5.3563576696022732</v>
      </c>
      <c r="BJ91" s="85">
        <f t="shared" si="89"/>
        <v>5.144564156107085E-2</v>
      </c>
      <c r="BK91" s="85">
        <f t="shared" si="90"/>
        <v>5.2234386488648576</v>
      </c>
      <c r="BL91" s="85">
        <f t="shared" si="91"/>
        <v>5.209608927170379E-2</v>
      </c>
      <c r="BM91" s="85">
        <f t="shared" si="92"/>
        <v>5.1670239341258055</v>
      </c>
      <c r="BN91" s="85">
        <f t="shared" si="93"/>
        <v>5.2379715535512031E-2</v>
      </c>
      <c r="BO91" s="85">
        <f t="shared" si="94"/>
        <v>5.1428688543360792</v>
      </c>
      <c r="BP91" s="85">
        <f t="shared" si="95"/>
        <v>5.2502580232140057E-2</v>
      </c>
      <c r="BQ91" s="85">
        <f t="shared" si="96"/>
        <v>5.1324871541726003</v>
      </c>
      <c r="BR91" s="85">
        <f t="shared" si="97"/>
        <v>5.2555653009115202E-2</v>
      </c>
      <c r="BS91" s="85">
        <f t="shared" si="98"/>
        <v>5.1280178766938525</v>
      </c>
      <c r="BT91" s="85">
        <f t="shared" si="99"/>
        <v>5.2578550222635571E-2</v>
      </c>
      <c r="BU91" s="85">
        <f t="shared" si="100"/>
        <v>5.1260925176459828</v>
      </c>
      <c r="BV91" s="85">
        <f t="shared" si="101"/>
        <v>5.2588423540674389E-2</v>
      </c>
      <c r="BW91" s="85">
        <f t="shared" si="102"/>
        <v>5.1252628238146656</v>
      </c>
    </row>
    <row r="92" spans="25:75" x14ac:dyDescent="0.4">
      <c r="Y92" s="142">
        <v>1.49E-2</v>
      </c>
      <c r="Z92" s="46">
        <f t="shared" si="54"/>
        <v>1.5401370741187112E-3</v>
      </c>
      <c r="AA92" s="84">
        <f t="shared" si="55"/>
        <v>16.420404305496326</v>
      </c>
      <c r="AB92" s="84">
        <f t="shared" si="56"/>
        <v>4.7117937136508846E-3</v>
      </c>
      <c r="AC92" s="84">
        <f t="shared" si="57"/>
        <v>50.645825050392205</v>
      </c>
      <c r="AD92" s="84">
        <f t="shared" si="58"/>
        <v>2.682911618911525E-3</v>
      </c>
      <c r="AE92" s="84">
        <f t="shared" si="59"/>
        <v>88.512561257808713</v>
      </c>
      <c r="AF92" s="84">
        <f t="shared" si="60"/>
        <v>2.0294377640273989E-3</v>
      </c>
      <c r="AG92" s="84">
        <f t="shared" si="61"/>
        <v>116.83050954002664</v>
      </c>
      <c r="AH92" s="84">
        <f t="shared" si="62"/>
        <v>1.7664447408957077E-3</v>
      </c>
      <c r="AI92" s="84">
        <f t="shared" si="63"/>
        <v>134.14022093910793</v>
      </c>
      <c r="AJ92" s="84">
        <f t="shared" si="64"/>
        <v>1.6485369388218006E-3</v>
      </c>
      <c r="AK92" s="84">
        <f t="shared" si="65"/>
        <v>143.69382576987209</v>
      </c>
      <c r="AL92" s="84">
        <f t="shared" si="66"/>
        <v>1.5927922636216163E-3</v>
      </c>
      <c r="AM92" s="84">
        <f t="shared" si="67"/>
        <v>148.70304364347862</v>
      </c>
      <c r="AN92" s="84">
        <f t="shared" si="68"/>
        <v>1.565735010304682E-3</v>
      </c>
      <c r="AO92" s="84">
        <f t="shared" si="69"/>
        <v>151.26299119471483</v>
      </c>
      <c r="AP92" s="84">
        <f t="shared" si="70"/>
        <v>1.5524293661997547E-3</v>
      </c>
      <c r="AQ92" s="84">
        <f t="shared" si="71"/>
        <v>152.5545992540703</v>
      </c>
      <c r="AR92" s="84">
        <f t="shared" si="72"/>
        <v>1.5458435520822446E-3</v>
      </c>
      <c r="AS92" s="84">
        <f t="shared" si="73"/>
        <v>153.20212513495198</v>
      </c>
      <c r="AT92" s="84">
        <f t="shared" si="74"/>
        <v>1.5425732526990422E-3</v>
      </c>
      <c r="AU92" s="84">
        <f t="shared" si="75"/>
        <v>153.52571974179938</v>
      </c>
      <c r="AV92" s="84">
        <f t="shared" si="76"/>
        <v>1.5409467118991799E-3</v>
      </c>
      <c r="AW92" s="84">
        <f t="shared" si="77"/>
        <v>153.68717666259431</v>
      </c>
      <c r="AX92" s="84">
        <f t="shared" si="78"/>
        <v>1.5401370741187112E-3</v>
      </c>
      <c r="AY92" s="142">
        <v>1.49E-2</v>
      </c>
      <c r="AZ92" s="46">
        <f t="shared" si="79"/>
        <v>5.3906454476893566E-2</v>
      </c>
      <c r="BA92" s="85">
        <f t="shared" si="80"/>
        <v>16.420404305496326</v>
      </c>
      <c r="BB92" s="85">
        <f t="shared" si="81"/>
        <v>2.98E-2</v>
      </c>
      <c r="BC92" s="85">
        <f t="shared" si="82"/>
        <v>8.5249844327873916</v>
      </c>
      <c r="BD92" s="85">
        <f t="shared" si="83"/>
        <v>4.1358177221999415E-2</v>
      </c>
      <c r="BE92" s="85">
        <f t="shared" si="84"/>
        <v>6.3285653532391821</v>
      </c>
      <c r="BF92" s="85">
        <f t="shared" si="85"/>
        <v>4.8001582194011218E-2</v>
      </c>
      <c r="BG92" s="85">
        <f t="shared" si="86"/>
        <v>5.547967051889362</v>
      </c>
      <c r="BH92" s="85">
        <f t="shared" si="87"/>
        <v>5.1267394991357407E-2</v>
      </c>
      <c r="BI92" s="85">
        <f t="shared" si="88"/>
        <v>5.239151533163918</v>
      </c>
      <c r="BJ92" s="85">
        <f t="shared" si="89"/>
        <v>5.2756710350939012E-2</v>
      </c>
      <c r="BK92" s="85">
        <f t="shared" si="90"/>
        <v>5.1111694200089284</v>
      </c>
      <c r="BL92" s="85">
        <f t="shared" si="91"/>
        <v>5.3413132519900382E-2</v>
      </c>
      <c r="BM92" s="85">
        <f t="shared" si="92"/>
        <v>5.0570567059646834</v>
      </c>
      <c r="BN92" s="85">
        <f t="shared" si="93"/>
        <v>5.3698144027570303E-2</v>
      </c>
      <c r="BO92" s="85">
        <f t="shared" si="94"/>
        <v>5.0339790849802579</v>
      </c>
      <c r="BP92" s="85">
        <f t="shared" si="95"/>
        <v>5.3821089353117621E-2</v>
      </c>
      <c r="BQ92" s="85">
        <f t="shared" si="96"/>
        <v>5.0241006027182449</v>
      </c>
      <c r="BR92" s="85">
        <f t="shared" si="97"/>
        <v>5.3873975394807691E-2</v>
      </c>
      <c r="BS92" s="85">
        <f t="shared" si="98"/>
        <v>5.0198653467107892</v>
      </c>
      <c r="BT92" s="85">
        <f t="shared" si="99"/>
        <v>5.389669731618886E-2</v>
      </c>
      <c r="BU92" s="85">
        <f t="shared" si="100"/>
        <v>5.0180483026970322</v>
      </c>
      <c r="BV92" s="85">
        <f t="shared" si="101"/>
        <v>5.3906454476893566E-2</v>
      </c>
      <c r="BW92" s="85">
        <f t="shared" si="102"/>
        <v>5.0172685113024702</v>
      </c>
    </row>
    <row r="93" spans="25:75" x14ac:dyDescent="0.4">
      <c r="Y93" s="142">
        <v>1.54E-2</v>
      </c>
      <c r="Z93" s="46">
        <f t="shared" si="54"/>
        <v>1.5935939222414418E-3</v>
      </c>
      <c r="AA93" s="84">
        <f t="shared" si="55"/>
        <v>15.907033835063528</v>
      </c>
      <c r="AB93" s="84">
        <f t="shared" si="56"/>
        <v>4.8699075966593041E-3</v>
      </c>
      <c r="AC93" s="84">
        <f t="shared" si="57"/>
        <v>49.020180920699495</v>
      </c>
      <c r="AD93" s="84">
        <f t="shared" si="58"/>
        <v>2.7741367673730873E-3</v>
      </c>
      <c r="AE93" s="84">
        <f t="shared" si="59"/>
        <v>85.620617215061998</v>
      </c>
      <c r="AF93" s="84">
        <f t="shared" si="60"/>
        <v>2.0990662514406215E-3</v>
      </c>
      <c r="AG93" s="84">
        <f t="shared" si="61"/>
        <v>112.9739113711391</v>
      </c>
      <c r="AH93" s="84">
        <f t="shared" si="62"/>
        <v>1.8273689476338729E-3</v>
      </c>
      <c r="AI93" s="84">
        <f t="shared" si="63"/>
        <v>129.68687861570083</v>
      </c>
      <c r="AJ93" s="84">
        <f t="shared" si="64"/>
        <v>1.7055611876534407E-3</v>
      </c>
      <c r="AK93" s="84">
        <f t="shared" si="65"/>
        <v>138.90843547742958</v>
      </c>
      <c r="AL93" s="84">
        <f t="shared" si="66"/>
        <v>1.6479764958512188E-3</v>
      </c>
      <c r="AM93" s="84">
        <f t="shared" si="67"/>
        <v>143.74250075212171</v>
      </c>
      <c r="AN93" s="84">
        <f t="shared" si="68"/>
        <v>1.6200287622940169E-3</v>
      </c>
      <c r="AO93" s="84">
        <f t="shared" si="69"/>
        <v>146.21250143009493</v>
      </c>
      <c r="AP93" s="84">
        <f t="shared" si="70"/>
        <v>1.6062867230963904E-3</v>
      </c>
      <c r="AQ93" s="84">
        <f t="shared" si="71"/>
        <v>147.45853520231313</v>
      </c>
      <c r="AR93" s="84">
        <f t="shared" si="72"/>
        <v>1.599485714139652E-3</v>
      </c>
      <c r="AS93" s="84">
        <f t="shared" si="73"/>
        <v>148.08312435698596</v>
      </c>
      <c r="AT93" s="84">
        <f t="shared" si="74"/>
        <v>1.5961089718975626E-3</v>
      </c>
      <c r="AU93" s="84">
        <f t="shared" si="75"/>
        <v>148.39521416354054</v>
      </c>
      <c r="AV93" s="84">
        <f t="shared" si="76"/>
        <v>1.5944297010306795E-3</v>
      </c>
      <c r="AW93" s="84">
        <f t="shared" si="77"/>
        <v>148.5509101586303</v>
      </c>
      <c r="AX93" s="84">
        <f t="shared" si="78"/>
        <v>1.5935939222414418E-3</v>
      </c>
      <c r="AY93" s="142">
        <v>1.54E-2</v>
      </c>
      <c r="AZ93" s="46">
        <f t="shared" si="79"/>
        <v>5.554554936731744E-2</v>
      </c>
      <c r="BA93" s="85">
        <f t="shared" si="80"/>
        <v>15.907033835063528</v>
      </c>
      <c r="BB93" s="85">
        <f t="shared" si="81"/>
        <v>3.0800000000000001E-2</v>
      </c>
      <c r="BC93" s="85">
        <f t="shared" si="82"/>
        <v>8.2693622263515021</v>
      </c>
      <c r="BD93" s="85">
        <f t="shared" si="83"/>
        <v>4.2717842577086211E-2</v>
      </c>
      <c r="BE93" s="85">
        <f t="shared" si="84"/>
        <v>6.1488409770456061</v>
      </c>
      <c r="BF93" s="85">
        <f t="shared" si="85"/>
        <v>4.9539165698058156E-2</v>
      </c>
      <c r="BG93" s="85">
        <f t="shared" si="86"/>
        <v>5.3974386563927048</v>
      </c>
      <c r="BH93" s="85">
        <f t="shared" si="87"/>
        <v>5.2875131607144132E-2</v>
      </c>
      <c r="BI93" s="85">
        <f t="shared" si="88"/>
        <v>5.1013065751884499</v>
      </c>
      <c r="BJ93" s="85">
        <f t="shared" si="89"/>
        <v>5.4388190092069778E-2</v>
      </c>
      <c r="BK93" s="85">
        <f t="shared" si="90"/>
        <v>4.9791210348410964</v>
      </c>
      <c r="BL93" s="85">
        <f t="shared" si="91"/>
        <v>5.5051477235916767E-2</v>
      </c>
      <c r="BM93" s="85">
        <f t="shared" si="92"/>
        <v>4.9277047834556624</v>
      </c>
      <c r="BN93" s="85">
        <f t="shared" si="93"/>
        <v>5.5337938726550635E-2</v>
      </c>
      <c r="BO93" s="85">
        <f t="shared" si="94"/>
        <v>4.9058856289372965</v>
      </c>
      <c r="BP93" s="85">
        <f t="shared" si="95"/>
        <v>5.5460861230481877E-2</v>
      </c>
      <c r="BQ93" s="85">
        <f t="shared" si="96"/>
        <v>4.8965930037319492</v>
      </c>
      <c r="BR93" s="85">
        <f t="shared" si="97"/>
        <v>5.5513462366732165E-2</v>
      </c>
      <c r="BS93" s="85">
        <f t="shared" si="98"/>
        <v>4.892629250295129</v>
      </c>
      <c r="BT93" s="85">
        <f t="shared" si="99"/>
        <v>5.5535944872299008E-2</v>
      </c>
      <c r="BU93" s="85">
        <f t="shared" si="100"/>
        <v>4.8909374074338601</v>
      </c>
      <c r="BV93" s="85">
        <f t="shared" si="101"/>
        <v>5.554554936731744E-2</v>
      </c>
      <c r="BW93" s="85">
        <f t="shared" si="102"/>
        <v>4.8902150781760181</v>
      </c>
    </row>
    <row r="94" spans="25:75" x14ac:dyDescent="0.4">
      <c r="Y94" s="142">
        <v>1.5800000000000002E-2</v>
      </c>
      <c r="Z94" s="46">
        <f t="shared" si="54"/>
        <v>1.6364452642535618E-3</v>
      </c>
      <c r="AA94" s="84">
        <f t="shared" si="55"/>
        <v>15.51976594348443</v>
      </c>
      <c r="AB94" s="84">
        <f t="shared" si="56"/>
        <v>4.9963987030660394E-3</v>
      </c>
      <c r="AC94" s="84">
        <f t="shared" si="57"/>
        <v>47.793757396262592</v>
      </c>
      <c r="AD94" s="84">
        <f t="shared" si="58"/>
        <v>2.8471744860138178E-3</v>
      </c>
      <c r="AE94" s="84">
        <f t="shared" si="59"/>
        <v>83.438824970191476</v>
      </c>
      <c r="AF94" s="84">
        <f t="shared" si="60"/>
        <v>2.1548427396348409E-3</v>
      </c>
      <c r="AG94" s="84">
        <f t="shared" si="61"/>
        <v>110.06434718008488</v>
      </c>
      <c r="AH94" s="84">
        <f t="shared" si="62"/>
        <v>1.8761879381428328E-3</v>
      </c>
      <c r="AI94" s="84">
        <f t="shared" si="63"/>
        <v>126.32711989660476</v>
      </c>
      <c r="AJ94" s="84">
        <f t="shared" si="64"/>
        <v>1.751263004030124E-3</v>
      </c>
      <c r="AK94" s="84">
        <f t="shared" si="65"/>
        <v>135.29817929002346</v>
      </c>
      <c r="AL94" s="84">
        <f t="shared" si="66"/>
        <v>1.6922078073937938E-3</v>
      </c>
      <c r="AM94" s="84">
        <f t="shared" si="67"/>
        <v>140.00011148585409</v>
      </c>
      <c r="AN94" s="84">
        <f t="shared" si="68"/>
        <v>1.6635485490100602E-3</v>
      </c>
      <c r="AO94" s="84">
        <f t="shared" si="69"/>
        <v>142.40225827036571</v>
      </c>
      <c r="AP94" s="84">
        <f t="shared" si="70"/>
        <v>1.6494578887091601E-3</v>
      </c>
      <c r="AQ94" s="84">
        <f t="shared" si="71"/>
        <v>143.61391227060977</v>
      </c>
      <c r="AR94" s="84">
        <f t="shared" si="72"/>
        <v>1.6424850073039313E-3</v>
      </c>
      <c r="AS94" s="84">
        <f t="shared" si="73"/>
        <v>144.22119891119965</v>
      </c>
      <c r="AT94" s="84">
        <f t="shared" si="74"/>
        <v>1.6390232712632797E-3</v>
      </c>
      <c r="AU94" s="84">
        <f t="shared" si="75"/>
        <v>144.52461008010962</v>
      </c>
      <c r="AV94" s="84">
        <f t="shared" si="76"/>
        <v>1.6373019061468751E-3</v>
      </c>
      <c r="AW94" s="84">
        <f t="shared" si="77"/>
        <v>144.67596037954789</v>
      </c>
      <c r="AX94" s="84">
        <f t="shared" si="78"/>
        <v>1.6364452642535618E-3</v>
      </c>
      <c r="AY94" s="142">
        <v>1.5800000000000002E-2</v>
      </c>
      <c r="AZ94" s="46">
        <f t="shared" si="79"/>
        <v>5.6850170003243272E-2</v>
      </c>
      <c r="BA94" s="85">
        <f t="shared" si="80"/>
        <v>15.51976594348443</v>
      </c>
      <c r="BB94" s="85">
        <f t="shared" si="81"/>
        <v>3.1600000000000003E-2</v>
      </c>
      <c r="BC94" s="85">
        <f t="shared" si="82"/>
        <v>8.0765741451585864</v>
      </c>
      <c r="BD94" s="85">
        <f t="shared" si="83"/>
        <v>4.3804232366639814E-2</v>
      </c>
      <c r="BE94" s="85">
        <f t="shared" si="84"/>
        <v>6.0133319289511649</v>
      </c>
      <c r="BF94" s="85">
        <f t="shared" si="85"/>
        <v>5.0765898572261992E-2</v>
      </c>
      <c r="BG94" s="85">
        <f t="shared" si="86"/>
        <v>5.2839593291863789</v>
      </c>
      <c r="BH94" s="85">
        <f t="shared" si="87"/>
        <v>5.4156418192741501E-2</v>
      </c>
      <c r="BI94" s="85">
        <f t="shared" si="88"/>
        <v>4.9973885815945653</v>
      </c>
      <c r="BJ94" s="85">
        <f t="shared" si="89"/>
        <v>5.5687549341613608E-2</v>
      </c>
      <c r="BK94" s="85">
        <f t="shared" si="90"/>
        <v>4.8795651284420369</v>
      </c>
      <c r="BL94" s="85">
        <f t="shared" si="91"/>
        <v>5.635586326963006E-2</v>
      </c>
      <c r="BM94" s="85">
        <f t="shared" si="92"/>
        <v>4.8301731174204736</v>
      </c>
      <c r="BN94" s="85">
        <f t="shared" si="93"/>
        <v>5.6643270118616029E-2</v>
      </c>
      <c r="BO94" s="85">
        <f t="shared" si="94"/>
        <v>4.8092959258070174</v>
      </c>
      <c r="BP94" s="85">
        <f t="shared" si="95"/>
        <v>5.6766081423304859E-2</v>
      </c>
      <c r="BQ94" s="85">
        <f t="shared" si="96"/>
        <v>4.8004403719579667</v>
      </c>
      <c r="BR94" s="85">
        <f t="shared" si="97"/>
        <v>5.6818416566577358E-2</v>
      </c>
      <c r="BS94" s="85">
        <f t="shared" si="98"/>
        <v>4.7966784517998171</v>
      </c>
      <c r="BT94" s="85">
        <f t="shared" si="99"/>
        <v>5.6840692862161153E-2</v>
      </c>
      <c r="BU94" s="85">
        <f t="shared" si="100"/>
        <v>4.7950793357608417</v>
      </c>
      <c r="BV94" s="85">
        <f t="shared" si="101"/>
        <v>5.6850170003243272E-2</v>
      </c>
      <c r="BW94" s="85">
        <f t="shared" si="102"/>
        <v>4.7943993998049388</v>
      </c>
    </row>
    <row r="95" spans="25:75" x14ac:dyDescent="0.4">
      <c r="Y95" s="142">
        <v>1.6299999999999999E-2</v>
      </c>
      <c r="Z95" s="46">
        <f t="shared" si="54"/>
        <v>1.6901170716142112E-3</v>
      </c>
      <c r="AA95" s="84">
        <f t="shared" si="55"/>
        <v>15.062451206921359</v>
      </c>
      <c r="AB95" s="84">
        <f t="shared" si="56"/>
        <v>5.1545125860744572E-3</v>
      </c>
      <c r="AC95" s="84">
        <f t="shared" si="57"/>
        <v>46.345388059698699</v>
      </c>
      <c r="AD95" s="84">
        <f t="shared" si="58"/>
        <v>2.9385438071727926E-3</v>
      </c>
      <c r="AE95" s="84">
        <f t="shared" si="59"/>
        <v>80.862142759196189</v>
      </c>
      <c r="AF95" s="84">
        <f t="shared" si="60"/>
        <v>2.2246557076517261E-3</v>
      </c>
      <c r="AG95" s="84">
        <f t="shared" si="61"/>
        <v>106.62817131014661</v>
      </c>
      <c r="AH95" s="84">
        <f t="shared" si="62"/>
        <v>1.9373114729769887E-3</v>
      </c>
      <c r="AI95" s="84">
        <f t="shared" si="63"/>
        <v>122.3592820890544</v>
      </c>
      <c r="AJ95" s="84">
        <f t="shared" si="64"/>
        <v>1.8084935776841683E-3</v>
      </c>
      <c r="AK95" s="84">
        <f t="shared" si="65"/>
        <v>131.03452055373543</v>
      </c>
      <c r="AL95" s="84">
        <f t="shared" si="66"/>
        <v>1.7476021444357052E-3</v>
      </c>
      <c r="AM95" s="84">
        <f t="shared" si="67"/>
        <v>135.58041511613911</v>
      </c>
      <c r="AN95" s="84">
        <f t="shared" si="68"/>
        <v>1.7180545590488687E-3</v>
      </c>
      <c r="AO95" s="84">
        <f t="shared" si="69"/>
        <v>137.90243356290875</v>
      </c>
      <c r="AP95" s="84">
        <f t="shared" si="70"/>
        <v>1.7035287436700933E-3</v>
      </c>
      <c r="AQ95" s="84">
        <f t="shared" si="71"/>
        <v>139.07348919224256</v>
      </c>
      <c r="AR95" s="84">
        <f t="shared" si="72"/>
        <v>1.6963413773498578E-3</v>
      </c>
      <c r="AS95" s="84">
        <f t="shared" si="73"/>
        <v>139.66034390451938</v>
      </c>
      <c r="AT95" s="84">
        <f t="shared" si="74"/>
        <v>1.692773600382893E-3</v>
      </c>
      <c r="AU95" s="84">
        <f t="shared" si="75"/>
        <v>139.95350690513396</v>
      </c>
      <c r="AV95" s="84">
        <f t="shared" si="76"/>
        <v>1.6909997300744298E-3</v>
      </c>
      <c r="AW95" s="84">
        <f t="shared" si="77"/>
        <v>140.09972565632432</v>
      </c>
      <c r="AX95" s="84">
        <f t="shared" si="78"/>
        <v>1.6901170716142112E-3</v>
      </c>
      <c r="AY95" s="142">
        <v>1.6299999999999999E-2</v>
      </c>
      <c r="AZ95" s="46">
        <f t="shared" si="79"/>
        <v>5.8472759219527964E-2</v>
      </c>
      <c r="BA95" s="85">
        <f t="shared" si="80"/>
        <v>15.062451206921359</v>
      </c>
      <c r="BB95" s="85">
        <f t="shared" si="81"/>
        <v>3.2599999999999997E-2</v>
      </c>
      <c r="BC95" s="85">
        <f t="shared" si="82"/>
        <v>7.8489684423204764</v>
      </c>
      <c r="BD95" s="85">
        <f t="shared" si="83"/>
        <v>4.5160540918783104E-2</v>
      </c>
      <c r="BE95" s="85">
        <f t="shared" si="84"/>
        <v>5.8533944764205437</v>
      </c>
      <c r="BF95" s="85">
        <f t="shared" si="85"/>
        <v>5.2295164072210083E-2</v>
      </c>
      <c r="BG95" s="85">
        <f t="shared" si="86"/>
        <v>5.1500419171855443</v>
      </c>
      <c r="BH95" s="85">
        <f t="shared" si="87"/>
        <v>5.5751947772725824E-2</v>
      </c>
      <c r="BI95" s="85">
        <f t="shared" si="88"/>
        <v>4.8747534121486558</v>
      </c>
      <c r="BJ95" s="85">
        <f t="shared" si="89"/>
        <v>5.7304549231244062E-2</v>
      </c>
      <c r="BK95" s="85">
        <f t="shared" si="90"/>
        <v>4.7620679381100128</v>
      </c>
      <c r="BL95" s="85">
        <f t="shared" si="91"/>
        <v>5.7978587825842032E-2</v>
      </c>
      <c r="BM95" s="85">
        <f t="shared" si="92"/>
        <v>4.7150543303495045</v>
      </c>
      <c r="BN95" s="85">
        <f t="shared" si="93"/>
        <v>5.8266921893202359E-2</v>
      </c>
      <c r="BO95" s="85">
        <f t="shared" si="94"/>
        <v>4.69528062230731</v>
      </c>
      <c r="BP95" s="85">
        <f t="shared" si="95"/>
        <v>5.8389485664958489E-2</v>
      </c>
      <c r="BQ95" s="85">
        <f t="shared" si="96"/>
        <v>4.6869353865906502</v>
      </c>
      <c r="BR95" s="85">
        <f t="shared" si="97"/>
        <v>5.84414447034649E-2</v>
      </c>
      <c r="BS95" s="85">
        <f t="shared" si="98"/>
        <v>4.6834082843843987</v>
      </c>
      <c r="BT95" s="85">
        <f t="shared" si="99"/>
        <v>5.8463446858883911E-2</v>
      </c>
      <c r="BU95" s="85">
        <f t="shared" si="100"/>
        <v>4.6819166457265418</v>
      </c>
      <c r="BV95" s="85">
        <f t="shared" si="101"/>
        <v>5.8472759219527964E-2</v>
      </c>
      <c r="BW95" s="85">
        <f t="shared" si="102"/>
        <v>4.6812856566649188</v>
      </c>
    </row>
    <row r="96" spans="25:75" x14ac:dyDescent="0.4">
      <c r="Y96" s="142">
        <v>1.6899999999999998E-2</v>
      </c>
      <c r="Z96" s="46">
        <f t="shared" si="54"/>
        <v>1.7546815657066199E-3</v>
      </c>
      <c r="AA96" s="84">
        <f t="shared" si="55"/>
        <v>14.549451282230578</v>
      </c>
      <c r="AB96" s="84">
        <f t="shared" si="56"/>
        <v>5.3442492456845601E-3</v>
      </c>
      <c r="AC96" s="84">
        <f t="shared" si="57"/>
        <v>44.720492094968286</v>
      </c>
      <c r="AD96" s="84">
        <f t="shared" si="58"/>
        <v>3.0482931141334914E-3</v>
      </c>
      <c r="AE96" s="84">
        <f t="shared" si="59"/>
        <v>77.971344407508113</v>
      </c>
      <c r="AF96" s="84">
        <f t="shared" si="60"/>
        <v>2.3085670923111059E-3</v>
      </c>
      <c r="AG96" s="84">
        <f t="shared" si="61"/>
        <v>102.77310193312192</v>
      </c>
      <c r="AH96" s="84">
        <f t="shared" si="62"/>
        <v>2.0108064960002374E-3</v>
      </c>
      <c r="AI96" s="84">
        <f t="shared" si="63"/>
        <v>117.90775894178145</v>
      </c>
      <c r="AJ96" s="84">
        <f t="shared" si="64"/>
        <v>1.877322215742852E-3</v>
      </c>
      <c r="AK96" s="84">
        <f t="shared" si="65"/>
        <v>126.25113526140481</v>
      </c>
      <c r="AL96" s="84">
        <f t="shared" si="66"/>
        <v>1.8142300910487048E-3</v>
      </c>
      <c r="AM96" s="84">
        <f t="shared" si="67"/>
        <v>130.62198536146397</v>
      </c>
      <c r="AN96" s="84">
        <f t="shared" si="68"/>
        <v>1.7836181034412931E-3</v>
      </c>
      <c r="AO96" s="84">
        <f t="shared" si="69"/>
        <v>132.85411677984513</v>
      </c>
      <c r="AP96" s="84">
        <f t="shared" si="70"/>
        <v>1.768571017290134E-3</v>
      </c>
      <c r="AQ96" s="84">
        <f t="shared" si="71"/>
        <v>133.97963039403876</v>
      </c>
      <c r="AR96" s="84">
        <f t="shared" si="72"/>
        <v>1.7611267928395137E-3</v>
      </c>
      <c r="AS96" s="84">
        <f t="shared" si="73"/>
        <v>134.54356555623809</v>
      </c>
      <c r="AT96" s="84">
        <f t="shared" si="74"/>
        <v>1.757432063153217E-3</v>
      </c>
      <c r="AU96" s="84">
        <f t="shared" si="75"/>
        <v>134.82523283888924</v>
      </c>
      <c r="AV96" s="84">
        <f t="shared" si="76"/>
        <v>1.7555953523641728E-3</v>
      </c>
      <c r="AW96" s="84">
        <f t="shared" si="77"/>
        <v>134.96569545175339</v>
      </c>
      <c r="AX96" s="84">
        <f t="shared" si="78"/>
        <v>1.7546815657066199E-3</v>
      </c>
      <c r="AY96" s="142">
        <v>1.6899999999999998E-2</v>
      </c>
      <c r="AZ96" s="46">
        <f t="shared" si="79"/>
        <v>6.0408064404841526E-2</v>
      </c>
      <c r="BA96" s="85">
        <f t="shared" si="80"/>
        <v>14.549451282230578</v>
      </c>
      <c r="BB96" s="85">
        <f t="shared" si="81"/>
        <v>3.3799999999999997E-2</v>
      </c>
      <c r="BC96" s="85">
        <f t="shared" si="82"/>
        <v>7.5937222205078632</v>
      </c>
      <c r="BD96" s="85">
        <f t="shared" si="83"/>
        <v>4.678564857413571E-2</v>
      </c>
      <c r="BE96" s="85">
        <f t="shared" si="84"/>
        <v>5.6740959202167289</v>
      </c>
      <c r="BF96" s="85">
        <f t="shared" si="85"/>
        <v>5.4124222532813793E-2</v>
      </c>
      <c r="BG96" s="85">
        <f t="shared" si="86"/>
        <v>4.9999386956779048</v>
      </c>
      <c r="BH96" s="85">
        <f t="shared" si="87"/>
        <v>5.76577469624465E-2</v>
      </c>
      <c r="BI96" s="85">
        <f t="shared" si="88"/>
        <v>4.737293478126869</v>
      </c>
      <c r="BJ96" s="85">
        <f t="shared" si="89"/>
        <v>5.9234518482376909E-2</v>
      </c>
      <c r="BK96" s="85">
        <f t="shared" si="90"/>
        <v>4.6303527968928027</v>
      </c>
      <c r="BL96" s="85">
        <f t="shared" si="91"/>
        <v>5.9914641704148411E-2</v>
      </c>
      <c r="BM96" s="85">
        <f t="shared" si="92"/>
        <v>4.5859902757716693</v>
      </c>
      <c r="BN96" s="85">
        <f t="shared" si="93"/>
        <v>6.0203736027870561E-2</v>
      </c>
      <c r="BO96" s="85">
        <f t="shared" si="94"/>
        <v>4.5674420267325511</v>
      </c>
      <c r="BP96" s="85">
        <f t="shared" si="95"/>
        <v>6.0325854982363224E-2</v>
      </c>
      <c r="BQ96" s="85">
        <f t="shared" si="96"/>
        <v>4.5596611900713295</v>
      </c>
      <c r="BR96" s="85">
        <f t="shared" si="97"/>
        <v>6.0377304588960484E-2</v>
      </c>
      <c r="BS96" s="85">
        <f t="shared" si="98"/>
        <v>4.5563926482913972</v>
      </c>
      <c r="BT96" s="85">
        <f t="shared" si="99"/>
        <v>6.0398956625877534E-2</v>
      </c>
      <c r="BU96" s="85">
        <f t="shared" si="100"/>
        <v>4.5550188089164578</v>
      </c>
      <c r="BV96" s="85">
        <f t="shared" si="101"/>
        <v>6.0408064404841526E-2</v>
      </c>
      <c r="BW96" s="85">
        <f t="shared" si="102"/>
        <v>4.5544412121321436</v>
      </c>
    </row>
    <row r="97" spans="25:75" x14ac:dyDescent="0.4">
      <c r="Y97" s="142">
        <v>1.7399999999999999E-2</v>
      </c>
      <c r="Z97" s="46">
        <f t="shared" si="54"/>
        <v>1.808617661105974E-3</v>
      </c>
      <c r="AA97" s="84">
        <f t="shared" si="55"/>
        <v>14.14902435889131</v>
      </c>
      <c r="AB97" s="84">
        <f t="shared" si="56"/>
        <v>5.5023631286929796E-3</v>
      </c>
      <c r="AC97" s="84">
        <f t="shared" si="57"/>
        <v>43.452031182538711</v>
      </c>
      <c r="AD97" s="84">
        <f t="shared" si="58"/>
        <v>3.1398395394459425E-3</v>
      </c>
      <c r="AE97" s="84">
        <f t="shared" si="59"/>
        <v>75.714611077438889</v>
      </c>
      <c r="AF97" s="84">
        <f t="shared" si="60"/>
        <v>2.3786067527414188E-3</v>
      </c>
      <c r="AG97" s="84">
        <f t="shared" si="61"/>
        <v>99.763601494488412</v>
      </c>
      <c r="AH97" s="84">
        <f t="shared" si="62"/>
        <v>2.0721750293918491E-3</v>
      </c>
      <c r="AI97" s="84">
        <f t="shared" si="63"/>
        <v>114.4326483556853</v>
      </c>
      <c r="AJ97" s="84">
        <f t="shared" si="64"/>
        <v>1.9348064248711043E-3</v>
      </c>
      <c r="AK97" s="84">
        <f t="shared" si="65"/>
        <v>122.51697057682519</v>
      </c>
      <c r="AL97" s="84">
        <f t="shared" si="66"/>
        <v>1.8698827301930024E-3</v>
      </c>
      <c r="AM97" s="84">
        <f t="shared" si="67"/>
        <v>126.75118284989894</v>
      </c>
      <c r="AN97" s="84">
        <f t="shared" si="68"/>
        <v>1.8383850726715551E-3</v>
      </c>
      <c r="AO97" s="84">
        <f t="shared" si="69"/>
        <v>128.91315078367825</v>
      </c>
      <c r="AP97" s="84">
        <f t="shared" si="70"/>
        <v>1.8229043606148867E-3</v>
      </c>
      <c r="AQ97" s="84">
        <f t="shared" si="71"/>
        <v>130.00311609758174</v>
      </c>
      <c r="AR97" s="84">
        <f t="shared" si="72"/>
        <v>1.8152465261151037E-3</v>
      </c>
      <c r="AS97" s="84">
        <f t="shared" si="73"/>
        <v>130.54916145841824</v>
      </c>
      <c r="AT97" s="84">
        <f t="shared" si="74"/>
        <v>1.8114462504873825E-3</v>
      </c>
      <c r="AU97" s="84">
        <f t="shared" si="75"/>
        <v>130.82185593274565</v>
      </c>
      <c r="AV97" s="84">
        <f t="shared" si="76"/>
        <v>1.8095573112672351E-3</v>
      </c>
      <c r="AW97" s="84">
        <f t="shared" si="77"/>
        <v>130.95782575476937</v>
      </c>
      <c r="AX97" s="84">
        <f t="shared" si="78"/>
        <v>1.808617661105974E-3</v>
      </c>
      <c r="AY97" s="142">
        <v>1.7399999999999999E-2</v>
      </c>
      <c r="AZ97" s="46">
        <f t="shared" si="79"/>
        <v>6.2011163317688044E-2</v>
      </c>
      <c r="BA97" s="85">
        <f t="shared" si="80"/>
        <v>14.14902435889131</v>
      </c>
      <c r="BB97" s="85">
        <f t="shared" si="81"/>
        <v>3.4799999999999998E-2</v>
      </c>
      <c r="BC97" s="85">
        <f t="shared" si="82"/>
        <v>7.3945467060935801</v>
      </c>
      <c r="BD97" s="85">
        <f t="shared" si="83"/>
        <v>4.8137852612225168E-2</v>
      </c>
      <c r="BE97" s="85">
        <f t="shared" si="84"/>
        <v>5.5342332805483121</v>
      </c>
      <c r="BF97" s="85">
        <f t="shared" si="85"/>
        <v>5.5643412971247141E-2</v>
      </c>
      <c r="BG97" s="85">
        <f t="shared" si="86"/>
        <v>4.8828694334722655</v>
      </c>
      <c r="BH97" s="85">
        <f t="shared" si="87"/>
        <v>5.9238620341588166E-2</v>
      </c>
      <c r="BI97" s="85">
        <f t="shared" si="88"/>
        <v>4.6300821406559294</v>
      </c>
      <c r="BJ97" s="85">
        <f t="shared" si="89"/>
        <v>6.0834247901217844E-2</v>
      </c>
      <c r="BK97" s="85">
        <f t="shared" si="90"/>
        <v>4.5276101626177185</v>
      </c>
      <c r="BL97" s="85">
        <f t="shared" si="91"/>
        <v>6.151881736965803E-2</v>
      </c>
      <c r="BM97" s="85">
        <f t="shared" si="92"/>
        <v>4.4853032987404573</v>
      </c>
      <c r="BN97" s="85">
        <f t="shared" si="93"/>
        <v>6.1808269333950679E-2</v>
      </c>
      <c r="BO97" s="85">
        <f t="shared" si="94"/>
        <v>4.4677016907615634</v>
      </c>
      <c r="BP97" s="85">
        <f t="shared" si="95"/>
        <v>6.1929904077119742E-2</v>
      </c>
      <c r="BQ97" s="85">
        <f t="shared" si="96"/>
        <v>4.4603550176229998</v>
      </c>
      <c r="BR97" s="85">
        <f t="shared" si="97"/>
        <v>6.1980885620701226E-2</v>
      </c>
      <c r="BS97" s="85">
        <f t="shared" si="98"/>
        <v>4.4572844850649265</v>
      </c>
      <c r="BT97" s="85">
        <f t="shared" si="99"/>
        <v>6.2002230630570129E-2</v>
      </c>
      <c r="BU97" s="85">
        <f t="shared" si="100"/>
        <v>4.4560004369076616</v>
      </c>
      <c r="BV97" s="85">
        <f t="shared" si="101"/>
        <v>6.2011163317688044E-2</v>
      </c>
      <c r="BW97" s="85">
        <f t="shared" si="102"/>
        <v>4.4554633417208516</v>
      </c>
    </row>
    <row r="98" spans="25:75" x14ac:dyDescent="0.4">
      <c r="Y98" s="142">
        <v>1.7899999999999999E-2</v>
      </c>
      <c r="Z98" s="46">
        <f t="shared" si="54"/>
        <v>1.8626744467210125E-3</v>
      </c>
      <c r="AA98" s="84">
        <f t="shared" si="55"/>
        <v>13.771009154849883</v>
      </c>
      <c r="AB98" s="84">
        <f t="shared" si="56"/>
        <v>5.6604770117013982E-3</v>
      </c>
      <c r="AC98" s="84">
        <f t="shared" si="57"/>
        <v>42.254448394995741</v>
      </c>
      <c r="AD98" s="84">
        <f t="shared" si="58"/>
        <v>3.2314667837083917E-3</v>
      </c>
      <c r="AE98" s="84">
        <f t="shared" si="59"/>
        <v>73.583928520917638</v>
      </c>
      <c r="AF98" s="84">
        <f t="shared" si="60"/>
        <v>2.4487498889248496E-3</v>
      </c>
      <c r="AG98" s="84">
        <f t="shared" si="61"/>
        <v>96.922199988829291</v>
      </c>
      <c r="AH98" s="84">
        <f t="shared" si="62"/>
        <v>2.1336554175189837E-3</v>
      </c>
      <c r="AI98" s="84">
        <f t="shared" si="63"/>
        <v>111.15165992775547</v>
      </c>
      <c r="AJ98" s="84">
        <f t="shared" si="64"/>
        <v>1.9924064458035355E-3</v>
      </c>
      <c r="AK98" s="84">
        <f t="shared" si="65"/>
        <v>118.99141355596777</v>
      </c>
      <c r="AL98" s="84">
        <f t="shared" si="66"/>
        <v>1.9256533193950966E-3</v>
      </c>
      <c r="AM98" s="84">
        <f t="shared" si="67"/>
        <v>123.09663120393392</v>
      </c>
      <c r="AN98" s="84">
        <f t="shared" si="68"/>
        <v>1.8932712089995522E-3</v>
      </c>
      <c r="AO98" s="84">
        <f t="shared" si="69"/>
        <v>125.19236164230061</v>
      </c>
      <c r="AP98" s="84">
        <f t="shared" si="70"/>
        <v>1.8773575710859911E-3</v>
      </c>
      <c r="AQ98" s="84">
        <f t="shared" si="71"/>
        <v>126.24876830195282</v>
      </c>
      <c r="AR98" s="84">
        <f t="shared" si="72"/>
        <v>1.8694865268259117E-3</v>
      </c>
      <c r="AS98" s="84">
        <f t="shared" si="73"/>
        <v>126.77792541857535</v>
      </c>
      <c r="AT98" s="84">
        <f t="shared" si="74"/>
        <v>1.865580931612487E-3</v>
      </c>
      <c r="AU98" s="84">
        <f t="shared" si="75"/>
        <v>127.04214955602376</v>
      </c>
      <c r="AV98" s="84">
        <f t="shared" si="76"/>
        <v>1.8636398904593953E-3</v>
      </c>
      <c r="AW98" s="84">
        <f t="shared" si="77"/>
        <v>127.17387824746324</v>
      </c>
      <c r="AX98" s="84">
        <f t="shared" si="78"/>
        <v>1.8626744467210125E-3</v>
      </c>
      <c r="AY98" s="142">
        <v>1.7899999999999999E-2</v>
      </c>
      <c r="AZ98" s="46">
        <f t="shared" si="79"/>
        <v>6.3605645020834864E-2</v>
      </c>
      <c r="BA98" s="85">
        <f t="shared" si="80"/>
        <v>13.771009154849883</v>
      </c>
      <c r="BB98" s="85">
        <f t="shared" si="81"/>
        <v>3.5799999999999998E-2</v>
      </c>
      <c r="BC98" s="85">
        <f t="shared" si="82"/>
        <v>7.2065708770755741</v>
      </c>
      <c r="BD98" s="85">
        <f t="shared" si="83"/>
        <v>4.9488191019412341E-2</v>
      </c>
      <c r="BE98" s="85">
        <f t="shared" si="84"/>
        <v>5.4022773516061999</v>
      </c>
      <c r="BF98" s="85">
        <f t="shared" si="85"/>
        <v>5.7158058901691684E-2</v>
      </c>
      <c r="BG98" s="85">
        <f t="shared" si="86"/>
        <v>4.7724344817911479</v>
      </c>
      <c r="BH98" s="85">
        <f t="shared" si="87"/>
        <v>6.0812929192194075E-2</v>
      </c>
      <c r="BI98" s="85">
        <f t="shared" si="88"/>
        <v>4.5289432289562903</v>
      </c>
      <c r="BJ98" s="85">
        <f t="shared" si="89"/>
        <v>6.2426282270398731E-2</v>
      </c>
      <c r="BK98" s="85">
        <f t="shared" si="90"/>
        <v>4.4306760205158842</v>
      </c>
      <c r="BL98" s="85">
        <f t="shared" si="91"/>
        <v>6.311475675392357E-2</v>
      </c>
      <c r="BM98" s="85">
        <f t="shared" si="92"/>
        <v>4.3902977133267669</v>
      </c>
      <c r="BN98" s="85">
        <f t="shared" si="93"/>
        <v>6.3404330983804158E-2</v>
      </c>
      <c r="BO98" s="85">
        <f t="shared" si="94"/>
        <v>4.373581131011866</v>
      </c>
      <c r="BP98" s="85">
        <f t="shared" si="95"/>
        <v>6.3525386571140902E-2</v>
      </c>
      <c r="BQ98" s="85">
        <f t="shared" si="96"/>
        <v>4.366638804722248</v>
      </c>
      <c r="BR98" s="85">
        <f t="shared" si="97"/>
        <v>6.357586461993428E-2</v>
      </c>
      <c r="BS98" s="85">
        <f t="shared" si="98"/>
        <v>4.3637519291116558</v>
      </c>
      <c r="BT98" s="85">
        <f t="shared" si="99"/>
        <v>6.3596890708394568E-2</v>
      </c>
      <c r="BU98" s="85">
        <f t="shared" si="100"/>
        <v>4.3625508087123546</v>
      </c>
      <c r="BV98" s="85">
        <f t="shared" si="101"/>
        <v>6.3605645020834864E-2</v>
      </c>
      <c r="BW98" s="85">
        <f t="shared" si="102"/>
        <v>4.3620509548995763</v>
      </c>
    </row>
    <row r="99" spans="25:75" x14ac:dyDescent="0.4">
      <c r="Y99" s="142">
        <v>1.8499999999999999E-2</v>
      </c>
      <c r="Z99" s="46">
        <f t="shared" si="54"/>
        <v>1.9277023866221606E-3</v>
      </c>
      <c r="AA99" s="84">
        <f t="shared" si="55"/>
        <v>13.344415591237224</v>
      </c>
      <c r="AB99" s="84">
        <f t="shared" si="56"/>
        <v>5.8502136713115011E-3</v>
      </c>
      <c r="AC99" s="84">
        <f t="shared" si="57"/>
        <v>40.902816550884843</v>
      </c>
      <c r="AD99" s="84">
        <f t="shared" si="58"/>
        <v>3.3415264310231369E-3</v>
      </c>
      <c r="AE99" s="84">
        <f t="shared" si="59"/>
        <v>71.179107236251298</v>
      </c>
      <c r="AF99" s="84">
        <f t="shared" si="60"/>
        <v>2.5330586156033651E-3</v>
      </c>
      <c r="AG99" s="84">
        <f t="shared" si="61"/>
        <v>93.715220342181581</v>
      </c>
      <c r="AH99" s="84">
        <f t="shared" si="62"/>
        <v>2.2075799579133319E-3</v>
      </c>
      <c r="AI99" s="84">
        <f t="shared" si="63"/>
        <v>107.44855655455088</v>
      </c>
      <c r="AJ99" s="84">
        <f t="shared" si="64"/>
        <v>2.0616797964635061E-3</v>
      </c>
      <c r="AK99" s="84">
        <f t="shared" si="65"/>
        <v>115.01229550786258</v>
      </c>
      <c r="AL99" s="84">
        <f t="shared" si="66"/>
        <v>1.9927341895580397E-3</v>
      </c>
      <c r="AM99" s="84">
        <f t="shared" si="67"/>
        <v>118.97193632027626</v>
      </c>
      <c r="AN99" s="84">
        <f t="shared" si="68"/>
        <v>1.9592923504041368E-3</v>
      </c>
      <c r="AO99" s="84">
        <f t="shared" si="69"/>
        <v>120.99291600211578</v>
      </c>
      <c r="AP99" s="84">
        <f t="shared" si="70"/>
        <v>1.9428601299187141E-3</v>
      </c>
      <c r="AQ99" s="84">
        <f t="shared" si="71"/>
        <v>122.0114515345056</v>
      </c>
      <c r="AR99" s="84">
        <f t="shared" si="72"/>
        <v>1.9347337646436497E-3</v>
      </c>
      <c r="AS99" s="84">
        <f t="shared" si="73"/>
        <v>122.52155050772819</v>
      </c>
      <c r="AT99" s="84">
        <f t="shared" si="74"/>
        <v>1.9307020859193767E-3</v>
      </c>
      <c r="AU99" s="84">
        <f t="shared" si="75"/>
        <v>122.77621615723046</v>
      </c>
      <c r="AV99" s="84">
        <f t="shared" si="76"/>
        <v>1.92869869003954E-3</v>
      </c>
      <c r="AW99" s="84">
        <f t="shared" si="77"/>
        <v>122.90315896209329</v>
      </c>
      <c r="AX99" s="84">
        <f t="shared" si="78"/>
        <v>1.9277023866221606E-3</v>
      </c>
      <c r="AY99" s="142">
        <v>1.8499999999999999E-2</v>
      </c>
      <c r="AZ99" s="46">
        <f t="shared" si="79"/>
        <v>6.5507856302455272E-2</v>
      </c>
      <c r="BA99" s="85">
        <f t="shared" si="80"/>
        <v>13.344415591237224</v>
      </c>
      <c r="BB99" s="85">
        <f t="shared" si="81"/>
        <v>3.6999999999999998E-2</v>
      </c>
      <c r="BC99" s="85">
        <f t="shared" si="82"/>
        <v>6.9945041262972349</v>
      </c>
      <c r="BD99" s="85">
        <f t="shared" si="83"/>
        <v>5.1106135039739542E-2</v>
      </c>
      <c r="BE99" s="85">
        <f t="shared" si="84"/>
        <v>5.2534626651704608</v>
      </c>
      <c r="BF99" s="85">
        <f t="shared" si="85"/>
        <v>5.8969667420728164E-2</v>
      </c>
      <c r="BG99" s="85">
        <f t="shared" si="86"/>
        <v>4.6479096801589908</v>
      </c>
      <c r="BH99" s="85">
        <f t="shared" si="87"/>
        <v>6.2693521298838026E-2</v>
      </c>
      <c r="BI99" s="85">
        <f t="shared" si="88"/>
        <v>4.4148955438511353</v>
      </c>
      <c r="BJ99" s="85">
        <f t="shared" si="89"/>
        <v>6.4326702194284394E-2</v>
      </c>
      <c r="BK99" s="85">
        <f t="shared" si="90"/>
        <v>4.3213556160788196</v>
      </c>
      <c r="BL99" s="85">
        <f t="shared" si="91"/>
        <v>6.5019181794971986E-2</v>
      </c>
      <c r="BM99" s="85">
        <f t="shared" si="92"/>
        <v>4.2831383825277136</v>
      </c>
      <c r="BN99" s="85">
        <f t="shared" si="93"/>
        <v>6.5308611497624847E-2</v>
      </c>
      <c r="BO99" s="85">
        <f t="shared" si="94"/>
        <v>4.2674096938682728</v>
      </c>
      <c r="BP99" s="85">
        <f t="shared" si="95"/>
        <v>6.5428857045629021E-2</v>
      </c>
      <c r="BQ99" s="85">
        <f t="shared" si="96"/>
        <v>4.260916791184334</v>
      </c>
      <c r="BR99" s="85">
        <f t="shared" si="97"/>
        <v>6.5478689218631744E-2</v>
      </c>
      <c r="BS99" s="85">
        <f t="shared" si="98"/>
        <v>4.2582331236685231</v>
      </c>
      <c r="BT99" s="85">
        <f t="shared" si="99"/>
        <v>6.5499319295515515E-2</v>
      </c>
      <c r="BU99" s="85">
        <f t="shared" si="100"/>
        <v>4.2571233271024305</v>
      </c>
      <c r="BV99" s="85">
        <f t="shared" si="101"/>
        <v>6.5507856302455272E-2</v>
      </c>
      <c r="BW99" s="85">
        <f t="shared" si="102"/>
        <v>4.2566642865336055</v>
      </c>
    </row>
    <row r="100" spans="25:75" x14ac:dyDescent="0.4">
      <c r="Y100" s="142">
        <v>1.9099999999999999E-2</v>
      </c>
      <c r="Z100" s="46">
        <f t="shared" si="54"/>
        <v>1.9929052087806795E-3</v>
      </c>
      <c r="AA100" s="84">
        <f t="shared" si="55"/>
        <v>12.944679249244023</v>
      </c>
      <c r="AB100" s="84">
        <f t="shared" si="56"/>
        <v>6.039950330921604E-3</v>
      </c>
      <c r="AC100" s="84">
        <f t="shared" si="57"/>
        <v>39.636123348188754</v>
      </c>
      <c r="AD100" s="84">
        <f t="shared" si="58"/>
        <v>3.4517030672169408E-3</v>
      </c>
      <c r="AE100" s="84">
        <f t="shared" si="59"/>
        <v>68.925344347434802</v>
      </c>
      <c r="AF100" s="84">
        <f t="shared" si="60"/>
        <v>2.6175171860998098E-3</v>
      </c>
      <c r="AG100" s="84">
        <f t="shared" si="61"/>
        <v>90.709690973154153</v>
      </c>
      <c r="AH100" s="84">
        <f t="shared" si="62"/>
        <v>2.281666522959505E-3</v>
      </c>
      <c r="AI100" s="84">
        <f t="shared" si="63"/>
        <v>103.97809074824761</v>
      </c>
      <c r="AJ100" s="84">
        <f t="shared" si="64"/>
        <v>2.1311209320807683E-3</v>
      </c>
      <c r="AK100" s="84">
        <f t="shared" si="65"/>
        <v>111.28317509832515</v>
      </c>
      <c r="AL100" s="84">
        <f t="shared" si="66"/>
        <v>2.0599859577654358E-3</v>
      </c>
      <c r="AM100" s="84">
        <f t="shared" si="67"/>
        <v>115.10639904089949</v>
      </c>
      <c r="AN100" s="84">
        <f t="shared" si="68"/>
        <v>2.0254861608681855E-3</v>
      </c>
      <c r="AO100" s="84">
        <f t="shared" si="69"/>
        <v>117.05733305675295</v>
      </c>
      <c r="AP100" s="84">
        <f t="shared" si="70"/>
        <v>2.0085363757788672E-3</v>
      </c>
      <c r="AQ100" s="84">
        <f t="shared" si="71"/>
        <v>118.04038194882274</v>
      </c>
      <c r="AR100" s="84">
        <f t="shared" si="72"/>
        <v>2.0001552711227293E-3</v>
      </c>
      <c r="AS100" s="84">
        <f t="shared" si="73"/>
        <v>118.53262309311651</v>
      </c>
      <c r="AT100" s="84">
        <f t="shared" si="74"/>
        <v>1.9959978375480715E-3</v>
      </c>
      <c r="AU100" s="84">
        <f t="shared" si="75"/>
        <v>118.77833244092193</v>
      </c>
      <c r="AV100" s="84">
        <f t="shared" si="76"/>
        <v>1.9939322704840209E-3</v>
      </c>
      <c r="AW100" s="84">
        <f t="shared" si="77"/>
        <v>118.90079096118981</v>
      </c>
      <c r="AX100" s="84">
        <f t="shared" si="78"/>
        <v>1.9929052087806795E-3</v>
      </c>
      <c r="AY100" s="142">
        <v>1.9099999999999999E-2</v>
      </c>
      <c r="AZ100" s="46">
        <f t="shared" si="79"/>
        <v>6.7398122248485903E-2</v>
      </c>
      <c r="BA100" s="85">
        <f t="shared" si="80"/>
        <v>12.944679249244023</v>
      </c>
      <c r="BB100" s="85">
        <f t="shared" si="81"/>
        <v>3.8199999999999998E-2</v>
      </c>
      <c r="BC100" s="85">
        <f t="shared" si="82"/>
        <v>6.7958572152097787</v>
      </c>
      <c r="BD100" s="85">
        <f t="shared" si="83"/>
        <v>5.2721394259499746E-2</v>
      </c>
      <c r="BE100" s="85">
        <f t="shared" si="84"/>
        <v>5.114119453056218</v>
      </c>
      <c r="BF100" s="85">
        <f t="shared" si="85"/>
        <v>6.0774805250116276E-2</v>
      </c>
      <c r="BG100" s="85">
        <f t="shared" si="86"/>
        <v>4.5313295036673624</v>
      </c>
      <c r="BH100" s="85">
        <f t="shared" si="87"/>
        <v>6.4564856164046974E-2</v>
      </c>
      <c r="BI100" s="85">
        <f t="shared" si="88"/>
        <v>4.308117928918243</v>
      </c>
      <c r="BJ100" s="85">
        <f t="shared" si="89"/>
        <v>6.6216347028049266E-2</v>
      </c>
      <c r="BK100" s="85">
        <f t="shared" si="90"/>
        <v>4.2189886380111972</v>
      </c>
      <c r="BL100" s="85">
        <f t="shared" si="91"/>
        <v>6.6912126449687914E-2</v>
      </c>
      <c r="BM100" s="85">
        <f t="shared" si="92"/>
        <v>4.1827803269959336</v>
      </c>
      <c r="BN100" s="85">
        <f t="shared" si="93"/>
        <v>6.7201115384002683E-2</v>
      </c>
      <c r="BO100" s="85">
        <f t="shared" si="94"/>
        <v>4.1679660419224405</v>
      </c>
      <c r="BP100" s="85">
        <f t="shared" si="95"/>
        <v>6.7320436585922377E-2</v>
      </c>
      <c r="BQ100" s="85">
        <f t="shared" si="96"/>
        <v>4.1618871740158179</v>
      </c>
      <c r="BR100" s="85">
        <f t="shared" si="97"/>
        <v>6.736958288685356E-2</v>
      </c>
      <c r="BS100" s="85">
        <f t="shared" si="98"/>
        <v>4.1593897806724627</v>
      </c>
      <c r="BT100" s="85">
        <f t="shared" si="99"/>
        <v>6.7389804975819825E-2</v>
      </c>
      <c r="BU100" s="85">
        <f t="shared" si="100"/>
        <v>4.1583632641111681</v>
      </c>
      <c r="BV100" s="85">
        <f t="shared" si="101"/>
        <v>6.7398122248485903E-2</v>
      </c>
      <c r="BW100" s="85">
        <f t="shared" si="102"/>
        <v>4.1579412438668646</v>
      </c>
    </row>
    <row r="101" spans="25:75" x14ac:dyDescent="0.4">
      <c r="Y101" s="142">
        <v>1.9599999999999999E-2</v>
      </c>
      <c r="Z101" s="46">
        <f t="shared" si="54"/>
        <v>2.0473749067836887E-3</v>
      </c>
      <c r="AA101" s="84">
        <f t="shared" si="55"/>
        <v>12.630301940347353</v>
      </c>
      <c r="AB101" s="84">
        <f t="shared" si="56"/>
        <v>6.1980642139300227E-3</v>
      </c>
      <c r="AC101" s="84">
        <f t="shared" si="57"/>
        <v>38.639801677245082</v>
      </c>
      <c r="AD101" s="84">
        <f t="shared" si="58"/>
        <v>3.5436065313720591E-3</v>
      </c>
      <c r="AE101" s="84">
        <f t="shared" si="59"/>
        <v>67.152592776626619</v>
      </c>
      <c r="AF101" s="84">
        <f t="shared" si="60"/>
        <v>2.6880141159273886E-3</v>
      </c>
      <c r="AG101" s="84">
        <f t="shared" si="61"/>
        <v>88.345623299740154</v>
      </c>
      <c r="AH101" s="84">
        <f t="shared" si="62"/>
        <v>2.3435294650787884E-3</v>
      </c>
      <c r="AI101" s="84">
        <f t="shared" si="63"/>
        <v>101.24833397841739</v>
      </c>
      <c r="AJ101" s="84">
        <f t="shared" si="64"/>
        <v>2.1891171077984984E-3</v>
      </c>
      <c r="AK101" s="84">
        <f t="shared" si="65"/>
        <v>108.34998416823039</v>
      </c>
      <c r="AL101" s="84">
        <f t="shared" si="66"/>
        <v>2.1161600521431884E-3</v>
      </c>
      <c r="AM101" s="84">
        <f t="shared" si="67"/>
        <v>112.06591788788539</v>
      </c>
      <c r="AN101" s="84">
        <f t="shared" si="68"/>
        <v>2.0807799839589899E-3</v>
      </c>
      <c r="AO101" s="84">
        <f t="shared" si="69"/>
        <v>113.96176304995116</v>
      </c>
      <c r="AP101" s="84">
        <f t="shared" si="70"/>
        <v>2.0633996765595897E-3</v>
      </c>
      <c r="AQ101" s="84">
        <f t="shared" si="71"/>
        <v>114.91690329380641</v>
      </c>
      <c r="AR101" s="84">
        <f t="shared" si="72"/>
        <v>2.0548067354503822E-3</v>
      </c>
      <c r="AS101" s="84">
        <f t="shared" si="73"/>
        <v>115.3951003209836</v>
      </c>
      <c r="AT101" s="84">
        <f t="shared" si="74"/>
        <v>2.0505447582958381E-3</v>
      </c>
      <c r="AU101" s="84">
        <f t="shared" si="75"/>
        <v>115.63376620316244</v>
      </c>
      <c r="AV101" s="84">
        <f t="shared" si="76"/>
        <v>2.0484275226637975E-3</v>
      </c>
      <c r="AW101" s="84">
        <f t="shared" si="77"/>
        <v>115.75269823419551</v>
      </c>
      <c r="AX101" s="84">
        <f t="shared" si="78"/>
        <v>2.0473749067836887E-3</v>
      </c>
      <c r="AY101" s="142">
        <v>1.9599999999999999E-2</v>
      </c>
      <c r="AZ101" s="46">
        <f t="shared" si="79"/>
        <v>6.896439627854993E-2</v>
      </c>
      <c r="BA101" s="85">
        <f t="shared" si="80"/>
        <v>12.630301940347353</v>
      </c>
      <c r="BB101" s="85">
        <f t="shared" si="81"/>
        <v>3.9199999999999999E-2</v>
      </c>
      <c r="BC101" s="85">
        <f t="shared" si="82"/>
        <v>6.6396796238510003</v>
      </c>
      <c r="BD101" s="85">
        <f t="shared" si="83"/>
        <v>5.4065393880350983E-2</v>
      </c>
      <c r="BE101" s="85">
        <f t="shared" si="84"/>
        <v>5.0046062786976826</v>
      </c>
      <c r="BF101" s="85">
        <f t="shared" si="85"/>
        <v>6.2274173924307417E-2</v>
      </c>
      <c r="BG101" s="85">
        <f t="shared" si="86"/>
        <v>4.4397195834300547</v>
      </c>
      <c r="BH101" s="85">
        <f t="shared" si="87"/>
        <v>6.6117308071516348E-2</v>
      </c>
      <c r="BI101" s="85">
        <f t="shared" si="88"/>
        <v>4.2242057872148937</v>
      </c>
      <c r="BJ101" s="85">
        <f t="shared" si="89"/>
        <v>6.7782939686733462E-2</v>
      </c>
      <c r="BK101" s="85">
        <f t="shared" si="90"/>
        <v>4.1385310211757416</v>
      </c>
      <c r="BL101" s="85">
        <f t="shared" si="91"/>
        <v>6.8480957820467175E-2</v>
      </c>
      <c r="BM101" s="85">
        <f t="shared" si="92"/>
        <v>4.1038907503619857</v>
      </c>
      <c r="BN101" s="85">
        <f t="shared" si="93"/>
        <v>6.8769368775898315E-2</v>
      </c>
      <c r="BO101" s="85">
        <f t="shared" si="94"/>
        <v>4.0897873441656092</v>
      </c>
      <c r="BP101" s="85">
        <f t="shared" si="95"/>
        <v>6.8887840416636911E-2</v>
      </c>
      <c r="BQ101" s="85">
        <f t="shared" si="96"/>
        <v>4.0840289528466069</v>
      </c>
      <c r="BR101" s="85">
        <f t="shared" si="97"/>
        <v>6.8936388482367481E-2</v>
      </c>
      <c r="BS101" s="85">
        <f t="shared" si="98"/>
        <v>4.0816750770228154</v>
      </c>
      <c r="BT101" s="85">
        <f t="shared" si="99"/>
        <v>6.8956263203802284E-2</v>
      </c>
      <c r="BU101" s="85">
        <f t="shared" si="100"/>
        <v>4.0807124176557306</v>
      </c>
      <c r="BV101" s="85">
        <f t="shared" si="101"/>
        <v>6.896439627854993E-2</v>
      </c>
      <c r="BW101" s="85">
        <f t="shared" si="102"/>
        <v>4.0803186443162351</v>
      </c>
    </row>
    <row r="102" spans="25:75" x14ac:dyDescent="0.4">
      <c r="Y102" s="142">
        <v>2.0299999999999999E-2</v>
      </c>
      <c r="Z102" s="46">
        <f t="shared" si="54"/>
        <v>2.1238378339129911E-3</v>
      </c>
      <c r="AA102" s="84">
        <f t="shared" si="55"/>
        <v>12.21625155073964</v>
      </c>
      <c r="AB102" s="84">
        <f t="shared" si="56"/>
        <v>6.4194236501418089E-3</v>
      </c>
      <c r="AC102" s="84">
        <f t="shared" si="57"/>
        <v>37.327426739748553</v>
      </c>
      <c r="AD102" s="84">
        <f t="shared" si="58"/>
        <v>3.6724085977527343E-3</v>
      </c>
      <c r="AE102" s="84">
        <f t="shared" si="59"/>
        <v>64.817420745616175</v>
      </c>
      <c r="AF102" s="84">
        <f t="shared" si="60"/>
        <v>2.7868856459097955E-3</v>
      </c>
      <c r="AG102" s="84">
        <f t="shared" si="61"/>
        <v>85.231541947941494</v>
      </c>
      <c r="AH102" s="84">
        <f t="shared" si="62"/>
        <v>2.4303277659562831E-3</v>
      </c>
      <c r="AI102" s="84">
        <f t="shared" si="63"/>
        <v>97.652572658026983</v>
      </c>
      <c r="AJ102" s="84">
        <f t="shared" si="64"/>
        <v>2.2705087334057689E-3</v>
      </c>
      <c r="AK102" s="84">
        <f t="shared" si="65"/>
        <v>104.48627277451205</v>
      </c>
      <c r="AL102" s="84">
        <f t="shared" si="66"/>
        <v>2.1950044381759521E-3</v>
      </c>
      <c r="AM102" s="84">
        <f t="shared" si="67"/>
        <v>108.06089511555344</v>
      </c>
      <c r="AN102" s="84">
        <f t="shared" si="68"/>
        <v>2.1583940793914245E-3</v>
      </c>
      <c r="AO102" s="84">
        <f t="shared" si="69"/>
        <v>109.88418484114757</v>
      </c>
      <c r="AP102" s="84">
        <f t="shared" si="70"/>
        <v>2.1404122407074396E-3</v>
      </c>
      <c r="AQ102" s="84">
        <f t="shared" si="71"/>
        <v>110.80256847582281</v>
      </c>
      <c r="AR102" s="84">
        <f t="shared" si="72"/>
        <v>2.1315234136250519E-3</v>
      </c>
      <c r="AS102" s="84">
        <f t="shared" si="73"/>
        <v>111.26226932620465</v>
      </c>
      <c r="AT102" s="84">
        <f t="shared" si="74"/>
        <v>2.1271154622594171E-3</v>
      </c>
      <c r="AU102" s="84">
        <f t="shared" si="75"/>
        <v>111.49165912060334</v>
      </c>
      <c r="AV102" s="84">
        <f t="shared" si="76"/>
        <v>2.1249261064832515E-3</v>
      </c>
      <c r="AW102" s="84">
        <f t="shared" si="77"/>
        <v>111.60594694296626</v>
      </c>
      <c r="AX102" s="84">
        <f t="shared" si="78"/>
        <v>2.1238378339129911E-3</v>
      </c>
      <c r="AY102" s="142">
        <v>2.0299999999999999E-2</v>
      </c>
      <c r="AZ102" s="46">
        <f t="shared" si="79"/>
        <v>7.1143795240863048E-2</v>
      </c>
      <c r="BA102" s="85">
        <f t="shared" si="80"/>
        <v>12.21625155073964</v>
      </c>
      <c r="BB102" s="85">
        <f t="shared" si="81"/>
        <v>4.0599999999999997E-2</v>
      </c>
      <c r="BC102" s="85">
        <f t="shared" si="82"/>
        <v>6.434059830541373</v>
      </c>
      <c r="BD102" s="85">
        <f t="shared" si="83"/>
        <v>5.5943865290639792E-2</v>
      </c>
      <c r="BE102" s="85">
        <f t="shared" si="84"/>
        <v>4.8604804066460883</v>
      </c>
      <c r="BF102" s="85">
        <f t="shared" si="85"/>
        <v>6.4365836636914239E-2</v>
      </c>
      <c r="BG102" s="85">
        <f t="shared" si="86"/>
        <v>4.3191734937482202</v>
      </c>
      <c r="BH102" s="85">
        <f t="shared" si="87"/>
        <v>6.8280185514085989E-2</v>
      </c>
      <c r="BI102" s="85">
        <f t="shared" si="88"/>
        <v>4.1137803714798569</v>
      </c>
      <c r="BJ102" s="85">
        <f t="shared" si="89"/>
        <v>6.996397343365908E-2</v>
      </c>
      <c r="BK102" s="85">
        <f t="shared" si="90"/>
        <v>4.0326342065773186</v>
      </c>
      <c r="BL102" s="85">
        <f t="shared" si="91"/>
        <v>7.0664388025696856E-2</v>
      </c>
      <c r="BM102" s="85">
        <f t="shared" si="92"/>
        <v>4.0000417202185581</v>
      </c>
      <c r="BN102" s="85">
        <f t="shared" si="93"/>
        <v>7.0951691982376053E-2</v>
      </c>
      <c r="BO102" s="85">
        <f t="shared" si="94"/>
        <v>3.9868626205642097</v>
      </c>
      <c r="BP102" s="85">
        <f t="shared" si="95"/>
        <v>7.106886531210152E-2</v>
      </c>
      <c r="BQ102" s="85">
        <f t="shared" si="96"/>
        <v>3.9815189353862066</v>
      </c>
      <c r="BR102" s="85">
        <f t="shared" si="97"/>
        <v>7.1116540873798234E-2</v>
      </c>
      <c r="BS102" s="85">
        <f t="shared" si="98"/>
        <v>3.9793498416376836</v>
      </c>
      <c r="BT102" s="85">
        <f t="shared" si="99"/>
        <v>7.1135920601015604E-2</v>
      </c>
      <c r="BU102" s="85">
        <f t="shared" si="100"/>
        <v>3.9784689717742019</v>
      </c>
      <c r="BV102" s="85">
        <f t="shared" si="101"/>
        <v>7.1143795240863048E-2</v>
      </c>
      <c r="BW102" s="85">
        <f t="shared" si="102"/>
        <v>3.9781111845777226</v>
      </c>
    </row>
    <row r="103" spans="25:75" x14ac:dyDescent="0.4">
      <c r="Y103" s="142">
        <v>2.0899999999999998E-2</v>
      </c>
      <c r="Z103" s="46">
        <f t="shared" si="54"/>
        <v>2.1895687886930495E-3</v>
      </c>
      <c r="AA103" s="84">
        <f t="shared" si="55"/>
        <v>11.883480590217697</v>
      </c>
      <c r="AB103" s="84">
        <f t="shared" si="56"/>
        <v>6.6091603097519118E-3</v>
      </c>
      <c r="AC103" s="84">
        <f t="shared" si="57"/>
        <v>36.272522432698949</v>
      </c>
      <c r="AD103" s="84">
        <f t="shared" si="58"/>
        <v>3.782938123465686E-3</v>
      </c>
      <c r="AE103" s="84">
        <f t="shared" si="59"/>
        <v>62.940318456250637</v>
      </c>
      <c r="AF103" s="84">
        <f t="shared" si="60"/>
        <v>2.8717964129617475E-3</v>
      </c>
      <c r="AG103" s="84">
        <f t="shared" si="61"/>
        <v>82.728329028732205</v>
      </c>
      <c r="AH103" s="84">
        <f t="shared" si="62"/>
        <v>2.5049034475911223E-3</v>
      </c>
      <c r="AI103" s="84">
        <f t="shared" si="63"/>
        <v>94.762191696066793</v>
      </c>
      <c r="AJ103" s="84">
        <f t="shared" si="64"/>
        <v>2.3404564711908583E-3</v>
      </c>
      <c r="AK103" s="84">
        <f t="shared" si="65"/>
        <v>101.38052630806544</v>
      </c>
      <c r="AL103" s="84">
        <f t="shared" si="66"/>
        <v>2.2627722599428981E-3</v>
      </c>
      <c r="AM103" s="84">
        <f t="shared" si="67"/>
        <v>104.84157312107186</v>
      </c>
      <c r="AN103" s="84">
        <f t="shared" si="68"/>
        <v>2.2251093173774514E-3</v>
      </c>
      <c r="AO103" s="84">
        <f t="shared" si="69"/>
        <v>106.60654983169297</v>
      </c>
      <c r="AP103" s="84">
        <f t="shared" si="70"/>
        <v>2.2066130005975429E-3</v>
      </c>
      <c r="AQ103" s="84">
        <f t="shared" si="71"/>
        <v>107.49539280513882</v>
      </c>
      <c r="AR103" s="84">
        <f t="shared" si="72"/>
        <v>2.1974711962042641E-3</v>
      </c>
      <c r="AS103" s="84">
        <f t="shared" si="73"/>
        <v>107.94022894339011</v>
      </c>
      <c r="AT103" s="84">
        <f t="shared" si="74"/>
        <v>2.1929384848687733E-3</v>
      </c>
      <c r="AU103" s="84">
        <f t="shared" si="75"/>
        <v>108.16216405457874</v>
      </c>
      <c r="AV103" s="84">
        <f t="shared" si="76"/>
        <v>2.1906875130810609E-3</v>
      </c>
      <c r="AW103" s="84">
        <f t="shared" si="77"/>
        <v>108.27271967067256</v>
      </c>
      <c r="AX103" s="84">
        <f t="shared" si="78"/>
        <v>2.1895687886930495E-3</v>
      </c>
      <c r="AY103" s="142">
        <v>2.0899999999999998E-2</v>
      </c>
      <c r="AZ103" s="46">
        <f t="shared" si="79"/>
        <v>7.2999677983050432E-2</v>
      </c>
      <c r="BA103" s="85">
        <f t="shared" si="80"/>
        <v>11.883480590217697</v>
      </c>
      <c r="BB103" s="85">
        <f t="shared" si="81"/>
        <v>4.1799999999999997E-2</v>
      </c>
      <c r="BC103" s="85">
        <f t="shared" si="82"/>
        <v>6.2688696827934161</v>
      </c>
      <c r="BD103" s="85">
        <f t="shared" si="83"/>
        <v>5.7551081783497729E-2</v>
      </c>
      <c r="BE103" s="85">
        <f t="shared" si="84"/>
        <v>4.7447427793240617</v>
      </c>
      <c r="BF103" s="85">
        <f t="shared" si="85"/>
        <v>6.6151816706668365E-2</v>
      </c>
      <c r="BG103" s="85">
        <f t="shared" si="86"/>
        <v>4.2223861424305458</v>
      </c>
      <c r="BH103" s="85">
        <f t="shared" si="87"/>
        <v>7.0124396805962247E-2</v>
      </c>
      <c r="BI103" s="85">
        <f t="shared" si="88"/>
        <v>4.0251105000114773</v>
      </c>
      <c r="BJ103" s="85">
        <f t="shared" si="89"/>
        <v>7.1822283465290404E-2</v>
      </c>
      <c r="BK103" s="85">
        <f t="shared" si="90"/>
        <v>3.9475847672242583</v>
      </c>
      <c r="BL103" s="85">
        <f t="shared" si="91"/>
        <v>7.2524105354552518E-2</v>
      </c>
      <c r="BM103" s="85">
        <f t="shared" si="92"/>
        <v>3.9166225318112828</v>
      </c>
      <c r="BN103" s="85">
        <f t="shared" si="93"/>
        <v>7.2810204919024832E-2</v>
      </c>
      <c r="BO103" s="85">
        <f t="shared" si="94"/>
        <v>3.9041757242341828</v>
      </c>
      <c r="BP103" s="85">
        <f t="shared" si="95"/>
        <v>7.2926174783249725E-2</v>
      </c>
      <c r="BQ103" s="85">
        <f t="shared" si="96"/>
        <v>3.899158872636463</v>
      </c>
      <c r="BR103" s="85">
        <f t="shared" si="97"/>
        <v>7.2973074922577472E-2</v>
      </c>
      <c r="BS103" s="85">
        <f t="shared" si="98"/>
        <v>3.8971346041517152</v>
      </c>
      <c r="BT103" s="85">
        <f t="shared" si="99"/>
        <v>7.2992024475749415E-2</v>
      </c>
      <c r="BU103" s="85">
        <f t="shared" si="100"/>
        <v>3.8963174722024605</v>
      </c>
      <c r="BV103" s="85">
        <f t="shared" si="101"/>
        <v>7.2999677983050432E-2</v>
      </c>
      <c r="BW103" s="85">
        <f t="shared" si="102"/>
        <v>3.8959875649443867</v>
      </c>
    </row>
    <row r="104" spans="25:75" x14ac:dyDescent="0.4">
      <c r="Y104" s="142">
        <v>2.1499999999999998E-2</v>
      </c>
      <c r="Z104" s="46">
        <f t="shared" ref="Z104:Z122" si="103">AX104</f>
        <v>2.2554769294033726E-3</v>
      </c>
      <c r="AA104" s="84">
        <f t="shared" ref="AA104:AA122" si="104">(1+0.0712/Y104*(2.514+0.8*EXP(-0.55*Y104/(0.0712))))</f>
        <v>11.569331319301369</v>
      </c>
      <c r="AB104" s="84">
        <f t="shared" ref="AB104:AB122" si="105">Y104/SQRT($Z$1)</f>
        <v>6.7988969693620147E-3</v>
      </c>
      <c r="AC104" s="84">
        <f t="shared" ref="AC104:AC122" si="106">(1+0.0712/AB104*(2.514+0.8*EXP(-0.55*AB104/(0.0712))))</f>
        <v>35.276513606796385</v>
      </c>
      <c r="AD104" s="84">
        <f t="shared" ref="AD104:AD122" si="107">$Y104/SQRT(($Z$1*AC104)/($AA104))</f>
        <v>3.8935859008949066E-3</v>
      </c>
      <c r="AE104" s="84">
        <f t="shared" ref="AE104:AE122" si="108">(1+0.0712/AD104*(2.514+0.8*EXP(-0.55*AD104/(0.0712))))</f>
        <v>61.167962208661677</v>
      </c>
      <c r="AF104" s="84">
        <f t="shared" ref="AF104:AF122" si="109">$Y104/SQRT(($Z$1*AE104)/($AA104))</f>
        <v>2.9568587793982097E-3</v>
      </c>
      <c r="AG104" s="84">
        <f t="shared" ref="AG104:AG122" si="110">(1+0.0712/AF104*(2.514+0.8*EXP(-0.55*AF104/(0.0712))))</f>
        <v>80.364807511905127</v>
      </c>
      <c r="AH104" s="84">
        <f t="shared" ref="AH104:AH122" si="111">$Y104/SQRT(($Z$1*AG104)/($AA104))</f>
        <v>2.5796431613246992E-3</v>
      </c>
      <c r="AI104" s="84">
        <f t="shared" ref="AI104:AI122" si="112">(1+0.0712/AH104*(2.514+0.8*EXP(-0.55*AH104/(0.0712))))</f>
        <v>92.033130006390664</v>
      </c>
      <c r="AJ104" s="84">
        <f t="shared" ref="AJ104:AJ122" si="113">$Y104/SQRT(($Z$1*AI104)/($AA104))</f>
        <v>2.4105741381586993E-3</v>
      </c>
      <c r="AK104" s="84">
        <f t="shared" ref="AK104:AK122" si="114">(1+0.0712/AJ104*(2.514+0.8*EXP(-0.55*AJ104/(0.0712))))</f>
        <v>98.448138126125272</v>
      </c>
      <c r="AL104" s="84">
        <f t="shared" ref="AL104:AL122" si="115">$Y104/SQRT(($Z$1*AK104)/($AA104))</f>
        <v>2.330713198948117E-3</v>
      </c>
      <c r="AM104" s="84">
        <f t="shared" ref="AM104:AM122" si="116">(1+0.0712/AL104*(2.514+0.8*EXP(-0.55*AL104/(0.0712))))</f>
        <v>101.80196176560028</v>
      </c>
      <c r="AN104" s="84">
        <f t="shared" ref="AN104:AN122" si="117">$Y104/SQRT(($Z$1*AM104)/($AA104))</f>
        <v>2.2919994843401481E-3</v>
      </c>
      <c r="AO104" s="84">
        <f t="shared" ref="AO104:AO122" si="118">(1+0.0712/AN104*(2.514+0.8*EXP(-0.55*AN104/(0.0712))))</f>
        <v>103.51188840585384</v>
      </c>
      <c r="AP104" s="84">
        <f t="shared" ref="AP104:AP122" si="119">$Y104/SQRT(($Z$1*AO104)/($AA104))</f>
        <v>2.2729897292204852E-3</v>
      </c>
      <c r="AQ104" s="84">
        <f t="shared" ref="AQ104:AQ122" si="120">(1+0.0712/AP104*(2.514+0.8*EXP(-0.55*AP104/(0.0712))))</f>
        <v>104.37284434373727</v>
      </c>
      <c r="AR104" s="84">
        <f t="shared" ref="AR104:AR122" si="121">$Y104/SQRT(($Z$1*AQ104)/($AA104))</f>
        <v>2.2635955406179633E-3</v>
      </c>
      <c r="AS104" s="84">
        <f t="shared" ref="AS104:AS122" si="122">(1+0.0712/AR104*(2.514+0.8*EXP(-0.55*AR104/(0.0712))))</f>
        <v>104.80364818063779</v>
      </c>
      <c r="AT104" s="84">
        <f t="shared" ref="AT104:AT122" si="123">$Y104/SQRT(($Z$1*AS104)/($AA104))</f>
        <v>2.2589384039140969E-3</v>
      </c>
      <c r="AU104" s="84">
        <f t="shared" ref="AU104:AU122" si="124">(1+0.0712/AT104*(2.514+0.8*EXP(-0.55*AT104/(0.0712))))</f>
        <v>105.01854622140858</v>
      </c>
      <c r="AV104" s="84">
        <f t="shared" ref="AV104:AV122" si="125">$Y104/SQRT(($Z$1*AU104)/($AA104))</f>
        <v>2.2566260026898248E-3</v>
      </c>
      <c r="AW104" s="84">
        <f t="shared" ref="AW104:AW122" si="126">(1+0.0712/AV104*(2.514+0.8*EXP(-0.55*AV104/(0.0712))))</f>
        <v>105.12557879062514</v>
      </c>
      <c r="AX104" s="84">
        <f t="shared" ref="AX104:AX122" si="127">$Y104/SQRT(($Z$1*AW104)/($AA104))</f>
        <v>2.2554769294033726E-3</v>
      </c>
      <c r="AY104" s="142">
        <v>2.1499999999999998E-2</v>
      </c>
      <c r="AZ104" s="46">
        <f t="shared" si="79"/>
        <v>7.4844566831673814E-2</v>
      </c>
      <c r="BA104" s="85">
        <f t="shared" si="80"/>
        <v>11.569331319301369</v>
      </c>
      <c r="BB104" s="85">
        <f t="shared" si="81"/>
        <v>4.2999999999999997E-2</v>
      </c>
      <c r="BC104" s="85">
        <f t="shared" si="82"/>
        <v>6.1129818644137615</v>
      </c>
      <c r="BD104" s="85">
        <f t="shared" si="83"/>
        <v>5.9155622811890761E-2</v>
      </c>
      <c r="BE104" s="85">
        <f t="shared" si="84"/>
        <v>4.635566055679357</v>
      </c>
      <c r="BF104" s="85">
        <f t="shared" si="85"/>
        <v>6.7931498968035464E-2</v>
      </c>
      <c r="BG104" s="85">
        <f t="shared" si="86"/>
        <v>4.1310976893687927</v>
      </c>
      <c r="BH104" s="85">
        <f t="shared" si="87"/>
        <v>7.1959784206408473E-2</v>
      </c>
      <c r="BI104" s="85">
        <f t="shared" si="88"/>
        <v>3.9414700336027195</v>
      </c>
      <c r="BJ104" s="85">
        <f t="shared" si="89"/>
        <v>7.3670475043311007E-2</v>
      </c>
      <c r="BK104" s="85">
        <f t="shared" si="90"/>
        <v>3.8673448585438077</v>
      </c>
      <c r="BL104" s="85">
        <f t="shared" si="91"/>
        <v>7.4373142891321201E-2</v>
      </c>
      <c r="BM104" s="85">
        <f t="shared" si="92"/>
        <v>3.8379078492309384</v>
      </c>
      <c r="BN104" s="85">
        <f t="shared" si="93"/>
        <v>7.4657821542492828E-2</v>
      </c>
      <c r="BO104" s="85">
        <f t="shared" si="94"/>
        <v>3.8261430757855419</v>
      </c>
      <c r="BP104" s="85">
        <f t="shared" si="95"/>
        <v>7.4772513830839257E-2</v>
      </c>
      <c r="BQ104" s="85">
        <f t="shared" si="96"/>
        <v>3.8214291456556357</v>
      </c>
      <c r="BR104" s="85">
        <f t="shared" si="97"/>
        <v>7.4818617495354428E-2</v>
      </c>
      <c r="BS104" s="85">
        <f t="shared" si="98"/>
        <v>3.8195384209769307</v>
      </c>
      <c r="BT104" s="85">
        <f t="shared" si="99"/>
        <v>7.4837133332731343E-2</v>
      </c>
      <c r="BU104" s="85">
        <f t="shared" si="100"/>
        <v>3.8187797520166131</v>
      </c>
      <c r="BV104" s="85">
        <f t="shared" si="101"/>
        <v>7.4844566831673814E-2</v>
      </c>
      <c r="BW104" s="85">
        <f t="shared" si="102"/>
        <v>3.8184752794716559</v>
      </c>
    </row>
    <row r="105" spans="25:75" x14ac:dyDescent="0.4">
      <c r="Y105" s="142">
        <v>2.2200000000000001E-2</v>
      </c>
      <c r="Z105" s="46">
        <f t="shared" si="103"/>
        <v>2.3325944514252469E-3</v>
      </c>
      <c r="AA105" s="84">
        <f t="shared" si="104"/>
        <v>11.224344973226168</v>
      </c>
      <c r="AB105" s="84">
        <f t="shared" si="105"/>
        <v>7.0202564055738019E-3</v>
      </c>
      <c r="AC105" s="84">
        <f t="shared" si="106"/>
        <v>34.182569858083667</v>
      </c>
      <c r="AD105" s="84">
        <f t="shared" si="107"/>
        <v>4.0228248335343227E-3</v>
      </c>
      <c r="AE105" s="84">
        <f t="shared" si="108"/>
        <v>59.22127144419283</v>
      </c>
      <c r="AF105" s="84">
        <f t="shared" si="109"/>
        <v>3.0562903758356028E-3</v>
      </c>
      <c r="AG105" s="84">
        <f t="shared" si="110"/>
        <v>77.768812348121159</v>
      </c>
      <c r="AH105" s="84">
        <f t="shared" si="111"/>
        <v>2.6670474606964507E-3</v>
      </c>
      <c r="AI105" s="84">
        <f t="shared" si="112"/>
        <v>89.035668031137121</v>
      </c>
      <c r="AJ105" s="84">
        <f t="shared" si="113"/>
        <v>2.4925935488444252E-3</v>
      </c>
      <c r="AK105" s="84">
        <f t="shared" si="114"/>
        <v>95.227376201325541</v>
      </c>
      <c r="AL105" s="84">
        <f t="shared" si="115"/>
        <v>2.4101971482399084E-3</v>
      </c>
      <c r="AM105" s="84">
        <f t="shared" si="116"/>
        <v>98.463447986282105</v>
      </c>
      <c r="AN105" s="84">
        <f t="shared" si="117"/>
        <v>2.3702598364431396E-3</v>
      </c>
      <c r="AO105" s="84">
        <f t="shared" si="118"/>
        <v>100.11292075326993</v>
      </c>
      <c r="AP105" s="84">
        <f t="shared" si="119"/>
        <v>2.3506523913807667E-3</v>
      </c>
      <c r="AQ105" s="84">
        <f t="shared" si="120"/>
        <v>100.94325302552927</v>
      </c>
      <c r="AR105" s="84">
        <f t="shared" si="121"/>
        <v>2.3409645079945402E-3</v>
      </c>
      <c r="AS105" s="84">
        <f t="shared" si="122"/>
        <v>101.35864791894599</v>
      </c>
      <c r="AT105" s="84">
        <f t="shared" si="123"/>
        <v>2.3361626332490761E-3</v>
      </c>
      <c r="AU105" s="84">
        <f t="shared" si="124"/>
        <v>101.56581870832609</v>
      </c>
      <c r="AV105" s="84">
        <f t="shared" si="125"/>
        <v>2.3337788011722812E-3</v>
      </c>
      <c r="AW105" s="84">
        <f t="shared" si="126"/>
        <v>101.66898279624435</v>
      </c>
      <c r="AX105" s="84">
        <f t="shared" si="127"/>
        <v>2.3325944514252469E-3</v>
      </c>
      <c r="AY105" s="142">
        <v>2.2200000000000001E-2</v>
      </c>
      <c r="AZ105" s="46">
        <f t="shared" si="79"/>
        <v>7.6983342156745987E-2</v>
      </c>
      <c r="BA105" s="85">
        <f t="shared" si="80"/>
        <v>11.224344973226168</v>
      </c>
      <c r="BB105" s="85">
        <f t="shared" si="81"/>
        <v>4.4400000000000002E-2</v>
      </c>
      <c r="BC105" s="85">
        <f t="shared" si="82"/>
        <v>5.9418626323780712</v>
      </c>
      <c r="BD105" s="85">
        <f t="shared" si="83"/>
        <v>6.1024210502434839E-2</v>
      </c>
      <c r="BE105" s="85">
        <f t="shared" si="84"/>
        <v>4.5157735591182941</v>
      </c>
      <c r="BF105" s="85">
        <f t="shared" si="85"/>
        <v>6.9999896025867592E-2</v>
      </c>
      <c r="BG105" s="85">
        <f t="shared" si="86"/>
        <v>4.0309464108400288</v>
      </c>
      <c r="BH105" s="85">
        <f t="shared" si="87"/>
        <v>7.4090062453428626E-2</v>
      </c>
      <c r="BI105" s="85">
        <f t="shared" si="88"/>
        <v>3.8496982979749599</v>
      </c>
      <c r="BJ105" s="85">
        <f t="shared" si="89"/>
        <v>7.5814124756934304E-2</v>
      </c>
      <c r="BK105" s="85">
        <f t="shared" si="90"/>
        <v>3.779286297212217</v>
      </c>
      <c r="BL105" s="85">
        <f t="shared" si="91"/>
        <v>7.651711317815385E-2</v>
      </c>
      <c r="BM105" s="85">
        <f t="shared" si="92"/>
        <v>3.7515075472058821</v>
      </c>
      <c r="BN105" s="85">
        <f t="shared" si="93"/>
        <v>7.6799883434250732E-2</v>
      </c>
      <c r="BO105" s="85">
        <f t="shared" si="94"/>
        <v>3.7404806538500566</v>
      </c>
      <c r="BP105" s="85">
        <f t="shared" si="95"/>
        <v>7.6913002707490241E-2</v>
      </c>
      <c r="BQ105" s="85">
        <f t="shared" si="96"/>
        <v>3.7360927133142816</v>
      </c>
      <c r="BR105" s="85">
        <f t="shared" si="97"/>
        <v>7.6958155581522636E-2</v>
      </c>
      <c r="BS105" s="85">
        <f t="shared" si="98"/>
        <v>3.7343449050607691</v>
      </c>
      <c r="BT105" s="85">
        <f t="shared" si="99"/>
        <v>7.6976163072520379E-2</v>
      </c>
      <c r="BU105" s="85">
        <f t="shared" si="100"/>
        <v>3.733648444610898</v>
      </c>
      <c r="BV105" s="85">
        <f t="shared" si="101"/>
        <v>7.6983342156745987E-2</v>
      </c>
      <c r="BW105" s="85">
        <f t="shared" si="102"/>
        <v>3.7333708783058852</v>
      </c>
    </row>
    <row r="106" spans="25:75" x14ac:dyDescent="0.4">
      <c r="Y106" s="142">
        <v>2.29E-2</v>
      </c>
      <c r="Z106" s="46">
        <f t="shared" si="103"/>
        <v>2.4099547865704856E-3</v>
      </c>
      <c r="AA106" s="84">
        <f t="shared" si="104"/>
        <v>10.900510761593798</v>
      </c>
      <c r="AB106" s="84">
        <f t="shared" si="105"/>
        <v>7.2416158417855881E-3</v>
      </c>
      <c r="AC106" s="84">
        <f t="shared" si="106"/>
        <v>33.155526550842161</v>
      </c>
      <c r="AD106" s="84">
        <f t="shared" si="107"/>
        <v>4.1522255992614381E-3</v>
      </c>
      <c r="AE106" s="84">
        <f t="shared" si="108"/>
        <v>57.393566377078422</v>
      </c>
      <c r="AF106" s="84">
        <f t="shared" si="109"/>
        <v>3.1559295527713088E-3</v>
      </c>
      <c r="AG106" s="84">
        <f t="shared" si="110"/>
        <v>75.331500935631198</v>
      </c>
      <c r="AH106" s="84">
        <f t="shared" si="111"/>
        <v>2.7546764490313943E-3</v>
      </c>
      <c r="AI106" s="84">
        <f t="shared" si="112"/>
        <v>86.221459387160436</v>
      </c>
      <c r="AJ106" s="84">
        <f t="shared" si="113"/>
        <v>2.5748457767961106E-3</v>
      </c>
      <c r="AK106" s="84">
        <f t="shared" si="114"/>
        <v>92.203544162594739</v>
      </c>
      <c r="AL106" s="84">
        <f t="shared" si="115"/>
        <v>2.4899183099268262E-3</v>
      </c>
      <c r="AM106" s="84">
        <f t="shared" si="116"/>
        <v>95.3290805070841</v>
      </c>
      <c r="AN106" s="84">
        <f t="shared" si="117"/>
        <v>2.4487598972321172E-3</v>
      </c>
      <c r="AO106" s="84">
        <f t="shared" si="118"/>
        <v>96.921806181338766</v>
      </c>
      <c r="AP106" s="84">
        <f t="shared" si="119"/>
        <v>2.4285561936478904E-3</v>
      </c>
      <c r="AQ106" s="84">
        <f t="shared" si="120"/>
        <v>97.723393346219595</v>
      </c>
      <c r="AR106" s="84">
        <f t="shared" si="121"/>
        <v>2.4185754312652749E-3</v>
      </c>
      <c r="AS106" s="84">
        <f t="shared" si="122"/>
        <v>98.124324935128442</v>
      </c>
      <c r="AT106" s="84">
        <f t="shared" si="123"/>
        <v>2.413629278307826E-3</v>
      </c>
      <c r="AU106" s="84">
        <f t="shared" si="124"/>
        <v>98.324242891617175</v>
      </c>
      <c r="AV106" s="84">
        <f t="shared" si="125"/>
        <v>2.4111742715685167E-3</v>
      </c>
      <c r="AW106" s="84">
        <f t="shared" si="126"/>
        <v>98.423776108553909</v>
      </c>
      <c r="AX106" s="84">
        <f t="shared" si="127"/>
        <v>2.4099547865704856E-3</v>
      </c>
      <c r="AY106" s="142">
        <v>2.29E-2</v>
      </c>
      <c r="AZ106" s="46">
        <f t="shared" si="79"/>
        <v>7.9107808677073579E-2</v>
      </c>
      <c r="BA106" s="85">
        <f t="shared" si="80"/>
        <v>10.900510761593798</v>
      </c>
      <c r="BB106" s="85">
        <f t="shared" si="81"/>
        <v>4.58E-2</v>
      </c>
      <c r="BC106" s="85">
        <f t="shared" si="82"/>
        <v>5.7813080612213348</v>
      </c>
      <c r="BD106" s="85">
        <f t="shared" si="83"/>
        <v>6.2889167558197193E-2</v>
      </c>
      <c r="BE106" s="85">
        <f t="shared" si="84"/>
        <v>4.4034291648799062</v>
      </c>
      <c r="BF106" s="85">
        <f t="shared" si="85"/>
        <v>7.2059856801091948E-2</v>
      </c>
      <c r="BG106" s="85">
        <f t="shared" si="86"/>
        <v>3.9370347439679914</v>
      </c>
      <c r="BH106" s="85">
        <f t="shared" si="87"/>
        <v>7.6208651741763278E-2</v>
      </c>
      <c r="BI106" s="85">
        <f t="shared" si="88"/>
        <v>3.7636318643114044</v>
      </c>
      <c r="BJ106" s="85">
        <f t="shared" si="89"/>
        <v>7.7944474541426598E-2</v>
      </c>
      <c r="BK106" s="85">
        <f t="shared" si="90"/>
        <v>3.6966832492898267</v>
      </c>
      <c r="BL106" s="85">
        <f t="shared" si="91"/>
        <v>7.8647112485712364E-2</v>
      </c>
      <c r="BM106" s="85">
        <f t="shared" si="92"/>
        <v>3.6704439070247461</v>
      </c>
      <c r="BN106" s="85">
        <f t="shared" si="93"/>
        <v>7.8927728879315623E-2</v>
      </c>
      <c r="BO106" s="85">
        <f t="shared" si="94"/>
        <v>3.6600983437470012</v>
      </c>
      <c r="BP106" s="85">
        <f t="shared" si="95"/>
        <v>7.9039197962726473E-2</v>
      </c>
      <c r="BQ106" s="85">
        <f t="shared" si="96"/>
        <v>3.656009678846655</v>
      </c>
      <c r="BR106" s="85">
        <f t="shared" si="97"/>
        <v>7.9083381994120294E-2</v>
      </c>
      <c r="BS106" s="85">
        <f t="shared" si="98"/>
        <v>3.6543922870127021</v>
      </c>
      <c r="BT106" s="85">
        <f t="shared" si="99"/>
        <v>7.9100880754048572E-2</v>
      </c>
      <c r="BU106" s="85">
        <f t="shared" si="100"/>
        <v>3.6537522429943312</v>
      </c>
      <c r="BV106" s="85">
        <f t="shared" si="101"/>
        <v>7.9107808677073579E-2</v>
      </c>
      <c r="BW106" s="85">
        <f t="shared" si="102"/>
        <v>3.653498923787295</v>
      </c>
    </row>
    <row r="107" spans="25:75" x14ac:dyDescent="0.4">
      <c r="Y107" s="142">
        <v>2.3599999999999999E-2</v>
      </c>
      <c r="Z107" s="46">
        <f t="shared" si="103"/>
        <v>2.4875588041148688E-3</v>
      </c>
      <c r="AA107" s="84">
        <f t="shared" si="104"/>
        <v>10.59594618235886</v>
      </c>
      <c r="AB107" s="84">
        <f t="shared" si="105"/>
        <v>7.4629752779973744E-3</v>
      </c>
      <c r="AC107" s="84">
        <f t="shared" si="106"/>
        <v>32.189430643572535</v>
      </c>
      <c r="AD107" s="84">
        <f t="shared" si="107"/>
        <v>4.2817886570296337E-3</v>
      </c>
      <c r="AE107" s="84">
        <f t="shared" si="108"/>
        <v>55.674260704115731</v>
      </c>
      <c r="AF107" s="84">
        <f t="shared" si="109"/>
        <v>3.2557769600061125E-3</v>
      </c>
      <c r="AG107" s="84">
        <f t="shared" si="110"/>
        <v>73.038756073223027</v>
      </c>
      <c r="AH107" s="84">
        <f t="shared" si="111"/>
        <v>2.8425308764651411E-3</v>
      </c>
      <c r="AI107" s="84">
        <f t="shared" si="112"/>
        <v>83.574201685181578</v>
      </c>
      <c r="AJ107" s="84">
        <f t="shared" si="113"/>
        <v>2.6573316271462557E-3</v>
      </c>
      <c r="AK107" s="84">
        <f t="shared" si="114"/>
        <v>89.359123274576248</v>
      </c>
      <c r="AL107" s="84">
        <f t="shared" si="115"/>
        <v>2.5698775193506306E-3</v>
      </c>
      <c r="AM107" s="84">
        <f t="shared" si="116"/>
        <v>92.380698796522466</v>
      </c>
      <c r="AN107" s="84">
        <f t="shared" si="117"/>
        <v>2.5275005184463659E-3</v>
      </c>
      <c r="AO107" s="84">
        <f t="shared" si="118"/>
        <v>93.920054495705131</v>
      </c>
      <c r="AP107" s="84">
        <f t="shared" si="119"/>
        <v>2.5067019965163075E-3</v>
      </c>
      <c r="AQ107" s="84">
        <f t="shared" si="120"/>
        <v>94.694608042295556</v>
      </c>
      <c r="AR107" s="84">
        <f t="shared" si="121"/>
        <v>2.4964291755202061E-3</v>
      </c>
      <c r="AS107" s="84">
        <f t="shared" si="122"/>
        <v>95.081937865694556</v>
      </c>
      <c r="AT107" s="84">
        <f t="shared" si="123"/>
        <v>2.4913392065537207E-3</v>
      </c>
      <c r="AU107" s="84">
        <f t="shared" si="124"/>
        <v>95.27503521567175</v>
      </c>
      <c r="AV107" s="84">
        <f t="shared" si="125"/>
        <v>2.4888132825490808E-3</v>
      </c>
      <c r="AW107" s="84">
        <f t="shared" si="126"/>
        <v>95.371154040238352</v>
      </c>
      <c r="AX107" s="84">
        <f t="shared" si="127"/>
        <v>2.4875588041148688E-3</v>
      </c>
      <c r="AY107" s="142">
        <v>2.3599999999999999E-2</v>
      </c>
      <c r="AZ107" s="46">
        <f t="shared" si="79"/>
        <v>8.1218306148419739E-2</v>
      </c>
      <c r="BA107" s="85">
        <f t="shared" si="80"/>
        <v>10.59594618235886</v>
      </c>
      <c r="BB107" s="85">
        <f t="shared" si="81"/>
        <v>4.7199999999999999E-2</v>
      </c>
      <c r="BC107" s="85">
        <f t="shared" si="82"/>
        <v>5.6303769978172751</v>
      </c>
      <c r="BD107" s="85">
        <f t="shared" si="83"/>
        <v>6.4750500977421896E-2</v>
      </c>
      <c r="BE107" s="85">
        <f t="shared" si="84"/>
        <v>4.2978677339286779</v>
      </c>
      <c r="BF107" s="85">
        <f t="shared" si="85"/>
        <v>7.4111456339504098E-2</v>
      </c>
      <c r="BG107" s="85">
        <f t="shared" si="86"/>
        <v>3.8488040126767311</v>
      </c>
      <c r="BH107" s="85">
        <f t="shared" si="87"/>
        <v>7.8315724905982181E-2</v>
      </c>
      <c r="BI107" s="85">
        <f t="shared" si="88"/>
        <v>3.6827591368039112</v>
      </c>
      <c r="BJ107" s="85">
        <f t="shared" si="89"/>
        <v>8.0061774698301696E-2</v>
      </c>
      <c r="BK107" s="85">
        <f t="shared" si="90"/>
        <v>3.6190463796400367</v>
      </c>
      <c r="BL107" s="85">
        <f t="shared" si="91"/>
        <v>8.0763437644493036E-2</v>
      </c>
      <c r="BM107" s="85">
        <f t="shared" si="92"/>
        <v>3.5942384316118079</v>
      </c>
      <c r="BN107" s="85">
        <f t="shared" si="93"/>
        <v>8.1041678757465554E-2</v>
      </c>
      <c r="BO107" s="85">
        <f t="shared" si="94"/>
        <v>3.5845229730499577</v>
      </c>
      <c r="BP107" s="85">
        <f t="shared" si="95"/>
        <v>8.1151431755017739E-2</v>
      </c>
      <c r="BQ107" s="85">
        <f t="shared" si="96"/>
        <v>3.580709482472797</v>
      </c>
      <c r="BR107" s="85">
        <f t="shared" si="97"/>
        <v>8.1194633789206924E-2</v>
      </c>
      <c r="BS107" s="85">
        <f t="shared" si="98"/>
        <v>3.5792112811989374</v>
      </c>
      <c r="BT107" s="85">
        <f t="shared" si="99"/>
        <v>8.1211625406509988E-2</v>
      </c>
      <c r="BU107" s="85">
        <f t="shared" si="100"/>
        <v>3.5786224778984779</v>
      </c>
      <c r="BV107" s="85">
        <f t="shared" si="101"/>
        <v>8.1218306148419739E-2</v>
      </c>
      <c r="BW107" s="85">
        <f t="shared" si="102"/>
        <v>3.5783910422283922</v>
      </c>
    </row>
    <row r="108" spans="25:75" x14ac:dyDescent="0.4">
      <c r="Y108" s="142">
        <v>2.4400000000000002E-2</v>
      </c>
      <c r="Z108" s="46">
        <f t="shared" si="103"/>
        <v>2.5765485970545908E-3</v>
      </c>
      <c r="AA108" s="84">
        <f t="shared" si="104"/>
        <v>10.269339989961001</v>
      </c>
      <c r="AB108" s="84">
        <f t="shared" si="105"/>
        <v>7.7159574908108458E-3</v>
      </c>
      <c r="AC108" s="84">
        <f t="shared" si="106"/>
        <v>31.153221573307707</v>
      </c>
      <c r="AD108" s="84">
        <f t="shared" si="107"/>
        <v>4.4300600232720167E-3</v>
      </c>
      <c r="AE108" s="84">
        <f t="shared" si="108"/>
        <v>53.830107798365262</v>
      </c>
      <c r="AF108" s="84">
        <f t="shared" si="109"/>
        <v>3.3701440769544539E-3</v>
      </c>
      <c r="AG108" s="84">
        <f t="shared" si="110"/>
        <v>70.579539282955707</v>
      </c>
      <c r="AH108" s="84">
        <f t="shared" si="111"/>
        <v>2.9432129315613721E-3</v>
      </c>
      <c r="AI108" s="84">
        <f t="shared" si="112"/>
        <v>80.734766807479758</v>
      </c>
      <c r="AJ108" s="84">
        <f t="shared" si="113"/>
        <v>2.7518882566908926E-3</v>
      </c>
      <c r="AK108" s="84">
        <f t="shared" si="114"/>
        <v>86.308241547657218</v>
      </c>
      <c r="AL108" s="84">
        <f t="shared" si="115"/>
        <v>2.6615520169280507E-3</v>
      </c>
      <c r="AM108" s="84">
        <f t="shared" si="116"/>
        <v>89.218329801176353</v>
      </c>
      <c r="AN108" s="84">
        <f t="shared" si="117"/>
        <v>2.6177854416456533E-3</v>
      </c>
      <c r="AO108" s="84">
        <f t="shared" si="118"/>
        <v>90.700453855606597</v>
      </c>
      <c r="AP108" s="84">
        <f t="shared" si="119"/>
        <v>2.5963089020611153E-3</v>
      </c>
      <c r="AQ108" s="84">
        <f t="shared" si="120"/>
        <v>91.446018693068197</v>
      </c>
      <c r="AR108" s="84">
        <f t="shared" si="121"/>
        <v>2.585703310249066E-3</v>
      </c>
      <c r="AS108" s="84">
        <f t="shared" si="122"/>
        <v>91.818763525039216</v>
      </c>
      <c r="AT108" s="84">
        <f t="shared" si="123"/>
        <v>2.5804495491397999E-3</v>
      </c>
      <c r="AU108" s="84">
        <f t="shared" si="124"/>
        <v>92.00454746113266</v>
      </c>
      <c r="AV108" s="84">
        <f t="shared" si="125"/>
        <v>2.5778428935608506E-3</v>
      </c>
      <c r="AW108" s="84">
        <f t="shared" si="126"/>
        <v>92.097005312640988</v>
      </c>
      <c r="AX108" s="84">
        <f t="shared" si="127"/>
        <v>2.5765485970545908E-3</v>
      </c>
      <c r="AY108" s="142">
        <v>2.4400000000000002E-2</v>
      </c>
      <c r="AZ108" s="46">
        <f t="shared" si="79"/>
        <v>8.3613622209141147E-2</v>
      </c>
      <c r="BA108" s="85">
        <f t="shared" si="80"/>
        <v>10.269339989961001</v>
      </c>
      <c r="BB108" s="85">
        <f t="shared" si="81"/>
        <v>4.8800000000000003E-2</v>
      </c>
      <c r="BC108" s="85">
        <f t="shared" si="82"/>
        <v>5.4686044375035925</v>
      </c>
      <c r="BD108" s="85">
        <f t="shared" si="83"/>
        <v>6.687331201964003E-2</v>
      </c>
      <c r="BE108" s="85">
        <f t="shared" si="84"/>
        <v>4.1847799963972019</v>
      </c>
      <c r="BF108" s="85">
        <f t="shared" si="85"/>
        <v>7.6446001158590973E-2</v>
      </c>
      <c r="BG108" s="85">
        <f t="shared" si="86"/>
        <v>3.7542937743081457</v>
      </c>
      <c r="BH108" s="85">
        <f t="shared" si="87"/>
        <v>8.0709928315422175E-2</v>
      </c>
      <c r="BI108" s="85">
        <f t="shared" si="88"/>
        <v>3.5961147187952394</v>
      </c>
      <c r="BJ108" s="85">
        <f t="shared" si="89"/>
        <v>8.2465884115623111E-2</v>
      </c>
      <c r="BK108" s="85">
        <f t="shared" si="90"/>
        <v>3.5358466815803582</v>
      </c>
      <c r="BL108" s="85">
        <f t="shared" si="91"/>
        <v>8.3165724566915525E-2</v>
      </c>
      <c r="BM108" s="85">
        <f t="shared" si="92"/>
        <v>3.512554617690816</v>
      </c>
      <c r="BN108" s="85">
        <f t="shared" si="93"/>
        <v>8.3441008642268014E-2</v>
      </c>
      <c r="BO108" s="85">
        <f t="shared" si="94"/>
        <v>3.5035025729785056</v>
      </c>
      <c r="BP108" s="85">
        <f t="shared" si="95"/>
        <v>8.354873290925946E-2</v>
      </c>
      <c r="BQ108" s="85">
        <f t="shared" si="96"/>
        <v>3.4999770027307595</v>
      </c>
      <c r="BR108" s="85">
        <f t="shared" si="97"/>
        <v>8.3590802155196944E-2</v>
      </c>
      <c r="BS108" s="85">
        <f t="shared" si="98"/>
        <v>3.498602706458434</v>
      </c>
      <c r="BT108" s="85">
        <f t="shared" si="99"/>
        <v>8.3607218315906451E-2</v>
      </c>
      <c r="BU108" s="85">
        <f t="shared" si="100"/>
        <v>3.4980668172185325</v>
      </c>
      <c r="BV108" s="85">
        <f t="shared" si="101"/>
        <v>8.3613622209141147E-2</v>
      </c>
      <c r="BW108" s="85">
        <f t="shared" si="102"/>
        <v>3.4978578271040193</v>
      </c>
    </row>
    <row r="109" spans="25:75" x14ac:dyDescent="0.4">
      <c r="Y109" s="142">
        <v>2.5100000000000001E-2</v>
      </c>
      <c r="Z109" s="46">
        <f t="shared" si="103"/>
        <v>2.6546776674988897E-3</v>
      </c>
      <c r="AA109" s="84">
        <f t="shared" si="104"/>
        <v>10.000696977450017</v>
      </c>
      <c r="AB109" s="84">
        <f t="shared" si="105"/>
        <v>7.9373169270226321E-3</v>
      </c>
      <c r="AC109" s="84">
        <f t="shared" si="106"/>
        <v>30.300744058251027</v>
      </c>
      <c r="AD109" s="84">
        <f t="shared" si="107"/>
        <v>4.5599723481238481E-3</v>
      </c>
      <c r="AE109" s="84">
        <f t="shared" si="108"/>
        <v>52.31288526153444</v>
      </c>
      <c r="AF109" s="84">
        <f t="shared" si="109"/>
        <v>3.4704398275297978E-3</v>
      </c>
      <c r="AG109" s="84">
        <f t="shared" si="110"/>
        <v>68.556305366741967</v>
      </c>
      <c r="AH109" s="84">
        <f t="shared" si="111"/>
        <v>3.0315529164232731E-3</v>
      </c>
      <c r="AI109" s="84">
        <f t="shared" si="112"/>
        <v>78.398752503631229</v>
      </c>
      <c r="AJ109" s="84">
        <f t="shared" si="113"/>
        <v>2.834877385990045E-3</v>
      </c>
      <c r="AK109" s="84">
        <f t="shared" si="114"/>
        <v>83.798294397201559</v>
      </c>
      <c r="AL109" s="84">
        <f t="shared" si="115"/>
        <v>2.7420240903387959E-3</v>
      </c>
      <c r="AM109" s="84">
        <f t="shared" si="116"/>
        <v>86.616679316251336</v>
      </c>
      <c r="AN109" s="84">
        <f t="shared" si="117"/>
        <v>2.697044366620647E-3</v>
      </c>
      <c r="AO109" s="84">
        <f t="shared" si="118"/>
        <v>88.051729581134012</v>
      </c>
      <c r="AP109" s="84">
        <f t="shared" si="119"/>
        <v>2.6749761243623485E-3</v>
      </c>
      <c r="AQ109" s="84">
        <f t="shared" si="120"/>
        <v>88.773451645110072</v>
      </c>
      <c r="AR109" s="84">
        <f t="shared" si="121"/>
        <v>2.6640802474122158E-3</v>
      </c>
      <c r="AS109" s="84">
        <f t="shared" si="122"/>
        <v>89.13420093754074</v>
      </c>
      <c r="AT109" s="84">
        <f t="shared" si="123"/>
        <v>2.6586836687309194E-3</v>
      </c>
      <c r="AU109" s="84">
        <f t="shared" si="124"/>
        <v>89.313970096468807</v>
      </c>
      <c r="AV109" s="84">
        <f t="shared" si="125"/>
        <v>2.6560066515171768E-3</v>
      </c>
      <c r="AW109" s="84">
        <f t="shared" si="126"/>
        <v>89.403417151613198</v>
      </c>
      <c r="AX109" s="84">
        <f t="shared" si="127"/>
        <v>2.6546776674988897E-3</v>
      </c>
      <c r="AY109" s="142">
        <v>2.5100000000000001E-2</v>
      </c>
      <c r="AZ109" s="46">
        <f t="shared" si="79"/>
        <v>8.5695288523860449E-2</v>
      </c>
      <c r="BA109" s="85">
        <f t="shared" si="80"/>
        <v>10.000696977450017</v>
      </c>
      <c r="BB109" s="85">
        <f t="shared" si="81"/>
        <v>5.0200000000000002E-2</v>
      </c>
      <c r="BC109" s="85">
        <f t="shared" si="82"/>
        <v>5.3356102507162202</v>
      </c>
      <c r="BD109" s="85">
        <f t="shared" si="83"/>
        <v>6.8726907458858108E-2</v>
      </c>
      <c r="BE109" s="85">
        <f t="shared" si="84"/>
        <v>4.0918561362697563</v>
      </c>
      <c r="BF109" s="85">
        <f t="shared" si="85"/>
        <v>7.8479941965411637E-2</v>
      </c>
      <c r="BG109" s="85">
        <f t="shared" si="86"/>
        <v>3.67664307739643</v>
      </c>
      <c r="BH109" s="85">
        <f t="shared" si="87"/>
        <v>8.2792903941920334E-2</v>
      </c>
      <c r="BI109" s="85">
        <f t="shared" si="88"/>
        <v>3.5249124892741857</v>
      </c>
      <c r="BJ109" s="85">
        <f t="shared" si="89"/>
        <v>8.4556048957114258E-2</v>
      </c>
      <c r="BK109" s="85">
        <f t="shared" si="90"/>
        <v>3.4674563893827934</v>
      </c>
      <c r="BL109" s="85">
        <f t="shared" si="91"/>
        <v>8.5253721806946514E-2</v>
      </c>
      <c r="BM109" s="85">
        <f t="shared" si="92"/>
        <v>3.4453952327892425</v>
      </c>
      <c r="BN109" s="85">
        <f t="shared" si="93"/>
        <v>8.5526229669937268E-2</v>
      </c>
      <c r="BO109" s="85">
        <f t="shared" si="94"/>
        <v>3.4368787150070914</v>
      </c>
      <c r="BP109" s="85">
        <f t="shared" si="95"/>
        <v>8.5632130262170036E-2</v>
      </c>
      <c r="BQ109" s="85">
        <f t="shared" si="96"/>
        <v>3.4335841063166828</v>
      </c>
      <c r="BR109" s="85">
        <f t="shared" si="97"/>
        <v>8.5673203483028162E-2</v>
      </c>
      <c r="BS109" s="85">
        <f t="shared" si="98"/>
        <v>3.4323085563139801</v>
      </c>
      <c r="BT109" s="85">
        <f t="shared" si="99"/>
        <v>8.568912138522787E-2</v>
      </c>
      <c r="BU109" s="85">
        <f t="shared" si="100"/>
        <v>3.4318145557360902</v>
      </c>
      <c r="BV109" s="85">
        <f t="shared" si="101"/>
        <v>8.5695288523860449E-2</v>
      </c>
      <c r="BW109" s="85">
        <f t="shared" si="102"/>
        <v>3.4316232137689884</v>
      </c>
    </row>
    <row r="110" spans="25:75" x14ac:dyDescent="0.4">
      <c r="Y110" s="142">
        <v>2.5899999999999999E-2</v>
      </c>
      <c r="Z110" s="46">
        <f t="shared" si="103"/>
        <v>2.7442697269409572E-3</v>
      </c>
      <c r="AA110" s="84">
        <f t="shared" si="104"/>
        <v>9.711522350860891</v>
      </c>
      <c r="AB110" s="84">
        <f t="shared" si="105"/>
        <v>8.1902991398361026E-3</v>
      </c>
      <c r="AC110" s="84">
        <f t="shared" si="106"/>
        <v>29.382931782945242</v>
      </c>
      <c r="AD110" s="84">
        <f t="shared" si="107"/>
        <v>4.7086440118948606E-3</v>
      </c>
      <c r="AE110" s="84">
        <f t="shared" si="108"/>
        <v>50.679317897175821</v>
      </c>
      <c r="AF110" s="84">
        <f t="shared" si="109"/>
        <v>3.5853209646049627E-3</v>
      </c>
      <c r="AG110" s="84">
        <f t="shared" si="110"/>
        <v>66.377941410851278</v>
      </c>
      <c r="AH110" s="84">
        <f t="shared" si="111"/>
        <v>3.1327917855880523E-3</v>
      </c>
      <c r="AI110" s="84">
        <f t="shared" si="112"/>
        <v>75.883660605935901</v>
      </c>
      <c r="AJ110" s="84">
        <f t="shared" si="113"/>
        <v>2.9300112280567373E-3</v>
      </c>
      <c r="AK110" s="84">
        <f t="shared" si="114"/>
        <v>81.09596447270728</v>
      </c>
      <c r="AL110" s="84">
        <f t="shared" si="115"/>
        <v>2.8342868346716323E-3</v>
      </c>
      <c r="AM110" s="84">
        <f t="shared" si="116"/>
        <v>83.81563592245999</v>
      </c>
      <c r="AN110" s="84">
        <f t="shared" si="117"/>
        <v>2.7879237968072394E-3</v>
      </c>
      <c r="AO110" s="84">
        <f t="shared" si="118"/>
        <v>85.200015940305633</v>
      </c>
      <c r="AP110" s="84">
        <f t="shared" si="119"/>
        <v>2.7651811207751709E-3</v>
      </c>
      <c r="AQ110" s="84">
        <f t="shared" si="120"/>
        <v>85.896074547998069</v>
      </c>
      <c r="AR110" s="84">
        <f t="shared" si="121"/>
        <v>2.7539545119478399E-3</v>
      </c>
      <c r="AS110" s="84">
        <f t="shared" si="122"/>
        <v>86.243912734452465</v>
      </c>
      <c r="AT110" s="84">
        <f t="shared" si="123"/>
        <v>2.748395288435292E-3</v>
      </c>
      <c r="AU110" s="84">
        <f t="shared" si="124"/>
        <v>86.417208253132372</v>
      </c>
      <c r="AV110" s="84">
        <f t="shared" si="125"/>
        <v>2.7456381778202649E-3</v>
      </c>
      <c r="AW110" s="84">
        <f t="shared" si="126"/>
        <v>86.503414932096902</v>
      </c>
      <c r="AX110" s="84">
        <f t="shared" si="127"/>
        <v>2.7442697269409572E-3</v>
      </c>
      <c r="AY110" s="142">
        <v>2.5899999999999999E-2</v>
      </c>
      <c r="AZ110" s="46">
        <f t="shared" si="79"/>
        <v>8.805848545133986E-2</v>
      </c>
      <c r="BA110" s="85">
        <f t="shared" si="80"/>
        <v>9.711522350860891</v>
      </c>
      <c r="BB110" s="85">
        <f t="shared" si="81"/>
        <v>5.1799999999999999E-2</v>
      </c>
      <c r="BC110" s="85">
        <f t="shared" si="82"/>
        <v>5.1925264022854893</v>
      </c>
      <c r="BD110" s="85">
        <f t="shared" si="83"/>
        <v>7.0840898363914884E-2</v>
      </c>
      <c r="BE110" s="85">
        <f t="shared" si="84"/>
        <v>3.9919319692812554</v>
      </c>
      <c r="BF110" s="85">
        <f t="shared" si="85"/>
        <v>8.0794509935897624E-2</v>
      </c>
      <c r="BG110" s="85">
        <f t="shared" si="86"/>
        <v>3.5931500620759462</v>
      </c>
      <c r="BH110" s="85">
        <f t="shared" si="87"/>
        <v>8.5160016941409983E-2</v>
      </c>
      <c r="BI110" s="85">
        <f t="shared" si="88"/>
        <v>3.448336680020808</v>
      </c>
      <c r="BJ110" s="85">
        <f t="shared" si="89"/>
        <v>8.6929781070031201E-2</v>
      </c>
      <c r="BK110" s="85">
        <f t="shared" si="90"/>
        <v>3.3938838165064142</v>
      </c>
      <c r="BL110" s="85">
        <f t="shared" si="91"/>
        <v>8.762437459595919E-2</v>
      </c>
      <c r="BM110" s="85">
        <f t="shared" si="92"/>
        <v>3.3731303295907904</v>
      </c>
      <c r="BN110" s="85">
        <f t="shared" si="93"/>
        <v>8.7893519658206562E-2</v>
      </c>
      <c r="BO110" s="85">
        <f t="shared" si="94"/>
        <v>3.3651793773982974</v>
      </c>
      <c r="BP110" s="85">
        <f t="shared" si="95"/>
        <v>8.7997291967727514E-2</v>
      </c>
      <c r="BQ110" s="85">
        <f t="shared" si="96"/>
        <v>3.3621271570607587</v>
      </c>
      <c r="BR110" s="85">
        <f t="shared" si="97"/>
        <v>8.8037225941344541E-2</v>
      </c>
      <c r="BS110" s="85">
        <f t="shared" si="98"/>
        <v>3.3609545658395801</v>
      </c>
      <c r="BT110" s="85">
        <f t="shared" si="99"/>
        <v>8.80525820959418E-2</v>
      </c>
      <c r="BU110" s="85">
        <f t="shared" si="100"/>
        <v>3.3605039506803585</v>
      </c>
      <c r="BV110" s="85">
        <f t="shared" si="101"/>
        <v>8.805848545133986E-2</v>
      </c>
      <c r="BW110" s="85">
        <f t="shared" si="102"/>
        <v>3.3603307640696429</v>
      </c>
    </row>
    <row r="111" spans="25:75" x14ac:dyDescent="0.4">
      <c r="Y111" s="142">
        <v>2.6700000000000002E-2</v>
      </c>
      <c r="Z111" s="46">
        <f t="shared" si="103"/>
        <v>2.8341847700653197E-3</v>
      </c>
      <c r="AA111" s="84">
        <f t="shared" si="104"/>
        <v>9.43974323934723</v>
      </c>
      <c r="AB111" s="84">
        <f t="shared" si="105"/>
        <v>8.4432813526495731E-3</v>
      </c>
      <c r="AC111" s="84">
        <f t="shared" si="106"/>
        <v>28.520143678132854</v>
      </c>
      <c r="AD111" s="84">
        <f t="shared" si="107"/>
        <v>4.8575300692546841E-3</v>
      </c>
      <c r="AE111" s="84">
        <f t="shared" si="108"/>
        <v>49.143621514952663</v>
      </c>
      <c r="AF111" s="84">
        <f t="shared" si="109"/>
        <v>3.7004775469012658E-3</v>
      </c>
      <c r="AG111" s="84">
        <f t="shared" si="110"/>
        <v>64.330107550069783</v>
      </c>
      <c r="AH111" s="84">
        <f t="shared" si="111"/>
        <v>3.234329138993059E-3</v>
      </c>
      <c r="AI111" s="84">
        <f t="shared" si="112"/>
        <v>73.519312535339495</v>
      </c>
      <c r="AJ111" s="84">
        <f t="shared" si="113"/>
        <v>3.0254545526966674E-3</v>
      </c>
      <c r="AK111" s="84">
        <f t="shared" si="114"/>
        <v>78.555630411244408</v>
      </c>
      <c r="AL111" s="84">
        <f t="shared" si="115"/>
        <v>2.9268650120731739E-3</v>
      </c>
      <c r="AM111" s="84">
        <f t="shared" si="116"/>
        <v>81.182525545264866</v>
      </c>
      <c r="AN111" s="84">
        <f t="shared" si="117"/>
        <v>2.8791220344144032E-3</v>
      </c>
      <c r="AO111" s="84">
        <f t="shared" si="118"/>
        <v>82.519285000643137</v>
      </c>
      <c r="AP111" s="84">
        <f t="shared" si="119"/>
        <v>2.8557068549598251E-3</v>
      </c>
      <c r="AQ111" s="84">
        <f t="shared" si="120"/>
        <v>83.191225703414318</v>
      </c>
      <c r="AR111" s="84">
        <f t="shared" si="121"/>
        <v>2.8441506116081718E-3</v>
      </c>
      <c r="AS111" s="84">
        <f t="shared" si="122"/>
        <v>83.526930792930116</v>
      </c>
      <c r="AT111" s="84">
        <f t="shared" si="123"/>
        <v>2.8384293602701218E-3</v>
      </c>
      <c r="AU111" s="84">
        <f t="shared" si="124"/>
        <v>83.694142991741586</v>
      </c>
      <c r="AV111" s="84">
        <f t="shared" si="125"/>
        <v>2.8355924992007611E-3</v>
      </c>
      <c r="AW111" s="84">
        <f t="shared" si="126"/>
        <v>83.777304784757376</v>
      </c>
      <c r="AX111" s="84">
        <f t="shared" si="127"/>
        <v>2.8341847700653197E-3</v>
      </c>
      <c r="AY111" s="142">
        <v>2.6700000000000002E-2</v>
      </c>
      <c r="AZ111" s="46">
        <f t="shared" si="79"/>
        <v>9.0405208528175698E-2</v>
      </c>
      <c r="BA111" s="85">
        <f t="shared" si="80"/>
        <v>9.43974323934723</v>
      </c>
      <c r="BB111" s="85">
        <f t="shared" si="81"/>
        <v>5.3400000000000003E-2</v>
      </c>
      <c r="BC111" s="85">
        <f t="shared" si="82"/>
        <v>5.0581260764702218</v>
      </c>
      <c r="BD111" s="85">
        <f t="shared" si="83"/>
        <v>7.295020602833277E-2</v>
      </c>
      <c r="BE111" s="85">
        <f t="shared" si="84"/>
        <v>3.8981213216972641</v>
      </c>
      <c r="BF111" s="85">
        <f t="shared" si="85"/>
        <v>8.3098593298667409E-2</v>
      </c>
      <c r="BG111" s="85">
        <f t="shared" si="86"/>
        <v>3.5147714086821336</v>
      </c>
      <c r="BH111" s="85">
        <f t="shared" si="87"/>
        <v>8.7513047035147035E-2</v>
      </c>
      <c r="BI111" s="85">
        <f t="shared" si="88"/>
        <v>3.3764338303112265</v>
      </c>
      <c r="BJ111" s="85">
        <f t="shared" si="89"/>
        <v>8.9287821382857388E-2</v>
      </c>
      <c r="BK111" s="85">
        <f t="shared" si="90"/>
        <v>3.3247792913417129</v>
      </c>
      <c r="BL111" s="85">
        <f t="shared" si="91"/>
        <v>8.9978746241417523E-2</v>
      </c>
      <c r="BM111" s="85">
        <f t="shared" si="92"/>
        <v>3.3052372731590802</v>
      </c>
      <c r="BN111" s="85">
        <f t="shared" si="93"/>
        <v>9.0244351211069829E-2</v>
      </c>
      <c r="BO111" s="85">
        <f t="shared" si="94"/>
        <v>3.2978069567470714</v>
      </c>
      <c r="BP111" s="85">
        <f t="shared" si="95"/>
        <v>9.034595916075705E-2</v>
      </c>
      <c r="BQ111" s="85">
        <f t="shared" si="96"/>
        <v>3.2949763707382416</v>
      </c>
      <c r="BR111" s="85">
        <f t="shared" si="97"/>
        <v>9.0384757179378494E-2</v>
      </c>
      <c r="BS111" s="85">
        <f t="shared" si="98"/>
        <v>3.2938972686568624</v>
      </c>
      <c r="BT111" s="85">
        <f t="shared" si="99"/>
        <v>9.039956128295662E-2</v>
      </c>
      <c r="BU111" s="85">
        <f t="shared" si="100"/>
        <v>3.2934857688123929</v>
      </c>
      <c r="BV111" s="85">
        <f t="shared" si="101"/>
        <v>9.0405208528175698E-2</v>
      </c>
      <c r="BW111" s="85">
        <f t="shared" si="102"/>
        <v>3.2933288326741774</v>
      </c>
    </row>
    <row r="112" spans="25:75" x14ac:dyDescent="0.4">
      <c r="Y112" s="142">
        <v>2.75E-2</v>
      </c>
      <c r="Z112" s="46">
        <f t="shared" si="103"/>
        <v>2.9244240080074286E-3</v>
      </c>
      <c r="AA112" s="84">
        <f t="shared" si="104"/>
        <v>9.1838410899090785</v>
      </c>
      <c r="AB112" s="84">
        <f t="shared" si="105"/>
        <v>8.6962635654630419E-3</v>
      </c>
      <c r="AC112" s="84">
        <f t="shared" si="106"/>
        <v>27.707577588547981</v>
      </c>
      <c r="AD112" s="84">
        <f t="shared" si="107"/>
        <v>5.0066311259145142E-3</v>
      </c>
      <c r="AE112" s="84">
        <f t="shared" si="108"/>
        <v>47.697256348504752</v>
      </c>
      <c r="AF112" s="84">
        <f t="shared" si="109"/>
        <v>3.8159104554388993E-3</v>
      </c>
      <c r="AG112" s="84">
        <f t="shared" si="110"/>
        <v>62.401415622093943</v>
      </c>
      <c r="AH112" s="84">
        <f t="shared" si="111"/>
        <v>3.336166007640225E-3</v>
      </c>
      <c r="AI112" s="84">
        <f t="shared" si="112"/>
        <v>71.292557304020235</v>
      </c>
      <c r="AJ112" s="84">
        <f t="shared" si="113"/>
        <v>3.1212084740628496E-3</v>
      </c>
      <c r="AK112" s="84">
        <f t="shared" si="114"/>
        <v>76.163159972124276</v>
      </c>
      <c r="AL112" s="84">
        <f t="shared" si="115"/>
        <v>3.0197597824823856E-3</v>
      </c>
      <c r="AM112" s="84">
        <f t="shared" si="116"/>
        <v>78.702698190665799</v>
      </c>
      <c r="AN112" s="84">
        <f t="shared" si="117"/>
        <v>2.9706402642036794E-3</v>
      </c>
      <c r="AO112" s="84">
        <f t="shared" si="118"/>
        <v>79.994620819890955</v>
      </c>
      <c r="AP112" s="84">
        <f t="shared" si="119"/>
        <v>2.9465545248932843E-3</v>
      </c>
      <c r="AQ112" s="84">
        <f t="shared" si="120"/>
        <v>80.643854389448222</v>
      </c>
      <c r="AR112" s="84">
        <f t="shared" si="121"/>
        <v>2.9346697512807169E-3</v>
      </c>
      <c r="AS112" s="84">
        <f t="shared" si="122"/>
        <v>80.968136544991268</v>
      </c>
      <c r="AT112" s="84">
        <f t="shared" si="123"/>
        <v>2.9287870926760357E-3</v>
      </c>
      <c r="AU112" s="84">
        <f t="shared" si="124"/>
        <v>81.129621706563114</v>
      </c>
      <c r="AV112" s="84">
        <f t="shared" si="125"/>
        <v>2.9258708258975683E-3</v>
      </c>
      <c r="AW112" s="84">
        <f t="shared" si="126"/>
        <v>81.209917056203508</v>
      </c>
      <c r="AX112" s="84">
        <f t="shared" si="127"/>
        <v>2.9244240080074286E-3</v>
      </c>
      <c r="AY112" s="142">
        <v>2.75E-2</v>
      </c>
      <c r="AZ112" s="46">
        <f t="shared" si="79"/>
        <v>9.2735896152548528E-2</v>
      </c>
      <c r="BA112" s="85">
        <f t="shared" si="80"/>
        <v>9.1838410899090785</v>
      </c>
      <c r="BB112" s="85">
        <f t="shared" si="81"/>
        <v>5.5E-2</v>
      </c>
      <c r="BC112" s="85">
        <f t="shared" si="82"/>
        <v>4.9316501361196501</v>
      </c>
      <c r="BD112" s="85">
        <f t="shared" si="83"/>
        <v>7.5054846343083306E-2</v>
      </c>
      <c r="BE112" s="85">
        <f t="shared" si="84"/>
        <v>3.8098878966174365</v>
      </c>
      <c r="BF112" s="85">
        <f t="shared" si="85"/>
        <v>8.5392311789625683E-2</v>
      </c>
      <c r="BG112" s="85">
        <f t="shared" si="86"/>
        <v>3.4410569831934348</v>
      </c>
      <c r="BH112" s="85">
        <f t="shared" si="87"/>
        <v>8.9852245997704944E-2</v>
      </c>
      <c r="BI112" s="85">
        <f t="shared" si="88"/>
        <v>3.3087920369255222</v>
      </c>
      <c r="BJ112" s="85">
        <f t="shared" si="89"/>
        <v>9.1630516325341846E-2</v>
      </c>
      <c r="BK112" s="85">
        <f t="shared" si="90"/>
        <v>3.2597490140588445</v>
      </c>
      <c r="BL112" s="85">
        <f t="shared" si="91"/>
        <v>9.231723499197958E-2</v>
      </c>
      <c r="BM112" s="85">
        <f t="shared" si="92"/>
        <v>3.2413310534266198</v>
      </c>
      <c r="BN112" s="85">
        <f t="shared" si="93"/>
        <v>9.2579146942097568E-2</v>
      </c>
      <c r="BO112" s="85">
        <f t="shared" si="94"/>
        <v>3.2343807277412147</v>
      </c>
      <c r="BP112" s="85">
        <f t="shared" si="95"/>
        <v>9.2678564723967613E-2</v>
      </c>
      <c r="BQ112" s="85">
        <f t="shared" si="96"/>
        <v>3.2317530982380278</v>
      </c>
      <c r="BR112" s="85">
        <f t="shared" si="97"/>
        <v>9.2716233977034893E-2</v>
      </c>
      <c r="BS112" s="85">
        <f t="shared" si="98"/>
        <v>3.230759011573622</v>
      </c>
      <c r="BT112" s="85">
        <f t="shared" si="99"/>
        <v>9.2730497015942659E-2</v>
      </c>
      <c r="BU112" s="85">
        <f t="shared" si="100"/>
        <v>3.2303828292712318</v>
      </c>
      <c r="BV112" s="85">
        <f t="shared" si="101"/>
        <v>9.2735896152548528E-2</v>
      </c>
      <c r="BW112" s="85">
        <f t="shared" si="102"/>
        <v>3.2302404602106112</v>
      </c>
    </row>
    <row r="113" spans="25:75" x14ac:dyDescent="0.4">
      <c r="Y113" s="142">
        <v>2.8400000000000002E-2</v>
      </c>
      <c r="Z113" s="46">
        <f t="shared" si="103"/>
        <v>3.0263321495835943E-3</v>
      </c>
      <c r="AA113" s="84">
        <f t="shared" si="104"/>
        <v>8.9132580325333919</v>
      </c>
      <c r="AB113" s="84">
        <f t="shared" si="105"/>
        <v>8.9808685548781967E-3</v>
      </c>
      <c r="AC113" s="84">
        <f t="shared" si="106"/>
        <v>26.848187265943313</v>
      </c>
      <c r="AD113" s="84">
        <f t="shared" si="107"/>
        <v>5.1746275391480823E-3</v>
      </c>
      <c r="AE113" s="84">
        <f t="shared" si="108"/>
        <v>46.167476744669557</v>
      </c>
      <c r="AF113" s="84">
        <f t="shared" si="109"/>
        <v>3.9461038470260685E-3</v>
      </c>
      <c r="AG113" s="84">
        <f t="shared" si="110"/>
        <v>60.361517014877791</v>
      </c>
      <c r="AH113" s="84">
        <f t="shared" si="111"/>
        <v>3.4510917591728764E-3</v>
      </c>
      <c r="AI113" s="84">
        <f t="shared" si="112"/>
        <v>68.937452170531159</v>
      </c>
      <c r="AJ113" s="84">
        <f t="shared" si="113"/>
        <v>3.2293042595063909E-3</v>
      </c>
      <c r="AK113" s="84">
        <f t="shared" si="114"/>
        <v>73.632822198947949</v>
      </c>
      <c r="AL113" s="84">
        <f t="shared" si="115"/>
        <v>3.1246462476940289E-3</v>
      </c>
      <c r="AM113" s="84">
        <f t="shared" si="116"/>
        <v>76.079991998616251</v>
      </c>
      <c r="AN113" s="84">
        <f t="shared" si="117"/>
        <v>3.0739822152758218E-3</v>
      </c>
      <c r="AO113" s="84">
        <f t="shared" si="118"/>
        <v>77.324507968078166</v>
      </c>
      <c r="AP113" s="84">
        <f t="shared" si="119"/>
        <v>3.0491444357810676E-3</v>
      </c>
      <c r="AQ113" s="84">
        <f t="shared" si="120"/>
        <v>77.949734006251362</v>
      </c>
      <c r="AR113" s="84">
        <f t="shared" si="121"/>
        <v>3.0368913941769822E-3</v>
      </c>
      <c r="AS113" s="84">
        <f t="shared" si="122"/>
        <v>78.261939565842965</v>
      </c>
      <c r="AT113" s="84">
        <f t="shared" si="123"/>
        <v>3.0308278985826343E-3</v>
      </c>
      <c r="AU113" s="84">
        <f t="shared" si="124"/>
        <v>78.417370222393075</v>
      </c>
      <c r="AV113" s="84">
        <f t="shared" si="125"/>
        <v>3.0278227146959104E-3</v>
      </c>
      <c r="AW113" s="84">
        <f t="shared" si="126"/>
        <v>78.49463535758926</v>
      </c>
      <c r="AX113" s="84">
        <f t="shared" si="127"/>
        <v>3.0263321495835943E-3</v>
      </c>
      <c r="AY113" s="142">
        <v>2.8400000000000002E-2</v>
      </c>
      <c r="AZ113" s="46">
        <f t="shared" si="79"/>
        <v>9.5339280734611814E-2</v>
      </c>
      <c r="BA113" s="85">
        <f t="shared" si="80"/>
        <v>8.9132580325333919</v>
      </c>
      <c r="BB113" s="85">
        <f t="shared" si="81"/>
        <v>5.6800000000000003E-2</v>
      </c>
      <c r="BC113" s="85">
        <f t="shared" si="82"/>
        <v>4.7980014566846751</v>
      </c>
      <c r="BD113" s="85">
        <f t="shared" si="83"/>
        <v>7.7417008858569586E-2</v>
      </c>
      <c r="BE113" s="85">
        <f t="shared" si="84"/>
        <v>3.7167017309030284</v>
      </c>
      <c r="BF113" s="85">
        <f t="shared" si="85"/>
        <v>8.7960506273981068E-2</v>
      </c>
      <c r="BG113" s="85">
        <f t="shared" si="86"/>
        <v>3.3632082742966576</v>
      </c>
      <c r="BH113" s="85">
        <f t="shared" si="87"/>
        <v>9.2467623051969733E-2</v>
      </c>
      <c r="BI113" s="85">
        <f t="shared" si="88"/>
        <v>3.2373352595033249</v>
      </c>
      <c r="BJ113" s="85">
        <f t="shared" si="89"/>
        <v>9.4248128827368799E-2</v>
      </c>
      <c r="BK113" s="85">
        <f t="shared" si="90"/>
        <v>3.1910268529096051</v>
      </c>
      <c r="BL113" s="85">
        <f t="shared" si="91"/>
        <v>9.4929533328418553E-2</v>
      </c>
      <c r="BM113" s="85">
        <f t="shared" si="92"/>
        <v>3.173778652418469</v>
      </c>
      <c r="BN113" s="85">
        <f t="shared" si="93"/>
        <v>9.5187135578765333E-2</v>
      </c>
      <c r="BO113" s="85">
        <f t="shared" si="94"/>
        <v>3.1673244405601868</v>
      </c>
      <c r="BP113" s="85">
        <f t="shared" si="95"/>
        <v>9.5284069961776685E-2</v>
      </c>
      <c r="BQ113" s="85">
        <f t="shared" si="96"/>
        <v>3.1649050850033218</v>
      </c>
      <c r="BR113" s="85">
        <f t="shared" si="97"/>
        <v>9.5320482113072952E-2</v>
      </c>
      <c r="BS113" s="85">
        <f t="shared" si="98"/>
        <v>3.1639975980966666</v>
      </c>
      <c r="BT113" s="85">
        <f t="shared" si="99"/>
        <v>9.5334150879420487E-2</v>
      </c>
      <c r="BU113" s="85">
        <f t="shared" si="100"/>
        <v>3.1636571211659033</v>
      </c>
      <c r="BV113" s="85">
        <f t="shared" si="101"/>
        <v>9.5339280734611814E-2</v>
      </c>
      <c r="BW113" s="85">
        <f t="shared" si="102"/>
        <v>3.1635293670095557</v>
      </c>
    </row>
    <row r="114" spans="25:75" x14ac:dyDescent="0.4">
      <c r="Y114" s="142">
        <v>2.93E-2</v>
      </c>
      <c r="Z114" s="46">
        <f t="shared" si="103"/>
        <v>3.1286537811610286E-3</v>
      </c>
      <c r="AA114" s="84">
        <f t="shared" si="104"/>
        <v>8.6593732783779664</v>
      </c>
      <c r="AB114" s="84">
        <f t="shared" si="105"/>
        <v>9.2654735442933515E-3</v>
      </c>
      <c r="AC114" s="84">
        <f t="shared" si="106"/>
        <v>26.041619975217813</v>
      </c>
      <c r="AD114" s="84">
        <f t="shared" si="107"/>
        <v>5.3428976208692702E-3</v>
      </c>
      <c r="AE114" s="84">
        <f t="shared" si="108"/>
        <v>44.731659138125003</v>
      </c>
      <c r="AF114" s="84">
        <f t="shared" si="109"/>
        <v>4.0766492556611831E-3</v>
      </c>
      <c r="AG114" s="84">
        <f t="shared" si="110"/>
        <v>58.446939526460952</v>
      </c>
      <c r="AH114" s="84">
        <f t="shared" si="111"/>
        <v>3.5663992795848727E-3</v>
      </c>
      <c r="AI114" s="84">
        <f t="shared" si="112"/>
        <v>66.727077733851672</v>
      </c>
      <c r="AJ114" s="84">
        <f t="shared" si="113"/>
        <v>3.3377960632069723E-3</v>
      </c>
      <c r="AK114" s="84">
        <f t="shared" si="114"/>
        <v>71.258019619636755</v>
      </c>
      <c r="AL114" s="84">
        <f t="shared" si="115"/>
        <v>3.2299364438445723E-3</v>
      </c>
      <c r="AM114" s="84">
        <f t="shared" si="116"/>
        <v>73.618522029005376</v>
      </c>
      <c r="AN114" s="84">
        <f t="shared" si="117"/>
        <v>3.1777322663659549E-3</v>
      </c>
      <c r="AO114" s="84">
        <f t="shared" si="118"/>
        <v>74.818559739409466</v>
      </c>
      <c r="AP114" s="84">
        <f t="shared" si="119"/>
        <v>3.1521449421471237E-3</v>
      </c>
      <c r="AQ114" s="84">
        <f t="shared" si="120"/>
        <v>75.421262333206101</v>
      </c>
      <c r="AR114" s="84">
        <f t="shared" si="121"/>
        <v>3.1395250487434166E-3</v>
      </c>
      <c r="AS114" s="84">
        <f t="shared" si="122"/>
        <v>75.722138365925431</v>
      </c>
      <c r="AT114" s="84">
        <f t="shared" si="123"/>
        <v>3.1332815111070416E-3</v>
      </c>
      <c r="AU114" s="84">
        <f t="shared" si="124"/>
        <v>75.871889315593648</v>
      </c>
      <c r="AV114" s="84">
        <f t="shared" si="125"/>
        <v>3.1301878512564533E-3</v>
      </c>
      <c r="AW114" s="84">
        <f t="shared" si="126"/>
        <v>75.946311952302722</v>
      </c>
      <c r="AX114" s="84">
        <f t="shared" si="127"/>
        <v>3.1286537811610286E-3</v>
      </c>
      <c r="AY114" s="142">
        <v>2.93E-2</v>
      </c>
      <c r="AZ114" s="46">
        <f t="shared" si="79"/>
        <v>9.7923492521605315E-2</v>
      </c>
      <c r="BA114" s="85">
        <f t="shared" si="80"/>
        <v>8.6593732783779664</v>
      </c>
      <c r="BB114" s="85">
        <f t="shared" si="81"/>
        <v>5.8599999999999999E-2</v>
      </c>
      <c r="BC114" s="85">
        <f t="shared" si="82"/>
        <v>4.6726844580050875</v>
      </c>
      <c r="BD114" s="85">
        <f t="shared" si="83"/>
        <v>7.9773311267022182E-2</v>
      </c>
      <c r="BE114" s="85">
        <f t="shared" si="84"/>
        <v>3.6293751342057492</v>
      </c>
      <c r="BF114" s="85">
        <f t="shared" si="85"/>
        <v>9.0515908939969456E-2</v>
      </c>
      <c r="BG114" s="85">
        <f t="shared" si="86"/>
        <v>3.2902565585742862</v>
      </c>
      <c r="BH114" s="85">
        <f t="shared" si="87"/>
        <v>9.5066162843598298E-2</v>
      </c>
      <c r="BI114" s="85">
        <f t="shared" si="88"/>
        <v>3.1703509086650521</v>
      </c>
      <c r="BJ114" s="85">
        <f t="shared" si="89"/>
        <v>9.6847224571092738E-2</v>
      </c>
      <c r="BK114" s="85">
        <f t="shared" si="90"/>
        <v>3.1265812743621058</v>
      </c>
      <c r="BL114" s="85">
        <f t="shared" si="91"/>
        <v>9.7522760345964493E-2</v>
      </c>
      <c r="BM114" s="85">
        <f t="shared" si="92"/>
        <v>3.1104118786155737</v>
      </c>
      <c r="BN114" s="85">
        <f t="shared" si="93"/>
        <v>9.7775916540299407E-2</v>
      </c>
      <c r="BO114" s="85">
        <f t="shared" si="94"/>
        <v>3.1044118972867345</v>
      </c>
      <c r="BP114" s="85">
        <f t="shared" si="95"/>
        <v>9.7870358016860712E-2</v>
      </c>
      <c r="BQ114" s="85">
        <f t="shared" si="96"/>
        <v>3.1021817849518372</v>
      </c>
      <c r="BR114" s="85">
        <f t="shared" si="97"/>
        <v>9.7905530468952215E-2</v>
      </c>
      <c r="BS114" s="85">
        <f t="shared" si="98"/>
        <v>3.1013523700547356</v>
      </c>
      <c r="BT114" s="85">
        <f t="shared" si="99"/>
        <v>9.7918621351133175E-2</v>
      </c>
      <c r="BU114" s="85">
        <f t="shared" si="100"/>
        <v>3.1010438263141471</v>
      </c>
      <c r="BV114" s="85">
        <f t="shared" si="101"/>
        <v>9.7923492521605315E-2</v>
      </c>
      <c r="BW114" s="85">
        <f t="shared" si="102"/>
        <v>3.1009290377064129</v>
      </c>
    </row>
    <row r="115" spans="25:75" x14ac:dyDescent="0.4">
      <c r="Y115" s="142">
        <v>3.0200000000000001E-2</v>
      </c>
      <c r="Z115" s="46">
        <f t="shared" si="103"/>
        <v>3.231390545657571E-3</v>
      </c>
      <c r="AA115" s="84">
        <f t="shared" si="104"/>
        <v>8.4206934256120984</v>
      </c>
      <c r="AB115" s="84">
        <f t="shared" si="105"/>
        <v>9.5500785337085045E-3</v>
      </c>
      <c r="AC115" s="84">
        <f t="shared" si="106"/>
        <v>25.28315306836333</v>
      </c>
      <c r="AD115" s="84">
        <f t="shared" si="107"/>
        <v>5.5114421600531132E-3</v>
      </c>
      <c r="AE115" s="84">
        <f t="shared" si="108"/>
        <v>43.38140507164843</v>
      </c>
      <c r="AF115" s="84">
        <f t="shared" si="109"/>
        <v>4.207547852859303E-3</v>
      </c>
      <c r="AG115" s="84">
        <f t="shared" si="110"/>
        <v>56.646483354716459</v>
      </c>
      <c r="AH115" s="84">
        <f t="shared" si="111"/>
        <v>3.6820899537427319E-3</v>
      </c>
      <c r="AI115" s="84">
        <f t="shared" si="112"/>
        <v>64.648500465857595</v>
      </c>
      <c r="AJ115" s="84">
        <f t="shared" si="113"/>
        <v>3.4466853891723949E-3</v>
      </c>
      <c r="AK115" s="84">
        <f t="shared" si="114"/>
        <v>69.024853644393005</v>
      </c>
      <c r="AL115" s="84">
        <f t="shared" si="115"/>
        <v>3.3356319406390418E-3</v>
      </c>
      <c r="AM115" s="84">
        <f t="shared" si="116"/>
        <v>71.303880479771038</v>
      </c>
      <c r="AN115" s="84">
        <f t="shared" si="117"/>
        <v>3.2818920227624814E-3</v>
      </c>
      <c r="AO115" s="84">
        <f t="shared" si="118"/>
        <v>72.46210677002172</v>
      </c>
      <c r="AP115" s="84">
        <f t="shared" si="119"/>
        <v>3.2555576681848526E-3</v>
      </c>
      <c r="AQ115" s="84">
        <f t="shared" si="120"/>
        <v>73.043637449534842</v>
      </c>
      <c r="AR115" s="84">
        <f t="shared" si="121"/>
        <v>3.2425723490321478E-3</v>
      </c>
      <c r="AS115" s="84">
        <f t="shared" si="122"/>
        <v>73.33386429717477</v>
      </c>
      <c r="AT115" s="84">
        <f t="shared" si="123"/>
        <v>3.2361495693541274E-3</v>
      </c>
      <c r="AU115" s="84">
        <f t="shared" si="124"/>
        <v>73.478276861584945</v>
      </c>
      <c r="AV115" s="84">
        <f t="shared" si="125"/>
        <v>3.2329678772319986E-3</v>
      </c>
      <c r="AW115" s="84">
        <f t="shared" si="126"/>
        <v>73.550027949174321</v>
      </c>
      <c r="AX115" s="84">
        <f t="shared" si="127"/>
        <v>3.231390545657571E-3</v>
      </c>
      <c r="AY115" s="142">
        <v>3.0200000000000001E-2</v>
      </c>
      <c r="AZ115" s="46">
        <f t="shared" si="79"/>
        <v>0.10048909586551541</v>
      </c>
      <c r="BA115" s="85">
        <f t="shared" si="80"/>
        <v>8.4206934256120984</v>
      </c>
      <c r="BB115" s="85">
        <f t="shared" si="81"/>
        <v>6.0400000000000002E-2</v>
      </c>
      <c r="BC115" s="85">
        <f t="shared" si="82"/>
        <v>4.5549526312724531</v>
      </c>
      <c r="BD115" s="85">
        <f t="shared" si="83"/>
        <v>8.2123780631208912E-2</v>
      </c>
      <c r="BE115" s="85">
        <f t="shared" si="84"/>
        <v>3.5473809125801248</v>
      </c>
      <c r="BF115" s="85">
        <f t="shared" si="85"/>
        <v>9.3058694209921938E-2</v>
      </c>
      <c r="BG115" s="85">
        <f t="shared" si="86"/>
        <v>3.2217596080775706</v>
      </c>
      <c r="BH115" s="85">
        <f t="shared" si="87"/>
        <v>9.7648213131159109E-2</v>
      </c>
      <c r="BI115" s="85">
        <f t="shared" si="88"/>
        <v>3.1074345390244846</v>
      </c>
      <c r="BJ115" s="85">
        <f t="shared" si="89"/>
        <v>9.9428267578819618E-2</v>
      </c>
      <c r="BK115" s="85">
        <f t="shared" si="90"/>
        <v>3.0660257253265515</v>
      </c>
      <c r="BL115" s="85">
        <f t="shared" si="91"/>
        <v>0.10009743976284685</v>
      </c>
      <c r="BM115" s="85">
        <f t="shared" si="92"/>
        <v>3.0508528349648945</v>
      </c>
      <c r="BN115" s="85">
        <f t="shared" si="93"/>
        <v>0.10034603972982933</v>
      </c>
      <c r="BO115" s="85">
        <f t="shared" si="94"/>
        <v>3.0452693892178972</v>
      </c>
      <c r="BP115" s="85">
        <f t="shared" si="95"/>
        <v>0.10043798891692686</v>
      </c>
      <c r="BQ115" s="85">
        <f t="shared" si="96"/>
        <v>3.0432114972796298</v>
      </c>
      <c r="BR115" s="85">
        <f t="shared" si="97"/>
        <v>0.10047194245538783</v>
      </c>
      <c r="BS115" s="85">
        <f t="shared" si="98"/>
        <v>3.0424525770978454</v>
      </c>
      <c r="BT115" s="85">
        <f t="shared" si="99"/>
        <v>0.10048447271320847</v>
      </c>
      <c r="BU115" s="85">
        <f t="shared" si="100"/>
        <v>3.0421726383050438</v>
      </c>
      <c r="BV115" s="85">
        <f t="shared" si="101"/>
        <v>0.10048909586551541</v>
      </c>
      <c r="BW115" s="85">
        <f t="shared" si="102"/>
        <v>3.0420693705955868</v>
      </c>
    </row>
    <row r="116" spans="25:75" x14ac:dyDescent="0.4">
      <c r="Y116" s="142">
        <v>3.1099999999999999E-2</v>
      </c>
      <c r="Z116" s="46">
        <f t="shared" si="103"/>
        <v>3.3345440576231767E-3</v>
      </c>
      <c r="AA116" s="84">
        <f t="shared" si="104"/>
        <v>8.1958979454824501</v>
      </c>
      <c r="AB116" s="84">
        <f t="shared" si="105"/>
        <v>9.8346835231236593E-3</v>
      </c>
      <c r="AC116" s="84">
        <f t="shared" si="106"/>
        <v>24.568610570578993</v>
      </c>
      <c r="AD116" s="84">
        <f t="shared" si="107"/>
        <v>5.6802619203878083E-3</v>
      </c>
      <c r="AE116" s="84">
        <f t="shared" si="108"/>
        <v>42.109288227377739</v>
      </c>
      <c r="AF116" s="84">
        <f t="shared" si="109"/>
        <v>4.3388007814785983E-3</v>
      </c>
      <c r="AG116" s="84">
        <f t="shared" si="110"/>
        <v>54.950245068508174</v>
      </c>
      <c r="AH116" s="84">
        <f t="shared" si="111"/>
        <v>3.7981651377116772E-3</v>
      </c>
      <c r="AI116" s="84">
        <f t="shared" si="112"/>
        <v>62.690283866208752</v>
      </c>
      <c r="AJ116" s="84">
        <f t="shared" si="113"/>
        <v>3.5559737128217791E-3</v>
      </c>
      <c r="AK116" s="84">
        <f t="shared" si="114"/>
        <v>66.921034402442544</v>
      </c>
      <c r="AL116" s="84">
        <f t="shared" si="115"/>
        <v>3.4417342793414394E-3</v>
      </c>
      <c r="AM116" s="84">
        <f t="shared" si="116"/>
        <v>69.123327200685608</v>
      </c>
      <c r="AN116" s="84">
        <f t="shared" si="117"/>
        <v>3.3864630613798107E-3</v>
      </c>
      <c r="AO116" s="84">
        <f t="shared" si="118"/>
        <v>70.242177619032205</v>
      </c>
      <c r="AP116" s="84">
        <f t="shared" si="119"/>
        <v>3.3593842097348666E-3</v>
      </c>
      <c r="AQ116" s="84">
        <f t="shared" si="120"/>
        <v>70.803770698459161</v>
      </c>
      <c r="AR116" s="84">
        <f t="shared" si="121"/>
        <v>3.3460349007437538E-3</v>
      </c>
      <c r="AS116" s="84">
        <f t="shared" si="122"/>
        <v>71.083969697939423</v>
      </c>
      <c r="AT116" s="84">
        <f t="shared" si="123"/>
        <v>3.3394336840719217E-3</v>
      </c>
      <c r="AU116" s="84">
        <f t="shared" si="124"/>
        <v>71.223355596451015</v>
      </c>
      <c r="AV116" s="84">
        <f t="shared" si="125"/>
        <v>3.3361644059124239E-3</v>
      </c>
      <c r="AW116" s="84">
        <f t="shared" si="126"/>
        <v>71.292591258094248</v>
      </c>
      <c r="AX116" s="84">
        <f t="shared" si="127"/>
        <v>3.3345440576231767E-3</v>
      </c>
      <c r="AY116" s="142">
        <v>3.1099999999999999E-2</v>
      </c>
      <c r="AZ116" s="46">
        <f t="shared" si="79"/>
        <v>0.10303663534180051</v>
      </c>
      <c r="BA116" s="85">
        <f t="shared" si="80"/>
        <v>8.1958979454824501</v>
      </c>
      <c r="BB116" s="85">
        <f t="shared" si="81"/>
        <v>6.2199999999999998E-2</v>
      </c>
      <c r="BC116" s="85">
        <f t="shared" si="82"/>
        <v>4.4441459020417495</v>
      </c>
      <c r="BD116" s="85">
        <f t="shared" si="83"/>
        <v>8.4468445431918976E-2</v>
      </c>
      <c r="BE116" s="85">
        <f t="shared" si="84"/>
        <v>3.4702529779241402</v>
      </c>
      <c r="BF116" s="85">
        <f t="shared" si="85"/>
        <v>9.5589037331764298E-2</v>
      </c>
      <c r="BG116" s="85">
        <f t="shared" si="86"/>
        <v>3.1573265438404352</v>
      </c>
      <c r="BH116" s="85">
        <f t="shared" si="87"/>
        <v>0.10021411725347369</v>
      </c>
      <c r="BI116" s="85">
        <f t="shared" si="88"/>
        <v>3.0482287398924308</v>
      </c>
      <c r="BJ116" s="85">
        <f t="shared" si="89"/>
        <v>0.10199171133580621</v>
      </c>
      <c r="BK116" s="85">
        <f t="shared" si="90"/>
        <v>3.0090186412331916</v>
      </c>
      <c r="BL116" s="85">
        <f t="shared" si="91"/>
        <v>0.10265408033262388</v>
      </c>
      <c r="BM116" s="85">
        <f t="shared" si="92"/>
        <v>2.9947676106309693</v>
      </c>
      <c r="BN116" s="85">
        <f t="shared" si="93"/>
        <v>0.10289803752273963</v>
      </c>
      <c r="BO116" s="85">
        <f t="shared" si="94"/>
        <v>2.9895666977562194</v>
      </c>
      <c r="BP116" s="85">
        <f t="shared" si="95"/>
        <v>0.10298750386184501</v>
      </c>
      <c r="BQ116" s="85">
        <f t="shared" si="96"/>
        <v>2.9876657661208417</v>
      </c>
      <c r="BR116" s="85">
        <f t="shared" si="97"/>
        <v>0.10302026205651421</v>
      </c>
      <c r="BS116" s="85">
        <f t="shared" si="98"/>
        <v>2.9869705935830382</v>
      </c>
      <c r="BT116" s="85">
        <f t="shared" si="99"/>
        <v>0.10303224956832983</v>
      </c>
      <c r="BU116" s="85">
        <f t="shared" si="100"/>
        <v>2.9867163170815232</v>
      </c>
      <c r="BV116" s="85">
        <f t="shared" si="101"/>
        <v>0.10303663534180051</v>
      </c>
      <c r="BW116" s="85">
        <f t="shared" si="102"/>
        <v>2.9866233023231312</v>
      </c>
    </row>
    <row r="117" spans="25:75" x14ac:dyDescent="0.4">
      <c r="Y117" s="142">
        <v>3.2099999999999997E-2</v>
      </c>
      <c r="Z117" s="46">
        <f t="shared" si="103"/>
        <v>3.4496497773640875E-3</v>
      </c>
      <c r="AA117" s="84">
        <f t="shared" si="104"/>
        <v>7.9609883348110699</v>
      </c>
      <c r="AB117" s="84">
        <f t="shared" si="105"/>
        <v>1.0150911289140497E-2</v>
      </c>
      <c r="AC117" s="84">
        <f t="shared" si="106"/>
        <v>23.821697044789573</v>
      </c>
      <c r="AD117" s="84">
        <f t="shared" si="107"/>
        <v>5.8681631197778994E-3</v>
      </c>
      <c r="AE117" s="84">
        <f t="shared" si="108"/>
        <v>40.779476111385534</v>
      </c>
      <c r="AF117" s="84">
        <f t="shared" si="109"/>
        <v>4.4850542973323276E-3</v>
      </c>
      <c r="AG117" s="84">
        <f t="shared" si="110"/>
        <v>53.177109708653397</v>
      </c>
      <c r="AH117" s="84">
        <f t="shared" si="111"/>
        <v>3.9275901463398941E-3</v>
      </c>
      <c r="AI117" s="84">
        <f t="shared" si="112"/>
        <v>60.643344635668527</v>
      </c>
      <c r="AJ117" s="84">
        <f t="shared" si="113"/>
        <v>3.6778749028883251E-3</v>
      </c>
      <c r="AK117" s="84">
        <f t="shared" si="114"/>
        <v>64.721935347966792</v>
      </c>
      <c r="AL117" s="84">
        <f t="shared" si="115"/>
        <v>3.5601047663991656E-3</v>
      </c>
      <c r="AM117" s="84">
        <f t="shared" si="116"/>
        <v>66.844044614603405</v>
      </c>
      <c r="AN117" s="84">
        <f t="shared" si="117"/>
        <v>3.5031373551057863E-3</v>
      </c>
      <c r="AO117" s="84">
        <f t="shared" si="118"/>
        <v>67.921751675916724</v>
      </c>
      <c r="AP117" s="84">
        <f t="shared" si="119"/>
        <v>3.4752342786808963E-3</v>
      </c>
      <c r="AQ117" s="84">
        <f t="shared" si="120"/>
        <v>68.462513380856635</v>
      </c>
      <c r="AR117" s="84">
        <f t="shared" si="121"/>
        <v>3.4614822326189862E-3</v>
      </c>
      <c r="AS117" s="84">
        <f t="shared" si="122"/>
        <v>68.732235559149231</v>
      </c>
      <c r="AT117" s="84">
        <f t="shared" si="123"/>
        <v>3.454683702943068E-3</v>
      </c>
      <c r="AU117" s="84">
        <f t="shared" si="124"/>
        <v>68.866370014579019</v>
      </c>
      <c r="AV117" s="84">
        <f t="shared" si="125"/>
        <v>3.4513176334082206E-3</v>
      </c>
      <c r="AW117" s="84">
        <f t="shared" si="126"/>
        <v>68.93297791118556</v>
      </c>
      <c r="AX117" s="84">
        <f t="shared" si="127"/>
        <v>3.4496497773640875E-3</v>
      </c>
      <c r="AY117" s="142">
        <v>3.2099999999999997E-2</v>
      </c>
      <c r="AZ117" s="46">
        <f t="shared" si="79"/>
        <v>0.10584668727028897</v>
      </c>
      <c r="BA117" s="85">
        <f t="shared" si="80"/>
        <v>7.9609883348110699</v>
      </c>
      <c r="BB117" s="85">
        <f t="shared" si="81"/>
        <v>6.4199999999999993E-2</v>
      </c>
      <c r="BC117" s="85">
        <f t="shared" si="82"/>
        <v>4.328439072405744</v>
      </c>
      <c r="BD117" s="85">
        <f t="shared" si="83"/>
        <v>8.7066857041469312E-2</v>
      </c>
      <c r="BE117" s="85">
        <f t="shared" si="84"/>
        <v>3.3897611912049013</v>
      </c>
      <c r="BF117" s="85">
        <f t="shared" si="85"/>
        <v>9.8386150891782653E-2</v>
      </c>
      <c r="BG117" s="85">
        <f t="shared" si="86"/>
        <v>3.0900801030382929</v>
      </c>
      <c r="BH117" s="85">
        <f t="shared" si="87"/>
        <v>0.10304659670862498</v>
      </c>
      <c r="BI117" s="85">
        <f t="shared" si="88"/>
        <v>2.9864120692379861</v>
      </c>
      <c r="BJ117" s="85">
        <f t="shared" si="89"/>
        <v>0.10481987942807769</v>
      </c>
      <c r="BK117" s="85">
        <f t="shared" si="90"/>
        <v>2.949471940744445</v>
      </c>
      <c r="BL117" s="85">
        <f t="shared" si="91"/>
        <v>0.10547423578329751</v>
      </c>
      <c r="BM117" s="85">
        <f t="shared" si="92"/>
        <v>2.9361658845872212</v>
      </c>
      <c r="BN117" s="85">
        <f t="shared" si="93"/>
        <v>0.10571295861524624</v>
      </c>
      <c r="BO117" s="85">
        <f t="shared" si="94"/>
        <v>2.9313540872401367</v>
      </c>
      <c r="BP117" s="85">
        <f t="shared" si="95"/>
        <v>0.10579968658217587</v>
      </c>
      <c r="BQ117" s="85">
        <f t="shared" si="96"/>
        <v>2.9296115398848199</v>
      </c>
      <c r="BR117" s="85">
        <f t="shared" si="97"/>
        <v>0.10583114699168505</v>
      </c>
      <c r="BS117" s="85">
        <f t="shared" si="98"/>
        <v>2.9289801663419239</v>
      </c>
      <c r="BT117" s="85">
        <f t="shared" si="99"/>
        <v>0.1058425529046528</v>
      </c>
      <c r="BU117" s="85">
        <f t="shared" si="100"/>
        <v>2.9287513592103389</v>
      </c>
      <c r="BV117" s="85">
        <f t="shared" si="101"/>
        <v>0.10584668727028897</v>
      </c>
      <c r="BW117" s="85">
        <f t="shared" si="102"/>
        <v>2.9286684348303513</v>
      </c>
    </row>
    <row r="118" spans="25:75" x14ac:dyDescent="0.4">
      <c r="Y118" s="142">
        <v>3.3099999999999997E-2</v>
      </c>
      <c r="Z118" s="46">
        <f t="shared" si="103"/>
        <v>3.5652740936632774E-3</v>
      </c>
      <c r="AA118" s="84">
        <f t="shared" si="104"/>
        <v>7.7403527929731561</v>
      </c>
      <c r="AB118" s="84">
        <f t="shared" si="105"/>
        <v>1.0467139055157334E-2</v>
      </c>
      <c r="AC118" s="84">
        <f t="shared" si="106"/>
        <v>23.119944268578774</v>
      </c>
      <c r="AD118" s="84">
        <f t="shared" si="107"/>
        <v>6.0564059874978482E-3</v>
      </c>
      <c r="AE118" s="84">
        <f t="shared" si="108"/>
        <v>39.530005500570681</v>
      </c>
      <c r="AF118" s="84">
        <f t="shared" si="109"/>
        <v>4.6317481229108072E-3</v>
      </c>
      <c r="AG118" s="84">
        <f t="shared" si="110"/>
        <v>51.511135724335197</v>
      </c>
      <c r="AH118" s="84">
        <f t="shared" si="111"/>
        <v>4.0574932768422502E-3</v>
      </c>
      <c r="AI118" s="84">
        <f t="shared" si="112"/>
        <v>58.720167410304924</v>
      </c>
      <c r="AJ118" s="84">
        <f t="shared" si="113"/>
        <v>3.8002724128826833E-3</v>
      </c>
      <c r="AK118" s="84">
        <f t="shared" si="114"/>
        <v>62.655839285832442</v>
      </c>
      <c r="AL118" s="84">
        <f t="shared" si="115"/>
        <v>3.6789814297364539E-3</v>
      </c>
      <c r="AM118" s="84">
        <f t="shared" si="116"/>
        <v>64.702641077046621</v>
      </c>
      <c r="AN118" s="84">
        <f t="shared" si="117"/>
        <v>3.6203234001168237E-3</v>
      </c>
      <c r="AO118" s="84">
        <f t="shared" si="118"/>
        <v>65.741709428020414</v>
      </c>
      <c r="AP118" s="84">
        <f t="shared" si="119"/>
        <v>3.5915992758172436E-3</v>
      </c>
      <c r="AQ118" s="84">
        <f t="shared" si="120"/>
        <v>66.262909091123376</v>
      </c>
      <c r="AR118" s="84">
        <f t="shared" si="121"/>
        <v>3.5774462911006381E-3</v>
      </c>
      <c r="AS118" s="84">
        <f t="shared" si="122"/>
        <v>66.522793412832584</v>
      </c>
      <c r="AT118" s="84">
        <f t="shared" si="123"/>
        <v>3.5704514554316005E-3</v>
      </c>
      <c r="AU118" s="84">
        <f t="shared" si="124"/>
        <v>66.651996988065505</v>
      </c>
      <c r="AV118" s="84">
        <f t="shared" si="125"/>
        <v>3.566989152022971E-3</v>
      </c>
      <c r="AW118" s="84">
        <f t="shared" si="126"/>
        <v>66.716137671929772</v>
      </c>
      <c r="AX118" s="84">
        <f t="shared" si="127"/>
        <v>3.5652740936632774E-3</v>
      </c>
      <c r="AY118" s="142">
        <v>3.3099999999999997E-2</v>
      </c>
      <c r="AZ118" s="46">
        <f t="shared" si="79"/>
        <v>0.10863578073112432</v>
      </c>
      <c r="BA118" s="85">
        <f t="shared" si="80"/>
        <v>7.7403527929731561</v>
      </c>
      <c r="BB118" s="85">
        <f t="shared" si="81"/>
        <v>6.6199999999999995E-2</v>
      </c>
      <c r="BC118" s="85">
        <f t="shared" si="82"/>
        <v>4.2198486661734229</v>
      </c>
      <c r="BD118" s="85">
        <f t="shared" si="83"/>
        <v>8.9658182124861568E-2</v>
      </c>
      <c r="BE118" s="85">
        <f t="shared" si="84"/>
        <v>3.3142654828639464</v>
      </c>
      <c r="BF118" s="85">
        <f t="shared" si="85"/>
        <v>0.10116836243570461</v>
      </c>
      <c r="BG118" s="85">
        <f t="shared" si="86"/>
        <v>3.0270026922851558</v>
      </c>
      <c r="BH118" s="85">
        <f t="shared" si="87"/>
        <v>0.10586001802869248</v>
      </c>
      <c r="BI118" s="85">
        <f t="shared" si="88"/>
        <v>2.9284011010309401</v>
      </c>
      <c r="BJ118" s="85">
        <f t="shared" si="89"/>
        <v>0.1076274588647</v>
      </c>
      <c r="BK118" s="85">
        <f t="shared" si="90"/>
        <v>2.8935652920797645</v>
      </c>
      <c r="BL118" s="85">
        <f t="shared" si="91"/>
        <v>0.10827338735715172</v>
      </c>
      <c r="BM118" s="85">
        <f t="shared" si="92"/>
        <v>2.8811286617513501</v>
      </c>
      <c r="BN118" s="85">
        <f t="shared" si="93"/>
        <v>0.10850682123819627</v>
      </c>
      <c r="BO118" s="85">
        <f t="shared" si="94"/>
        <v>2.8766719724947238</v>
      </c>
      <c r="BP118" s="85">
        <f t="shared" si="95"/>
        <v>0.10859084090341942</v>
      </c>
      <c r="BQ118" s="85">
        <f t="shared" si="96"/>
        <v>2.8750727499802453</v>
      </c>
      <c r="BR118" s="85">
        <f t="shared" si="97"/>
        <v>0.10862103783933817</v>
      </c>
      <c r="BS118" s="85">
        <f t="shared" si="98"/>
        <v>2.8744986120035421</v>
      </c>
      <c r="BT118" s="85">
        <f t="shared" si="99"/>
        <v>0.10863188500915441</v>
      </c>
      <c r="BU118" s="85">
        <f t="shared" si="100"/>
        <v>2.8742924543907722</v>
      </c>
      <c r="BV118" s="85">
        <f t="shared" si="101"/>
        <v>0.10863578073112432</v>
      </c>
      <c r="BW118" s="85">
        <f t="shared" si="102"/>
        <v>2.8742184240629287</v>
      </c>
    </row>
    <row r="119" spans="25:75" x14ac:dyDescent="0.4">
      <c r="Y119" s="142">
        <v>3.4099999999999998E-2</v>
      </c>
      <c r="Z119" s="46">
        <f t="shared" si="103"/>
        <v>3.6814190999524266E-3</v>
      </c>
      <c r="AA119" s="84">
        <f t="shared" si="104"/>
        <v>7.5327349382369864</v>
      </c>
      <c r="AB119" s="84">
        <f t="shared" si="105"/>
        <v>1.0783366821174173E-2</v>
      </c>
      <c r="AC119" s="84">
        <f t="shared" si="106"/>
        <v>22.459379084371825</v>
      </c>
      <c r="AD119" s="84">
        <f t="shared" si="107"/>
        <v>6.2449914642678482E-3</v>
      </c>
      <c r="AE119" s="84">
        <f t="shared" si="108"/>
        <v>38.353810650464183</v>
      </c>
      <c r="AF119" s="84">
        <f t="shared" si="109"/>
        <v>4.7788837042659722E-3</v>
      </c>
      <c r="AG119" s="84">
        <f t="shared" si="110"/>
        <v>49.942900423866369</v>
      </c>
      <c r="AH119" s="84">
        <f t="shared" si="111"/>
        <v>4.1878762667601896E-3</v>
      </c>
      <c r="AI119" s="84">
        <f t="shared" si="112"/>
        <v>56.9098707743196</v>
      </c>
      <c r="AJ119" s="84">
        <f t="shared" si="113"/>
        <v>3.9231681447522843E-3</v>
      </c>
      <c r="AK119" s="84">
        <f t="shared" si="114"/>
        <v>60.711052805001358</v>
      </c>
      <c r="AL119" s="84">
        <f t="shared" si="115"/>
        <v>3.7983662621200302E-3</v>
      </c>
      <c r="AM119" s="84">
        <f t="shared" si="116"/>
        <v>62.686994726362968</v>
      </c>
      <c r="AN119" s="84">
        <f t="shared" si="117"/>
        <v>3.7380232382909413E-3</v>
      </c>
      <c r="AO119" s="84">
        <f t="shared" si="118"/>
        <v>63.689708934730184</v>
      </c>
      <c r="AP119" s="84">
        <f t="shared" si="119"/>
        <v>3.7084812690290707E-3</v>
      </c>
      <c r="AQ119" s="84">
        <f t="shared" si="120"/>
        <v>64.192504354392852</v>
      </c>
      <c r="AR119" s="84">
        <f t="shared" si="121"/>
        <v>3.6939291575785438E-3</v>
      </c>
      <c r="AS119" s="84">
        <f t="shared" si="122"/>
        <v>64.443133639171265</v>
      </c>
      <c r="AT119" s="84">
        <f t="shared" si="123"/>
        <v>3.6867390298138724E-3</v>
      </c>
      <c r="AU119" s="84">
        <f t="shared" si="124"/>
        <v>64.567698729563432</v>
      </c>
      <c r="AV119" s="84">
        <f t="shared" si="125"/>
        <v>3.6831810534855795E-3</v>
      </c>
      <c r="AW119" s="84">
        <f t="shared" si="126"/>
        <v>64.629518645337427</v>
      </c>
      <c r="AX119" s="84">
        <f t="shared" si="127"/>
        <v>3.6814190999524266E-3</v>
      </c>
      <c r="AY119" s="142">
        <v>3.4099999999999998E-2</v>
      </c>
      <c r="AZ119" s="46">
        <f t="shared" si="79"/>
        <v>0.11140458312912965</v>
      </c>
      <c r="BA119" s="85">
        <f t="shared" si="80"/>
        <v>7.5327349382369864</v>
      </c>
      <c r="BB119" s="85">
        <f t="shared" si="81"/>
        <v>6.8199999999999997E-2</v>
      </c>
      <c r="BC119" s="85">
        <f t="shared" si="82"/>
        <v>4.1177467437947044</v>
      </c>
      <c r="BD119" s="85">
        <f t="shared" si="83"/>
        <v>9.2242465255214984E-2</v>
      </c>
      <c r="BE119" s="85">
        <f t="shared" si="84"/>
        <v>3.2433226781657156</v>
      </c>
      <c r="BF119" s="85">
        <f t="shared" si="85"/>
        <v>0.10393591366590792</v>
      </c>
      <c r="BG119" s="85">
        <f t="shared" si="86"/>
        <v>2.9677229488922285</v>
      </c>
      <c r="BH119" s="85">
        <f t="shared" si="87"/>
        <v>0.10865483084307537</v>
      </c>
      <c r="BI119" s="85">
        <f t="shared" si="88"/>
        <v>2.8738564945640834</v>
      </c>
      <c r="BJ119" s="85">
        <f t="shared" si="89"/>
        <v>0.110415025876358</v>
      </c>
      <c r="BK119" s="85">
        <f t="shared" si="90"/>
        <v>2.8409744938687993</v>
      </c>
      <c r="BL119" s="85">
        <f t="shared" si="91"/>
        <v>0.11105217024553013</v>
      </c>
      <c r="BM119" s="85">
        <f t="shared" si="92"/>
        <v>2.8293390072967215</v>
      </c>
      <c r="BN119" s="85">
        <f t="shared" si="93"/>
        <v>0.11128028364741702</v>
      </c>
      <c r="BO119" s="85">
        <f t="shared" si="94"/>
        <v>2.8252068867262952</v>
      </c>
      <c r="BP119" s="85">
        <f t="shared" si="95"/>
        <v>0.11136163265246929</v>
      </c>
      <c r="BQ119" s="85">
        <f t="shared" si="96"/>
        <v>2.8237375619395344</v>
      </c>
      <c r="BR119" s="85">
        <f t="shared" si="97"/>
        <v>0.1113906022580806</v>
      </c>
      <c r="BS119" s="85">
        <f t="shared" si="98"/>
        <v>2.8232148521022351</v>
      </c>
      <c r="BT119" s="85">
        <f t="shared" si="99"/>
        <v>0.11140091360026279</v>
      </c>
      <c r="BU119" s="85">
        <f t="shared" si="100"/>
        <v>2.8230288687703915</v>
      </c>
      <c r="BV119" s="85">
        <f t="shared" si="101"/>
        <v>0.11140458312912965</v>
      </c>
      <c r="BW119" s="85">
        <f t="shared" si="102"/>
        <v>2.8229626909506464</v>
      </c>
    </row>
    <row r="120" spans="25:75" x14ac:dyDescent="0.4">
      <c r="Y120" s="142">
        <v>3.5200000000000002E-2</v>
      </c>
      <c r="Z120" s="46">
        <f t="shared" si="103"/>
        <v>3.8097824510797112E-3</v>
      </c>
      <c r="AA120" s="84">
        <f t="shared" si="104"/>
        <v>7.3180658971821364</v>
      </c>
      <c r="AB120" s="84">
        <f t="shared" si="105"/>
        <v>1.1131217363792694E-2</v>
      </c>
      <c r="AC120" s="84">
        <f t="shared" si="106"/>
        <v>21.776139418132189</v>
      </c>
      <c r="AD120" s="84">
        <f t="shared" si="107"/>
        <v>6.4528322803416218E-3</v>
      </c>
      <c r="AE120" s="84">
        <f t="shared" si="108"/>
        <v>37.137179055279503</v>
      </c>
      <c r="AF120" s="84">
        <f t="shared" si="109"/>
        <v>4.9412447465525013E-3</v>
      </c>
      <c r="AG120" s="84">
        <f t="shared" si="110"/>
        <v>48.32079358289036</v>
      </c>
      <c r="AH120" s="84">
        <f t="shared" si="111"/>
        <v>4.3318538154920082E-3</v>
      </c>
      <c r="AI120" s="84">
        <f t="shared" si="112"/>
        <v>55.037447113740832</v>
      </c>
      <c r="AJ120" s="84">
        <f t="shared" si="113"/>
        <v>4.058931114679365E-3</v>
      </c>
      <c r="AK120" s="84">
        <f t="shared" si="114"/>
        <v>58.699569533185354</v>
      </c>
      <c r="AL120" s="84">
        <f t="shared" si="115"/>
        <v>3.9302788401385617E-3</v>
      </c>
      <c r="AM120" s="84">
        <f t="shared" si="116"/>
        <v>60.602250769976116</v>
      </c>
      <c r="AN120" s="84">
        <f t="shared" si="117"/>
        <v>3.8680888772015358E-3</v>
      </c>
      <c r="AO120" s="84">
        <f t="shared" si="118"/>
        <v>61.567382017899121</v>
      </c>
      <c r="AP120" s="84">
        <f t="shared" si="119"/>
        <v>3.837651008883591E-3</v>
      </c>
      <c r="AQ120" s="84">
        <f t="shared" si="120"/>
        <v>62.051152410844644</v>
      </c>
      <c r="AR120" s="84">
        <f t="shared" si="121"/>
        <v>3.8226619668918953E-3</v>
      </c>
      <c r="AS120" s="84">
        <f t="shared" si="122"/>
        <v>62.29221510516885</v>
      </c>
      <c r="AT120" s="84">
        <f t="shared" si="123"/>
        <v>3.8152581970704812E-3</v>
      </c>
      <c r="AU120" s="84">
        <f t="shared" si="124"/>
        <v>62.411985875343767</v>
      </c>
      <c r="AV120" s="84">
        <f t="shared" si="125"/>
        <v>3.8115956325351324E-3</v>
      </c>
      <c r="AW120" s="84">
        <f t="shared" si="126"/>
        <v>62.471407212833405</v>
      </c>
      <c r="AX120" s="84">
        <f t="shared" si="127"/>
        <v>3.8097824510797112E-3</v>
      </c>
      <c r="AY120" s="142">
        <v>3.5200000000000002E-2</v>
      </c>
      <c r="AZ120" s="46">
        <f t="shared" si="79"/>
        <v>0.11442759464903329</v>
      </c>
      <c r="BA120" s="85">
        <f t="shared" si="80"/>
        <v>7.3180658971821364</v>
      </c>
      <c r="BB120" s="85">
        <f t="shared" si="81"/>
        <v>7.0400000000000004E-2</v>
      </c>
      <c r="BC120" s="85">
        <f t="shared" si="82"/>
        <v>4.0122667093907491</v>
      </c>
      <c r="BD120" s="85">
        <f t="shared" si="83"/>
        <v>9.5077098530888735E-2</v>
      </c>
      <c r="BE120" s="85">
        <f t="shared" si="84"/>
        <v>3.1700769952012369</v>
      </c>
      <c r="BF120" s="85">
        <f t="shared" si="85"/>
        <v>0.10696357550813002</v>
      </c>
      <c r="BG120" s="85">
        <f t="shared" si="86"/>
        <v>2.9065101641927171</v>
      </c>
      <c r="BH120" s="85">
        <f t="shared" si="87"/>
        <v>0.11170815888454676</v>
      </c>
      <c r="BI120" s="85">
        <f t="shared" si="88"/>
        <v>2.8175035364204506</v>
      </c>
      <c r="BJ120" s="85">
        <f t="shared" si="89"/>
        <v>0.11345890351660844</v>
      </c>
      <c r="BK120" s="85">
        <f t="shared" si="90"/>
        <v>2.7866128667512271</v>
      </c>
      <c r="BL120" s="85">
        <f t="shared" si="91"/>
        <v>0.11408603797541478</v>
      </c>
      <c r="BM120" s="85">
        <f t="shared" si="92"/>
        <v>2.7757874232010606</v>
      </c>
      <c r="BN120" s="85">
        <f t="shared" si="93"/>
        <v>0.11430828665231273</v>
      </c>
      <c r="BO120" s="85">
        <f t="shared" si="94"/>
        <v>2.7719806909563793</v>
      </c>
      <c r="BP120" s="85">
        <f t="shared" si="95"/>
        <v>0.11438674891413136</v>
      </c>
      <c r="BQ120" s="85">
        <f t="shared" si="96"/>
        <v>2.7706404472938995</v>
      </c>
      <c r="BR120" s="85">
        <f t="shared" si="97"/>
        <v>0.11441441175652943</v>
      </c>
      <c r="BS120" s="85">
        <f t="shared" si="98"/>
        <v>2.7701683840972411</v>
      </c>
      <c r="BT120" s="85">
        <f t="shared" si="99"/>
        <v>0.11442415999646911</v>
      </c>
      <c r="BU120" s="85">
        <f t="shared" si="100"/>
        <v>2.7700020881407719</v>
      </c>
      <c r="BV120" s="85">
        <f t="shared" si="101"/>
        <v>0.11442759464903329</v>
      </c>
      <c r="BW120" s="85">
        <f t="shared" si="102"/>
        <v>2.7699435031730735</v>
      </c>
    </row>
    <row r="121" spans="25:75" x14ac:dyDescent="0.4">
      <c r="Y121" s="142">
        <v>3.6299999999999999E-2</v>
      </c>
      <c r="Z121" s="46">
        <f t="shared" si="103"/>
        <v>3.9387809911398597E-3</v>
      </c>
      <c r="AA121" s="84">
        <f t="shared" si="104"/>
        <v>7.1164934242671478</v>
      </c>
      <c r="AB121" s="84">
        <f t="shared" si="105"/>
        <v>1.1479067906411216E-2</v>
      </c>
      <c r="AC121" s="84">
        <f t="shared" si="106"/>
        <v>21.134341091935337</v>
      </c>
      <c r="AD121" s="84">
        <f t="shared" si="107"/>
        <v>6.6610899002102738E-3</v>
      </c>
      <c r="AE121" s="84">
        <f t="shared" si="108"/>
        <v>35.994280420703753</v>
      </c>
      <c r="AF121" s="84">
        <f t="shared" si="109"/>
        <v>5.1041438234248502E-3</v>
      </c>
      <c r="AG121" s="84">
        <f t="shared" si="110"/>
        <v>46.797039201710007</v>
      </c>
      <c r="AH121" s="84">
        <f t="shared" si="111"/>
        <v>4.4764162429567272E-3</v>
      </c>
      <c r="AI121" s="84">
        <f t="shared" si="112"/>
        <v>53.278615048590758</v>
      </c>
      <c r="AJ121" s="84">
        <f t="shared" si="113"/>
        <v>4.195301600221941E-3</v>
      </c>
      <c r="AK121" s="84">
        <f t="shared" si="114"/>
        <v>56.810161020711895</v>
      </c>
      <c r="AL121" s="84">
        <f t="shared" si="115"/>
        <v>4.0628112010724854E-3</v>
      </c>
      <c r="AM121" s="84">
        <f t="shared" si="116"/>
        <v>58.644057766025156</v>
      </c>
      <c r="AN121" s="84">
        <f t="shared" si="117"/>
        <v>3.9987812291518753E-3</v>
      </c>
      <c r="AO121" s="84">
        <f t="shared" si="118"/>
        <v>59.573905304376353</v>
      </c>
      <c r="AP121" s="84">
        <f t="shared" si="119"/>
        <v>3.9674514033711788E-3</v>
      </c>
      <c r="AQ121" s="84">
        <f t="shared" si="120"/>
        <v>60.039815909382142</v>
      </c>
      <c r="AR121" s="84">
        <f t="shared" si="121"/>
        <v>3.9520276575059268E-3</v>
      </c>
      <c r="AS121" s="84">
        <f t="shared" si="122"/>
        <v>60.271898577772838</v>
      </c>
      <c r="AT121" s="84">
        <f t="shared" si="123"/>
        <v>3.9444114898668815E-3</v>
      </c>
      <c r="AU121" s="84">
        <f t="shared" si="124"/>
        <v>60.387169301527265</v>
      </c>
      <c r="AV121" s="84">
        <f t="shared" si="125"/>
        <v>3.9406450245915046E-3</v>
      </c>
      <c r="AW121" s="84">
        <f t="shared" si="126"/>
        <v>60.444339445967501</v>
      </c>
      <c r="AX121" s="84">
        <f t="shared" si="127"/>
        <v>3.9387809911398597E-3</v>
      </c>
      <c r="AY121" s="142">
        <v>3.6299999999999999E-2</v>
      </c>
      <c r="AZ121" s="46">
        <f t="shared" si="79"/>
        <v>0.11742764946264733</v>
      </c>
      <c r="BA121" s="85">
        <f t="shared" si="80"/>
        <v>7.1164934242671478</v>
      </c>
      <c r="BB121" s="85">
        <f t="shared" si="81"/>
        <v>7.2599999999999998E-2</v>
      </c>
      <c r="BC121" s="85">
        <f t="shared" si="82"/>
        <v>3.9133109499799548</v>
      </c>
      <c r="BD121" s="85">
        <f t="shared" si="83"/>
        <v>9.7903330915981371E-2</v>
      </c>
      <c r="BE121" s="85">
        <f t="shared" si="84"/>
        <v>3.1014042204855357</v>
      </c>
      <c r="BF121" s="85">
        <f t="shared" si="85"/>
        <v>0.10997411104424153</v>
      </c>
      <c r="BG121" s="85">
        <f t="shared" si="86"/>
        <v>2.8491085110008827</v>
      </c>
      <c r="BH121" s="85">
        <f t="shared" si="87"/>
        <v>0.1147400809284511</v>
      </c>
      <c r="BI121" s="85">
        <f t="shared" si="88"/>
        <v>2.7646286949959094</v>
      </c>
      <c r="BJ121" s="85">
        <f t="shared" si="89"/>
        <v>0.11647996760970171</v>
      </c>
      <c r="BK121" s="85">
        <f t="shared" si="90"/>
        <v>2.7355792797630278</v>
      </c>
      <c r="BL121" s="85">
        <f t="shared" si="91"/>
        <v>0.11709679115561303</v>
      </c>
      <c r="BM121" s="85">
        <f t="shared" si="92"/>
        <v>2.725496574497742</v>
      </c>
      <c r="BN121" s="85">
        <f t="shared" si="93"/>
        <v>0.11731318521240557</v>
      </c>
      <c r="BO121" s="85">
        <f t="shared" si="94"/>
        <v>2.7219855408084586</v>
      </c>
      <c r="BP121" s="85">
        <f t="shared" si="95"/>
        <v>0.11738882077376188</v>
      </c>
      <c r="BQ121" s="85">
        <f t="shared" si="96"/>
        <v>2.7207615219750449</v>
      </c>
      <c r="BR121" s="85">
        <f t="shared" si="97"/>
        <v>0.11741522330289196</v>
      </c>
      <c r="BS121" s="85">
        <f t="shared" si="98"/>
        <v>2.7203346339292924</v>
      </c>
      <c r="BT121" s="85">
        <f t="shared" si="99"/>
        <v>0.11742443562338271</v>
      </c>
      <c r="BU121" s="85">
        <f t="shared" si="100"/>
        <v>2.7201857320537783</v>
      </c>
      <c r="BV121" s="85">
        <f t="shared" si="101"/>
        <v>0.11742764946264733</v>
      </c>
      <c r="BW121" s="85">
        <f t="shared" si="102"/>
        <v>2.7201337914047947</v>
      </c>
    </row>
    <row r="122" spans="25:75" x14ac:dyDescent="0.4">
      <c r="Y122" s="142">
        <v>3.7400000000000003E-2</v>
      </c>
      <c r="Z122" s="46">
        <f t="shared" si="103"/>
        <v>4.0684173324240791E-3</v>
      </c>
      <c r="AA122" s="84">
        <f t="shared" si="104"/>
        <v>6.9268612310351454</v>
      </c>
      <c r="AB122" s="84">
        <f t="shared" si="105"/>
        <v>1.1826918449029739E-2</v>
      </c>
      <c r="AC122" s="84">
        <f t="shared" si="106"/>
        <v>20.530327431329383</v>
      </c>
      <c r="AD122" s="84">
        <f t="shared" si="107"/>
        <v>6.8697654255894429E-3</v>
      </c>
      <c r="AE122" s="84">
        <f t="shared" si="108"/>
        <v>34.918611689353895</v>
      </c>
      <c r="AF122" s="84">
        <f t="shared" si="109"/>
        <v>5.2675826871001969E-3</v>
      </c>
      <c r="AG122" s="84">
        <f t="shared" si="110"/>
        <v>45.362964836389189</v>
      </c>
      <c r="AH122" s="84">
        <f t="shared" si="111"/>
        <v>4.6215656871163927E-3</v>
      </c>
      <c r="AI122" s="84">
        <f t="shared" si="112"/>
        <v>51.623359461404824</v>
      </c>
      <c r="AJ122" s="84">
        <f t="shared" si="113"/>
        <v>4.3322819586222314E-3</v>
      </c>
      <c r="AK122" s="84">
        <f t="shared" si="114"/>
        <v>55.032064743613567</v>
      </c>
      <c r="AL122" s="84">
        <f t="shared" si="115"/>
        <v>4.1959658234454389E-3</v>
      </c>
      <c r="AM122" s="84">
        <f t="shared" si="116"/>
        <v>56.801258816885024</v>
      </c>
      <c r="AN122" s="84">
        <f t="shared" si="117"/>
        <v>4.1301028381486816E-3</v>
      </c>
      <c r="AO122" s="84">
        <f t="shared" si="118"/>
        <v>57.69791932048124</v>
      </c>
      <c r="AP122" s="84">
        <f t="shared" si="119"/>
        <v>4.0978850310734588E-3</v>
      </c>
      <c r="AQ122" s="84">
        <f t="shared" si="120"/>
        <v>58.147032711977594</v>
      </c>
      <c r="AR122" s="84">
        <f t="shared" si="121"/>
        <v>4.0820288258870442E-3</v>
      </c>
      <c r="AS122" s="84">
        <f t="shared" si="122"/>
        <v>58.370670238826612</v>
      </c>
      <c r="AT122" s="84">
        <f t="shared" si="123"/>
        <v>4.0742015137479352E-3</v>
      </c>
      <c r="AU122" s="84">
        <f t="shared" si="124"/>
        <v>58.481709262317374</v>
      </c>
      <c r="AV122" s="84">
        <f t="shared" si="125"/>
        <v>4.0703318397268644E-3</v>
      </c>
      <c r="AW122" s="84">
        <f t="shared" si="126"/>
        <v>58.536762613104024</v>
      </c>
      <c r="AX122" s="84">
        <f t="shared" si="127"/>
        <v>4.0684173324240791E-3</v>
      </c>
      <c r="AY122" s="142">
        <v>3.7400000000000003E-2</v>
      </c>
      <c r="AZ122" s="46">
        <f t="shared" si="79"/>
        <v>0.12040553273715422</v>
      </c>
      <c r="BA122" s="85">
        <f t="shared" si="80"/>
        <v>6.9268612310351454</v>
      </c>
      <c r="BB122" s="85">
        <f t="shared" si="81"/>
        <v>7.4800000000000005E-2</v>
      </c>
      <c r="BC122" s="85">
        <f t="shared" si="82"/>
        <v>3.8203016427867795</v>
      </c>
      <c r="BD122" s="85">
        <f t="shared" si="83"/>
        <v>0.10072122842352164</v>
      </c>
      <c r="BE122" s="85">
        <f t="shared" si="84"/>
        <v>3.0368968224449886</v>
      </c>
      <c r="BF122" s="85">
        <f t="shared" si="85"/>
        <v>0.11296783948602858</v>
      </c>
      <c r="BG122" s="85">
        <f t="shared" si="86"/>
        <v>2.7951768376696977</v>
      </c>
      <c r="BH122" s="85">
        <f t="shared" si="87"/>
        <v>0.11775116078854872</v>
      </c>
      <c r="BI122" s="85">
        <f t="shared" si="88"/>
        <v>2.7149204671637657</v>
      </c>
      <c r="BJ122" s="85">
        <f t="shared" si="89"/>
        <v>0.11947891930568197</v>
      </c>
      <c r="BK122" s="85">
        <f t="shared" si="90"/>
        <v>2.6875762028221786</v>
      </c>
      <c r="BL122" s="85">
        <f t="shared" si="91"/>
        <v>0.12008518957983778</v>
      </c>
      <c r="BM122" s="85">
        <f t="shared" si="92"/>
        <v>2.6781755783217305</v>
      </c>
      <c r="BN122" s="85">
        <f t="shared" si="93"/>
        <v>0.12029575958627337</v>
      </c>
      <c r="BO122" s="85">
        <f t="shared" si="94"/>
        <v>2.6749336824891579</v>
      </c>
      <c r="BP122" s="85">
        <f t="shared" si="95"/>
        <v>0.12036863395965249</v>
      </c>
      <c r="BQ122" s="85">
        <f t="shared" si="96"/>
        <v>2.6738144796610674</v>
      </c>
      <c r="BR122" s="85">
        <f t="shared" si="97"/>
        <v>0.12039382322055565</v>
      </c>
      <c r="BS122" s="85">
        <f t="shared" si="98"/>
        <v>2.673427952478622</v>
      </c>
      <c r="BT122" s="85">
        <f t="shared" si="99"/>
        <v>0.12040252624232846</v>
      </c>
      <c r="BU122" s="85">
        <f t="shared" si="100"/>
        <v>2.6732944445446511</v>
      </c>
      <c r="BV122" s="85">
        <f t="shared" si="101"/>
        <v>0.12040553273715422</v>
      </c>
      <c r="BW122" s="85">
        <f t="shared" si="102"/>
        <v>2.6732483283586279</v>
      </c>
    </row>
    <row r="123" spans="25:75" x14ac:dyDescent="0.4">
      <c r="Y123" s="142">
        <v>3.8600000000000002E-2</v>
      </c>
      <c r="Z123" s="46">
        <f>AX123</f>
        <v>4.2105692031354121E-3</v>
      </c>
      <c r="AA123" s="84">
        <f>(1+0.0712/Y123*(2.514+0.8*EXP(-0.55*Y123/(0.0712))))</f>
        <v>6.7324072881844712</v>
      </c>
      <c r="AB123" s="84">
        <f>Y123/SQRT($Z$1)</f>
        <v>1.2206391768249945E-2</v>
      </c>
      <c r="AC123" s="84">
        <f>(1+0.0712/AB123*(2.514+0.8*EXP(-0.55*AB123/(0.0712))))</f>
        <v>19.910700816758943</v>
      </c>
      <c r="AD123" s="84">
        <f>$Y123/SQRT(($Z$1*AC123)/($AA123))</f>
        <v>7.0978893062427348E-3</v>
      </c>
      <c r="AE123" s="84">
        <f>(1+0.0712/AD123*(2.514+0.8*EXP(-0.55*AD123/(0.0712))))</f>
        <v>33.815079644030916</v>
      </c>
      <c r="AF123" s="84">
        <f>$Y123/SQRT(($Z$1*AE123)/($AA123))</f>
        <v>5.4464972423795216E-3</v>
      </c>
      <c r="AG123" s="84">
        <f>(1+0.0712/AF123*(2.514+0.8*EXP(-0.55*AF123/(0.0712))))</f>
        <v>43.891797037994913</v>
      </c>
      <c r="AH123" s="84">
        <f>$Y123/SQRT(($Z$1*AG123)/($AA123))</f>
        <v>4.7805824659828723E-3</v>
      </c>
      <c r="AI123" s="84">
        <f>(1+0.0712/AH123*(2.514+0.8*EXP(-0.55*AH123/(0.0712))))</f>
        <v>49.925358066431151</v>
      </c>
      <c r="AJ123" s="84">
        <f>$Y123/SQRT(($Z$1*AI123)/($AA123))</f>
        <v>4.4824133326266365E-3</v>
      </c>
      <c r="AK123" s="84">
        <f>(1+0.0712/AJ123*(2.514+0.8*EXP(-0.55*AJ123/(0.0712))))</f>
        <v>53.208102024838681</v>
      </c>
      <c r="AL123" s="84">
        <f>$Y123/SQRT(($Z$1*AK123)/($AA123))</f>
        <v>4.3419379389484725E-3</v>
      </c>
      <c r="AM123" s="84">
        <f>(1+0.0712/AL123*(2.514+0.8*EXP(-0.55*AL123/(0.0712))))</f>
        <v>54.910957254467789</v>
      </c>
      <c r="AN123" s="84">
        <f>$Y123/SQRT(($Z$1*AM123)/($AA123))</f>
        <v>4.2740833580968019E-3</v>
      </c>
      <c r="AO123" s="84">
        <f>(1+0.0712/AN123*(2.514+0.8*EXP(-0.55*AN123/(0.0712))))</f>
        <v>55.773594669591205</v>
      </c>
      <c r="AP123" s="84">
        <f>$Y123/SQRT(($Z$1*AO123)/($AA123))</f>
        <v>4.2409014195374239E-3</v>
      </c>
      <c r="AQ123" s="84">
        <f>(1+0.0712/AP123*(2.514+0.8*EXP(-0.55*AP123/(0.0712))))</f>
        <v>56.205489111179276</v>
      </c>
      <c r="AR123" s="84">
        <f>$Y123/SQRT(($Z$1*AQ123)/($AA123))</f>
        <v>4.2245760214093915E-3</v>
      </c>
      <c r="AS123" s="84">
        <f>(1+0.0712/AR123*(2.514+0.8*EXP(-0.55*AR123/(0.0712))))</f>
        <v>56.420470139119089</v>
      </c>
      <c r="AT123" s="84">
        <f>$Y123/SQRT(($Z$1*AS123)/($AA123))</f>
        <v>4.2165198098406608E-3</v>
      </c>
      <c r="AU123" s="84">
        <f>(1+0.0712/AT123*(2.514+0.8*EXP(-0.55*AT123/(0.0712))))</f>
        <v>56.527171893722411</v>
      </c>
      <c r="AV123" s="84">
        <f>$Y123/SQRT(($Z$1*AU123)/($AA123))</f>
        <v>4.2125383389634823E-3</v>
      </c>
      <c r="AW123" s="84">
        <f>(1+0.0712/AV123*(2.514+0.8*EXP(-0.55*AV123/(0.0712))))</f>
        <v>56.580055816006791</v>
      </c>
      <c r="AX123" s="84">
        <f>$Y123/SQRT(($Z$1*AW123)/($AA123))</f>
        <v>4.2105692031354121E-3</v>
      </c>
      <c r="AY123" s="142">
        <v>3.8600000000000002E-2</v>
      </c>
      <c r="AZ123" s="46">
        <f t="shared" si="79"/>
        <v>0.12362972932505291</v>
      </c>
      <c r="BA123" s="85">
        <f t="shared" si="80"/>
        <v>6.7324072881844712</v>
      </c>
      <c r="BB123" s="85">
        <f t="shared" si="81"/>
        <v>7.7200000000000005E-2</v>
      </c>
      <c r="BC123" s="85">
        <f t="shared" si="82"/>
        <v>3.7250190711301721</v>
      </c>
      <c r="BD123" s="85">
        <f t="shared" si="83"/>
        <v>0.10378587252736789</v>
      </c>
      <c r="BE123" s="85">
        <f t="shared" si="84"/>
        <v>2.9708528084148598</v>
      </c>
      <c r="BF123" s="85">
        <f t="shared" si="85"/>
        <v>0.11621492961287716</v>
      </c>
      <c r="BG123" s="85">
        <f t="shared" si="86"/>
        <v>2.7399459005044893</v>
      </c>
      <c r="BH123" s="85">
        <f t="shared" si="87"/>
        <v>0.12101285220306343</v>
      </c>
      <c r="BI123" s="85">
        <f t="shared" si="88"/>
        <v>2.6639817769498015</v>
      </c>
      <c r="BJ123" s="85">
        <f t="shared" si="89"/>
        <v>0.12272608101723236</v>
      </c>
      <c r="BK123" s="85">
        <f t="shared" si="90"/>
        <v>2.6383569639440712</v>
      </c>
      <c r="BL123" s="85">
        <f t="shared" si="91"/>
        <v>0.12332062409822814</v>
      </c>
      <c r="BM123" s="85">
        <f t="shared" si="92"/>
        <v>2.6296381264661637</v>
      </c>
      <c r="BN123" s="85">
        <f t="shared" si="93"/>
        <v>0.12352489606596599</v>
      </c>
      <c r="BO123" s="85">
        <f t="shared" si="94"/>
        <v>2.6266627639354692</v>
      </c>
      <c r="BP123" s="85">
        <f t="shared" si="95"/>
        <v>0.12359483791968841</v>
      </c>
      <c r="BQ123" s="85">
        <f t="shared" si="96"/>
        <v>2.6256463742993441</v>
      </c>
      <c r="BR123" s="85">
        <f t="shared" si="97"/>
        <v>0.12361875743127496</v>
      </c>
      <c r="BS123" s="85">
        <f t="shared" si="98"/>
        <v>2.6252990536026304</v>
      </c>
      <c r="BT123" s="85">
        <f t="shared" si="99"/>
        <v>0.12362693439171156</v>
      </c>
      <c r="BU123" s="85">
        <f t="shared" si="100"/>
        <v>2.6251803531419062</v>
      </c>
      <c r="BV123" s="85">
        <f t="shared" si="101"/>
        <v>0.12362972932505291</v>
      </c>
      <c r="BW123" s="85">
        <f t="shared" si="102"/>
        <v>2.6251397843867554</v>
      </c>
    </row>
    <row r="124" spans="25:75" x14ac:dyDescent="0.4">
      <c r="Y124" s="142">
        <v>3.9800000000000002E-2</v>
      </c>
      <c r="Z124" s="46">
        <f>AX124</f>
        <v>4.3534863803172796E-3</v>
      </c>
      <c r="AA124" s="84">
        <f>(1+0.0712/Y124*(2.514+0.8*EXP(-0.55*Y124/(0.0712))))</f>
        <v>6.5497704800701744</v>
      </c>
      <c r="AB124" s="84">
        <f>Y124/SQRT($Z$1)</f>
        <v>1.2585865087470149E-2</v>
      </c>
      <c r="AC124" s="84">
        <f>(1+0.0712/AB124*(2.514+0.8*EXP(-0.55*AB124/(0.0712))))</f>
        <v>19.328474009894727</v>
      </c>
      <c r="AD124" s="84">
        <f>$Y124/SQRT(($Z$1*AC124)/($AA124))</f>
        <v>7.3265130750562969E-3</v>
      </c>
      <c r="AE124" s="84">
        <f>(1+0.0712/AD124*(2.514+0.8*EXP(-0.55*AD124/(0.0712))))</f>
        <v>32.778099229274986</v>
      </c>
      <c r="AF124" s="84">
        <f>$Y124/SQRT(($Z$1*AE124)/($AA124))</f>
        <v>5.6260583231416191E-3</v>
      </c>
      <c r="AG124" s="84">
        <f>(1+0.0712/AF124*(2.514+0.8*EXP(-0.55*AF124/(0.0712))))</f>
        <v>42.509408823293683</v>
      </c>
      <c r="AH124" s="84">
        <f>$Y124/SQRT(($Z$1*AG124)/($AA124))</f>
        <v>4.9403029338018316E-3</v>
      </c>
      <c r="AI124" s="84">
        <f>(1+0.0712/AH124*(2.514+0.8*EXP(-0.55*AH124/(0.0712))))</f>
        <v>48.329895495679381</v>
      </c>
      <c r="AJ124" s="84">
        <f>$Y124/SQRT(($Z$1*AI124)/($AA124))</f>
        <v>4.6332761419626391E-3</v>
      </c>
      <c r="AK124" s="84">
        <f>(1+0.0712/AJ124*(2.514+0.8*EXP(-0.55*AJ124/(0.0712))))</f>
        <v>51.494337530157104</v>
      </c>
      <c r="AL124" s="84">
        <f>$Y124/SQRT(($Z$1*AK124)/($AA124))</f>
        <v>4.4886565351860436E-3</v>
      </c>
      <c r="AM124" s="84">
        <f>(1+0.0712/AL124*(2.514+0.8*EXP(-0.55*AL124/(0.0712))))</f>
        <v>53.134895440556953</v>
      </c>
      <c r="AN124" s="84">
        <f>$Y124/SQRT(($Z$1*AM124)/($AA124))</f>
        <v>4.4188188470218482E-3</v>
      </c>
      <c r="AO124" s="84">
        <f>(1+0.0712/AN124*(2.514+0.8*EXP(-0.55*AN124/(0.0712))))</f>
        <v>53.965585739716971</v>
      </c>
      <c r="AP124" s="84">
        <f>$Y124/SQRT(($Z$1*AO124)/($AA124))</f>
        <v>4.3846775948085011E-3</v>
      </c>
      <c r="AQ124" s="84">
        <f>(1+0.0712/AP124*(2.514+0.8*EXP(-0.55*AP124/(0.0712))))</f>
        <v>54.381313311955793</v>
      </c>
      <c r="AR124" s="84">
        <f>$Y124/SQRT(($Z$1*AQ124)/($AA124))</f>
        <v>4.367885719258344E-3</v>
      </c>
      <c r="AS124" s="84">
        <f>(1+0.0712/AR124*(2.514+0.8*EXP(-0.55*AR124/(0.0712))))</f>
        <v>54.588167441855759</v>
      </c>
      <c r="AT124" s="84">
        <f>$Y124/SQRT(($Z$1*AS124)/($AA124))</f>
        <v>4.3596021222478583E-3</v>
      </c>
      <c r="AU124" s="84">
        <f>(1+0.0712/AT124*(2.514+0.8*EXP(-0.55*AT124/(0.0712))))</f>
        <v>54.69079762244413</v>
      </c>
      <c r="AV124" s="84">
        <f>$Y124/SQRT(($Z$1*AU124)/($AA124))</f>
        <v>4.3555096891992979E-3</v>
      </c>
      <c r="AW124" s="84">
        <f>(1+0.0712/AV124*(2.514+0.8*EXP(-0.55*AV124/(0.0712))))</f>
        <v>54.741645187375816</v>
      </c>
      <c r="AX124" s="84">
        <f>$Y124/SQRT(($Z$1*AW124)/($AA124))</f>
        <v>4.3534863803172796E-3</v>
      </c>
      <c r="AY124" s="142">
        <v>3.9800000000000002E-2</v>
      </c>
      <c r="AZ124" s="46">
        <f t="shared" si="79"/>
        <v>0.12682936909730425</v>
      </c>
      <c r="BA124" s="85">
        <f t="shared" si="80"/>
        <v>6.5497704800701744</v>
      </c>
      <c r="BB124" s="85">
        <f t="shared" si="81"/>
        <v>7.9600000000000004E-2</v>
      </c>
      <c r="BC124" s="85">
        <f t="shared" si="82"/>
        <v>3.6356176594590912</v>
      </c>
      <c r="BD124" s="85">
        <f t="shared" si="83"/>
        <v>0.10684076927308393</v>
      </c>
      <c r="BE124" s="85">
        <f t="shared" si="84"/>
        <v>2.908923031221728</v>
      </c>
      <c r="BF124" s="85">
        <f t="shared" si="85"/>
        <v>0.11944280488680767</v>
      </c>
      <c r="BG124" s="85">
        <f t="shared" si="86"/>
        <v>2.6881393235736786</v>
      </c>
      <c r="BH124" s="85">
        <f t="shared" si="87"/>
        <v>0.12425109406119331</v>
      </c>
      <c r="BI124" s="85">
        <f t="shared" si="88"/>
        <v>2.616167953737504</v>
      </c>
      <c r="BJ124" s="85">
        <f t="shared" si="89"/>
        <v>0.12594858646433579</v>
      </c>
      <c r="BK124" s="85">
        <f t="shared" si="90"/>
        <v>2.5921295506781092</v>
      </c>
      <c r="BL124" s="85">
        <f t="shared" si="91"/>
        <v>0.12653123790651283</v>
      </c>
      <c r="BM124" s="85">
        <f t="shared" si="92"/>
        <v>2.5840340006705631</v>
      </c>
      <c r="BN124" s="85">
        <f t="shared" si="93"/>
        <v>0.12672928849841525</v>
      </c>
      <c r="BO124" s="85">
        <f t="shared" si="94"/>
        <v>2.5812999538759467</v>
      </c>
      <c r="BP124" s="85">
        <f t="shared" si="95"/>
        <v>0.12679638494459652</v>
      </c>
      <c r="BQ124" s="85">
        <f t="shared" si="96"/>
        <v>2.5803757280626418</v>
      </c>
      <c r="BR124" s="85">
        <f t="shared" si="97"/>
        <v>0.12681909055275856</v>
      </c>
      <c r="BS124" s="85">
        <f t="shared" si="98"/>
        <v>2.5800631994258305</v>
      </c>
      <c r="BT124" s="85">
        <f t="shared" si="99"/>
        <v>0.1268267712555641</v>
      </c>
      <c r="BU124" s="85">
        <f t="shared" si="100"/>
        <v>2.5799575058112545</v>
      </c>
      <c r="BV124" s="85">
        <f t="shared" si="101"/>
        <v>0.12682936909730425</v>
      </c>
      <c r="BW124" s="85">
        <f t="shared" si="102"/>
        <v>2.5799217601240896</v>
      </c>
    </row>
    <row r="125" spans="25:75" x14ac:dyDescent="0.4">
      <c r="Y125" s="142">
        <v>4.1099999999999998E-2</v>
      </c>
      <c r="Z125" s="46">
        <f t="shared" ref="Z125:Z188" si="128">AX125</f>
        <v>4.5091806015821381E-3</v>
      </c>
      <c r="AA125" s="84">
        <f t="shared" ref="AA125:AA188" si="129">(1+0.0712/Y125*(2.514+0.8*EXP(-0.55*Y125/(0.0712))))</f>
        <v>6.3640477984024111</v>
      </c>
      <c r="AB125" s="84">
        <f t="shared" ref="AB125:AB188" si="130">Y125/SQRT($Z$1)</f>
        <v>1.2996961183292037E-2</v>
      </c>
      <c r="AC125" s="84">
        <f t="shared" ref="AC125:AC188" si="131">(1+0.0712/AB125*(2.514+0.8*EXP(-0.55*AB125/(0.0712))))</f>
        <v>18.736133385392726</v>
      </c>
      <c r="AD125" s="84">
        <f t="shared" ref="AD125:AD188" si="132">$Y125/SQRT(($Z$1*AC125)/($AA125))</f>
        <v>7.5747543557541912E-3</v>
      </c>
      <c r="AE125" s="84">
        <f t="shared" ref="AE125:AE188" si="133">(1+0.0712/AD125*(2.514+0.8*EXP(-0.55*AD125/(0.0712))))</f>
        <v>31.72304807786503</v>
      </c>
      <c r="AF125" s="84">
        <f t="shared" ref="AF125:AF188" si="134">$Y125/SQRT(($Z$1*AE125)/($AA125))</f>
        <v>5.821314776837591E-3</v>
      </c>
      <c r="AG125" s="84">
        <f t="shared" ref="AG125:AG188" si="135">(1+0.0712/AF125*(2.514+0.8*EXP(-0.55*AF125/(0.0712))))</f>
        <v>41.102995094789016</v>
      </c>
      <c r="AH125" s="84">
        <f t="shared" ref="AH125:AH188" si="136">$Y125/SQRT(($Z$1*AG125)/($AA125))</f>
        <v>5.1141304732757204E-3</v>
      </c>
      <c r="AI125" s="84">
        <f t="shared" ref="AI125:AI188" si="137">(1+0.0712/AH125*(2.514+0.8*EXP(-0.55*AH125/(0.0712))))</f>
        <v>46.706782787792612</v>
      </c>
      <c r="AJ125" s="84">
        <f t="shared" ref="AJ125:AJ188" si="138">$Y125/SQRT(($Z$1*AI125)/($AA125))</f>
        <v>4.7975395257330205E-3</v>
      </c>
      <c r="AK125" s="84">
        <f t="shared" ref="AK125:AK188" si="139">(1+0.0712/AJ125*(2.514+0.8*EXP(-0.55*AJ125/(0.0712))))</f>
        <v>49.750931081999482</v>
      </c>
      <c r="AL125" s="84">
        <f t="shared" ref="AL125:AL188" si="140">$Y125/SQRT(($Z$1*AK125)/($AA125))</f>
        <v>4.6484475157862514E-3</v>
      </c>
      <c r="AM125" s="84">
        <f t="shared" ref="AM125:AM188" si="141">(1+0.0712/AL125*(2.514+0.8*EXP(-0.55*AL125/(0.0712))))</f>
        <v>51.328151120113247</v>
      </c>
      <c r="AN125" s="84">
        <f t="shared" ref="AN125:AN188" si="142">$Y125/SQRT(($Z$1*AM125)/($AA125))</f>
        <v>4.5764711385692484E-3</v>
      </c>
      <c r="AO125" s="84">
        <f t="shared" ref="AO125:AO188" si="143">(1+0.0712/AN125*(2.514+0.8*EXP(-0.55*AN125/(0.0712))))</f>
        <v>52.126364189615906</v>
      </c>
      <c r="AP125" s="84">
        <f t="shared" ref="AP125:AP188" si="144">$Y125/SQRT(($Z$1*AO125)/($AA125))</f>
        <v>4.5412961184887798E-3</v>
      </c>
      <c r="AQ125" s="84">
        <f t="shared" ref="AQ125:AQ188" si="145">(1+0.0712/AP125*(2.514+0.8*EXP(-0.55*AP125/(0.0712))))</f>
        <v>52.525658200439032</v>
      </c>
      <c r="AR125" s="84">
        <f t="shared" ref="AR125:AR188" si="146">$Y125/SQRT(($Z$1*AQ125)/($AA125))</f>
        <v>4.5240019834616365E-3</v>
      </c>
      <c r="AS125" s="84">
        <f t="shared" ref="AS125:AS188" si="147">(1+0.0712/AR125*(2.514+0.8*EXP(-0.55*AR125/(0.0712))))</f>
        <v>52.724252120470879</v>
      </c>
      <c r="AT125" s="84">
        <f t="shared" ref="AT125:AT188" si="148">$Y125/SQRT(($Z$1*AS125)/($AA125))</f>
        <v>4.5154737741827473E-3</v>
      </c>
      <c r="AU125" s="84">
        <f t="shared" ref="AU125:AU188" si="149">(1+0.0712/AT125*(2.514+0.8*EXP(-0.55*AT125/(0.0712))))</f>
        <v>52.822744312262699</v>
      </c>
      <c r="AV125" s="84">
        <f t="shared" ref="AV125:AV188" si="150">$Y125/SQRT(($Z$1*AU125)/($AA125))</f>
        <v>4.5112620807065311E-3</v>
      </c>
      <c r="AW125" s="84">
        <f t="shared" ref="AW125:AW188" si="151">(1+0.0712/AV125*(2.514+0.8*EXP(-0.55*AV125/(0.0712))))</f>
        <v>52.871522494434153</v>
      </c>
      <c r="AX125" s="84">
        <f t="shared" ref="AX125:AX188" si="152">$Y125/SQRT(($Z$1*AW125)/($AA125))</f>
        <v>4.5091806015821381E-3</v>
      </c>
      <c r="AY125" s="142">
        <v>4.1099999999999998E-2</v>
      </c>
      <c r="AZ125" s="46">
        <f t="shared" si="79"/>
        <v>0.13026896786600894</v>
      </c>
      <c r="BA125" s="85">
        <f t="shared" si="80"/>
        <v>6.3640477984024111</v>
      </c>
      <c r="BB125" s="85">
        <f t="shared" si="81"/>
        <v>8.2199999999999995E-2</v>
      </c>
      <c r="BC125" s="85">
        <f t="shared" si="82"/>
        <v>3.5448025951734645</v>
      </c>
      <c r="BD125" s="85">
        <f t="shared" si="83"/>
        <v>0.11013934933011466</v>
      </c>
      <c r="BE125" s="85">
        <f t="shared" si="84"/>
        <v>2.8460522575085374</v>
      </c>
      <c r="BF125" s="85">
        <f t="shared" si="85"/>
        <v>0.12291845672189307</v>
      </c>
      <c r="BG125" s="85">
        <f t="shared" si="86"/>
        <v>2.635526174553612</v>
      </c>
      <c r="BH125" s="85">
        <f t="shared" si="87"/>
        <v>0.12773351609856784</v>
      </c>
      <c r="BI125" s="85">
        <f t="shared" si="88"/>
        <v>2.5675733109828336</v>
      </c>
      <c r="BJ125" s="85">
        <f t="shared" si="89"/>
        <v>0.12941276240174598</v>
      </c>
      <c r="BK125" s="85">
        <f t="shared" si="90"/>
        <v>2.5451179129880304</v>
      </c>
      <c r="BL125" s="85">
        <f t="shared" si="91"/>
        <v>0.12998240856635693</v>
      </c>
      <c r="BM125" s="85">
        <f t="shared" si="92"/>
        <v>2.537638404650842</v>
      </c>
      <c r="BN125" s="85">
        <f t="shared" si="93"/>
        <v>0.13017382456650439</v>
      </c>
      <c r="BO125" s="85">
        <f t="shared" si="94"/>
        <v>2.5351404859337396</v>
      </c>
      <c r="BP125" s="85">
        <f t="shared" si="95"/>
        <v>0.1302379400616285</v>
      </c>
      <c r="BQ125" s="85">
        <f t="shared" si="96"/>
        <v>2.5343055186946186</v>
      </c>
      <c r="BR125" s="85">
        <f t="shared" si="97"/>
        <v>0.13025939277461462</v>
      </c>
      <c r="BS125" s="85">
        <f t="shared" si="98"/>
        <v>2.5340263352577406</v>
      </c>
      <c r="BT125" s="85">
        <f t="shared" si="99"/>
        <v>0.13026656816637294</v>
      </c>
      <c r="BU125" s="85">
        <f t="shared" si="100"/>
        <v>2.5339329769366388</v>
      </c>
      <c r="BV125" s="85">
        <f t="shared" si="101"/>
        <v>0.13026896786600894</v>
      </c>
      <c r="BW125" s="85">
        <f t="shared" si="102"/>
        <v>2.5339017570836337</v>
      </c>
    </row>
    <row r="126" spans="25:75" x14ac:dyDescent="0.4">
      <c r="Y126" s="142">
        <v>4.2299999999999997E-2</v>
      </c>
      <c r="Z126" s="46">
        <f t="shared" si="128"/>
        <v>4.6537021913514061E-3</v>
      </c>
      <c r="AA126" s="84">
        <f t="shared" si="129"/>
        <v>6.2028314117042296</v>
      </c>
      <c r="AB126" s="84">
        <f t="shared" si="130"/>
        <v>1.3376434502512243E-2</v>
      </c>
      <c r="AC126" s="84">
        <f t="shared" si="131"/>
        <v>18.221707264670112</v>
      </c>
      <c r="AD126" s="84">
        <f t="shared" si="132"/>
        <v>7.8044234193699056E-3</v>
      </c>
      <c r="AE126" s="84">
        <f t="shared" si="133"/>
        <v>30.806726669194695</v>
      </c>
      <c r="AF126" s="84">
        <f t="shared" si="134"/>
        <v>6.0022292438698223E-3</v>
      </c>
      <c r="AG126" s="84">
        <f t="shared" si="135"/>
        <v>39.881572082009761</v>
      </c>
      <c r="AH126" s="84">
        <f t="shared" si="136"/>
        <v>5.2753250103322914E-3</v>
      </c>
      <c r="AI126" s="84">
        <f t="shared" si="137"/>
        <v>45.297235596599918</v>
      </c>
      <c r="AJ126" s="84">
        <f t="shared" si="138"/>
        <v>4.9499351227349497E-3</v>
      </c>
      <c r="AK126" s="84">
        <f t="shared" si="139"/>
        <v>48.236971082702901</v>
      </c>
      <c r="AL126" s="84">
        <f t="shared" si="140"/>
        <v>4.7967307501142155E-3</v>
      </c>
      <c r="AM126" s="84">
        <f t="shared" si="141"/>
        <v>49.759222454219021</v>
      </c>
      <c r="AN126" s="84">
        <f t="shared" si="142"/>
        <v>4.7227892219496139E-3</v>
      </c>
      <c r="AO126" s="84">
        <f t="shared" si="143"/>
        <v>50.529252839316527</v>
      </c>
      <c r="AP126" s="84">
        <f t="shared" si="144"/>
        <v>4.6866650686917906E-3</v>
      </c>
      <c r="AQ126" s="84">
        <f t="shared" si="145"/>
        <v>50.914287749742556</v>
      </c>
      <c r="AR126" s="84">
        <f t="shared" si="146"/>
        <v>4.6689101873385206E-3</v>
      </c>
      <c r="AS126" s="84">
        <f t="shared" si="147"/>
        <v>51.105715110579396</v>
      </c>
      <c r="AT126" s="84">
        <f t="shared" si="148"/>
        <v>4.660157783973347E-3</v>
      </c>
      <c r="AU126" s="84">
        <f t="shared" si="149"/>
        <v>51.200617518522762</v>
      </c>
      <c r="AV126" s="84">
        <f t="shared" si="150"/>
        <v>4.655836885676971E-3</v>
      </c>
      <c r="AW126" s="84">
        <f t="shared" si="151"/>
        <v>51.247600643394172</v>
      </c>
      <c r="AX126" s="84">
        <f t="shared" si="152"/>
        <v>4.6537021913514061E-3</v>
      </c>
      <c r="AY126" s="142">
        <v>4.2299999999999997E-2</v>
      </c>
      <c r="AZ126" s="46">
        <f t="shared" si="79"/>
        <v>0.13342026763018694</v>
      </c>
      <c r="BA126" s="85">
        <f t="shared" si="80"/>
        <v>6.2028314117042296</v>
      </c>
      <c r="BB126" s="85">
        <f t="shared" si="81"/>
        <v>8.4599999999999995E-2</v>
      </c>
      <c r="BC126" s="85">
        <f t="shared" si="82"/>
        <v>3.466055571834445</v>
      </c>
      <c r="BD126" s="85">
        <f t="shared" si="83"/>
        <v>0.11317424111364477</v>
      </c>
      <c r="BE126" s="85">
        <f t="shared" si="84"/>
        <v>2.7915678495402103</v>
      </c>
      <c r="BF126" s="85">
        <f t="shared" si="85"/>
        <v>0.12610759921405659</v>
      </c>
      <c r="BG126" s="85">
        <f t="shared" si="86"/>
        <v>2.589912410917548</v>
      </c>
      <c r="BH126" s="85">
        <f t="shared" si="87"/>
        <v>0.13092506958954472</v>
      </c>
      <c r="BI126" s="85">
        <f t="shared" si="88"/>
        <v>2.5254109175663286</v>
      </c>
      <c r="BJ126" s="85">
        <f t="shared" si="89"/>
        <v>0.13258650570064487</v>
      </c>
      <c r="BK126" s="85">
        <f t="shared" si="90"/>
        <v>2.5043034317355888</v>
      </c>
      <c r="BL126" s="85">
        <f t="shared" si="91"/>
        <v>0.13314408501666453</v>
      </c>
      <c r="BM126" s="85">
        <f t="shared" si="92"/>
        <v>2.4973434879777443</v>
      </c>
      <c r="BN126" s="85">
        <f t="shared" si="93"/>
        <v>0.13332948814584841</v>
      </c>
      <c r="BO126" s="85">
        <f t="shared" si="94"/>
        <v>2.4950427315111345</v>
      </c>
      <c r="BP126" s="85">
        <f t="shared" si="95"/>
        <v>0.13339094761362136</v>
      </c>
      <c r="BQ126" s="85">
        <f t="shared" si="96"/>
        <v>2.494281531964373</v>
      </c>
      <c r="BR126" s="85">
        <f t="shared" si="97"/>
        <v>0.13341130004417601</v>
      </c>
      <c r="BS126" s="85">
        <f t="shared" si="98"/>
        <v>2.4940296213002817</v>
      </c>
      <c r="BT126" s="85">
        <f t="shared" si="99"/>
        <v>0.1334180375103845</v>
      </c>
      <c r="BU126" s="85">
        <f t="shared" si="100"/>
        <v>2.493946246585768</v>
      </c>
      <c r="BV126" s="85">
        <f t="shared" si="101"/>
        <v>0.13342026763018694</v>
      </c>
      <c r="BW126" s="85">
        <f t="shared" si="102"/>
        <v>2.4939186512722697</v>
      </c>
    </row>
    <row r="127" spans="25:75" x14ac:dyDescent="0.4">
      <c r="Y127" s="142">
        <v>4.3700000000000003E-2</v>
      </c>
      <c r="Z127" s="46">
        <f t="shared" si="128"/>
        <v>4.823290125801202E-3</v>
      </c>
      <c r="AA127" s="84">
        <f t="shared" si="129"/>
        <v>6.0260381320732073</v>
      </c>
      <c r="AB127" s="84">
        <f t="shared" si="130"/>
        <v>1.3819153374935817E-2</v>
      </c>
      <c r="AC127" s="84">
        <f t="shared" si="131"/>
        <v>17.657291506297515</v>
      </c>
      <c r="AD127" s="84">
        <f t="shared" si="132"/>
        <v>8.0730070413609304E-3</v>
      </c>
      <c r="AE127" s="84">
        <f t="shared" si="133"/>
        <v>29.801308736970039</v>
      </c>
      <c r="AF127" s="84">
        <f t="shared" si="134"/>
        <v>6.2141210125675047E-3</v>
      </c>
      <c r="AG127" s="84">
        <f t="shared" si="135"/>
        <v>38.541459691477584</v>
      </c>
      <c r="AH127" s="84">
        <f t="shared" si="136"/>
        <v>5.4642844039616452E-3</v>
      </c>
      <c r="AI127" s="84">
        <f t="shared" si="137"/>
        <v>43.75080387982382</v>
      </c>
      <c r="AJ127" s="84">
        <f t="shared" si="138"/>
        <v>5.128665282064313E-3</v>
      </c>
      <c r="AK127" s="84">
        <f t="shared" si="139"/>
        <v>46.57604963226914</v>
      </c>
      <c r="AL127" s="84">
        <f t="shared" si="140"/>
        <v>4.9706827931503116E-3</v>
      </c>
      <c r="AM127" s="84">
        <f t="shared" si="141"/>
        <v>48.038036057983909</v>
      </c>
      <c r="AN127" s="84">
        <f t="shared" si="142"/>
        <v>4.894459653328795E-3</v>
      </c>
      <c r="AO127" s="84">
        <f t="shared" si="143"/>
        <v>48.777172015944252</v>
      </c>
      <c r="AP127" s="84">
        <f t="shared" si="144"/>
        <v>4.8572344439171879E-3</v>
      </c>
      <c r="AQ127" s="84">
        <f t="shared" si="145"/>
        <v>49.146577468476394</v>
      </c>
      <c r="AR127" s="84">
        <f t="shared" si="146"/>
        <v>4.8389455481190604E-3</v>
      </c>
      <c r="AS127" s="84">
        <f t="shared" si="147"/>
        <v>49.330150325720226</v>
      </c>
      <c r="AT127" s="84">
        <f t="shared" si="148"/>
        <v>4.8299335442524806E-3</v>
      </c>
      <c r="AU127" s="84">
        <f t="shared" si="149"/>
        <v>49.42111874754616</v>
      </c>
      <c r="AV127" s="84">
        <f t="shared" si="150"/>
        <v>4.8254863178952617E-3</v>
      </c>
      <c r="AW127" s="84">
        <f t="shared" si="151"/>
        <v>49.466134899527475</v>
      </c>
      <c r="AX127" s="84">
        <f t="shared" si="152"/>
        <v>4.823290125801202E-3</v>
      </c>
      <c r="AY127" s="142">
        <v>4.3700000000000003E-2</v>
      </c>
      <c r="AZ127" s="46">
        <f t="shared" si="79"/>
        <v>0.13706912089865356</v>
      </c>
      <c r="BA127" s="85">
        <f t="shared" si="80"/>
        <v>6.0260381320732073</v>
      </c>
      <c r="BB127" s="85">
        <f t="shared" si="81"/>
        <v>8.7400000000000005E-2</v>
      </c>
      <c r="BC127" s="85">
        <f t="shared" si="82"/>
        <v>3.3797972168474901</v>
      </c>
      <c r="BD127" s="85">
        <f t="shared" si="83"/>
        <v>0.11670300755360449</v>
      </c>
      <c r="BE127" s="85">
        <f t="shared" si="84"/>
        <v>2.7319206089890691</v>
      </c>
      <c r="BF127" s="85">
        <f t="shared" si="85"/>
        <v>0.12980557138066531</v>
      </c>
      <c r="BG127" s="85">
        <f t="shared" si="86"/>
        <v>2.5399529335383639</v>
      </c>
      <c r="BH127" s="85">
        <f t="shared" si="87"/>
        <v>0.13462153427387302</v>
      </c>
      <c r="BI127" s="85">
        <f t="shared" si="88"/>
        <v>2.4791936562717485</v>
      </c>
      <c r="BJ127" s="85">
        <f t="shared" si="89"/>
        <v>0.13626117964449688</v>
      </c>
      <c r="BK127" s="85">
        <f t="shared" si="90"/>
        <v>2.459534611669798</v>
      </c>
      <c r="BL127" s="85">
        <f t="shared" si="91"/>
        <v>0.13680466316463891</v>
      </c>
      <c r="BM127" s="85">
        <f t="shared" si="92"/>
        <v>2.4531274904630074</v>
      </c>
      <c r="BN127" s="85">
        <f t="shared" si="93"/>
        <v>0.13698320106736492</v>
      </c>
      <c r="BO127" s="85">
        <f t="shared" si="94"/>
        <v>2.4510343595272763</v>
      </c>
      <c r="BP127" s="85">
        <f t="shared" si="95"/>
        <v>0.13704167894770258</v>
      </c>
      <c r="BQ127" s="85">
        <f t="shared" si="96"/>
        <v>2.4503500257919519</v>
      </c>
      <c r="BR127" s="85">
        <f t="shared" si="97"/>
        <v>0.13706081411127113</v>
      </c>
      <c r="BS127" s="85">
        <f t="shared" si="98"/>
        <v>2.4501262309301386</v>
      </c>
      <c r="BT127" s="85">
        <f t="shared" si="99"/>
        <v>0.13706707354500322</v>
      </c>
      <c r="BU127" s="85">
        <f t="shared" si="100"/>
        <v>2.4500530381149135</v>
      </c>
      <c r="BV127" s="85">
        <f t="shared" si="101"/>
        <v>0.13706912089865356</v>
      </c>
      <c r="BW127" s="85">
        <f t="shared" si="102"/>
        <v>2.4500290995216512</v>
      </c>
    </row>
    <row r="128" spans="25:75" x14ac:dyDescent="0.4">
      <c r="Y128" s="142">
        <v>4.4999999999999998E-2</v>
      </c>
      <c r="Z128" s="46">
        <f t="shared" si="128"/>
        <v>4.9817128883483924E-3</v>
      </c>
      <c r="AA128" s="84">
        <f t="shared" si="129"/>
        <v>5.8718174594340997</v>
      </c>
      <c r="AB128" s="84">
        <f t="shared" si="130"/>
        <v>1.4230249470757706E-2</v>
      </c>
      <c r="AC128" s="84">
        <f t="shared" si="131"/>
        <v>17.164674856964144</v>
      </c>
      <c r="AD128" s="84">
        <f t="shared" si="132"/>
        <v>8.3230211101463902E-3</v>
      </c>
      <c r="AE128" s="84">
        <f t="shared" si="133"/>
        <v>28.92374419753763</v>
      </c>
      <c r="AF128" s="84">
        <f t="shared" si="134"/>
        <v>6.4116754486456288E-3</v>
      </c>
      <c r="AG128" s="84">
        <f t="shared" si="135"/>
        <v>37.37183269833961</v>
      </c>
      <c r="AH128" s="84">
        <f t="shared" si="136"/>
        <v>5.6406166985792918E-3</v>
      </c>
      <c r="AI128" s="84">
        <f t="shared" si="137"/>
        <v>42.401186175986872</v>
      </c>
      <c r="AJ128" s="84">
        <f t="shared" si="138"/>
        <v>5.2955342791228118E-3</v>
      </c>
      <c r="AK128" s="84">
        <f t="shared" si="139"/>
        <v>45.126572726118383</v>
      </c>
      <c r="AL128" s="84">
        <f t="shared" si="140"/>
        <v>5.1331341139748783E-3</v>
      </c>
      <c r="AM128" s="84">
        <f t="shared" si="141"/>
        <v>46.536003614108111</v>
      </c>
      <c r="AN128" s="84">
        <f t="shared" si="142"/>
        <v>5.054803115504475E-3</v>
      </c>
      <c r="AO128" s="84">
        <f t="shared" si="143"/>
        <v>47.248200769674845</v>
      </c>
      <c r="AP128" s="84">
        <f t="shared" si="144"/>
        <v>5.0165615973141384E-3</v>
      </c>
      <c r="AQ128" s="84">
        <f t="shared" si="145"/>
        <v>47.603979460399231</v>
      </c>
      <c r="AR128" s="84">
        <f t="shared" si="146"/>
        <v>4.9977802579879238E-3</v>
      </c>
      <c r="AS128" s="84">
        <f t="shared" si="147"/>
        <v>47.780704999247597</v>
      </c>
      <c r="AT128" s="84">
        <f t="shared" si="148"/>
        <v>4.9885291008074121E-3</v>
      </c>
      <c r="AU128" s="84">
        <f t="shared" si="149"/>
        <v>47.868244260246811</v>
      </c>
      <c r="AV128" s="84">
        <f t="shared" si="150"/>
        <v>4.9839656162766503E-3</v>
      </c>
      <c r="AW128" s="84">
        <f t="shared" si="151"/>
        <v>47.911546037931508</v>
      </c>
      <c r="AX128" s="84">
        <f t="shared" si="152"/>
        <v>4.9817128883483924E-3</v>
      </c>
      <c r="AY128" s="142">
        <v>4.4999999999999998E-2</v>
      </c>
      <c r="AZ128" s="46">
        <f t="shared" si="79"/>
        <v>0.14043168661670055</v>
      </c>
      <c r="BA128" s="85">
        <f t="shared" si="80"/>
        <v>5.8718174594340997</v>
      </c>
      <c r="BB128" s="85">
        <f t="shared" si="81"/>
        <v>0.09</v>
      </c>
      <c r="BC128" s="85">
        <f t="shared" si="82"/>
        <v>3.3046410346890593</v>
      </c>
      <c r="BD128" s="85">
        <f t="shared" si="83"/>
        <v>0.11996833646099446</v>
      </c>
      <c r="BE128" s="85">
        <f t="shared" si="84"/>
        <v>2.6799797510951877</v>
      </c>
      <c r="BF128" s="85">
        <f t="shared" si="85"/>
        <v>0.13321803581734259</v>
      </c>
      <c r="BG128" s="85">
        <f t="shared" si="86"/>
        <v>2.496424991656184</v>
      </c>
      <c r="BH128" s="85">
        <f t="shared" si="87"/>
        <v>0.13802873938493523</v>
      </c>
      <c r="BI128" s="85">
        <f t="shared" si="88"/>
        <v>2.4388909070421461</v>
      </c>
      <c r="BJ128" s="85">
        <f t="shared" si="89"/>
        <v>0.1396473166807134</v>
      </c>
      <c r="BK128" s="85">
        <f t="shared" si="90"/>
        <v>2.4204685461749191</v>
      </c>
      <c r="BL128" s="85">
        <f t="shared" si="91"/>
        <v>0.1401777422221113</v>
      </c>
      <c r="BM128" s="85">
        <f t="shared" si="92"/>
        <v>2.4145286022862633</v>
      </c>
      <c r="BN128" s="85">
        <f t="shared" si="93"/>
        <v>0.1403500608385409</v>
      </c>
      <c r="BO128" s="85">
        <f t="shared" si="94"/>
        <v>2.4126090600504093</v>
      </c>
      <c r="BP128" s="85">
        <f t="shared" si="95"/>
        <v>0.14040588304118432</v>
      </c>
      <c r="BQ128" s="85">
        <f t="shared" si="96"/>
        <v>2.4119882914830271</v>
      </c>
      <c r="BR128" s="85">
        <f t="shared" si="97"/>
        <v>0.14042394986843151</v>
      </c>
      <c r="BS128" s="85">
        <f t="shared" si="98"/>
        <v>2.4117874912331021</v>
      </c>
      <c r="BT128" s="85">
        <f t="shared" si="99"/>
        <v>0.14042979544509346</v>
      </c>
      <c r="BU128" s="85">
        <f t="shared" si="100"/>
        <v>2.4117225333390007</v>
      </c>
      <c r="BV128" s="85">
        <f t="shared" si="101"/>
        <v>0.14043168661670055</v>
      </c>
      <c r="BW128" s="85">
        <f t="shared" si="102"/>
        <v>2.4117015192604372</v>
      </c>
    </row>
    <row r="129" spans="25:75" x14ac:dyDescent="0.4">
      <c r="Y129" s="142">
        <v>4.6399999999999997E-2</v>
      </c>
      <c r="Z129" s="46">
        <f t="shared" si="128"/>
        <v>5.1533474029959048E-3</v>
      </c>
      <c r="AA129" s="84">
        <f t="shared" si="129"/>
        <v>5.7154957871593881</v>
      </c>
      <c r="AB129" s="84">
        <f t="shared" si="130"/>
        <v>1.4672968343181278E-2</v>
      </c>
      <c r="AC129" s="84">
        <f t="shared" si="131"/>
        <v>16.665074046745332</v>
      </c>
      <c r="AD129" s="84">
        <f t="shared" si="132"/>
        <v>8.5929307372717128E-3</v>
      </c>
      <c r="AE129" s="84">
        <f t="shared" si="133"/>
        <v>28.033694380736289</v>
      </c>
      <c r="AF129" s="84">
        <f t="shared" si="134"/>
        <v>6.6252880933062438E-3</v>
      </c>
      <c r="AG129" s="84">
        <f t="shared" si="135"/>
        <v>36.185641650064611</v>
      </c>
      <c r="AH129" s="84">
        <f t="shared" si="136"/>
        <v>5.8314532196523175E-3</v>
      </c>
      <c r="AI129" s="84">
        <f t="shared" si="137"/>
        <v>41.032541556069432</v>
      </c>
      <c r="AJ129" s="84">
        <f t="shared" si="138"/>
        <v>5.4762179700223734E-3</v>
      </c>
      <c r="AK129" s="84">
        <f t="shared" si="139"/>
        <v>43.656723794017353</v>
      </c>
      <c r="AL129" s="84">
        <f t="shared" si="140"/>
        <v>5.309081160440275E-3</v>
      </c>
      <c r="AM129" s="84">
        <f t="shared" si="141"/>
        <v>45.012899786280101</v>
      </c>
      <c r="AN129" s="84">
        <f t="shared" si="142"/>
        <v>5.2284918962033694E-3</v>
      </c>
      <c r="AO129" s="84">
        <f t="shared" si="143"/>
        <v>45.697803262112743</v>
      </c>
      <c r="AP129" s="84">
        <f t="shared" si="144"/>
        <v>5.189162527240279E-3</v>
      </c>
      <c r="AQ129" s="84">
        <f t="shared" si="145"/>
        <v>46.039777297087987</v>
      </c>
      <c r="AR129" s="84">
        <f t="shared" si="146"/>
        <v>5.1698545884072645E-3</v>
      </c>
      <c r="AS129" s="84">
        <f t="shared" si="147"/>
        <v>46.209566900738601</v>
      </c>
      <c r="AT129" s="84">
        <f t="shared" si="148"/>
        <v>5.1603479491179943E-3</v>
      </c>
      <c r="AU129" s="84">
        <f t="shared" si="149"/>
        <v>46.293633006731966</v>
      </c>
      <c r="AV129" s="84">
        <f t="shared" si="150"/>
        <v>5.155660398681235E-3</v>
      </c>
      <c r="AW129" s="84">
        <f t="shared" si="151"/>
        <v>46.335198612502936</v>
      </c>
      <c r="AX129" s="84">
        <f t="shared" si="152"/>
        <v>5.1533474029959048E-3</v>
      </c>
      <c r="AY129" s="142">
        <v>4.6399999999999997E-2</v>
      </c>
      <c r="AZ129" s="46">
        <f t="shared" si="79"/>
        <v>0.14402638204898954</v>
      </c>
      <c r="BA129" s="85">
        <f t="shared" si="80"/>
        <v>5.7154957871593881</v>
      </c>
      <c r="BB129" s="85">
        <f t="shared" si="81"/>
        <v>9.2799999999999994E-2</v>
      </c>
      <c r="BC129" s="85">
        <f t="shared" si="82"/>
        <v>3.2285514208749593</v>
      </c>
      <c r="BD129" s="85">
        <f t="shared" si="83"/>
        <v>0.12347273746447654</v>
      </c>
      <c r="BE129" s="85">
        <f t="shared" si="84"/>
        <v>2.6274215120157143</v>
      </c>
      <c r="BF129" s="85">
        <f t="shared" si="85"/>
        <v>0.13687056342263623</v>
      </c>
      <c r="BG129" s="85">
        <f t="shared" si="86"/>
        <v>2.4523542255244388</v>
      </c>
      <c r="BH129" s="85">
        <f t="shared" si="87"/>
        <v>0.14167177333966016</v>
      </c>
      <c r="BI129" s="85">
        <f t="shared" si="88"/>
        <v>2.3980491051964545</v>
      </c>
      <c r="BJ129" s="85">
        <f t="shared" si="89"/>
        <v>0.14326691021575422</v>
      </c>
      <c r="BK129" s="85">
        <f t="shared" si="90"/>
        <v>2.3808533338854034</v>
      </c>
      <c r="BL129" s="85">
        <f t="shared" si="91"/>
        <v>0.14378335376473109</v>
      </c>
      <c r="BM129" s="85">
        <f t="shared" si="92"/>
        <v>2.3753720436222956</v>
      </c>
      <c r="BN129" s="85">
        <f t="shared" si="93"/>
        <v>0.14394915182724546</v>
      </c>
      <c r="BO129" s="85">
        <f t="shared" si="94"/>
        <v>2.3736211207767539</v>
      </c>
      <c r="BP129" s="85">
        <f t="shared" si="95"/>
        <v>0.14400223472932677</v>
      </c>
      <c r="BQ129" s="85">
        <f t="shared" si="96"/>
        <v>2.3730614320116419</v>
      </c>
      <c r="BR129" s="85">
        <f t="shared" si="97"/>
        <v>0.14401921525924821</v>
      </c>
      <c r="BS129" s="85">
        <f t="shared" si="98"/>
        <v>2.3728824865708344</v>
      </c>
      <c r="BT129" s="85">
        <f t="shared" si="99"/>
        <v>0.14402464559476785</v>
      </c>
      <c r="BU129" s="85">
        <f t="shared" si="100"/>
        <v>2.3728252695955288</v>
      </c>
      <c r="BV129" s="85">
        <f t="shared" si="101"/>
        <v>0.14402638204898954</v>
      </c>
      <c r="BW129" s="85">
        <f t="shared" si="102"/>
        <v>2.3728069743259415</v>
      </c>
    </row>
    <row r="130" spans="25:75" x14ac:dyDescent="0.4">
      <c r="Y130" s="142">
        <v>4.7899999999999998E-2</v>
      </c>
      <c r="Z130" s="46">
        <f t="shared" si="128"/>
        <v>5.3384263126333509E-3</v>
      </c>
      <c r="AA130" s="84">
        <f t="shared" si="129"/>
        <v>5.5582562607415387</v>
      </c>
      <c r="AB130" s="84">
        <f t="shared" si="130"/>
        <v>1.5147309992206535E-2</v>
      </c>
      <c r="AC130" s="84">
        <f t="shared" si="131"/>
        <v>16.16223878270393</v>
      </c>
      <c r="AD130" s="84">
        <f t="shared" si="132"/>
        <v>8.8828849442984196E-3</v>
      </c>
      <c r="AE130" s="84">
        <f t="shared" si="133"/>
        <v>27.137838342096771</v>
      </c>
      <c r="AF130" s="84">
        <f t="shared" si="134"/>
        <v>6.8551532928557094E-3</v>
      </c>
      <c r="AG130" s="84">
        <f t="shared" si="135"/>
        <v>34.991800519172543</v>
      </c>
      <c r="AH130" s="84">
        <f t="shared" si="136"/>
        <v>6.0370066103742773E-3</v>
      </c>
      <c r="AI130" s="84">
        <f t="shared" si="137"/>
        <v>39.655167580707101</v>
      </c>
      <c r="AJ130" s="84">
        <f t="shared" si="138"/>
        <v>5.6709380310160469E-3</v>
      </c>
      <c r="AK130" s="84">
        <f t="shared" si="139"/>
        <v>42.177570579719706</v>
      </c>
      <c r="AL130" s="84">
        <f t="shared" si="140"/>
        <v>5.4987505182244418E-3</v>
      </c>
      <c r="AM130" s="84">
        <f t="shared" si="141"/>
        <v>43.480198686196076</v>
      </c>
      <c r="AN130" s="84">
        <f t="shared" si="142"/>
        <v>5.4157553368637231E-3</v>
      </c>
      <c r="AO130" s="84">
        <f t="shared" si="143"/>
        <v>44.137662329133363</v>
      </c>
      <c r="AP130" s="84">
        <f t="shared" si="144"/>
        <v>5.3752681269071002E-3</v>
      </c>
      <c r="AQ130" s="84">
        <f t="shared" si="145"/>
        <v>44.465759588809071</v>
      </c>
      <c r="AR130" s="84">
        <f t="shared" si="146"/>
        <v>5.3554002995808191E-3</v>
      </c>
      <c r="AS130" s="84">
        <f t="shared" si="147"/>
        <v>44.62857788342793</v>
      </c>
      <c r="AT130" s="84">
        <f t="shared" si="148"/>
        <v>5.345622328504755E-3</v>
      </c>
      <c r="AU130" s="84">
        <f t="shared" si="149"/>
        <v>44.709153550500503</v>
      </c>
      <c r="AV130" s="84">
        <f t="shared" si="150"/>
        <v>5.3408031662977237E-3</v>
      </c>
      <c r="AW130" s="84">
        <f t="shared" si="151"/>
        <v>44.748974563711769</v>
      </c>
      <c r="AX130" s="84">
        <f t="shared" si="152"/>
        <v>5.3384263126333509E-3</v>
      </c>
      <c r="AY130" s="142">
        <v>4.7899999999999998E-2</v>
      </c>
      <c r="AZ130" s="46">
        <f t="shared" si="79"/>
        <v>0.14784854304639569</v>
      </c>
      <c r="BA130" s="85">
        <f t="shared" si="80"/>
        <v>5.5582562607415387</v>
      </c>
      <c r="BB130" s="85">
        <f t="shared" si="81"/>
        <v>9.5799999999999996E-2</v>
      </c>
      <c r="BC130" s="85">
        <f t="shared" si="82"/>
        <v>3.1521132072707188</v>
      </c>
      <c r="BD130" s="85">
        <f t="shared" si="83"/>
        <v>0.12721370130247708</v>
      </c>
      <c r="BE130" s="85">
        <f t="shared" si="84"/>
        <v>2.5746502698849723</v>
      </c>
      <c r="BF130" s="85">
        <f t="shared" si="85"/>
        <v>0.14075883694571589</v>
      </c>
      <c r="BG130" s="85">
        <f t="shared" si="86"/>
        <v>2.4080752687001774</v>
      </c>
      <c r="BH130" s="85">
        <f t="shared" si="87"/>
        <v>0.1455458287241608</v>
      </c>
      <c r="BI130" s="85">
        <f t="shared" si="88"/>
        <v>2.3569742495796078</v>
      </c>
      <c r="BJ130" s="85">
        <f t="shared" si="89"/>
        <v>0.14711514125495478</v>
      </c>
      <c r="BK130" s="85">
        <f t="shared" si="90"/>
        <v>2.3409834345447154</v>
      </c>
      <c r="BL130" s="85">
        <f t="shared" si="91"/>
        <v>0.14761674397569627</v>
      </c>
      <c r="BM130" s="85">
        <f t="shared" si="92"/>
        <v>2.3359478098379682</v>
      </c>
      <c r="BN130" s="85">
        <f t="shared" si="93"/>
        <v>0.14777576772262246</v>
      </c>
      <c r="BO130" s="85">
        <f t="shared" si="94"/>
        <v>2.3343588828401387</v>
      </c>
      <c r="BP130" s="85">
        <f t="shared" si="95"/>
        <v>0.14782605239952895</v>
      </c>
      <c r="BQ130" s="85">
        <f t="shared" si="96"/>
        <v>2.3338572005017237</v>
      </c>
      <c r="BR130" s="85">
        <f t="shared" si="97"/>
        <v>0.14784193977572246</v>
      </c>
      <c r="BS130" s="85">
        <f t="shared" si="98"/>
        <v>2.333698769443024</v>
      </c>
      <c r="BT130" s="85">
        <f t="shared" si="99"/>
        <v>0.14784695806639173</v>
      </c>
      <c r="BU130" s="85">
        <f t="shared" si="100"/>
        <v>2.3336487338324972</v>
      </c>
      <c r="BV130" s="85">
        <f t="shared" si="101"/>
        <v>0.14784854304639569</v>
      </c>
      <c r="BW130" s="85">
        <f t="shared" si="102"/>
        <v>2.3336329312987765</v>
      </c>
    </row>
    <row r="131" spans="25:75" x14ac:dyDescent="0.4">
      <c r="Y131" s="142">
        <v>4.9399999999999999E-2</v>
      </c>
      <c r="Z131" s="46">
        <f t="shared" si="128"/>
        <v>5.5247358673080268E-3</v>
      </c>
      <c r="AA131" s="84">
        <f t="shared" si="129"/>
        <v>5.4106726237073923</v>
      </c>
      <c r="AB131" s="84">
        <f t="shared" si="130"/>
        <v>1.5621651641231794E-2</v>
      </c>
      <c r="AC131" s="84">
        <f t="shared" si="131"/>
        <v>15.689983621858271</v>
      </c>
      <c r="AD131" s="84">
        <f t="shared" si="132"/>
        <v>9.1736323822217431E-3</v>
      </c>
      <c r="AE131" s="84">
        <f t="shared" si="133"/>
        <v>26.296424575936136</v>
      </c>
      <c r="AF131" s="84">
        <f t="shared" si="134"/>
        <v>7.0860502225002335E-3</v>
      </c>
      <c r="AG131" s="84">
        <f t="shared" si="135"/>
        <v>33.870601685040867</v>
      </c>
      <c r="AH131" s="84">
        <f t="shared" si="136"/>
        <v>6.2436869764861663E-3</v>
      </c>
      <c r="AI131" s="84">
        <f t="shared" si="137"/>
        <v>38.361702547578616</v>
      </c>
      <c r="AJ131" s="84">
        <f t="shared" si="138"/>
        <v>5.8668318480364244E-3</v>
      </c>
      <c r="AK131" s="84">
        <f t="shared" si="139"/>
        <v>40.78859808669651</v>
      </c>
      <c r="AL131" s="84">
        <f t="shared" si="140"/>
        <v>5.6896190395379319E-3</v>
      </c>
      <c r="AM131" s="84">
        <f t="shared" si="141"/>
        <v>42.040987564680208</v>
      </c>
      <c r="AN131" s="84">
        <f t="shared" si="142"/>
        <v>5.604232224693681E-3</v>
      </c>
      <c r="AO131" s="84">
        <f t="shared" si="143"/>
        <v>42.672711170505082</v>
      </c>
      <c r="AP131" s="84">
        <f t="shared" si="144"/>
        <v>5.5625952362900266E-3</v>
      </c>
      <c r="AQ131" s="84">
        <f t="shared" si="145"/>
        <v>42.987793075769545</v>
      </c>
      <c r="AR131" s="84">
        <f t="shared" si="146"/>
        <v>5.5421720371993059E-3</v>
      </c>
      <c r="AS131" s="84">
        <f t="shared" si="147"/>
        <v>43.144073679097467</v>
      </c>
      <c r="AT131" s="84">
        <f t="shared" si="148"/>
        <v>5.5321252371639791E-3</v>
      </c>
      <c r="AU131" s="84">
        <f t="shared" si="149"/>
        <v>43.221376444261807</v>
      </c>
      <c r="AV131" s="84">
        <f t="shared" si="150"/>
        <v>5.5271758348065872E-3</v>
      </c>
      <c r="AW131" s="84">
        <f t="shared" si="151"/>
        <v>43.259561814177566</v>
      </c>
      <c r="AX131" s="84">
        <f t="shared" si="152"/>
        <v>5.5247358673080268E-3</v>
      </c>
      <c r="AY131" s="142">
        <v>4.9399999999999999E-2</v>
      </c>
      <c r="AZ131" s="46">
        <f t="shared" si="79"/>
        <v>0.15164166243485316</v>
      </c>
      <c r="BA131" s="85">
        <f t="shared" si="80"/>
        <v>5.4106726237073923</v>
      </c>
      <c r="BB131" s="85">
        <f t="shared" si="81"/>
        <v>9.8799999999999999E-2</v>
      </c>
      <c r="BC131" s="85">
        <f t="shared" si="82"/>
        <v>3.0804647141714838</v>
      </c>
      <c r="BD131" s="85">
        <f t="shared" si="83"/>
        <v>0.13094063843153472</v>
      </c>
      <c r="BE131" s="85">
        <f t="shared" si="84"/>
        <v>2.525210518756043</v>
      </c>
      <c r="BF131" s="85">
        <f t="shared" si="85"/>
        <v>0.14462180529065544</v>
      </c>
      <c r="BG131" s="85">
        <f t="shared" si="86"/>
        <v>2.3665608740060895</v>
      </c>
      <c r="BH131" s="85">
        <f t="shared" si="87"/>
        <v>0.14939075882686778</v>
      </c>
      <c r="BI131" s="85">
        <f t="shared" si="88"/>
        <v>2.3184242713100991</v>
      </c>
      <c r="BJ131" s="85">
        <f t="shared" si="89"/>
        <v>0.15093366435921576</v>
      </c>
      <c r="BK131" s="85">
        <f t="shared" si="90"/>
        <v>2.3035367198845109</v>
      </c>
      <c r="BL131" s="85">
        <f t="shared" si="91"/>
        <v>0.15142061422261938</v>
      </c>
      <c r="BM131" s="85">
        <f t="shared" si="92"/>
        <v>2.298904576185953</v>
      </c>
      <c r="BN131" s="85">
        <f t="shared" si="93"/>
        <v>0.15157308881570669</v>
      </c>
      <c r="BO131" s="85">
        <f t="shared" si="94"/>
        <v>2.2974606096639527</v>
      </c>
      <c r="BP131" s="85">
        <f t="shared" si="95"/>
        <v>0.15162071359022439</v>
      </c>
      <c r="BQ131" s="85">
        <f t="shared" si="96"/>
        <v>2.2970102213698818</v>
      </c>
      <c r="BR131" s="85">
        <f t="shared" si="97"/>
        <v>0.15163557744385803</v>
      </c>
      <c r="BS131" s="85">
        <f t="shared" si="98"/>
        <v>2.2968697148106454</v>
      </c>
      <c r="BT131" s="85">
        <f t="shared" si="99"/>
        <v>0.15164021537941047</v>
      </c>
      <c r="BU131" s="85">
        <f t="shared" si="100"/>
        <v>2.2968258788105613</v>
      </c>
      <c r="BV131" s="85">
        <f t="shared" si="101"/>
        <v>0.15164166243485316</v>
      </c>
      <c r="BW131" s="85">
        <f t="shared" si="102"/>
        <v>2.2968122023731619</v>
      </c>
    </row>
    <row r="132" spans="25:75" x14ac:dyDescent="0.4">
      <c r="Y132" s="142">
        <v>5.0900000000000001E-2</v>
      </c>
      <c r="Z132" s="46">
        <f t="shared" si="128"/>
        <v>5.7122810000723506E-3</v>
      </c>
      <c r="AA132" s="84">
        <f t="shared" si="129"/>
        <v>5.271890016409313</v>
      </c>
      <c r="AB132" s="84">
        <f t="shared" si="130"/>
        <v>1.609599329025705E-2</v>
      </c>
      <c r="AC132" s="84">
        <f t="shared" si="131"/>
        <v>15.245604864155782</v>
      </c>
      <c r="AD132" s="84">
        <f t="shared" si="132"/>
        <v>9.4651744607694797E-3</v>
      </c>
      <c r="AE132" s="84">
        <f t="shared" si="133"/>
        <v>25.504644075877767</v>
      </c>
      <c r="AF132" s="84">
        <f t="shared" si="134"/>
        <v>7.3179817045400065E-3</v>
      </c>
      <c r="AG132" s="84">
        <f t="shared" si="135"/>
        <v>32.815631177607905</v>
      </c>
      <c r="AH132" s="84">
        <f t="shared" si="136"/>
        <v>6.4514980751417062E-3</v>
      </c>
      <c r="AI132" s="84">
        <f t="shared" si="137"/>
        <v>37.144738992498702</v>
      </c>
      <c r="AJ132" s="84">
        <f t="shared" si="138"/>
        <v>6.0639037248422841E-3</v>
      </c>
      <c r="AK132" s="84">
        <f t="shared" si="139"/>
        <v>39.481845766908769</v>
      </c>
      <c r="AL132" s="84">
        <f t="shared" si="140"/>
        <v>5.8816913312770462E-3</v>
      </c>
      <c r="AM132" s="84">
        <f t="shared" si="141"/>
        <v>40.687014019590762</v>
      </c>
      <c r="AN132" s="84">
        <f t="shared" si="142"/>
        <v>5.7939273289046717E-3</v>
      </c>
      <c r="AO132" s="84">
        <f t="shared" si="143"/>
        <v>41.294547463330417</v>
      </c>
      <c r="AP132" s="84">
        <f t="shared" si="144"/>
        <v>5.7511487090732309E-3</v>
      </c>
      <c r="AQ132" s="84">
        <f t="shared" si="145"/>
        <v>41.597399454057978</v>
      </c>
      <c r="AR132" s="84">
        <f t="shared" si="146"/>
        <v>5.7301746978266083E-3</v>
      </c>
      <c r="AS132" s="84">
        <f t="shared" si="147"/>
        <v>41.747537734929075</v>
      </c>
      <c r="AT132" s="84">
        <f t="shared" si="148"/>
        <v>5.719861592932471E-3</v>
      </c>
      <c r="AU132" s="84">
        <f t="shared" si="149"/>
        <v>41.821765945514571</v>
      </c>
      <c r="AV132" s="84">
        <f t="shared" si="150"/>
        <v>5.7147833323660134E-3</v>
      </c>
      <c r="AW132" s="84">
        <f t="shared" si="151"/>
        <v>41.858415010053228</v>
      </c>
      <c r="AX132" s="84">
        <f t="shared" si="152"/>
        <v>5.7122810000723506E-3</v>
      </c>
      <c r="AY132" s="142">
        <v>5.0900000000000001E-2</v>
      </c>
      <c r="AZ132" s="46">
        <f t="shared" si="79"/>
        <v>0.15540696921455893</v>
      </c>
      <c r="BA132" s="85">
        <f t="shared" si="80"/>
        <v>5.271890016409313</v>
      </c>
      <c r="BB132" s="85">
        <f t="shared" si="81"/>
        <v>0.1018</v>
      </c>
      <c r="BC132" s="85">
        <f t="shared" si="82"/>
        <v>3.0131792045949601</v>
      </c>
      <c r="BD132" s="85">
        <f t="shared" si="83"/>
        <v>0.13465375472421864</v>
      </c>
      <c r="BE132" s="85">
        <f t="shared" si="84"/>
        <v>2.4788024973180689</v>
      </c>
      <c r="BF132" s="85">
        <f t="shared" si="85"/>
        <v>0.14846018115296244</v>
      </c>
      <c r="BG132" s="85">
        <f t="shared" si="86"/>
        <v>2.3275613469683329</v>
      </c>
      <c r="BH132" s="85">
        <f t="shared" si="87"/>
        <v>0.15320762506825966</v>
      </c>
      <c r="BI132" s="85">
        <f t="shared" si="88"/>
        <v>2.2821717674952691</v>
      </c>
      <c r="BJ132" s="85">
        <f t="shared" si="89"/>
        <v>0.15472367934491763</v>
      </c>
      <c r="BK132" s="85">
        <f t="shared" si="90"/>
        <v>2.2682959866681025</v>
      </c>
      <c r="BL132" s="85">
        <f t="shared" si="91"/>
        <v>0.15519620113437138</v>
      </c>
      <c r="BM132" s="85">
        <f t="shared" si="92"/>
        <v>2.2640297388691648</v>
      </c>
      <c r="BN132" s="85">
        <f t="shared" si="93"/>
        <v>0.15534235509656377</v>
      </c>
      <c r="BO132" s="85">
        <f t="shared" si="94"/>
        <v>2.2627157155520963</v>
      </c>
      <c r="BP132" s="85">
        <f t="shared" si="95"/>
        <v>0.15538745440993493</v>
      </c>
      <c r="BQ132" s="85">
        <f t="shared" si="96"/>
        <v>2.2623107695991767</v>
      </c>
      <c r="BR132" s="85">
        <f t="shared" si="97"/>
        <v>0.15540136070126351</v>
      </c>
      <c r="BS132" s="85">
        <f t="shared" si="98"/>
        <v>2.2621859553632397</v>
      </c>
      <c r="BT132" s="85">
        <f t="shared" si="99"/>
        <v>0.155405647712797</v>
      </c>
      <c r="BU132" s="85">
        <f t="shared" si="100"/>
        <v>2.2621474825710552</v>
      </c>
      <c r="BV132" s="85">
        <f t="shared" si="101"/>
        <v>0.15540696921455893</v>
      </c>
      <c r="BW132" s="85">
        <f t="shared" si="102"/>
        <v>2.2621356235119383</v>
      </c>
    </row>
    <row r="133" spans="25:75" x14ac:dyDescent="0.4">
      <c r="Y133" s="142">
        <v>5.2499999999999998E-2</v>
      </c>
      <c r="Z133" s="46">
        <f t="shared" si="128"/>
        <v>5.9136963696154888E-3</v>
      </c>
      <c r="AA133" s="84">
        <f t="shared" si="129"/>
        <v>5.1327046698712149</v>
      </c>
      <c r="AB133" s="84">
        <f t="shared" si="130"/>
        <v>1.6601957715883991E-2</v>
      </c>
      <c r="AC133" s="84">
        <f t="shared" si="131"/>
        <v>14.799634496653837</v>
      </c>
      <c r="AD133" s="84">
        <f t="shared" si="132"/>
        <v>9.7770299724393873E-3</v>
      </c>
      <c r="AE133" s="84">
        <f t="shared" si="133"/>
        <v>24.709996154298796</v>
      </c>
      <c r="AF133" s="84">
        <f t="shared" si="134"/>
        <v>7.5665185753554277E-3</v>
      </c>
      <c r="AG133" s="84">
        <f t="shared" si="135"/>
        <v>31.756940306543189</v>
      </c>
      <c r="AH133" s="84">
        <f t="shared" si="136"/>
        <v>6.674413594265881E-3</v>
      </c>
      <c r="AI133" s="84">
        <f t="shared" si="137"/>
        <v>35.923589386031786</v>
      </c>
      <c r="AJ133" s="84">
        <f t="shared" si="138"/>
        <v>6.2754168521786842E-3</v>
      </c>
      <c r="AK133" s="84">
        <f t="shared" si="139"/>
        <v>38.170673912373971</v>
      </c>
      <c r="AL133" s="84">
        <f t="shared" si="140"/>
        <v>6.0879002467268371E-3</v>
      </c>
      <c r="AM133" s="84">
        <f t="shared" si="141"/>
        <v>39.328508035084276</v>
      </c>
      <c r="AN133" s="84">
        <f t="shared" si="142"/>
        <v>5.997616682147538E-3</v>
      </c>
      <c r="AO133" s="84">
        <f t="shared" si="143"/>
        <v>39.911797631662623</v>
      </c>
      <c r="AP133" s="84">
        <f t="shared" si="144"/>
        <v>5.9536293963941018E-3</v>
      </c>
      <c r="AQ133" s="84">
        <f t="shared" si="145"/>
        <v>40.202394435512481</v>
      </c>
      <c r="AR133" s="84">
        <f t="shared" si="146"/>
        <v>5.9320729256970104E-3</v>
      </c>
      <c r="AS133" s="84">
        <f t="shared" si="147"/>
        <v>40.346378595583381</v>
      </c>
      <c r="AT133" s="84">
        <f t="shared" si="148"/>
        <v>5.9214785680498684E-3</v>
      </c>
      <c r="AU133" s="84">
        <f t="shared" si="149"/>
        <v>40.417526791835947</v>
      </c>
      <c r="AV133" s="84">
        <f t="shared" si="150"/>
        <v>5.9162643933590156E-3</v>
      </c>
      <c r="AW133" s="84">
        <f t="shared" si="151"/>
        <v>40.45263705048594</v>
      </c>
      <c r="AX133" s="84">
        <f t="shared" si="152"/>
        <v>5.9136963696154888E-3</v>
      </c>
      <c r="AY133" s="142">
        <v>5.2499999999999998E-2</v>
      </c>
      <c r="AZ133" s="46">
        <f t="shared" ref="AZ133:AZ196" si="153">BV133</f>
        <v>0.15939395249993746</v>
      </c>
      <c r="BA133" s="85">
        <f t="shared" ref="BA133:BA196" si="154">(1+0.0712/$AY133*(2.514+0.8*EXP(-0.55*$AY133/0.0712)))</f>
        <v>5.1327046698712149</v>
      </c>
      <c r="BB133" s="85">
        <f t="shared" ref="BB133:BB196" si="155">AY133*SQRT($AZ$1/(1*1))</f>
        <v>0.105</v>
      </c>
      <c r="BC133" s="85">
        <f t="shared" ref="BC133:BC196" si="156">(1+0.0712/BB133*(2.514+0.8*EXP(-0.55*BB133/0.0712)))</f>
        <v>2.9457921096030875</v>
      </c>
      <c r="BD133" s="85">
        <f t="shared" ref="BD133:BD196" si="157">$AY133*SQRT(($AZ$1*$BA133)/(1*1*BC133))</f>
        <v>0.13859941265613659</v>
      </c>
      <c r="BE133" s="85">
        <f t="shared" ref="BE133:BE196" si="158">(1+0.0712/BD133*(2.514+0.8*EXP(-0.55*BD133/0.0712)))</f>
        <v>2.4323439854325324</v>
      </c>
      <c r="BF133" s="85">
        <f t="shared" ref="BF133:BF196" si="159">$AY133*SQRT(($AZ$1*$BA133)/(1*1*BE133))</f>
        <v>0.15252812809883728</v>
      </c>
      <c r="BG133" s="85">
        <f t="shared" ref="BG133:BG196" si="160">(1+0.0712/BF133*(2.514+0.8*EXP(-0.55*BF133/0.0712)))</f>
        <v>2.2884855053747271</v>
      </c>
      <c r="BH133" s="85">
        <f t="shared" ref="BH133:BH196" si="161">$AY133*SQRT(($AZ$1*$BA133)/(1*1*BG133))</f>
        <v>0.15724916721292095</v>
      </c>
      <c r="BI133" s="85">
        <f t="shared" ref="BI133:BI196" si="162">(1+0.0712/BH133*(2.514+0.8*EXP(-0.55*BH133/0.0712)))</f>
        <v>2.2458086830295616</v>
      </c>
      <c r="BJ133" s="85">
        <f t="shared" ref="BJ133:BJ196" si="163">$AY133*SQRT(($AZ$1*$BA133)/(1*1*BI133))</f>
        <v>0.15873622900488518</v>
      </c>
      <c r="BK133" s="85">
        <f t="shared" ref="BK133:BK196" si="164">(1+0.0712/BJ133*(2.514+0.8*EXP(-0.55*BJ133/0.0712)))</f>
        <v>2.2329213917539503</v>
      </c>
      <c r="BL133" s="85">
        <f t="shared" ref="BL133:BL196" si="165">$AY133*SQRT(($AZ$1*$BA133)/(1*1*BK133))</f>
        <v>0.15919364252079027</v>
      </c>
      <c r="BM133" s="85">
        <f t="shared" ref="BM133:BM196" si="166">(1+0.0712/BL133*(2.514+0.8*EXP(-0.55*BL133/0.0712)))</f>
        <v>2.2290085315168562</v>
      </c>
      <c r="BN133" s="85">
        <f t="shared" ref="BN133:BN196" si="167">$AY133*SQRT(($AZ$1*$BA133)/(1*1*BM133))</f>
        <v>0.15933330760951431</v>
      </c>
      <c r="BO133" s="85">
        <f t="shared" ref="BO133:BO196" si="168">(1+0.0712/BN133*(2.514+0.8*EXP(-0.55*BN133/0.0712)))</f>
        <v>2.2278185294430521</v>
      </c>
      <c r="BP133" s="85">
        <f t="shared" ref="BP133:BP196" si="169">$AY133*SQRT(($AZ$1*$BA133)/(1*1*BO133))</f>
        <v>0.1593758563294444</v>
      </c>
      <c r="BQ133" s="85">
        <f t="shared" ref="BQ133:BQ196" si="170">(1+0.0712/BP133*(2.514+0.8*EXP(-0.55*BP133/0.0712)))</f>
        <v>2.2274564360678593</v>
      </c>
      <c r="BR133" s="85">
        <f t="shared" ref="BR133:BR196" si="171">$AY133*SQRT(($AZ$1*$BA133)/(1*1*BQ133))</f>
        <v>0.15938880980312856</v>
      </c>
      <c r="BS133" s="85">
        <f t="shared" ref="BS133:BS196" si="172">(1+0.0712/BR133*(2.514+0.8*EXP(-0.55*BR133/0.0712)))</f>
        <v>2.2273462414837026</v>
      </c>
      <c r="BT133" s="85">
        <f t="shared" ref="BT133:BT196" si="173">$AY133*SQRT(($AZ$1*$BA133)/(1*1*BS133))</f>
        <v>0.15939275251442742</v>
      </c>
      <c r="BU133" s="85">
        <f t="shared" ref="BU133:BU196" si="174">(1+0.0712/BT133*(2.514+0.8*EXP(-0.55*BT133/0.0712)))</f>
        <v>2.2273127047890817</v>
      </c>
      <c r="BV133" s="85">
        <f t="shared" ref="BV133:BV196" si="175">$AY133*SQRT(($AZ$1*$BA133)/(1*1*BU133))</f>
        <v>0.15939395249993746</v>
      </c>
      <c r="BW133" s="85">
        <f t="shared" ref="BW133:BW196" si="176">(1+0.0712/BV133*(2.514+0.8*EXP(-0.55*BV133/0.0712)))</f>
        <v>2.2273024980632021</v>
      </c>
    </row>
    <row r="134" spans="25:75" x14ac:dyDescent="0.4">
      <c r="Y134" s="142">
        <v>5.4100000000000002E-2</v>
      </c>
      <c r="Z134" s="46">
        <f t="shared" si="128"/>
        <v>6.1165284857964807E-3</v>
      </c>
      <c r="AA134" s="84">
        <f t="shared" si="129"/>
        <v>5.0018593132118854</v>
      </c>
      <c r="AB134" s="84">
        <f t="shared" si="130"/>
        <v>1.7107922141510933E-2</v>
      </c>
      <c r="AC134" s="84">
        <f t="shared" si="131"/>
        <v>14.380087891331799</v>
      </c>
      <c r="AD134" s="84">
        <f t="shared" si="132"/>
        <v>1.0089792408480718E-2</v>
      </c>
      <c r="AE134" s="84">
        <f t="shared" si="133"/>
        <v>23.962404261487784</v>
      </c>
      <c r="AF134" s="84">
        <f t="shared" si="134"/>
        <v>7.8162385564259449E-3</v>
      </c>
      <c r="AG134" s="84">
        <f t="shared" si="135"/>
        <v>30.761044229497408</v>
      </c>
      <c r="AH134" s="84">
        <f t="shared" si="136"/>
        <v>6.8986238279012567E-3</v>
      </c>
      <c r="AI134" s="84">
        <f t="shared" si="137"/>
        <v>34.77497767483078</v>
      </c>
      <c r="AJ134" s="84">
        <f t="shared" si="138"/>
        <v>6.4882798179580169E-3</v>
      </c>
      <c r="AK134" s="84">
        <f t="shared" si="139"/>
        <v>36.937463484264178</v>
      </c>
      <c r="AL134" s="84">
        <f t="shared" si="140"/>
        <v>6.295488961354517E-3</v>
      </c>
      <c r="AM134" s="84">
        <f t="shared" si="141"/>
        <v>38.05082508233717</v>
      </c>
      <c r="AN134" s="84">
        <f t="shared" si="142"/>
        <v>6.2027026491016978E-3</v>
      </c>
      <c r="AO134" s="84">
        <f t="shared" si="143"/>
        <v>38.611340657345451</v>
      </c>
      <c r="AP134" s="84">
        <f t="shared" si="144"/>
        <v>6.1575161631666365E-3</v>
      </c>
      <c r="AQ134" s="84">
        <f t="shared" si="145"/>
        <v>38.890427136784616</v>
      </c>
      <c r="AR134" s="84">
        <f t="shared" si="146"/>
        <v>6.1353825200547432E-3</v>
      </c>
      <c r="AS134" s="84">
        <f t="shared" si="147"/>
        <v>39.02863211469051</v>
      </c>
      <c r="AT134" s="84">
        <f t="shared" si="148"/>
        <v>6.1245098304949118E-3</v>
      </c>
      <c r="AU134" s="84">
        <f t="shared" si="149"/>
        <v>39.096888392227932</v>
      </c>
      <c r="AV134" s="84">
        <f t="shared" si="150"/>
        <v>6.1191613376376363E-3</v>
      </c>
      <c r="AW134" s="84">
        <f t="shared" si="151"/>
        <v>39.130554047257014</v>
      </c>
      <c r="AX134" s="84">
        <f t="shared" si="152"/>
        <v>6.1165284857964807E-3</v>
      </c>
      <c r="AY134" s="142">
        <v>5.4100000000000002E-2</v>
      </c>
      <c r="AZ134" s="46">
        <f t="shared" si="153"/>
        <v>0.16335195548372969</v>
      </c>
      <c r="BA134" s="85">
        <f t="shared" si="154"/>
        <v>5.0018593132118854</v>
      </c>
      <c r="BB134" s="85">
        <f t="shared" si="155"/>
        <v>0.1082</v>
      </c>
      <c r="BC134" s="85">
        <f t="shared" si="156"/>
        <v>2.882533889870599</v>
      </c>
      <c r="BD134" s="85">
        <f t="shared" si="157"/>
        <v>0.14252983615054698</v>
      </c>
      <c r="BE134" s="85">
        <f t="shared" si="158"/>
        <v>2.3887487390588564</v>
      </c>
      <c r="BF134" s="85">
        <f t="shared" si="159"/>
        <v>0.15656971515440826</v>
      </c>
      <c r="BG134" s="85">
        <f t="shared" si="160"/>
        <v>2.2517832148879644</v>
      </c>
      <c r="BH134" s="85">
        <f t="shared" si="161"/>
        <v>0.16126113349980806</v>
      </c>
      <c r="BI134" s="85">
        <f t="shared" si="162"/>
        <v>2.2116154895974347</v>
      </c>
      <c r="BJ134" s="85">
        <f t="shared" si="163"/>
        <v>0.16271896957258603</v>
      </c>
      <c r="BK134" s="85">
        <f t="shared" si="164"/>
        <v>2.1996324257646163</v>
      </c>
      <c r="BL134" s="85">
        <f t="shared" si="165"/>
        <v>0.16316159429894353</v>
      </c>
      <c r="BM134" s="85">
        <f t="shared" si="166"/>
        <v>2.1960390332924731</v>
      </c>
      <c r="BN134" s="85">
        <f t="shared" si="167"/>
        <v>0.16329503090657094</v>
      </c>
      <c r="BO134" s="85">
        <f t="shared" si="168"/>
        <v>2.1949597937494891</v>
      </c>
      <c r="BP134" s="85">
        <f t="shared" si="169"/>
        <v>0.16333517123104935</v>
      </c>
      <c r="BQ134" s="85">
        <f t="shared" si="170"/>
        <v>2.1946355030759688</v>
      </c>
      <c r="BR134" s="85">
        <f t="shared" si="171"/>
        <v>0.16334723840941437</v>
      </c>
      <c r="BS134" s="85">
        <f t="shared" si="172"/>
        <v>2.1945380462611199</v>
      </c>
      <c r="BT134" s="85">
        <f t="shared" si="173"/>
        <v>0.16335086539707619</v>
      </c>
      <c r="BU134" s="85">
        <f t="shared" si="174"/>
        <v>2.1945087570047317</v>
      </c>
      <c r="BV134" s="85">
        <f t="shared" si="175"/>
        <v>0.16335195548372969</v>
      </c>
      <c r="BW134" s="85">
        <f t="shared" si="176"/>
        <v>2.1944999544243124</v>
      </c>
    </row>
    <row r="135" spans="25:75" x14ac:dyDescent="0.4">
      <c r="Y135" s="142">
        <v>5.5800000000000002E-2</v>
      </c>
      <c r="Z135" s="46">
        <f t="shared" si="128"/>
        <v>6.3335958674064323E-3</v>
      </c>
      <c r="AA135" s="84">
        <f t="shared" si="129"/>
        <v>4.8711703925159888</v>
      </c>
      <c r="AB135" s="84">
        <f t="shared" si="130"/>
        <v>1.7645509343739558E-2</v>
      </c>
      <c r="AC135" s="84">
        <f t="shared" si="131"/>
        <v>13.960729600217796</v>
      </c>
      <c r="AD135" s="84">
        <f t="shared" si="132"/>
        <v>1.0423097538356687E-2</v>
      </c>
      <c r="AE135" s="84">
        <f t="shared" si="133"/>
        <v>23.215124422923211</v>
      </c>
      <c r="AF135" s="84">
        <f t="shared" si="134"/>
        <v>8.0828654937497458E-3</v>
      </c>
      <c r="AG135" s="84">
        <f t="shared" si="135"/>
        <v>29.765676367551666</v>
      </c>
      <c r="AH135" s="84">
        <f t="shared" si="136"/>
        <v>7.1382701817567108E-3</v>
      </c>
      <c r="AI135" s="84">
        <f t="shared" si="137"/>
        <v>33.627090310905331</v>
      </c>
      <c r="AJ135" s="84">
        <f t="shared" si="138"/>
        <v>6.7159308296056942E-3</v>
      </c>
      <c r="AK135" s="84">
        <f t="shared" si="139"/>
        <v>35.705112194019328</v>
      </c>
      <c r="AL135" s="84">
        <f t="shared" si="140"/>
        <v>6.5175693143385951E-3</v>
      </c>
      <c r="AM135" s="84">
        <f t="shared" si="141"/>
        <v>36.774082605652978</v>
      </c>
      <c r="AN135" s="84">
        <f t="shared" si="142"/>
        <v>6.4221424724839457E-3</v>
      </c>
      <c r="AO135" s="84">
        <f t="shared" si="143"/>
        <v>37.311870215574245</v>
      </c>
      <c r="AP135" s="84">
        <f t="shared" si="144"/>
        <v>6.3756923197232822E-3</v>
      </c>
      <c r="AQ135" s="84">
        <f t="shared" si="145"/>
        <v>37.579471632301605</v>
      </c>
      <c r="AR135" s="84">
        <f t="shared" si="146"/>
        <v>6.352951280180234E-3</v>
      </c>
      <c r="AS135" s="84">
        <f t="shared" si="147"/>
        <v>37.711911061435607</v>
      </c>
      <c r="AT135" s="84">
        <f t="shared" si="148"/>
        <v>6.3417860909458761E-3</v>
      </c>
      <c r="AU135" s="84">
        <f t="shared" si="149"/>
        <v>37.777282716125413</v>
      </c>
      <c r="AV135" s="84">
        <f t="shared" si="150"/>
        <v>6.3362966469554414E-3</v>
      </c>
      <c r="AW135" s="84">
        <f t="shared" si="151"/>
        <v>37.809507653803252</v>
      </c>
      <c r="AX135" s="84">
        <f t="shared" si="152"/>
        <v>6.3335958674064323E-3</v>
      </c>
      <c r="AY135" s="142">
        <v>5.5800000000000002E-2</v>
      </c>
      <c r="AZ135" s="46">
        <f t="shared" si="153"/>
        <v>0.16752699578561606</v>
      </c>
      <c r="BA135" s="85">
        <f t="shared" si="154"/>
        <v>4.8711703925159888</v>
      </c>
      <c r="BB135" s="85">
        <f t="shared" si="155"/>
        <v>0.1116</v>
      </c>
      <c r="BC135" s="85">
        <f t="shared" si="156"/>
        <v>2.8194449987000016</v>
      </c>
      <c r="BD135" s="85">
        <f t="shared" si="157"/>
        <v>0.14668950459291716</v>
      </c>
      <c r="BE135" s="85">
        <f t="shared" si="158"/>
        <v>2.3452849080061871</v>
      </c>
      <c r="BF135" s="85">
        <f t="shared" si="159"/>
        <v>0.16083592119696991</v>
      </c>
      <c r="BG135" s="85">
        <f t="shared" si="160"/>
        <v>2.2151539816981063</v>
      </c>
      <c r="BH135" s="85">
        <f t="shared" si="161"/>
        <v>0.1654927203702406</v>
      </c>
      <c r="BI135" s="85">
        <f t="shared" si="162"/>
        <v>2.1774500119641469</v>
      </c>
      <c r="BJ135" s="85">
        <f t="shared" si="163"/>
        <v>0.16691937829181905</v>
      </c>
      <c r="BK135" s="85">
        <f t="shared" si="164"/>
        <v>2.1663448125035512</v>
      </c>
      <c r="BL135" s="85">
        <f t="shared" si="165"/>
        <v>0.16734666564152076</v>
      </c>
      <c r="BM135" s="85">
        <f t="shared" si="166"/>
        <v>2.1630578484062122</v>
      </c>
      <c r="BN135" s="85">
        <f t="shared" si="167"/>
        <v>0.16747376665115085</v>
      </c>
      <c r="BO135" s="85">
        <f t="shared" si="168"/>
        <v>2.1620835402464897</v>
      </c>
      <c r="BP135" s="85">
        <f t="shared" si="169"/>
        <v>0.16751149708013019</v>
      </c>
      <c r="BQ135" s="85">
        <f t="shared" si="170"/>
        <v>2.1617946149882981</v>
      </c>
      <c r="BR135" s="85">
        <f t="shared" si="171"/>
        <v>0.16752269071647297</v>
      </c>
      <c r="BS135" s="85">
        <f t="shared" si="172"/>
        <v>2.1617089249398411</v>
      </c>
      <c r="BT135" s="85">
        <f t="shared" si="173"/>
        <v>0.16752601097968328</v>
      </c>
      <c r="BU135" s="85">
        <f t="shared" si="174"/>
        <v>2.1616835098417315</v>
      </c>
      <c r="BV135" s="85">
        <f t="shared" si="175"/>
        <v>0.16752699578561606</v>
      </c>
      <c r="BW135" s="85">
        <f t="shared" si="176"/>
        <v>2.1616759718077025</v>
      </c>
    </row>
    <row r="136" spans="25:75" x14ac:dyDescent="0.4">
      <c r="Y136" s="142">
        <v>5.7500000000000002E-2</v>
      </c>
      <c r="Z136" s="46">
        <f t="shared" si="128"/>
        <v>6.5522746768190603E-3</v>
      </c>
      <c r="AA136" s="84">
        <f t="shared" si="129"/>
        <v>4.7483201774637678</v>
      </c>
      <c r="AB136" s="84">
        <f t="shared" si="130"/>
        <v>1.818309654596818E-2</v>
      </c>
      <c r="AC136" s="84">
        <f t="shared" si="131"/>
        <v>13.566215284930568</v>
      </c>
      <c r="AD136" s="84">
        <f t="shared" si="132"/>
        <v>1.0757429043519043E-2</v>
      </c>
      <c r="AE136" s="84">
        <f t="shared" si="133"/>
        <v>22.512097084024834</v>
      </c>
      <c r="AF136" s="84">
        <f t="shared" si="134"/>
        <v>8.3508342927976001E-3</v>
      </c>
      <c r="AG136" s="84">
        <f t="shared" si="135"/>
        <v>28.829367672703587</v>
      </c>
      <c r="AH136" s="84">
        <f t="shared" si="136"/>
        <v>7.3793869525877768E-3</v>
      </c>
      <c r="AI136" s="84">
        <f t="shared" si="137"/>
        <v>32.54742813700949</v>
      </c>
      <c r="AJ136" s="84">
        <f t="shared" si="138"/>
        <v>6.9451160033174855E-3</v>
      </c>
      <c r="AK136" s="84">
        <f t="shared" si="139"/>
        <v>34.546088240934303</v>
      </c>
      <c r="AL136" s="84">
        <f t="shared" si="140"/>
        <v>6.7412184926597899E-3</v>
      </c>
      <c r="AM136" s="84">
        <f t="shared" si="141"/>
        <v>35.573359424105817</v>
      </c>
      <c r="AN136" s="84">
        <f t="shared" si="142"/>
        <v>6.6431705511175668E-3</v>
      </c>
      <c r="AO136" s="84">
        <f t="shared" si="143"/>
        <v>36.089801725931238</v>
      </c>
      <c r="AP136" s="84">
        <f t="shared" si="144"/>
        <v>6.5954676487779799E-3</v>
      </c>
      <c r="AQ136" s="84">
        <f t="shared" si="145"/>
        <v>36.346618755016273</v>
      </c>
      <c r="AR136" s="84">
        <f t="shared" si="146"/>
        <v>6.5721252976158042E-3</v>
      </c>
      <c r="AS136" s="84">
        <f t="shared" si="147"/>
        <v>36.473645325678987</v>
      </c>
      <c r="AT136" s="84">
        <f t="shared" si="148"/>
        <v>6.5606709630133065E-3</v>
      </c>
      <c r="AU136" s="84">
        <f t="shared" si="149"/>
        <v>36.536309288835831</v>
      </c>
      <c r="AV136" s="84">
        <f t="shared" si="150"/>
        <v>6.5550423967824616E-3</v>
      </c>
      <c r="AW136" s="84">
        <f t="shared" si="151"/>
        <v>36.567182118478208</v>
      </c>
      <c r="AX136" s="84">
        <f t="shared" si="152"/>
        <v>6.5522746768190603E-3</v>
      </c>
      <c r="AY136" s="142">
        <v>5.7500000000000002E-2</v>
      </c>
      <c r="AZ136" s="46">
        <f t="shared" si="153"/>
        <v>0.17167218571579868</v>
      </c>
      <c r="BA136" s="85">
        <f t="shared" si="154"/>
        <v>4.7483201774637678</v>
      </c>
      <c r="BB136" s="85">
        <f t="shared" si="155"/>
        <v>0.115</v>
      </c>
      <c r="BC136" s="85">
        <f t="shared" si="156"/>
        <v>2.7602308671392848</v>
      </c>
      <c r="BD136" s="85">
        <f t="shared" si="157"/>
        <v>0.15083257107538492</v>
      </c>
      <c r="BE136" s="85">
        <f t="shared" si="158"/>
        <v>2.3045023343096829</v>
      </c>
      <c r="BF136" s="85">
        <f t="shared" si="159"/>
        <v>0.16507422308467015</v>
      </c>
      <c r="BG136" s="85">
        <f t="shared" si="160"/>
        <v>2.1807462433218268</v>
      </c>
      <c r="BH136" s="85">
        <f t="shared" si="161"/>
        <v>0.16969352515381464</v>
      </c>
      <c r="BI136" s="85">
        <f t="shared" si="162"/>
        <v>2.1453172733472807</v>
      </c>
      <c r="BJ136" s="85">
        <f t="shared" si="163"/>
        <v>0.17108899427417765</v>
      </c>
      <c r="BK136" s="85">
        <f t="shared" si="164"/>
        <v>2.1350132856469175</v>
      </c>
      <c r="BL136" s="85">
        <f t="shared" si="165"/>
        <v>0.17150135165829769</v>
      </c>
      <c r="BM136" s="85">
        <f t="shared" si="166"/>
        <v>2.1320025558436995</v>
      </c>
      <c r="BN136" s="85">
        <f t="shared" si="167"/>
        <v>0.1716224026550896</v>
      </c>
      <c r="BO136" s="85">
        <f t="shared" si="168"/>
        <v>2.131121647723087</v>
      </c>
      <c r="BP136" s="85">
        <f t="shared" si="169"/>
        <v>0.17165786941234304</v>
      </c>
      <c r="BQ136" s="85">
        <f t="shared" si="170"/>
        <v>2.1308638001995517</v>
      </c>
      <c r="BR136" s="85">
        <f t="shared" si="171"/>
        <v>0.17166825492305013</v>
      </c>
      <c r="BS136" s="85">
        <f t="shared" si="172"/>
        <v>2.1307883177261497</v>
      </c>
      <c r="BT136" s="85">
        <f t="shared" si="173"/>
        <v>0.17167129554177857</v>
      </c>
      <c r="BU136" s="85">
        <f t="shared" si="174"/>
        <v>2.1307662201746194</v>
      </c>
      <c r="BV136" s="85">
        <f t="shared" si="175"/>
        <v>0.17167218571579868</v>
      </c>
      <c r="BW136" s="85">
        <f t="shared" si="176"/>
        <v>2.1307597510347263</v>
      </c>
    </row>
    <row r="137" spans="25:75" x14ac:dyDescent="0.4">
      <c r="Y137" s="142">
        <v>5.9299999999999999E-2</v>
      </c>
      <c r="Z137" s="46">
        <f t="shared" si="128"/>
        <v>6.7855797694754711E-3</v>
      </c>
      <c r="AA137" s="84">
        <f t="shared" si="129"/>
        <v>4.6260366229898082</v>
      </c>
      <c r="AB137" s="84">
        <f t="shared" si="130"/>
        <v>1.8752306524798489E-2</v>
      </c>
      <c r="AC137" s="84">
        <f t="shared" si="131"/>
        <v>13.173198552486781</v>
      </c>
      <c r="AD137" s="84">
        <f t="shared" si="132"/>
        <v>1.1112546922986336E-2</v>
      </c>
      <c r="AE137" s="84">
        <f t="shared" si="133"/>
        <v>21.811724272594969</v>
      </c>
      <c r="AF137" s="84">
        <f t="shared" si="134"/>
        <v>8.6360316871071478E-3</v>
      </c>
      <c r="AG137" s="84">
        <f t="shared" si="135"/>
        <v>27.896719267372514</v>
      </c>
      <c r="AH137" s="84">
        <f t="shared" si="136"/>
        <v>7.636294354026814E-3</v>
      </c>
      <c r="AI137" s="84">
        <f t="shared" si="137"/>
        <v>31.472111060284561</v>
      </c>
      <c r="AJ137" s="84">
        <f t="shared" si="138"/>
        <v>7.1894602870799171E-3</v>
      </c>
      <c r="AK137" s="84">
        <f t="shared" si="139"/>
        <v>33.39181600708654</v>
      </c>
      <c r="AL137" s="84">
        <f t="shared" si="140"/>
        <v>6.979739391855525E-3</v>
      </c>
      <c r="AM137" s="84">
        <f t="shared" si="141"/>
        <v>34.377612632776582</v>
      </c>
      <c r="AN137" s="84">
        <f t="shared" si="142"/>
        <v>6.8789375992053129E-3</v>
      </c>
      <c r="AO137" s="84">
        <f t="shared" si="143"/>
        <v>34.872829265928935</v>
      </c>
      <c r="AP137" s="84">
        <f t="shared" si="144"/>
        <v>6.8299202857077922E-3</v>
      </c>
      <c r="AQ137" s="84">
        <f t="shared" si="145"/>
        <v>35.118924442944113</v>
      </c>
      <c r="AR137" s="84">
        <f t="shared" si="146"/>
        <v>6.8059479489635775E-3</v>
      </c>
      <c r="AS137" s="84">
        <f t="shared" si="147"/>
        <v>35.240570543846147</v>
      </c>
      <c r="AT137" s="84">
        <f t="shared" si="148"/>
        <v>6.794191148196801E-3</v>
      </c>
      <c r="AU137" s="84">
        <f t="shared" si="149"/>
        <v>35.300543516751802</v>
      </c>
      <c r="AV137" s="84">
        <f t="shared" si="150"/>
        <v>6.7884172845034813E-3</v>
      </c>
      <c r="AW137" s="84">
        <f t="shared" si="151"/>
        <v>35.330072833102129</v>
      </c>
      <c r="AX137" s="84">
        <f t="shared" si="152"/>
        <v>6.7855797694754711E-3</v>
      </c>
      <c r="AY137" s="142">
        <v>5.9299999999999999E-2</v>
      </c>
      <c r="AZ137" s="46">
        <f t="shared" si="153"/>
        <v>0.17603018013512509</v>
      </c>
      <c r="BA137" s="85">
        <f t="shared" si="154"/>
        <v>4.6260366229898082</v>
      </c>
      <c r="BB137" s="85">
        <f t="shared" si="155"/>
        <v>0.1186</v>
      </c>
      <c r="BC137" s="85">
        <f t="shared" si="156"/>
        <v>2.7013825316634321</v>
      </c>
      <c r="BD137" s="85">
        <f t="shared" si="157"/>
        <v>0.15520159449086843</v>
      </c>
      <c r="BE137" s="85">
        <f t="shared" si="158"/>
        <v>2.2639812024499024</v>
      </c>
      <c r="BF137" s="85">
        <f t="shared" si="159"/>
        <v>0.16953244053383898</v>
      </c>
      <c r="BG137" s="85">
        <f t="shared" si="160"/>
        <v>2.1465183003070329</v>
      </c>
      <c r="BH137" s="85">
        <f t="shared" si="161"/>
        <v>0.1741092820262394</v>
      </c>
      <c r="BI137" s="85">
        <f t="shared" si="162"/>
        <v>2.1133120034954542</v>
      </c>
      <c r="BJ137" s="85">
        <f t="shared" si="163"/>
        <v>0.17547183285379922</v>
      </c>
      <c r="BK137" s="85">
        <f t="shared" si="164"/>
        <v>2.1037815113464022</v>
      </c>
      <c r="BL137" s="85">
        <f t="shared" si="165"/>
        <v>0.17586884252551763</v>
      </c>
      <c r="BM137" s="85">
        <f t="shared" si="166"/>
        <v>2.1010341169348097</v>
      </c>
      <c r="BN137" s="85">
        <f t="shared" si="167"/>
        <v>0.17598379144943227</v>
      </c>
      <c r="BO137" s="85">
        <f t="shared" si="168"/>
        <v>2.100241105355928</v>
      </c>
      <c r="BP137" s="85">
        <f t="shared" si="169"/>
        <v>0.17601701240032758</v>
      </c>
      <c r="BQ137" s="85">
        <f t="shared" si="170"/>
        <v>2.1000121252324013</v>
      </c>
      <c r="BR137" s="85">
        <f t="shared" si="171"/>
        <v>0.17602660836840439</v>
      </c>
      <c r="BS137" s="85">
        <f t="shared" si="172"/>
        <v>2.0999460007660367</v>
      </c>
      <c r="BT137" s="85">
        <f t="shared" si="173"/>
        <v>0.17602937976679084</v>
      </c>
      <c r="BU137" s="85">
        <f t="shared" si="174"/>
        <v>2.0999269048762255</v>
      </c>
      <c r="BV137" s="85">
        <f t="shared" si="175"/>
        <v>0.17603018013512509</v>
      </c>
      <c r="BW137" s="85">
        <f t="shared" si="176"/>
        <v>2.0999213901816081</v>
      </c>
    </row>
    <row r="138" spans="25:75" x14ac:dyDescent="0.4">
      <c r="Y138" s="142">
        <v>6.1199999999999997E-2</v>
      </c>
      <c r="Z138" s="46">
        <f t="shared" si="128"/>
        <v>7.0338204043738171E-3</v>
      </c>
      <c r="AA138" s="84">
        <f t="shared" si="129"/>
        <v>4.5048866602966875</v>
      </c>
      <c r="AB138" s="84">
        <f t="shared" si="130"/>
        <v>1.935313928023048E-2</v>
      </c>
      <c r="AC138" s="84">
        <f t="shared" si="131"/>
        <v>12.783481820801164</v>
      </c>
      <c r="AD138" s="84">
        <f t="shared" si="132"/>
        <v>1.1488644142993222E-2</v>
      </c>
      <c r="AE138" s="84">
        <f t="shared" si="133"/>
        <v>21.117222703275729</v>
      </c>
      <c r="AF138" s="84">
        <f t="shared" si="134"/>
        <v>8.9387122427081484E-3</v>
      </c>
      <c r="AG138" s="84">
        <f t="shared" si="135"/>
        <v>26.972027548839129</v>
      </c>
      <c r="AH138" s="84">
        <f t="shared" si="136"/>
        <v>7.9092728763063072E-3</v>
      </c>
      <c r="AI138" s="84">
        <f t="shared" si="137"/>
        <v>30.40610372415453</v>
      </c>
      <c r="AJ138" s="84">
        <f t="shared" si="138"/>
        <v>7.4492572150328369E-3</v>
      </c>
      <c r="AK138" s="84">
        <f t="shared" si="139"/>
        <v>32.247631975852414</v>
      </c>
      <c r="AL138" s="84">
        <f t="shared" si="140"/>
        <v>7.2334326510905874E-3</v>
      </c>
      <c r="AM138" s="84">
        <f t="shared" si="141"/>
        <v>33.192374841853486</v>
      </c>
      <c r="AN138" s="84">
        <f t="shared" si="142"/>
        <v>7.129748219839205E-3</v>
      </c>
      <c r="AO138" s="84">
        <f t="shared" si="143"/>
        <v>33.666586156895193</v>
      </c>
      <c r="AP138" s="84">
        <f t="shared" si="144"/>
        <v>7.0793570446146701E-3</v>
      </c>
      <c r="AQ138" s="84">
        <f t="shared" si="145"/>
        <v>33.902073043693711</v>
      </c>
      <c r="AR138" s="84">
        <f t="shared" si="146"/>
        <v>7.0547272705489307E-3</v>
      </c>
      <c r="AS138" s="84">
        <f t="shared" si="147"/>
        <v>34.0183967434712</v>
      </c>
      <c r="AT138" s="84">
        <f t="shared" si="148"/>
        <v>7.042655350910137E-3</v>
      </c>
      <c r="AU138" s="84">
        <f t="shared" si="149"/>
        <v>34.075708307759584</v>
      </c>
      <c r="AV138" s="84">
        <f t="shared" si="150"/>
        <v>7.0367303757415348E-3</v>
      </c>
      <c r="AW138" s="84">
        <f t="shared" si="151"/>
        <v>34.103909154946429</v>
      </c>
      <c r="AX138" s="84">
        <f t="shared" si="152"/>
        <v>7.0338204043738171E-3</v>
      </c>
      <c r="AY138" s="142">
        <v>6.1199999999999997E-2</v>
      </c>
      <c r="AZ138" s="46">
        <f t="shared" si="153"/>
        <v>0.18059730401164562</v>
      </c>
      <c r="BA138" s="85">
        <f t="shared" si="154"/>
        <v>4.5048866602966875</v>
      </c>
      <c r="BB138" s="85">
        <f t="shared" si="155"/>
        <v>0.12239999999999999</v>
      </c>
      <c r="BC138" s="85">
        <f t="shared" si="156"/>
        <v>2.6431764478462552</v>
      </c>
      <c r="BD138" s="85">
        <f t="shared" si="157"/>
        <v>0.1597939286544991</v>
      </c>
      <c r="BE138" s="85">
        <f t="shared" si="158"/>
        <v>2.2239094567131792</v>
      </c>
      <c r="BF138" s="85">
        <f t="shared" si="159"/>
        <v>0.17420667893571681</v>
      </c>
      <c r="BG138" s="85">
        <f t="shared" si="160"/>
        <v>2.1126254919563383</v>
      </c>
      <c r="BH138" s="85">
        <f t="shared" si="161"/>
        <v>0.17873602463298705</v>
      </c>
      <c r="BI138" s="85">
        <f t="shared" si="162"/>
        <v>2.0815776718360253</v>
      </c>
      <c r="BJ138" s="85">
        <f t="shared" si="163"/>
        <v>0.18006406153475604</v>
      </c>
      <c r="BK138" s="85">
        <f t="shared" si="164"/>
        <v>2.0727889674184574</v>
      </c>
      <c r="BL138" s="85">
        <f t="shared" si="165"/>
        <v>0.18044539699343404</v>
      </c>
      <c r="BM138" s="85">
        <f t="shared" si="166"/>
        <v>2.0702907970653683</v>
      </c>
      <c r="BN138" s="85">
        <f t="shared" si="167"/>
        <v>0.18055423374148327</v>
      </c>
      <c r="BO138" s="85">
        <f t="shared" si="168"/>
        <v>2.0695798559514769</v>
      </c>
      <c r="BP138" s="85">
        <f t="shared" si="169"/>
        <v>0.18058524303202642</v>
      </c>
      <c r="BQ138" s="85">
        <f t="shared" si="170"/>
        <v>2.0693774646975438</v>
      </c>
      <c r="BR138" s="85">
        <f t="shared" si="171"/>
        <v>0.18059407370231231</v>
      </c>
      <c r="BS138" s="85">
        <f t="shared" si="172"/>
        <v>2.0693198422663484</v>
      </c>
      <c r="BT138" s="85">
        <f t="shared" si="173"/>
        <v>0.18059658810267984</v>
      </c>
      <c r="BU138" s="85">
        <f t="shared" si="174"/>
        <v>2.0693034362441214</v>
      </c>
      <c r="BV138" s="85">
        <f t="shared" si="175"/>
        <v>0.18059730401164562</v>
      </c>
      <c r="BW138" s="85">
        <f t="shared" si="176"/>
        <v>2.069298765152392</v>
      </c>
    </row>
    <row r="139" spans="25:75" x14ac:dyDescent="0.4">
      <c r="Y139" s="142">
        <v>6.3100000000000003E-2</v>
      </c>
      <c r="Z139" s="46">
        <f t="shared" si="128"/>
        <v>7.2840956502576906E-3</v>
      </c>
      <c r="AA139" s="84">
        <f t="shared" si="129"/>
        <v>4.3911537761564086</v>
      </c>
      <c r="AB139" s="84">
        <f t="shared" si="130"/>
        <v>1.9953972035662473E-2</v>
      </c>
      <c r="AC139" s="84">
        <f t="shared" si="131"/>
        <v>12.417287512176472</v>
      </c>
      <c r="AD139" s="84">
        <f t="shared" si="132"/>
        <v>1.1866026498382658E-2</v>
      </c>
      <c r="AE139" s="84">
        <f t="shared" si="133"/>
        <v>20.464636040992399</v>
      </c>
      <c r="AF139" s="84">
        <f t="shared" si="134"/>
        <v>9.2430791016396129E-3</v>
      </c>
      <c r="AG139" s="84">
        <f t="shared" si="135"/>
        <v>26.103284152402953</v>
      </c>
      <c r="AH139" s="84">
        <f t="shared" si="136"/>
        <v>8.1841033830732553E-3</v>
      </c>
      <c r="AI139" s="84">
        <f t="shared" si="137"/>
        <v>29.404731703340552</v>
      </c>
      <c r="AJ139" s="84">
        <f t="shared" si="138"/>
        <v>7.7109887899087523E-3</v>
      </c>
      <c r="AK139" s="84">
        <f t="shared" si="139"/>
        <v>31.172918412658863</v>
      </c>
      <c r="AL139" s="84">
        <f t="shared" si="140"/>
        <v>7.4891055394785402E-3</v>
      </c>
      <c r="AM139" s="84">
        <f t="shared" si="141"/>
        <v>32.079158445659679</v>
      </c>
      <c r="AN139" s="84">
        <f t="shared" si="142"/>
        <v>7.3825636333307949E-3</v>
      </c>
      <c r="AO139" s="84">
        <f t="shared" si="143"/>
        <v>32.533674597196978</v>
      </c>
      <c r="AP139" s="84">
        <f t="shared" si="144"/>
        <v>7.3308126916031098E-3</v>
      </c>
      <c r="AQ139" s="84">
        <f t="shared" si="145"/>
        <v>32.759217100724513</v>
      </c>
      <c r="AR139" s="84">
        <f t="shared" si="146"/>
        <v>7.3055333091067076E-3</v>
      </c>
      <c r="AS139" s="84">
        <f t="shared" si="147"/>
        <v>32.870552570037546</v>
      </c>
      <c r="AT139" s="84">
        <f t="shared" si="148"/>
        <v>7.2931505710696932E-3</v>
      </c>
      <c r="AU139" s="84">
        <f t="shared" si="149"/>
        <v>32.925370360330199</v>
      </c>
      <c r="AV139" s="84">
        <f t="shared" si="150"/>
        <v>7.2870768209747179E-3</v>
      </c>
      <c r="AW139" s="84">
        <f t="shared" si="151"/>
        <v>32.952326688451905</v>
      </c>
      <c r="AX139" s="84">
        <f t="shared" si="152"/>
        <v>7.2840956502576906E-3</v>
      </c>
      <c r="AY139" s="142">
        <v>6.3100000000000003E-2</v>
      </c>
      <c r="AZ139" s="46">
        <f t="shared" si="153"/>
        <v>0.1851322044949025</v>
      </c>
      <c r="BA139" s="85">
        <f t="shared" si="154"/>
        <v>4.3911537761564086</v>
      </c>
      <c r="BB139" s="85">
        <f t="shared" si="155"/>
        <v>0.12620000000000001</v>
      </c>
      <c r="BC139" s="85">
        <f t="shared" si="156"/>
        <v>2.5886267370023899</v>
      </c>
      <c r="BD139" s="85">
        <f t="shared" si="157"/>
        <v>0.16436674762495962</v>
      </c>
      <c r="BE139" s="85">
        <f t="shared" si="158"/>
        <v>2.1863590434154663</v>
      </c>
      <c r="BF139" s="85">
        <f t="shared" si="159"/>
        <v>0.17884958484526903</v>
      </c>
      <c r="BG139" s="85">
        <f t="shared" si="160"/>
        <v>2.0808207197586253</v>
      </c>
      <c r="BH139" s="85">
        <f t="shared" si="161"/>
        <v>0.18332907456122724</v>
      </c>
      <c r="BI139" s="85">
        <f t="shared" si="162"/>
        <v>2.051757471018973</v>
      </c>
      <c r="BJ139" s="85">
        <f t="shared" si="163"/>
        <v>0.18462294157428882</v>
      </c>
      <c r="BK139" s="85">
        <f t="shared" si="164"/>
        <v>2.0436421032171332</v>
      </c>
      <c r="BL139" s="85">
        <f t="shared" si="165"/>
        <v>0.18498915016500764</v>
      </c>
      <c r="BM139" s="85">
        <f t="shared" si="166"/>
        <v>2.0413671340144015</v>
      </c>
      <c r="BN139" s="85">
        <f t="shared" si="167"/>
        <v>0.18509220057344264</v>
      </c>
      <c r="BO139" s="85">
        <f t="shared" si="168"/>
        <v>2.0407286914028693</v>
      </c>
      <c r="BP139" s="85">
        <f t="shared" si="169"/>
        <v>0.18512115138581978</v>
      </c>
      <c r="BQ139" s="85">
        <f t="shared" si="170"/>
        <v>2.0405494646791764</v>
      </c>
      <c r="BR139" s="85">
        <f t="shared" si="171"/>
        <v>0.18512928104146242</v>
      </c>
      <c r="BS139" s="85">
        <f t="shared" si="172"/>
        <v>2.040499146901781</v>
      </c>
      <c r="BT139" s="85">
        <f t="shared" si="173"/>
        <v>0.18513156362916652</v>
      </c>
      <c r="BU139" s="85">
        <f t="shared" si="174"/>
        <v>2.0404850198758782</v>
      </c>
      <c r="BV139" s="85">
        <f t="shared" si="175"/>
        <v>0.1851322044949025</v>
      </c>
      <c r="BW139" s="85">
        <f t="shared" si="176"/>
        <v>2.0404810535991489</v>
      </c>
    </row>
    <row r="140" spans="25:75" x14ac:dyDescent="0.4">
      <c r="Y140" s="142">
        <v>6.5100000000000005E-2</v>
      </c>
      <c r="Z140" s="46">
        <f t="shared" si="128"/>
        <v>7.5497488133347912E-3</v>
      </c>
      <c r="AA140" s="84">
        <f t="shared" si="129"/>
        <v>4.2787320800440352</v>
      </c>
      <c r="AB140" s="84">
        <f t="shared" si="130"/>
        <v>2.0586427567696151E-2</v>
      </c>
      <c r="AC140" s="84">
        <f t="shared" si="131"/>
        <v>12.054967541273363</v>
      </c>
      <c r="AD140" s="84">
        <f t="shared" si="132"/>
        <v>1.2264659980047447E-2</v>
      </c>
      <c r="AE140" s="84">
        <f t="shared" si="133"/>
        <v>19.81895603747493</v>
      </c>
      <c r="AF140" s="84">
        <f t="shared" si="134"/>
        <v>9.5652901445026448E-3</v>
      </c>
      <c r="AG140" s="84">
        <f t="shared" si="135"/>
        <v>25.24388581954965</v>
      </c>
      <c r="AH140" s="84">
        <f t="shared" si="136"/>
        <v>8.4754044408355857E-3</v>
      </c>
      <c r="AI140" s="84">
        <f t="shared" si="137"/>
        <v>28.414275918498895</v>
      </c>
      <c r="AJ140" s="84">
        <f t="shared" si="138"/>
        <v>7.9885919526890819E-3</v>
      </c>
      <c r="AK140" s="84">
        <f t="shared" si="139"/>
        <v>30.110020651620857</v>
      </c>
      <c r="AL140" s="84">
        <f t="shared" si="140"/>
        <v>7.7603803711678299E-3</v>
      </c>
      <c r="AM140" s="84">
        <f t="shared" si="141"/>
        <v>30.978242407163684</v>
      </c>
      <c r="AN140" s="84">
        <f t="shared" si="142"/>
        <v>7.6508581189760581E-3</v>
      </c>
      <c r="AO140" s="84">
        <f t="shared" si="143"/>
        <v>31.413316438084017</v>
      </c>
      <c r="AP140" s="84">
        <f t="shared" si="144"/>
        <v>7.5976912434250615E-3</v>
      </c>
      <c r="AQ140" s="84">
        <f t="shared" si="145"/>
        <v>31.629044664652106</v>
      </c>
      <c r="AR140" s="84">
        <f t="shared" si="146"/>
        <v>7.5717366052210997E-3</v>
      </c>
      <c r="AS140" s="84">
        <f t="shared" si="147"/>
        <v>31.73545828966185</v>
      </c>
      <c r="AT140" s="84">
        <f t="shared" si="148"/>
        <v>7.5590313765021688E-3</v>
      </c>
      <c r="AU140" s="84">
        <f t="shared" si="149"/>
        <v>31.78781605502466</v>
      </c>
      <c r="AV140" s="84">
        <f t="shared" si="150"/>
        <v>7.5528035643295756E-3</v>
      </c>
      <c r="AW140" s="84">
        <f t="shared" si="151"/>
        <v>31.813544992507879</v>
      </c>
      <c r="AX140" s="84">
        <f t="shared" si="152"/>
        <v>7.5497488133347912E-3</v>
      </c>
      <c r="AY140" s="142">
        <v>6.5100000000000005E-2</v>
      </c>
      <c r="AZ140" s="46">
        <f t="shared" si="153"/>
        <v>0.18987270708194484</v>
      </c>
      <c r="BA140" s="85">
        <f t="shared" si="154"/>
        <v>4.2787320800440352</v>
      </c>
      <c r="BB140" s="85">
        <f t="shared" si="155"/>
        <v>0.13020000000000001</v>
      </c>
      <c r="BC140" s="85">
        <f t="shared" si="156"/>
        <v>2.5347995028052912</v>
      </c>
      <c r="BD140" s="85">
        <f t="shared" si="157"/>
        <v>0.16915962909557145</v>
      </c>
      <c r="BE140" s="85">
        <f t="shared" si="158"/>
        <v>2.1493072492372822</v>
      </c>
      <c r="BF140" s="85">
        <f t="shared" si="159"/>
        <v>0.18370428184612275</v>
      </c>
      <c r="BG140" s="85">
        <f t="shared" si="160"/>
        <v>2.0493915640940226</v>
      </c>
      <c r="BH140" s="85">
        <f t="shared" si="161"/>
        <v>0.18812913504923776</v>
      </c>
      <c r="BI140" s="85">
        <f t="shared" si="162"/>
        <v>2.0222480461251635</v>
      </c>
      <c r="BJ140" s="85">
        <f t="shared" si="163"/>
        <v>0.18938750323614592</v>
      </c>
      <c r="BK140" s="85">
        <f t="shared" si="164"/>
        <v>2.0147755685354731</v>
      </c>
      <c r="BL140" s="85">
        <f t="shared" si="165"/>
        <v>0.18973838204916085</v>
      </c>
      <c r="BM140" s="85">
        <f t="shared" si="166"/>
        <v>2.0127108156516176</v>
      </c>
      <c r="BN140" s="85">
        <f t="shared" si="167"/>
        <v>0.18983567929793324</v>
      </c>
      <c r="BO140" s="85">
        <f t="shared" si="168"/>
        <v>2.0121397100965615</v>
      </c>
      <c r="BP140" s="85">
        <f t="shared" si="169"/>
        <v>0.18986261791422313</v>
      </c>
      <c r="BQ140" s="85">
        <f t="shared" si="170"/>
        <v>2.011981698909743</v>
      </c>
      <c r="BR140" s="85">
        <f t="shared" si="171"/>
        <v>0.18987007320782914</v>
      </c>
      <c r="BS140" s="85">
        <f t="shared" si="172"/>
        <v>2.0119379775796506</v>
      </c>
      <c r="BT140" s="85">
        <f t="shared" si="173"/>
        <v>0.1898721362254617</v>
      </c>
      <c r="BU140" s="85">
        <f t="shared" si="174"/>
        <v>2.0119258797259962</v>
      </c>
      <c r="BV140" s="85">
        <f t="shared" si="175"/>
        <v>0.18987270708194484</v>
      </c>
      <c r="BW140" s="85">
        <f t="shared" si="176"/>
        <v>2.0119225321850558</v>
      </c>
    </row>
    <row r="141" spans="25:75" x14ac:dyDescent="0.4">
      <c r="Y141" s="142">
        <v>6.7100000000000007E-2</v>
      </c>
      <c r="Z141" s="46">
        <f t="shared" si="128"/>
        <v>7.8176713700677629E-3</v>
      </c>
      <c r="AA141" s="84">
        <f t="shared" si="129"/>
        <v>4.1731346660610127</v>
      </c>
      <c r="AB141" s="84">
        <f t="shared" si="130"/>
        <v>2.1218883099729826E-2</v>
      </c>
      <c r="AC141" s="84">
        <f t="shared" si="131"/>
        <v>11.714301028919065</v>
      </c>
      <c r="AD141" s="84">
        <f t="shared" si="132"/>
        <v>1.2664718171365882E-2</v>
      </c>
      <c r="AE141" s="84">
        <f t="shared" si="133"/>
        <v>19.211872276294919</v>
      </c>
      <c r="AF141" s="84">
        <f t="shared" si="134"/>
        <v>9.8893756636339678E-3</v>
      </c>
      <c r="AG141" s="84">
        <f t="shared" si="135"/>
        <v>24.436011995356974</v>
      </c>
      <c r="AH141" s="84">
        <f t="shared" si="136"/>
        <v>8.7687674999853572E-3</v>
      </c>
      <c r="AI141" s="84">
        <f t="shared" si="137"/>
        <v>27.483347080116722</v>
      </c>
      <c r="AJ141" s="84">
        <f t="shared" si="138"/>
        <v>8.2683510778556023E-3</v>
      </c>
      <c r="AK141" s="84">
        <f t="shared" si="139"/>
        <v>29.111103644650662</v>
      </c>
      <c r="AL141" s="84">
        <f t="shared" si="140"/>
        <v>8.0338623186470177E-3</v>
      </c>
      <c r="AM141" s="84">
        <f t="shared" si="141"/>
        <v>29.94365671750576</v>
      </c>
      <c r="AN141" s="84">
        <f t="shared" si="142"/>
        <v>7.9213882949639748E-3</v>
      </c>
      <c r="AO141" s="84">
        <f t="shared" si="143"/>
        <v>30.360495322034733</v>
      </c>
      <c r="AP141" s="84">
        <f t="shared" si="144"/>
        <v>7.8668214557778265E-3</v>
      </c>
      <c r="AQ141" s="84">
        <f t="shared" si="145"/>
        <v>30.567020727974089</v>
      </c>
      <c r="AR141" s="84">
        <f t="shared" si="146"/>
        <v>7.8402004100222161E-3</v>
      </c>
      <c r="AS141" s="84">
        <f t="shared" si="147"/>
        <v>30.668820268391883</v>
      </c>
      <c r="AT141" s="84">
        <f t="shared" si="148"/>
        <v>7.8271775385247745E-3</v>
      </c>
      <c r="AU141" s="84">
        <f t="shared" si="149"/>
        <v>30.718872389296248</v>
      </c>
      <c r="AV141" s="84">
        <f t="shared" si="150"/>
        <v>7.8207982915257917E-3</v>
      </c>
      <c r="AW141" s="84">
        <f t="shared" si="151"/>
        <v>30.743451245809712</v>
      </c>
      <c r="AX141" s="84">
        <f t="shared" si="152"/>
        <v>7.8176713700677629E-3</v>
      </c>
      <c r="AY141" s="142">
        <v>6.7100000000000007E-2</v>
      </c>
      <c r="AZ141" s="46">
        <f t="shared" si="153"/>
        <v>0.19458098543994148</v>
      </c>
      <c r="BA141" s="85">
        <f t="shared" si="154"/>
        <v>4.1731346660610127</v>
      </c>
      <c r="BB141" s="85">
        <f t="shared" si="155"/>
        <v>0.13420000000000001</v>
      </c>
      <c r="BC141" s="85">
        <f t="shared" si="156"/>
        <v>2.4843292776398309</v>
      </c>
      <c r="BD141" s="85">
        <f t="shared" si="157"/>
        <v>0.17393185822625476</v>
      </c>
      <c r="BE141" s="85">
        <f t="shared" si="158"/>
        <v>2.1145646924630759</v>
      </c>
      <c r="BF141" s="85">
        <f t="shared" si="159"/>
        <v>0.18852685704084796</v>
      </c>
      <c r="BG141" s="85">
        <f t="shared" si="160"/>
        <v>2.0198747820472707</v>
      </c>
      <c r="BH141" s="85">
        <f t="shared" si="161"/>
        <v>0.19289523164205294</v>
      </c>
      <c r="BI141" s="85">
        <f t="shared" si="162"/>
        <v>1.9944944497238248</v>
      </c>
      <c r="BJ141" s="85">
        <f t="shared" si="163"/>
        <v>0.19411866662576516</v>
      </c>
      <c r="BK141" s="85">
        <f t="shared" si="164"/>
        <v>1.9876046379999814</v>
      </c>
      <c r="BL141" s="85">
        <f t="shared" si="165"/>
        <v>0.19445482101511466</v>
      </c>
      <c r="BM141" s="85">
        <f t="shared" si="166"/>
        <v>1.9857277823725243</v>
      </c>
      <c r="BN141" s="85">
        <f t="shared" si="167"/>
        <v>0.19454669600187458</v>
      </c>
      <c r="BO141" s="85">
        <f t="shared" si="168"/>
        <v>1.9852160205740215</v>
      </c>
      <c r="BP141" s="85">
        <f t="shared" si="169"/>
        <v>0.19457177013749208</v>
      </c>
      <c r="BQ141" s="85">
        <f t="shared" si="170"/>
        <v>1.9850764423411975</v>
      </c>
      <c r="BR141" s="85">
        <f t="shared" si="171"/>
        <v>0.19457861055579426</v>
      </c>
      <c r="BS141" s="85">
        <f t="shared" si="172"/>
        <v>1.9850383709884643</v>
      </c>
      <c r="BT141" s="85">
        <f t="shared" si="173"/>
        <v>0.19458047647322599</v>
      </c>
      <c r="BU141" s="85">
        <f t="shared" si="174"/>
        <v>1.9850279864471769</v>
      </c>
      <c r="BV141" s="85">
        <f t="shared" si="175"/>
        <v>0.19458098543994148</v>
      </c>
      <c r="BW141" s="85">
        <f t="shared" si="176"/>
        <v>1.985025153890446</v>
      </c>
    </row>
    <row r="142" spans="25:75" x14ac:dyDescent="0.4">
      <c r="Y142" s="142">
        <v>6.9199999999999998E-2</v>
      </c>
      <c r="Z142" s="46">
        <f t="shared" si="128"/>
        <v>8.1014400600731597E-3</v>
      </c>
      <c r="AA142" s="84">
        <f t="shared" si="129"/>
        <v>4.0689525906101665</v>
      </c>
      <c r="AB142" s="84">
        <f t="shared" si="130"/>
        <v>2.1882961408365181E-2</v>
      </c>
      <c r="AC142" s="84">
        <f t="shared" si="131"/>
        <v>11.377851141653585</v>
      </c>
      <c r="AD142" s="84">
        <f t="shared" si="132"/>
        <v>1.3086312456209037E-2</v>
      </c>
      <c r="AE142" s="84">
        <f t="shared" si="133"/>
        <v>18.612317530825997</v>
      </c>
      <c r="AF142" s="84">
        <f t="shared" si="134"/>
        <v>1.0231685508507157E-2</v>
      </c>
      <c r="AG142" s="84">
        <f t="shared" si="135"/>
        <v>23.638320143380611</v>
      </c>
      <c r="AH142" s="84">
        <f t="shared" si="136"/>
        <v>9.0790227473532339E-3</v>
      </c>
      <c r="AI142" s="84">
        <f t="shared" si="137"/>
        <v>26.564303634887448</v>
      </c>
      <c r="AJ142" s="84">
        <f t="shared" si="138"/>
        <v>8.56442462418203E-3</v>
      </c>
      <c r="AK142" s="84">
        <f t="shared" si="139"/>
        <v>28.125044826066304</v>
      </c>
      <c r="AL142" s="84">
        <f t="shared" si="140"/>
        <v>8.3234006038557882E-3</v>
      </c>
      <c r="AM142" s="84">
        <f t="shared" si="141"/>
        <v>28.922452241864452</v>
      </c>
      <c r="AN142" s="84">
        <f t="shared" si="142"/>
        <v>8.207858352943102E-3</v>
      </c>
      <c r="AO142" s="84">
        <f t="shared" si="143"/>
        <v>29.321328156298346</v>
      </c>
      <c r="AP142" s="84">
        <f t="shared" si="144"/>
        <v>8.1518389317834575E-3</v>
      </c>
      <c r="AQ142" s="84">
        <f t="shared" si="145"/>
        <v>29.518790800737506</v>
      </c>
      <c r="AR142" s="84">
        <f t="shared" si="146"/>
        <v>8.1245277747205146E-3</v>
      </c>
      <c r="AS142" s="84">
        <f t="shared" si="147"/>
        <v>29.616047640324307</v>
      </c>
      <c r="AT142" s="84">
        <f t="shared" si="148"/>
        <v>8.1111766401839626E-3</v>
      </c>
      <c r="AU142" s="84">
        <f t="shared" si="149"/>
        <v>29.663830366798688</v>
      </c>
      <c r="AV142" s="84">
        <f t="shared" si="150"/>
        <v>8.1046412343939653E-3</v>
      </c>
      <c r="AW142" s="84">
        <f t="shared" si="151"/>
        <v>29.687277519952254</v>
      </c>
      <c r="AX142" s="84">
        <f t="shared" si="152"/>
        <v>8.1014400600731597E-3</v>
      </c>
      <c r="AY142" s="142">
        <v>6.9199999999999998E-2</v>
      </c>
      <c r="AZ142" s="46">
        <f t="shared" si="153"/>
        <v>0.19949177320789235</v>
      </c>
      <c r="BA142" s="85">
        <f t="shared" si="154"/>
        <v>4.0689525906101665</v>
      </c>
      <c r="BB142" s="85">
        <f t="shared" si="155"/>
        <v>0.1384</v>
      </c>
      <c r="BC142" s="85">
        <f t="shared" si="156"/>
        <v>2.4346252534947745</v>
      </c>
      <c r="BD142" s="85">
        <f t="shared" si="157"/>
        <v>0.17892101109225289</v>
      </c>
      <c r="BE142" s="85">
        <f t="shared" si="158"/>
        <v>2.0803451415113865</v>
      </c>
      <c r="BF142" s="85">
        <f t="shared" si="159"/>
        <v>0.19355736825422443</v>
      </c>
      <c r="BG142" s="85">
        <f t="shared" si="160"/>
        <v>1.9907540619194535</v>
      </c>
      <c r="BH142" s="85">
        <f t="shared" si="161"/>
        <v>0.19786482701357783</v>
      </c>
      <c r="BI142" s="85">
        <f t="shared" si="162"/>
        <v>1.9670733512640766</v>
      </c>
      <c r="BJ142" s="85">
        <f t="shared" si="163"/>
        <v>0.19905226673664486</v>
      </c>
      <c r="BK142" s="85">
        <f t="shared" si="164"/>
        <v>1.9607376643722778</v>
      </c>
      <c r="BL142" s="85">
        <f t="shared" si="165"/>
        <v>0.19937360388828018</v>
      </c>
      <c r="BM142" s="85">
        <f t="shared" si="166"/>
        <v>1.9590370071685259</v>
      </c>
      <c r="BN142" s="85">
        <f t="shared" si="167"/>
        <v>0.1994601241019866</v>
      </c>
      <c r="BO142" s="85">
        <f t="shared" si="168"/>
        <v>1.9585801050448748</v>
      </c>
      <c r="BP142" s="85">
        <f t="shared" si="169"/>
        <v>0.19948338800620413</v>
      </c>
      <c r="BQ142" s="85">
        <f t="shared" si="170"/>
        <v>1.9584573236312579</v>
      </c>
      <c r="BR142" s="85">
        <f t="shared" si="171"/>
        <v>0.19948964100651384</v>
      </c>
      <c r="BS142" s="85">
        <f t="shared" si="172"/>
        <v>1.9584243269864412</v>
      </c>
      <c r="BT142" s="85">
        <f t="shared" si="173"/>
        <v>0.199491321556794</v>
      </c>
      <c r="BU142" s="85">
        <f t="shared" si="174"/>
        <v>1.9584154592172816</v>
      </c>
      <c r="BV142" s="85">
        <f t="shared" si="175"/>
        <v>0.19949177320789235</v>
      </c>
      <c r="BW142" s="85">
        <f t="shared" si="176"/>
        <v>1.9584130760146081</v>
      </c>
    </row>
    <row r="143" spans="25:75" x14ac:dyDescent="0.4">
      <c r="Y143" s="142">
        <v>7.1300000000000002E-2</v>
      </c>
      <c r="Z143" s="46">
        <f t="shared" si="128"/>
        <v>8.3877258082544603E-3</v>
      </c>
      <c r="AA143" s="84">
        <f t="shared" si="129"/>
        <v>3.9710306481065509</v>
      </c>
      <c r="AB143" s="84">
        <f t="shared" si="130"/>
        <v>2.2547039717000544E-2</v>
      </c>
      <c r="AC143" s="84">
        <f t="shared" si="131"/>
        <v>11.061276321822767</v>
      </c>
      <c r="AD143" s="84">
        <f t="shared" si="132"/>
        <v>1.3509476759485566E-2</v>
      </c>
      <c r="AE143" s="84">
        <f t="shared" si="133"/>
        <v>18.048200948409352</v>
      </c>
      <c r="AF143" s="84">
        <f t="shared" si="134"/>
        <v>1.0576066927074678E-2</v>
      </c>
      <c r="AG143" s="84">
        <f t="shared" si="135"/>
        <v>22.887942580188504</v>
      </c>
      <c r="AH143" s="84">
        <f t="shared" si="136"/>
        <v>9.3915607406168493E-3</v>
      </c>
      <c r="AI143" s="84">
        <f t="shared" si="137"/>
        <v>25.699925024577116</v>
      </c>
      <c r="AJ143" s="84">
        <f t="shared" si="138"/>
        <v>8.8628871830148549E-3</v>
      </c>
      <c r="AK143" s="84">
        <f t="shared" si="139"/>
        <v>27.197741438019932</v>
      </c>
      <c r="AL143" s="84">
        <f t="shared" si="140"/>
        <v>8.6153857775710749E-3</v>
      </c>
      <c r="AM143" s="84">
        <f t="shared" si="141"/>
        <v>27.962161010983472</v>
      </c>
      <c r="AN143" s="84">
        <f t="shared" si="142"/>
        <v>8.4968075797496063E-3</v>
      </c>
      <c r="AO143" s="84">
        <f t="shared" si="143"/>
        <v>28.344182369275426</v>
      </c>
      <c r="AP143" s="84">
        <f t="shared" si="144"/>
        <v>8.4393535758238453E-3</v>
      </c>
      <c r="AQ143" s="84">
        <f t="shared" si="145"/>
        <v>28.533143738757822</v>
      </c>
      <c r="AR143" s="84">
        <f t="shared" si="146"/>
        <v>8.4113622535872418E-3</v>
      </c>
      <c r="AS143" s="84">
        <f t="shared" si="147"/>
        <v>28.626140473927691</v>
      </c>
      <c r="AT143" s="84">
        <f t="shared" si="148"/>
        <v>8.397688290748842E-3</v>
      </c>
      <c r="AU143" s="84">
        <f t="shared" si="149"/>
        <v>28.671795557641339</v>
      </c>
      <c r="AV143" s="84">
        <f t="shared" si="150"/>
        <v>8.3909996634723757E-3</v>
      </c>
      <c r="AW143" s="84">
        <f t="shared" si="151"/>
        <v>28.694181989565507</v>
      </c>
      <c r="AX143" s="84">
        <f t="shared" si="152"/>
        <v>8.3877258082544603E-3</v>
      </c>
      <c r="AY143" s="142">
        <v>7.1300000000000002E-2</v>
      </c>
      <c r="AZ143" s="46">
        <f t="shared" si="153"/>
        <v>0.20437058969954919</v>
      </c>
      <c r="BA143" s="85">
        <f t="shared" si="154"/>
        <v>3.9710306481065509</v>
      </c>
      <c r="BB143" s="85">
        <f t="shared" si="155"/>
        <v>0.1426</v>
      </c>
      <c r="BC143" s="85">
        <f t="shared" si="156"/>
        <v>2.3879934564388652</v>
      </c>
      <c r="BD143" s="85">
        <f t="shared" si="157"/>
        <v>0.1838885036209203</v>
      </c>
      <c r="BE143" s="85">
        <f t="shared" si="158"/>
        <v>2.0482336998105364</v>
      </c>
      <c r="BF143" s="85">
        <f t="shared" si="159"/>
        <v>0.19855525757478296</v>
      </c>
      <c r="BG143" s="85">
        <f t="shared" si="160"/>
        <v>1.9633796445144167</v>
      </c>
      <c r="BH143" s="85">
        <f t="shared" si="161"/>
        <v>0.20280049137207468</v>
      </c>
      <c r="BI143" s="85">
        <f t="shared" si="162"/>
        <v>1.9412585109904636</v>
      </c>
      <c r="BJ143" s="85">
        <f t="shared" si="163"/>
        <v>0.20395269978354769</v>
      </c>
      <c r="BK143" s="85">
        <f t="shared" si="164"/>
        <v>1.9354243589054874</v>
      </c>
      <c r="BL143" s="85">
        <f t="shared" si="165"/>
        <v>0.20425986645449076</v>
      </c>
      <c r="BM143" s="85">
        <f t="shared" si="166"/>
        <v>1.9338809208752115</v>
      </c>
      <c r="BN143" s="85">
        <f t="shared" si="167"/>
        <v>0.20434136050217994</v>
      </c>
      <c r="BO143" s="85">
        <f t="shared" si="168"/>
        <v>1.9334722663074784</v>
      </c>
      <c r="BP143" s="85">
        <f t="shared" si="169"/>
        <v>0.20436295393796541</v>
      </c>
      <c r="BQ143" s="85">
        <f t="shared" si="170"/>
        <v>1.9333640437571744</v>
      </c>
      <c r="BR143" s="85">
        <f t="shared" si="171"/>
        <v>0.20436867359811955</v>
      </c>
      <c r="BS143" s="85">
        <f t="shared" si="172"/>
        <v>1.933335381912785</v>
      </c>
      <c r="BT143" s="85">
        <f t="shared" si="173"/>
        <v>0.20437018848308622</v>
      </c>
      <c r="BU143" s="85">
        <f t="shared" si="174"/>
        <v>1.9333277909455782</v>
      </c>
      <c r="BV143" s="85">
        <f t="shared" si="175"/>
        <v>0.20437058969954919</v>
      </c>
      <c r="BW143" s="85">
        <f t="shared" si="176"/>
        <v>1.9333257805021926</v>
      </c>
    </row>
    <row r="144" spans="25:75" x14ac:dyDescent="0.4">
      <c r="Y144" s="142">
        <v>7.3599999999999999E-2</v>
      </c>
      <c r="Z144" s="46">
        <f t="shared" si="128"/>
        <v>8.7041729789489042E-3</v>
      </c>
      <c r="AA144" s="84">
        <f t="shared" si="129"/>
        <v>3.8703290093094571</v>
      </c>
      <c r="AB144" s="84">
        <f t="shared" si="130"/>
        <v>2.3274363578839271E-2</v>
      </c>
      <c r="AC144" s="84">
        <f t="shared" si="131"/>
        <v>10.735341704608922</v>
      </c>
      <c r="AD144" s="84">
        <f t="shared" si="132"/>
        <v>1.3974742704676258E-2</v>
      </c>
      <c r="AE144" s="84">
        <f t="shared" si="133"/>
        <v>17.467435578579579</v>
      </c>
      <c r="AF144" s="84">
        <f t="shared" si="134"/>
        <v>1.0955625590921428E-2</v>
      </c>
      <c r="AG144" s="84">
        <f t="shared" si="135"/>
        <v>22.115605378381652</v>
      </c>
      <c r="AH144" s="84">
        <f t="shared" si="136"/>
        <v>9.7364881792014243E-3</v>
      </c>
      <c r="AI144" s="84">
        <f t="shared" si="137"/>
        <v>24.810421389793021</v>
      </c>
      <c r="AJ144" s="84">
        <f t="shared" si="138"/>
        <v>9.192522184323074E-3</v>
      </c>
      <c r="AK144" s="84">
        <f t="shared" si="139"/>
        <v>26.243600466070617</v>
      </c>
      <c r="AL144" s="84">
        <f t="shared" si="140"/>
        <v>8.9379937821027142E-3</v>
      </c>
      <c r="AM144" s="84">
        <f t="shared" si="141"/>
        <v>26.97414826084314</v>
      </c>
      <c r="AN144" s="84">
        <f t="shared" si="142"/>
        <v>8.8161279955546769E-3</v>
      </c>
      <c r="AO144" s="84">
        <f t="shared" si="143"/>
        <v>27.338869287449096</v>
      </c>
      <c r="AP144" s="84">
        <f t="shared" si="144"/>
        <v>8.7571236635211169E-3</v>
      </c>
      <c r="AQ144" s="84">
        <f t="shared" si="145"/>
        <v>27.51910719243492</v>
      </c>
      <c r="AR144" s="84">
        <f t="shared" si="146"/>
        <v>8.7283989213267146E-3</v>
      </c>
      <c r="AS144" s="84">
        <f t="shared" si="147"/>
        <v>27.607733757747063</v>
      </c>
      <c r="AT144" s="84">
        <f t="shared" si="148"/>
        <v>8.7143776718662386E-3</v>
      </c>
      <c r="AU144" s="84">
        <f t="shared" si="149"/>
        <v>27.651206865894835</v>
      </c>
      <c r="AV144" s="84">
        <f t="shared" si="150"/>
        <v>8.7075246237324939E-3</v>
      </c>
      <c r="AW144" s="84">
        <f t="shared" si="151"/>
        <v>27.672505814495317</v>
      </c>
      <c r="AX144" s="84">
        <f t="shared" si="152"/>
        <v>8.7041729789489042E-3</v>
      </c>
      <c r="AY144" s="142">
        <v>7.3599999999999999E-2</v>
      </c>
      <c r="AZ144" s="46">
        <f t="shared" si="153"/>
        <v>0.20967932826159955</v>
      </c>
      <c r="BA144" s="85">
        <f t="shared" si="154"/>
        <v>3.8703290093094571</v>
      </c>
      <c r="BB144" s="85">
        <f t="shared" si="155"/>
        <v>0.1472</v>
      </c>
      <c r="BC144" s="85">
        <f t="shared" si="156"/>
        <v>2.3401289889784502</v>
      </c>
      <c r="BD144" s="85">
        <f t="shared" si="157"/>
        <v>0.18930489948502952</v>
      </c>
      <c r="BE144" s="85">
        <f t="shared" si="158"/>
        <v>2.0152628392862715</v>
      </c>
      <c r="BF144" s="85">
        <f t="shared" si="159"/>
        <v>0.20399330028383678</v>
      </c>
      <c r="BG144" s="85">
        <f t="shared" si="160"/>
        <v>1.9352200660139318</v>
      </c>
      <c r="BH144" s="85">
        <f t="shared" si="161"/>
        <v>0.20816924798335254</v>
      </c>
      <c r="BI144" s="85">
        <f t="shared" si="162"/>
        <v>1.9146626397228115</v>
      </c>
      <c r="BJ144" s="85">
        <f t="shared" si="163"/>
        <v>0.20928380421535611</v>
      </c>
      <c r="BK144" s="85">
        <f t="shared" si="164"/>
        <v>1.9093242494678559</v>
      </c>
      <c r="BL144" s="85">
        <f t="shared" si="165"/>
        <v>0.20957617434919878</v>
      </c>
      <c r="BM144" s="85">
        <f t="shared" si="166"/>
        <v>1.9079339488128393</v>
      </c>
      <c r="BN144" s="85">
        <f t="shared" si="167"/>
        <v>0.20965251892898884</v>
      </c>
      <c r="BO144" s="85">
        <f t="shared" si="168"/>
        <v>1.9075715929773591</v>
      </c>
      <c r="BP144" s="85">
        <f t="shared" si="169"/>
        <v>0.20967243042446942</v>
      </c>
      <c r="BQ144" s="85">
        <f t="shared" si="170"/>
        <v>1.9074771331024543</v>
      </c>
      <c r="BR144" s="85">
        <f t="shared" si="171"/>
        <v>0.20967762193791234</v>
      </c>
      <c r="BS144" s="85">
        <f t="shared" si="172"/>
        <v>1.9074525077880611</v>
      </c>
      <c r="BT144" s="85">
        <f t="shared" si="173"/>
        <v>0.20967897540822827</v>
      </c>
      <c r="BU144" s="85">
        <f t="shared" si="174"/>
        <v>1.9074460879803752</v>
      </c>
      <c r="BV144" s="85">
        <f t="shared" si="175"/>
        <v>0.20967932826159955</v>
      </c>
      <c r="BW144" s="85">
        <f t="shared" si="176"/>
        <v>1.9074444143337375</v>
      </c>
    </row>
    <row r="145" spans="25:75" x14ac:dyDescent="0.4">
      <c r="Y145" s="142">
        <v>7.5899999999999995E-2</v>
      </c>
      <c r="Z145" s="46">
        <f t="shared" si="128"/>
        <v>9.0236558051650373E-3</v>
      </c>
      <c r="AA145" s="84">
        <f t="shared" si="129"/>
        <v>3.775864667597256</v>
      </c>
      <c r="AB145" s="84">
        <f t="shared" si="130"/>
        <v>2.4001687440677995E-2</v>
      </c>
      <c r="AC145" s="84">
        <f t="shared" si="131"/>
        <v>10.429223285451814</v>
      </c>
      <c r="AD145" s="84">
        <f t="shared" si="132"/>
        <v>1.4441889015673549E-2</v>
      </c>
      <c r="AE145" s="84">
        <f t="shared" si="133"/>
        <v>16.922016581451047</v>
      </c>
      <c r="AF145" s="84">
        <f t="shared" si="134"/>
        <v>1.1337673023142215E-2</v>
      </c>
      <c r="AG145" s="84">
        <f t="shared" si="135"/>
        <v>21.390465829181824</v>
      </c>
      <c r="AH145" s="84">
        <f t="shared" si="136"/>
        <v>1.0084163180089874E-2</v>
      </c>
      <c r="AI145" s="84">
        <f t="shared" si="137"/>
        <v>23.975449648487668</v>
      </c>
      <c r="AJ145" s="84">
        <f t="shared" si="138"/>
        <v>9.5250355559003564E-3</v>
      </c>
      <c r="AK145" s="84">
        <f t="shared" si="139"/>
        <v>25.34807237880506</v>
      </c>
      <c r="AL145" s="84">
        <f t="shared" si="140"/>
        <v>9.2635514237907023E-3</v>
      </c>
      <c r="AM145" s="84">
        <f t="shared" si="141"/>
        <v>26.046900923253521</v>
      </c>
      <c r="AN145" s="84">
        <f t="shared" si="142"/>
        <v>9.1384377315324849E-3</v>
      </c>
      <c r="AO145" s="84">
        <f t="shared" si="143"/>
        <v>26.395426951343069</v>
      </c>
      <c r="AP145" s="84">
        <f t="shared" si="144"/>
        <v>9.0779051427708878E-3</v>
      </c>
      <c r="AQ145" s="84">
        <f t="shared" si="145"/>
        <v>26.567501423851397</v>
      </c>
      <c r="AR145" s="84">
        <f t="shared" si="146"/>
        <v>9.0484591425242684E-3</v>
      </c>
      <c r="AS145" s="84">
        <f t="shared" si="147"/>
        <v>26.652039667560707</v>
      </c>
      <c r="AT145" s="84">
        <f t="shared" si="148"/>
        <v>9.0340972324938415E-3</v>
      </c>
      <c r="AU145" s="84">
        <f t="shared" si="149"/>
        <v>26.693472168431164</v>
      </c>
      <c r="AV145" s="84">
        <f t="shared" si="150"/>
        <v>9.0270833341671783E-3</v>
      </c>
      <c r="AW145" s="84">
        <f t="shared" si="151"/>
        <v>26.713754419483696</v>
      </c>
      <c r="AX145" s="84">
        <f t="shared" si="152"/>
        <v>9.0236558051650373E-3</v>
      </c>
      <c r="AY145" s="142">
        <v>7.5899999999999995E-2</v>
      </c>
      <c r="AZ145" s="46">
        <f t="shared" si="153"/>
        <v>0.21495373418366451</v>
      </c>
      <c r="BA145" s="85">
        <f t="shared" si="154"/>
        <v>3.775864667597256</v>
      </c>
      <c r="BB145" s="85">
        <f t="shared" si="155"/>
        <v>0.15179999999999999</v>
      </c>
      <c r="BC145" s="85">
        <f t="shared" si="156"/>
        <v>2.2953173823709285</v>
      </c>
      <c r="BD145" s="85">
        <f t="shared" si="157"/>
        <v>0.19469670820919791</v>
      </c>
      <c r="BE145" s="85">
        <f t="shared" si="158"/>
        <v>1.984381531580838</v>
      </c>
      <c r="BF145" s="85">
        <f t="shared" si="159"/>
        <v>0.20939552369811168</v>
      </c>
      <c r="BG145" s="85">
        <f t="shared" si="160"/>
        <v>1.9087925016842138</v>
      </c>
      <c r="BH145" s="85">
        <f t="shared" si="161"/>
        <v>0.21350134804450135</v>
      </c>
      <c r="BI145" s="85">
        <f t="shared" si="162"/>
        <v>1.8896632456681233</v>
      </c>
      <c r="BJ145" s="85">
        <f t="shared" si="163"/>
        <v>0.21457927501016638</v>
      </c>
      <c r="BK145" s="85">
        <f t="shared" si="164"/>
        <v>1.8847710214772804</v>
      </c>
      <c r="BL145" s="85">
        <f t="shared" si="165"/>
        <v>0.21485758191837928</v>
      </c>
      <c r="BM145" s="85">
        <f t="shared" si="166"/>
        <v>1.8835164552499728</v>
      </c>
      <c r="BN145" s="85">
        <f t="shared" si="167"/>
        <v>0.21492912581023113</v>
      </c>
      <c r="BO145" s="85">
        <f t="shared" si="168"/>
        <v>1.883194508631568</v>
      </c>
      <c r="BP145" s="85">
        <f t="shared" si="169"/>
        <v>0.21494749692054446</v>
      </c>
      <c r="BQ145" s="85">
        <f t="shared" si="170"/>
        <v>1.8831118759295467</v>
      </c>
      <c r="BR145" s="85">
        <f t="shared" si="171"/>
        <v>0.21495221291693448</v>
      </c>
      <c r="BS145" s="85">
        <f t="shared" si="172"/>
        <v>1.8830906659614772</v>
      </c>
      <c r="BT145" s="85">
        <f t="shared" si="173"/>
        <v>0.2149534234578864</v>
      </c>
      <c r="BU145" s="85">
        <f t="shared" si="174"/>
        <v>1.8830852217723666</v>
      </c>
      <c r="BV145" s="85">
        <f t="shared" si="175"/>
        <v>0.21495373418366451</v>
      </c>
      <c r="BW145" s="85">
        <f t="shared" si="176"/>
        <v>1.8830838243499475</v>
      </c>
    </row>
    <row r="146" spans="25:75" x14ac:dyDescent="0.4">
      <c r="Y146" s="142">
        <v>7.8200000000000006E-2</v>
      </c>
      <c r="Z146" s="46">
        <f t="shared" si="128"/>
        <v>9.346181613197807E-3</v>
      </c>
      <c r="AA146" s="84">
        <f t="shared" si="129"/>
        <v>3.6870849800350229</v>
      </c>
      <c r="AB146" s="84">
        <f t="shared" si="130"/>
        <v>2.4729011302516726E-2</v>
      </c>
      <c r="AC146" s="84">
        <f t="shared" si="131"/>
        <v>10.141172235961225</v>
      </c>
      <c r="AD146" s="84">
        <f t="shared" si="132"/>
        <v>1.4910913380986138E-2</v>
      </c>
      <c r="AE146" s="84">
        <f t="shared" si="133"/>
        <v>16.408831011385104</v>
      </c>
      <c r="AF146" s="84">
        <f t="shared" si="134"/>
        <v>1.1722210220347615E-2</v>
      </c>
      <c r="AG146" s="84">
        <f t="shared" si="135"/>
        <v>20.708369971333475</v>
      </c>
      <c r="AH146" s="84">
        <f t="shared" si="136"/>
        <v>1.0434589514000999E-2</v>
      </c>
      <c r="AI146" s="84">
        <f t="shared" si="137"/>
        <v>23.19021105520045</v>
      </c>
      <c r="AJ146" s="84">
        <f t="shared" si="138"/>
        <v>9.8604327652341995E-3</v>
      </c>
      <c r="AK146" s="84">
        <f t="shared" si="139"/>
        <v>24.505999358471477</v>
      </c>
      <c r="AL146" s="84">
        <f t="shared" si="140"/>
        <v>9.5920651052211134E-3</v>
      </c>
      <c r="AM146" s="84">
        <f t="shared" si="141"/>
        <v>25.175071666449028</v>
      </c>
      <c r="AN146" s="84">
        <f t="shared" si="142"/>
        <v>9.4637436756200496E-3</v>
      </c>
      <c r="AO146" s="84">
        <f t="shared" si="143"/>
        <v>25.508410665876973</v>
      </c>
      <c r="AP146" s="84">
        <f t="shared" si="144"/>
        <v>9.4017051420737449E-3</v>
      </c>
      <c r="AQ146" s="84">
        <f t="shared" si="145"/>
        <v>25.67283238812033</v>
      </c>
      <c r="AR146" s="84">
        <f t="shared" si="146"/>
        <v>9.3715501600059488E-3</v>
      </c>
      <c r="AS146" s="84">
        <f t="shared" si="147"/>
        <v>25.753539313283738</v>
      </c>
      <c r="AT146" s="84">
        <f t="shared" si="148"/>
        <v>9.3568542674586693E-3</v>
      </c>
      <c r="AU146" s="84">
        <f t="shared" si="149"/>
        <v>25.793060108958596</v>
      </c>
      <c r="AV146" s="84">
        <f t="shared" si="150"/>
        <v>9.3496831120527708E-3</v>
      </c>
      <c r="AW146" s="84">
        <f t="shared" si="151"/>
        <v>25.812390203768032</v>
      </c>
      <c r="AX146" s="84">
        <f t="shared" si="152"/>
        <v>9.346181613197807E-3</v>
      </c>
      <c r="AY146" s="142">
        <v>7.8200000000000006E-2</v>
      </c>
      <c r="AZ146" s="46">
        <f t="shared" si="153"/>
        <v>0.2201957079456657</v>
      </c>
      <c r="BA146" s="85">
        <f t="shared" si="154"/>
        <v>3.6870849800350229</v>
      </c>
      <c r="BB146" s="85">
        <f t="shared" si="155"/>
        <v>0.15640000000000001</v>
      </c>
      <c r="BC146" s="85">
        <f t="shared" si="156"/>
        <v>2.2532841168600335</v>
      </c>
      <c r="BD146" s="85">
        <f t="shared" si="157"/>
        <v>0.20006464356003692</v>
      </c>
      <c r="BE146" s="85">
        <f t="shared" si="158"/>
        <v>1.9553995014287917</v>
      </c>
      <c r="BF146" s="85">
        <f t="shared" si="159"/>
        <v>0.21476354910375528</v>
      </c>
      <c r="BG146" s="85">
        <f t="shared" si="160"/>
        <v>1.8839399514075426</v>
      </c>
      <c r="BH146" s="85">
        <f t="shared" si="161"/>
        <v>0.21879872877036863</v>
      </c>
      <c r="BI146" s="85">
        <f t="shared" si="162"/>
        <v>1.8661172992454595</v>
      </c>
      <c r="BJ146" s="85">
        <f t="shared" si="163"/>
        <v>0.21984108204611491</v>
      </c>
      <c r="BK146" s="85">
        <f t="shared" si="164"/>
        <v>1.8616273548750657</v>
      </c>
      <c r="BL146" s="85">
        <f t="shared" si="165"/>
        <v>0.22010603297114478</v>
      </c>
      <c r="BM146" s="85">
        <f t="shared" si="166"/>
        <v>1.8604933457784392</v>
      </c>
      <c r="BN146" s="85">
        <f t="shared" si="167"/>
        <v>0.22017310233780901</v>
      </c>
      <c r="BO146" s="85">
        <f t="shared" si="168"/>
        <v>1.8602067483406965</v>
      </c>
      <c r="BP146" s="85">
        <f t="shared" si="169"/>
        <v>0.22019006244635014</v>
      </c>
      <c r="BQ146" s="85">
        <f t="shared" si="170"/>
        <v>1.8601343049250267</v>
      </c>
      <c r="BR146" s="85">
        <f t="shared" si="171"/>
        <v>0.22019435008431099</v>
      </c>
      <c r="BS146" s="85">
        <f t="shared" si="172"/>
        <v>1.8601159926017812</v>
      </c>
      <c r="BT146" s="85">
        <f t="shared" si="173"/>
        <v>0.22019543395763058</v>
      </c>
      <c r="BU146" s="85">
        <f t="shared" si="174"/>
        <v>1.860111363545079</v>
      </c>
      <c r="BV146" s="85">
        <f t="shared" si="175"/>
        <v>0.2201957079456657</v>
      </c>
      <c r="BW146" s="85">
        <f t="shared" si="176"/>
        <v>1.8601101933919457</v>
      </c>
    </row>
    <row r="147" spans="25:75" x14ac:dyDescent="0.4">
      <c r="Y147" s="142">
        <v>8.0699999999999994E-2</v>
      </c>
      <c r="Z147" s="46">
        <f t="shared" si="128"/>
        <v>9.7002121235932499E-3</v>
      </c>
      <c r="AA147" s="84">
        <f t="shared" si="129"/>
        <v>3.5964631327138346</v>
      </c>
      <c r="AB147" s="84">
        <f t="shared" si="130"/>
        <v>2.5519580717558818E-2</v>
      </c>
      <c r="AC147" s="84">
        <f t="shared" si="131"/>
        <v>9.8467622618822706</v>
      </c>
      <c r="AD147" s="84">
        <f t="shared" si="132"/>
        <v>1.5422849292556367E-2</v>
      </c>
      <c r="AE147" s="84">
        <f t="shared" si="133"/>
        <v>15.884370027798784</v>
      </c>
      <c r="AF147" s="84">
        <f t="shared" si="134"/>
        <v>1.2143009739781323E-2</v>
      </c>
      <c r="AG147" s="84">
        <f t="shared" si="135"/>
        <v>20.011498187636299</v>
      </c>
      <c r="AH147" s="84">
        <f t="shared" si="136"/>
        <v>1.0818611841809852E-2</v>
      </c>
      <c r="AI147" s="84">
        <f t="shared" si="137"/>
        <v>22.388149734600631</v>
      </c>
      <c r="AJ147" s="84">
        <f t="shared" si="138"/>
        <v>1.0228271316249701E-2</v>
      </c>
      <c r="AK147" s="84">
        <f t="shared" si="139"/>
        <v>23.646012516411339</v>
      </c>
      <c r="AL147" s="84">
        <f t="shared" si="140"/>
        <v>9.9525045204335305E-3</v>
      </c>
      <c r="AM147" s="84">
        <f t="shared" si="141"/>
        <v>24.28477205819674</v>
      </c>
      <c r="AN147" s="84">
        <f t="shared" si="142"/>
        <v>9.8207425309400458E-3</v>
      </c>
      <c r="AO147" s="84">
        <f t="shared" si="143"/>
        <v>24.60264622673489</v>
      </c>
      <c r="AP147" s="84">
        <f t="shared" si="144"/>
        <v>9.7570926790334946E-3</v>
      </c>
      <c r="AQ147" s="84">
        <f t="shared" si="145"/>
        <v>24.759278052866371</v>
      </c>
      <c r="AR147" s="84">
        <f t="shared" si="146"/>
        <v>9.7261811163273058E-3</v>
      </c>
      <c r="AS147" s="84">
        <f t="shared" si="147"/>
        <v>24.836086365701956</v>
      </c>
      <c r="AT147" s="84">
        <f t="shared" si="148"/>
        <v>9.7111298310647558E-3</v>
      </c>
      <c r="AU147" s="84">
        <f t="shared" si="149"/>
        <v>24.873662562280227</v>
      </c>
      <c r="AV147" s="84">
        <f t="shared" si="150"/>
        <v>9.7037918437146726E-3</v>
      </c>
      <c r="AW147" s="84">
        <f t="shared" si="151"/>
        <v>24.892024465879953</v>
      </c>
      <c r="AX147" s="84">
        <f t="shared" si="152"/>
        <v>9.7002121235932499E-3</v>
      </c>
      <c r="AY147" s="142">
        <v>8.0699999999999994E-2</v>
      </c>
      <c r="AZ147" s="46">
        <f t="shared" si="153"/>
        <v>0.2258587910882458</v>
      </c>
      <c r="BA147" s="85">
        <f t="shared" si="154"/>
        <v>3.5964631327138346</v>
      </c>
      <c r="BB147" s="85">
        <f t="shared" si="155"/>
        <v>0.16139999999999999</v>
      </c>
      <c r="BC147" s="85">
        <f t="shared" si="156"/>
        <v>2.2104641595426715</v>
      </c>
      <c r="BD147" s="85">
        <f t="shared" si="157"/>
        <v>0.20587309707018148</v>
      </c>
      <c r="BE147" s="85">
        <f t="shared" si="158"/>
        <v>1.9258557035864488</v>
      </c>
      <c r="BF147" s="85">
        <f t="shared" si="159"/>
        <v>0.22056137710610055</v>
      </c>
      <c r="BG147" s="85">
        <f t="shared" si="160"/>
        <v>1.8585512659202164</v>
      </c>
      <c r="BH147" s="85">
        <f t="shared" si="161"/>
        <v>0.22451949886904962</v>
      </c>
      <c r="BI147" s="85">
        <f t="shared" si="162"/>
        <v>1.8420252535144601</v>
      </c>
      <c r="BJ147" s="85">
        <f t="shared" si="163"/>
        <v>0.22552440556275594</v>
      </c>
      <c r="BK147" s="85">
        <f t="shared" si="164"/>
        <v>1.8379285691552971</v>
      </c>
      <c r="BL147" s="85">
        <f t="shared" si="165"/>
        <v>0.22577560902521293</v>
      </c>
      <c r="BM147" s="85">
        <f t="shared" si="166"/>
        <v>1.8369106069804679</v>
      </c>
      <c r="BN147" s="85">
        <f t="shared" si="167"/>
        <v>0.22583815948262856</v>
      </c>
      <c r="BO147" s="85">
        <f t="shared" si="168"/>
        <v>1.836657509155692</v>
      </c>
      <c r="BP147" s="85">
        <f t="shared" si="169"/>
        <v>0.22585371959048334</v>
      </c>
      <c r="BQ147" s="85">
        <f t="shared" si="170"/>
        <v>1.8365945716868013</v>
      </c>
      <c r="BR147" s="85">
        <f t="shared" si="171"/>
        <v>0.22585758939928405</v>
      </c>
      <c r="BS147" s="85">
        <f t="shared" si="172"/>
        <v>1.8365789205433258</v>
      </c>
      <c r="BT147" s="85">
        <f t="shared" si="173"/>
        <v>0.22585855176522598</v>
      </c>
      <c r="BU147" s="85">
        <f t="shared" si="174"/>
        <v>1.8365750284178222</v>
      </c>
      <c r="BV147" s="85">
        <f t="shared" si="175"/>
        <v>0.2258587910882458</v>
      </c>
      <c r="BW147" s="85">
        <f t="shared" si="176"/>
        <v>1.8365740605220677</v>
      </c>
    </row>
    <row r="148" spans="25:75" x14ac:dyDescent="0.4">
      <c r="Y148" s="142">
        <v>8.3199999999999996E-2</v>
      </c>
      <c r="Z148" s="46">
        <f t="shared" si="128"/>
        <v>1.0057852823382703E-2</v>
      </c>
      <c r="AA148" s="84">
        <f t="shared" si="129"/>
        <v>3.511424200263447</v>
      </c>
      <c r="AB148" s="84">
        <f t="shared" si="130"/>
        <v>2.6310150132600914E-2</v>
      </c>
      <c r="AC148" s="84">
        <f t="shared" si="131"/>
        <v>9.5701114898193129</v>
      </c>
      <c r="AD148" s="84">
        <f t="shared" si="132"/>
        <v>1.5936996476502388E-2</v>
      </c>
      <c r="AE148" s="84">
        <f t="shared" si="133"/>
        <v>15.391606209617358</v>
      </c>
      <c r="AF148" s="84">
        <f t="shared" si="134"/>
        <v>1.2566750812275597E-2</v>
      </c>
      <c r="AG148" s="84">
        <f t="shared" si="135"/>
        <v>19.356959269896425</v>
      </c>
      <c r="AH148" s="84">
        <f t="shared" si="136"/>
        <v>1.1205891344959338E-2</v>
      </c>
      <c r="AI148" s="84">
        <f t="shared" si="137"/>
        <v>21.635001357836078</v>
      </c>
      <c r="AJ148" s="84">
        <f t="shared" si="138"/>
        <v>1.0599527643936259E-2</v>
      </c>
      <c r="AK148" s="84">
        <f t="shared" si="139"/>
        <v>22.838598978471964</v>
      </c>
      <c r="AL148" s="84">
        <f t="shared" si="140"/>
        <v>1.0316449244013795E-2</v>
      </c>
      <c r="AM148" s="84">
        <f t="shared" si="141"/>
        <v>23.448976017642224</v>
      </c>
      <c r="AN148" s="84">
        <f t="shared" si="142"/>
        <v>1.0181295300820755E-2</v>
      </c>
      <c r="AO148" s="84">
        <f t="shared" si="143"/>
        <v>23.752376398431547</v>
      </c>
      <c r="AP148" s="84">
        <f t="shared" si="144"/>
        <v>1.0116061054951634E-2</v>
      </c>
      <c r="AQ148" s="84">
        <f t="shared" si="145"/>
        <v>23.901720389337196</v>
      </c>
      <c r="AR148" s="84">
        <f t="shared" si="146"/>
        <v>1.0084407679588899E-2</v>
      </c>
      <c r="AS148" s="84">
        <f t="shared" si="147"/>
        <v>23.974882733334802</v>
      </c>
      <c r="AT148" s="84">
        <f t="shared" si="148"/>
        <v>1.0069009009161745E-2</v>
      </c>
      <c r="AU148" s="84">
        <f t="shared" si="149"/>
        <v>24.010641035790584</v>
      </c>
      <c r="AV148" s="84">
        <f t="shared" si="150"/>
        <v>1.006150848424806E-2</v>
      </c>
      <c r="AW148" s="84">
        <f t="shared" si="151"/>
        <v>24.028098183709233</v>
      </c>
      <c r="AX148" s="84">
        <f t="shared" si="152"/>
        <v>1.0057852823382703E-2</v>
      </c>
      <c r="AY148" s="142">
        <v>8.3199999999999996E-2</v>
      </c>
      <c r="AZ148" s="46">
        <f t="shared" si="153"/>
        <v>0.23148778288761998</v>
      </c>
      <c r="BA148" s="85">
        <f t="shared" si="154"/>
        <v>3.511424200263447</v>
      </c>
      <c r="BB148" s="85">
        <f t="shared" si="155"/>
        <v>0.16639999999999999</v>
      </c>
      <c r="BC148" s="85">
        <f t="shared" si="156"/>
        <v>2.1703643118326328</v>
      </c>
      <c r="BD148" s="85">
        <f t="shared" si="157"/>
        <v>0.21165505785882241</v>
      </c>
      <c r="BE148" s="85">
        <f t="shared" si="158"/>
        <v>1.8981668426250469</v>
      </c>
      <c r="BF148" s="85">
        <f t="shared" si="159"/>
        <v>0.22632252487016999</v>
      </c>
      <c r="BG148" s="85">
        <f t="shared" si="160"/>
        <v>1.8347027055067218</v>
      </c>
      <c r="BH148" s="85">
        <f t="shared" si="161"/>
        <v>0.23020360489206296</v>
      </c>
      <c r="BI148" s="85">
        <f t="shared" si="162"/>
        <v>1.8193580407922723</v>
      </c>
      <c r="BJ148" s="85">
        <f t="shared" si="163"/>
        <v>0.23117234775158504</v>
      </c>
      <c r="BK148" s="85">
        <f t="shared" si="164"/>
        <v>1.8156141445110539</v>
      </c>
      <c r="BL148" s="85">
        <f t="shared" si="165"/>
        <v>0.23141057005931714</v>
      </c>
      <c r="BM148" s="85">
        <f t="shared" si="166"/>
        <v>1.8146986443754083</v>
      </c>
      <c r="BN148" s="85">
        <f t="shared" si="167"/>
        <v>0.23146893503791333</v>
      </c>
      <c r="BO148" s="85">
        <f t="shared" si="168"/>
        <v>1.8144746535513225</v>
      </c>
      <c r="BP148" s="85">
        <f t="shared" si="169"/>
        <v>0.23148322162974436</v>
      </c>
      <c r="BQ148" s="85">
        <f t="shared" si="170"/>
        <v>1.8144198435128933</v>
      </c>
      <c r="BR148" s="85">
        <f t="shared" si="171"/>
        <v>0.23148671792871373</v>
      </c>
      <c r="BS148" s="85">
        <f t="shared" si="172"/>
        <v>1.8144064311839723</v>
      </c>
      <c r="BT148" s="85">
        <f t="shared" si="173"/>
        <v>0.23148757351713392</v>
      </c>
      <c r="BU148" s="85">
        <f t="shared" si="174"/>
        <v>1.8144031490843311</v>
      </c>
      <c r="BV148" s="85">
        <f t="shared" si="175"/>
        <v>0.23148778288761998</v>
      </c>
      <c r="BW148" s="85">
        <f t="shared" si="176"/>
        <v>1.8144023459278307</v>
      </c>
    </row>
    <row r="149" spans="25:75" x14ac:dyDescent="0.4">
      <c r="Y149" s="142">
        <v>8.5800000000000001E-2</v>
      </c>
      <c r="Z149" s="46">
        <f t="shared" si="128"/>
        <v>1.0433635511144668E-2</v>
      </c>
      <c r="AA149" s="84">
        <f t="shared" si="129"/>
        <v>3.4283787469798406</v>
      </c>
      <c r="AB149" s="84">
        <f t="shared" si="130"/>
        <v>2.7132342324244694E-2</v>
      </c>
      <c r="AC149" s="84">
        <f t="shared" si="131"/>
        <v>9.2995645084716561</v>
      </c>
      <c r="AD149" s="84">
        <f t="shared" si="132"/>
        <v>1.6474049980995942E-2</v>
      </c>
      <c r="AE149" s="84">
        <f t="shared" si="133"/>
        <v>14.909784091197302</v>
      </c>
      <c r="AF149" s="84">
        <f t="shared" si="134"/>
        <v>1.3010560534876215E-2</v>
      </c>
      <c r="AG149" s="84">
        <f t="shared" si="135"/>
        <v>18.717178647516224</v>
      </c>
      <c r="AH149" s="84">
        <f t="shared" si="136"/>
        <v>1.1612119384558446E-2</v>
      </c>
      <c r="AI149" s="84">
        <f t="shared" si="137"/>
        <v>20.899030787724268</v>
      </c>
      <c r="AJ149" s="84">
        <f t="shared" si="138"/>
        <v>1.0989264134106459E-2</v>
      </c>
      <c r="AK149" s="84">
        <f t="shared" si="139"/>
        <v>22.049732328713947</v>
      </c>
      <c r="AL149" s="84">
        <f t="shared" si="140"/>
        <v>1.0698675718571681E-2</v>
      </c>
      <c r="AM149" s="84">
        <f t="shared" si="141"/>
        <v>22.632458028952449</v>
      </c>
      <c r="AN149" s="84">
        <f t="shared" si="142"/>
        <v>1.0560046318621103E-2</v>
      </c>
      <c r="AO149" s="84">
        <f t="shared" si="143"/>
        <v>22.921763893525597</v>
      </c>
      <c r="AP149" s="84">
        <f t="shared" si="144"/>
        <v>1.0493193161997573E-2</v>
      </c>
      <c r="AQ149" s="84">
        <f t="shared" si="145"/>
        <v>23.064013943622445</v>
      </c>
      <c r="AR149" s="84">
        <f t="shared" si="146"/>
        <v>1.0460784104387336E-2</v>
      </c>
      <c r="AS149" s="84">
        <f t="shared" si="147"/>
        <v>23.133628731316797</v>
      </c>
      <c r="AT149" s="84">
        <f t="shared" si="148"/>
        <v>1.0445032707337258E-2</v>
      </c>
      <c r="AU149" s="84">
        <f t="shared" si="149"/>
        <v>23.167618913868278</v>
      </c>
      <c r="AV149" s="84">
        <f t="shared" si="150"/>
        <v>1.0437367722758422E-2</v>
      </c>
      <c r="AW149" s="84">
        <f t="shared" si="151"/>
        <v>23.184196437823729</v>
      </c>
      <c r="AX149" s="84">
        <f t="shared" si="152"/>
        <v>1.0433635511144668E-2</v>
      </c>
      <c r="AY149" s="142">
        <v>8.5800000000000001E-2</v>
      </c>
      <c r="AZ149" s="46">
        <f t="shared" si="153"/>
        <v>0.23730790086975193</v>
      </c>
      <c r="BA149" s="85">
        <f t="shared" si="154"/>
        <v>3.4283787469798406</v>
      </c>
      <c r="BB149" s="85">
        <f t="shared" si="155"/>
        <v>0.1716</v>
      </c>
      <c r="BC149" s="85">
        <f t="shared" si="156"/>
        <v>2.1312845760128623</v>
      </c>
      <c r="BD149" s="85">
        <f t="shared" si="157"/>
        <v>0.21764112373490677</v>
      </c>
      <c r="BE149" s="85">
        <f t="shared" si="158"/>
        <v>1.8711577646404809</v>
      </c>
      <c r="BF149" s="85">
        <f t="shared" si="159"/>
        <v>0.23227714404812183</v>
      </c>
      <c r="BG149" s="85">
        <f t="shared" si="160"/>
        <v>1.8113853681030343</v>
      </c>
      <c r="BH149" s="85">
        <f t="shared" si="161"/>
        <v>0.23607839991434357</v>
      </c>
      <c r="BI149" s="85">
        <f t="shared" si="162"/>
        <v>1.7971600137961206</v>
      </c>
      <c r="BJ149" s="85">
        <f t="shared" si="163"/>
        <v>0.23701089323894506</v>
      </c>
      <c r="BK149" s="85">
        <f t="shared" si="164"/>
        <v>1.7937452104401284</v>
      </c>
      <c r="BL149" s="85">
        <f t="shared" si="165"/>
        <v>0.23723638813131817</v>
      </c>
      <c r="BM149" s="85">
        <f t="shared" si="166"/>
        <v>1.7929237760924237</v>
      </c>
      <c r="BN149" s="85">
        <f t="shared" si="167"/>
        <v>0.23729072725183192</v>
      </c>
      <c r="BO149" s="85">
        <f t="shared" si="168"/>
        <v>1.7927260800381704</v>
      </c>
      <c r="BP149" s="85">
        <f t="shared" si="169"/>
        <v>0.23730381071945467</v>
      </c>
      <c r="BQ149" s="85">
        <f t="shared" si="170"/>
        <v>1.7926784944293996</v>
      </c>
      <c r="BR149" s="85">
        <f t="shared" si="171"/>
        <v>0.23730696024442427</v>
      </c>
      <c r="BS149" s="85">
        <f t="shared" si="172"/>
        <v>1.792667040199583</v>
      </c>
      <c r="BT149" s="85">
        <f t="shared" si="173"/>
        <v>0.2373077183785498</v>
      </c>
      <c r="BU149" s="85">
        <f t="shared" si="174"/>
        <v>1.7926642830571853</v>
      </c>
      <c r="BV149" s="85">
        <f t="shared" si="175"/>
        <v>0.23730790086975193</v>
      </c>
      <c r="BW149" s="85">
        <f t="shared" si="176"/>
        <v>1.7926636193855865</v>
      </c>
    </row>
    <row r="150" spans="25:75" x14ac:dyDescent="0.4">
      <c r="Y150" s="142">
        <v>8.8400000000000006E-2</v>
      </c>
      <c r="Z150" s="46">
        <f t="shared" si="128"/>
        <v>1.0813335472738363E-2</v>
      </c>
      <c r="AA150" s="84">
        <f t="shared" si="129"/>
        <v>3.350352288742791</v>
      </c>
      <c r="AB150" s="84">
        <f t="shared" si="130"/>
        <v>2.7954534515888474E-2</v>
      </c>
      <c r="AC150" s="84">
        <f t="shared" si="131"/>
        <v>9.0449987065817901</v>
      </c>
      <c r="AD150" s="84">
        <f t="shared" si="132"/>
        <v>1.7013483653891142E-2</v>
      </c>
      <c r="AE150" s="84">
        <f t="shared" si="133"/>
        <v>14.456498902222599</v>
      </c>
      <c r="AF150" s="84">
        <f t="shared" si="134"/>
        <v>1.3457548043658681E-2</v>
      </c>
      <c r="AG150" s="84">
        <f t="shared" si="135"/>
        <v>18.115514825221457</v>
      </c>
      <c r="AH150" s="84">
        <f t="shared" si="136"/>
        <v>1.202187373607754E-2</v>
      </c>
      <c r="AI150" s="84">
        <f t="shared" si="137"/>
        <v>20.207102237790259</v>
      </c>
      <c r="AJ150" s="84">
        <f t="shared" si="138"/>
        <v>1.1382705071381824E-2</v>
      </c>
      <c r="AK150" s="84">
        <f t="shared" si="139"/>
        <v>21.308202968719165</v>
      </c>
      <c r="AL150" s="84">
        <f t="shared" si="140"/>
        <v>1.1084703739618625E-2</v>
      </c>
      <c r="AM150" s="84">
        <f t="shared" si="141"/>
        <v>21.865014744749804</v>
      </c>
      <c r="AN150" s="84">
        <f t="shared" si="142"/>
        <v>1.094265269290398E-2</v>
      </c>
      <c r="AO150" s="84">
        <f t="shared" si="143"/>
        <v>22.141117998376675</v>
      </c>
      <c r="AP150" s="84">
        <f t="shared" si="144"/>
        <v>1.0874210344350842E-2</v>
      </c>
      <c r="AQ150" s="84">
        <f t="shared" si="145"/>
        <v>22.276725893675628</v>
      </c>
      <c r="AR150" s="84">
        <f t="shared" si="146"/>
        <v>1.0841061850838458E-2</v>
      </c>
      <c r="AS150" s="84">
        <f t="shared" si="147"/>
        <v>22.343020445732598</v>
      </c>
      <c r="AT150" s="84">
        <f t="shared" si="148"/>
        <v>1.0824966505668804E-2</v>
      </c>
      <c r="AU150" s="84">
        <f t="shared" si="149"/>
        <v>22.3753565014391</v>
      </c>
      <c r="AV150" s="84">
        <f t="shared" si="150"/>
        <v>1.0817141752653343E-2</v>
      </c>
      <c r="AW150" s="84">
        <f t="shared" si="151"/>
        <v>22.391111466143567</v>
      </c>
      <c r="AX150" s="84">
        <f t="shared" si="152"/>
        <v>1.0813335472738363E-2</v>
      </c>
      <c r="AY150" s="142">
        <v>8.8400000000000006E-2</v>
      </c>
      <c r="AZ150" s="46">
        <f t="shared" si="153"/>
        <v>0.24309536764028289</v>
      </c>
      <c r="BA150" s="85">
        <f t="shared" si="154"/>
        <v>3.350352288742791</v>
      </c>
      <c r="BB150" s="85">
        <f t="shared" si="155"/>
        <v>0.17680000000000001</v>
      </c>
      <c r="BC150" s="85">
        <f t="shared" si="156"/>
        <v>2.0946417610107817</v>
      </c>
      <c r="BD150" s="85">
        <f t="shared" si="157"/>
        <v>0.22360042230817045</v>
      </c>
      <c r="BE150" s="85">
        <f t="shared" si="158"/>
        <v>1.8458066469590402</v>
      </c>
      <c r="BF150" s="85">
        <f t="shared" si="159"/>
        <v>0.23819596239203131</v>
      </c>
      <c r="BG150" s="85">
        <f t="shared" si="160"/>
        <v>1.7894469190053954</v>
      </c>
      <c r="BH150" s="85">
        <f t="shared" si="161"/>
        <v>0.24191794698366059</v>
      </c>
      <c r="BI150" s="85">
        <f t="shared" si="162"/>
        <v>1.7762412112436379</v>
      </c>
      <c r="BJ150" s="85">
        <f t="shared" si="163"/>
        <v>0.24281556770285265</v>
      </c>
      <c r="BK150" s="85">
        <f t="shared" si="164"/>
        <v>1.773121529688682</v>
      </c>
      <c r="BL150" s="85">
        <f t="shared" si="165"/>
        <v>0.24302908221183253</v>
      </c>
      <c r="BM150" s="85">
        <f t="shared" si="166"/>
        <v>1.7723831072861203</v>
      </c>
      <c r="BN150" s="85">
        <f t="shared" si="167"/>
        <v>0.24307970316115388</v>
      </c>
      <c r="BO150" s="85">
        <f t="shared" si="168"/>
        <v>1.7722082434292448</v>
      </c>
      <c r="BP150" s="85">
        <f t="shared" si="169"/>
        <v>0.24309169520726884</v>
      </c>
      <c r="BQ150" s="85">
        <f t="shared" si="170"/>
        <v>1.7721668298503979</v>
      </c>
      <c r="BR150" s="85">
        <f t="shared" si="171"/>
        <v>0.24309453558270705</v>
      </c>
      <c r="BS150" s="85">
        <f t="shared" si="172"/>
        <v>1.772157021482943</v>
      </c>
      <c r="BT150" s="85">
        <f t="shared" si="173"/>
        <v>0.24309520831012429</v>
      </c>
      <c r="BU150" s="85">
        <f t="shared" si="174"/>
        <v>1.7721546984607524</v>
      </c>
      <c r="BV150" s="85">
        <f t="shared" si="175"/>
        <v>0.24309536764028289</v>
      </c>
      <c r="BW150" s="85">
        <f t="shared" si="176"/>
        <v>1.7721541482733771</v>
      </c>
    </row>
    <row r="151" spans="25:75" x14ac:dyDescent="0.4">
      <c r="Y151" s="142">
        <v>9.1200000000000003E-2</v>
      </c>
      <c r="Z151" s="46">
        <f t="shared" si="128"/>
        <v>1.1226629191317845E-2</v>
      </c>
      <c r="AA151" s="84">
        <f t="shared" si="129"/>
        <v>3.2714414288895766</v>
      </c>
      <c r="AB151" s="84">
        <f t="shared" si="130"/>
        <v>2.8839972260735619E-2</v>
      </c>
      <c r="AC151" s="84">
        <f t="shared" si="131"/>
        <v>8.7871551359516502</v>
      </c>
      <c r="AD151" s="84">
        <f t="shared" si="132"/>
        <v>1.7597066124616811E-2</v>
      </c>
      <c r="AE151" s="84">
        <f t="shared" si="133"/>
        <v>13.9974665137179</v>
      </c>
      <c r="AF151" s="84">
        <f t="shared" si="134"/>
        <v>1.3942469217749262E-2</v>
      </c>
      <c r="AG151" s="84">
        <f t="shared" si="135"/>
        <v>17.506468147663984</v>
      </c>
      <c r="AH151" s="84">
        <f t="shared" si="136"/>
        <v>1.2467091415156367E-2</v>
      </c>
      <c r="AI151" s="84">
        <f t="shared" si="137"/>
        <v>19.506894185462038</v>
      </c>
      <c r="AJ151" s="84">
        <f t="shared" si="138"/>
        <v>1.1810556154348199E-2</v>
      </c>
      <c r="AK151" s="84">
        <f t="shared" si="139"/>
        <v>20.557941051615703</v>
      </c>
      <c r="AL151" s="84">
        <f t="shared" si="140"/>
        <v>1.1504681625095816E-2</v>
      </c>
      <c r="AM151" s="84">
        <f t="shared" si="141"/>
        <v>21.088618136300909</v>
      </c>
      <c r="AN151" s="84">
        <f t="shared" si="142"/>
        <v>1.1359006589773096E-2</v>
      </c>
      <c r="AO151" s="84">
        <f t="shared" si="143"/>
        <v>21.351413092165011</v>
      </c>
      <c r="AP151" s="84">
        <f t="shared" si="144"/>
        <v>1.1288886364719527E-2</v>
      </c>
      <c r="AQ151" s="84">
        <f t="shared" si="145"/>
        <v>21.480328766765336</v>
      </c>
      <c r="AR151" s="84">
        <f t="shared" si="146"/>
        <v>1.1254959870007093E-2</v>
      </c>
      <c r="AS151" s="84">
        <f t="shared" si="147"/>
        <v>21.543279556861311</v>
      </c>
      <c r="AT151" s="84">
        <f t="shared" si="148"/>
        <v>1.123850399687785E-2</v>
      </c>
      <c r="AU151" s="84">
        <f t="shared" si="149"/>
        <v>21.573950515437886</v>
      </c>
      <c r="AV151" s="84">
        <f t="shared" si="150"/>
        <v>1.1230512454299022E-2</v>
      </c>
      <c r="AW151" s="84">
        <f t="shared" si="151"/>
        <v>21.588877847792023</v>
      </c>
      <c r="AX151" s="84">
        <f t="shared" si="152"/>
        <v>1.1226629191317845E-2</v>
      </c>
      <c r="AY151" s="142">
        <v>9.1200000000000003E-2</v>
      </c>
      <c r="AZ151" s="46">
        <f t="shared" si="153"/>
        <v>0.24929372450278517</v>
      </c>
      <c r="BA151" s="85">
        <f t="shared" si="154"/>
        <v>3.2714414288895766</v>
      </c>
      <c r="BB151" s="85">
        <f t="shared" si="155"/>
        <v>0.18240000000000001</v>
      </c>
      <c r="BC151" s="85">
        <f t="shared" si="156"/>
        <v>2.0576604779290406</v>
      </c>
      <c r="BD151" s="85">
        <f t="shared" si="157"/>
        <v>0.22998925718878888</v>
      </c>
      <c r="BE151" s="85">
        <f t="shared" si="158"/>
        <v>1.8201910066849947</v>
      </c>
      <c r="BF151" s="85">
        <f t="shared" si="159"/>
        <v>0.24453212756048515</v>
      </c>
      <c r="BG151" s="85">
        <f t="shared" si="160"/>
        <v>1.7672241725173539</v>
      </c>
      <c r="BH151" s="85">
        <f t="shared" si="161"/>
        <v>0.24816960356730611</v>
      </c>
      <c r="BI151" s="85">
        <f t="shared" si="162"/>
        <v>1.7550170555213189</v>
      </c>
      <c r="BJ151" s="85">
        <f t="shared" si="163"/>
        <v>0.24903118658338569</v>
      </c>
      <c r="BK151" s="85">
        <f t="shared" si="164"/>
        <v>1.7521817973633032</v>
      </c>
      <c r="BL151" s="85">
        <f t="shared" si="165"/>
        <v>0.24923258757611505</v>
      </c>
      <c r="BM151" s="85">
        <f t="shared" si="166"/>
        <v>1.7515220764304988</v>
      </c>
      <c r="BN151" s="85">
        <f t="shared" si="167"/>
        <v>0.24927952060581526</v>
      </c>
      <c r="BO151" s="85">
        <f t="shared" si="168"/>
        <v>1.751368504585129</v>
      </c>
      <c r="BP151" s="85">
        <f t="shared" si="169"/>
        <v>0.24929044962409891</v>
      </c>
      <c r="BQ151" s="85">
        <f t="shared" si="170"/>
        <v>1.7513327521427329</v>
      </c>
      <c r="BR151" s="85">
        <f t="shared" si="171"/>
        <v>0.24929299417108536</v>
      </c>
      <c r="BS151" s="85">
        <f t="shared" si="172"/>
        <v>1.7513244285698399</v>
      </c>
      <c r="BT151" s="85">
        <f t="shared" si="173"/>
        <v>0.24929358658158032</v>
      </c>
      <c r="BU151" s="85">
        <f t="shared" si="174"/>
        <v>1.7513224907375986</v>
      </c>
      <c r="BV151" s="85">
        <f t="shared" si="175"/>
        <v>0.24929372450278517</v>
      </c>
      <c r="BW151" s="85">
        <f t="shared" si="176"/>
        <v>1.7513220395853697</v>
      </c>
    </row>
    <row r="152" spans="25:75" x14ac:dyDescent="0.4">
      <c r="Y152" s="142">
        <v>9.4E-2</v>
      </c>
      <c r="Z152" s="46">
        <f t="shared" si="128"/>
        <v>1.164447546901848E-2</v>
      </c>
      <c r="AA152" s="84">
        <f t="shared" si="129"/>
        <v>3.1973717881136294</v>
      </c>
      <c r="AB152" s="84">
        <f t="shared" si="130"/>
        <v>2.9725410005582764E-2</v>
      </c>
      <c r="AC152" s="84">
        <f t="shared" si="131"/>
        <v>8.544744200787374</v>
      </c>
      <c r="AD152" s="84">
        <f t="shared" si="132"/>
        <v>1.8183391518943118E-2</v>
      </c>
      <c r="AE152" s="84">
        <f t="shared" si="133"/>
        <v>13.566005232019275</v>
      </c>
      <c r="AF152" s="84">
        <f t="shared" si="134"/>
        <v>1.4431066661048779E-2</v>
      </c>
      <c r="AG152" s="84">
        <f t="shared" si="135"/>
        <v>16.934252201986244</v>
      </c>
      <c r="AH152" s="84">
        <f t="shared" si="136"/>
        <v>1.2916397777201397E-2</v>
      </c>
      <c r="AI152" s="84">
        <f t="shared" si="137"/>
        <v>18.849241942917029</v>
      </c>
      <c r="AJ152" s="84">
        <f t="shared" si="138"/>
        <v>1.2242707638405128E-2</v>
      </c>
      <c r="AK152" s="84">
        <f t="shared" si="139"/>
        <v>19.853417926566305</v>
      </c>
      <c r="AL152" s="84">
        <f t="shared" si="140"/>
        <v>1.1929075314132252E-2</v>
      </c>
      <c r="AM152" s="84">
        <f t="shared" si="141"/>
        <v>20.359638146159163</v>
      </c>
      <c r="AN152" s="84">
        <f t="shared" si="142"/>
        <v>1.1779840102209498E-2</v>
      </c>
      <c r="AO152" s="84">
        <f t="shared" si="143"/>
        <v>20.609985969855348</v>
      </c>
      <c r="AP152" s="84">
        <f t="shared" si="144"/>
        <v>1.1708077131711054E-2</v>
      </c>
      <c r="AQ152" s="84">
        <f t="shared" si="145"/>
        <v>20.732645576298506</v>
      </c>
      <c r="AR152" s="84">
        <f t="shared" si="146"/>
        <v>1.167339177209684E-2</v>
      </c>
      <c r="AS152" s="84">
        <f t="shared" si="147"/>
        <v>20.792472029940203</v>
      </c>
      <c r="AT152" s="84">
        <f t="shared" si="148"/>
        <v>1.1656585672333717E-2</v>
      </c>
      <c r="AU152" s="84">
        <f t="shared" si="149"/>
        <v>20.821587910547365</v>
      </c>
      <c r="AV152" s="84">
        <f t="shared" si="150"/>
        <v>1.1648432824232542E-2</v>
      </c>
      <c r="AW152" s="84">
        <f t="shared" si="151"/>
        <v>20.835742677961939</v>
      </c>
      <c r="AX152" s="84">
        <f t="shared" si="152"/>
        <v>1.164447546901848E-2</v>
      </c>
      <c r="AY152" s="142">
        <v>9.4E-2</v>
      </c>
      <c r="AZ152" s="46">
        <f t="shared" si="153"/>
        <v>0.25545870038525459</v>
      </c>
      <c r="BA152" s="85">
        <f t="shared" si="154"/>
        <v>3.1973717881136294</v>
      </c>
      <c r="BB152" s="85">
        <f t="shared" si="155"/>
        <v>0.188</v>
      </c>
      <c r="BC152" s="85">
        <f t="shared" si="156"/>
        <v>2.0230209166151174</v>
      </c>
      <c r="BD152" s="85">
        <f t="shared" si="157"/>
        <v>0.23634925192638134</v>
      </c>
      <c r="BE152" s="85">
        <f t="shared" si="158"/>
        <v>1.7961651659856885</v>
      </c>
      <c r="BF152" s="85">
        <f t="shared" si="159"/>
        <v>0.2508310428568179</v>
      </c>
      <c r="BG152" s="85">
        <f t="shared" si="160"/>
        <v>1.7463264861284666</v>
      </c>
      <c r="BH152" s="85">
        <f t="shared" si="161"/>
        <v>0.25438511650996259</v>
      </c>
      <c r="BI152" s="85">
        <f t="shared" si="162"/>
        <v>1.7350259096353353</v>
      </c>
      <c r="BJ152" s="85">
        <f t="shared" si="163"/>
        <v>0.25521220294134495</v>
      </c>
      <c r="BK152" s="85">
        <f t="shared" si="164"/>
        <v>1.7324446463199088</v>
      </c>
      <c r="BL152" s="85">
        <f t="shared" si="165"/>
        <v>0.25540225943084932</v>
      </c>
      <c r="BM152" s="85">
        <f t="shared" si="166"/>
        <v>1.7318540385371579</v>
      </c>
      <c r="BN152" s="85">
        <f t="shared" si="167"/>
        <v>0.25544580516295717</v>
      </c>
      <c r="BO152" s="85">
        <f t="shared" si="168"/>
        <v>1.7317188516779054</v>
      </c>
      <c r="BP152" s="85">
        <f t="shared" si="169"/>
        <v>0.25545577567351313</v>
      </c>
      <c r="BQ152" s="85">
        <f t="shared" si="170"/>
        <v>1.7316879054041507</v>
      </c>
      <c r="BR152" s="85">
        <f t="shared" si="171"/>
        <v>0.25545805823523321</v>
      </c>
      <c r="BS152" s="85">
        <f t="shared" si="172"/>
        <v>1.7316808211998365</v>
      </c>
      <c r="BT152" s="85">
        <f t="shared" si="173"/>
        <v>0.25545858076663891</v>
      </c>
      <c r="BU152" s="85">
        <f t="shared" si="174"/>
        <v>1.7316791994800533</v>
      </c>
      <c r="BV152" s="85">
        <f t="shared" si="175"/>
        <v>0.25545870038525459</v>
      </c>
      <c r="BW152" s="85">
        <f t="shared" si="176"/>
        <v>1.7316788282347106</v>
      </c>
    </row>
    <row r="153" spans="25:75" x14ac:dyDescent="0.4">
      <c r="Y153" s="142">
        <v>9.7000000000000003E-2</v>
      </c>
      <c r="Z153" s="46">
        <f t="shared" si="128"/>
        <v>1.2097222805970512E-2</v>
      </c>
      <c r="AA153" s="84">
        <f t="shared" si="129"/>
        <v>3.1229041251768326</v>
      </c>
      <c r="AB153" s="84">
        <f t="shared" si="130"/>
        <v>3.0674093303633278E-2</v>
      </c>
      <c r="AC153" s="84">
        <f t="shared" si="131"/>
        <v>8.3006248181832838</v>
      </c>
      <c r="AD153" s="84">
        <f t="shared" si="132"/>
        <v>1.8814629375357526E-2</v>
      </c>
      <c r="AE153" s="84">
        <f t="shared" si="133"/>
        <v>13.131614591093824</v>
      </c>
      <c r="AF153" s="84">
        <f t="shared" si="134"/>
        <v>1.4958636060134858E-2</v>
      </c>
      <c r="AG153" s="84">
        <f t="shared" si="135"/>
        <v>16.358421287116343</v>
      </c>
      <c r="AH153" s="84">
        <f t="shared" si="136"/>
        <v>1.340233180394469E-2</v>
      </c>
      <c r="AI153" s="84">
        <f t="shared" si="137"/>
        <v>18.187663121647137</v>
      </c>
      <c r="AJ153" s="84">
        <f t="shared" si="138"/>
        <v>1.2710499246334888E-2</v>
      </c>
      <c r="AK153" s="84">
        <f t="shared" si="139"/>
        <v>19.144839332693039</v>
      </c>
      <c r="AL153" s="84">
        <f t="shared" si="140"/>
        <v>1.2388684612402823E-2</v>
      </c>
      <c r="AM153" s="84">
        <f t="shared" si="141"/>
        <v>19.6265523640207</v>
      </c>
      <c r="AN153" s="84">
        <f t="shared" si="142"/>
        <v>1.2235706509492923E-2</v>
      </c>
      <c r="AO153" s="84">
        <f t="shared" si="143"/>
        <v>19.864434683632847</v>
      </c>
      <c r="AP153" s="84">
        <f t="shared" si="144"/>
        <v>1.2162222797129136E-2</v>
      </c>
      <c r="AQ153" s="84">
        <f t="shared" si="145"/>
        <v>19.980832307928317</v>
      </c>
      <c r="AR153" s="84">
        <f t="shared" si="146"/>
        <v>1.2126745757052394E-2</v>
      </c>
      <c r="AS153" s="84">
        <f t="shared" si="147"/>
        <v>20.037533078628599</v>
      </c>
      <c r="AT153" s="84">
        <f t="shared" si="148"/>
        <v>1.2109575905240484E-2</v>
      </c>
      <c r="AU153" s="84">
        <f t="shared" si="149"/>
        <v>20.065094015199719</v>
      </c>
      <c r="AV153" s="84">
        <f t="shared" si="150"/>
        <v>1.2101256334443743E-2</v>
      </c>
      <c r="AW153" s="84">
        <f t="shared" si="151"/>
        <v>20.07847669351041</v>
      </c>
      <c r="AX153" s="84">
        <f t="shared" si="152"/>
        <v>1.2097222805970512E-2</v>
      </c>
      <c r="AY153" s="142">
        <v>9.7000000000000003E-2</v>
      </c>
      <c r="AZ153" s="46">
        <f t="shared" si="153"/>
        <v>0.26202935343080358</v>
      </c>
      <c r="BA153" s="85">
        <f t="shared" si="154"/>
        <v>3.1229041251768326</v>
      </c>
      <c r="BB153" s="85">
        <f t="shared" si="155"/>
        <v>0.19400000000000001</v>
      </c>
      <c r="BC153" s="85">
        <f t="shared" si="156"/>
        <v>1.9882688498770071</v>
      </c>
      <c r="BD153" s="85">
        <f t="shared" si="157"/>
        <v>0.24313277187892116</v>
      </c>
      <c r="BE153" s="85">
        <f t="shared" si="158"/>
        <v>1.7720250081198423</v>
      </c>
      <c r="BF153" s="85">
        <f t="shared" si="159"/>
        <v>0.25754085447486347</v>
      </c>
      <c r="BG153" s="85">
        <f t="shared" si="160"/>
        <v>1.7252729097785529</v>
      </c>
      <c r="BH153" s="85">
        <f t="shared" si="161"/>
        <v>0.2610069994852191</v>
      </c>
      <c r="BI153" s="85">
        <f t="shared" si="162"/>
        <v>1.7148527803721261</v>
      </c>
      <c r="BJ153" s="85">
        <f t="shared" si="163"/>
        <v>0.26179878980991078</v>
      </c>
      <c r="BK153" s="85">
        <f t="shared" si="164"/>
        <v>1.7125141020462666</v>
      </c>
      <c r="BL153" s="85">
        <f t="shared" si="165"/>
        <v>0.26197749031361134</v>
      </c>
      <c r="BM153" s="85">
        <f t="shared" si="166"/>
        <v>1.7119883861906668</v>
      </c>
      <c r="BN153" s="85">
        <f t="shared" si="167"/>
        <v>0.26201771113228906</v>
      </c>
      <c r="BO153" s="85">
        <f t="shared" si="168"/>
        <v>1.7118701676882218</v>
      </c>
      <c r="BP153" s="85">
        <f t="shared" si="169"/>
        <v>0.26202675819884019</v>
      </c>
      <c r="BQ153" s="85">
        <f t="shared" si="170"/>
        <v>1.7118435816009474</v>
      </c>
      <c r="BR153" s="85">
        <f t="shared" si="171"/>
        <v>0.26202879291722486</v>
      </c>
      <c r="BS153" s="85">
        <f t="shared" si="172"/>
        <v>1.7118376025647986</v>
      </c>
      <c r="BT153" s="85">
        <f t="shared" si="173"/>
        <v>0.26202925051853432</v>
      </c>
      <c r="BU153" s="85">
        <f t="shared" si="174"/>
        <v>1.7118362579134803</v>
      </c>
      <c r="BV153" s="85">
        <f t="shared" si="175"/>
        <v>0.26202935343080358</v>
      </c>
      <c r="BW153" s="85">
        <f t="shared" si="176"/>
        <v>1.7118359555087515</v>
      </c>
    </row>
    <row r="154" spans="25:75" x14ac:dyDescent="0.4">
      <c r="Y154" s="142">
        <v>0.1</v>
      </c>
      <c r="Z154" s="46">
        <f t="shared" si="128"/>
        <v>1.2555200593128302E-2</v>
      </c>
      <c r="AA154" s="84">
        <f t="shared" si="129"/>
        <v>3.0530491263931787</v>
      </c>
      <c r="AB154" s="84">
        <f t="shared" si="130"/>
        <v>3.1622776601683791E-2</v>
      </c>
      <c r="AC154" s="84">
        <f t="shared" si="131"/>
        <v>8.0712289248492937</v>
      </c>
      <c r="AD154" s="84">
        <f t="shared" si="132"/>
        <v>1.9448990472457458E-2</v>
      </c>
      <c r="AE154" s="84">
        <f t="shared" si="133"/>
        <v>12.723542178518807</v>
      </c>
      <c r="AF154" s="84">
        <f t="shared" si="134"/>
        <v>1.549040880690333E-2</v>
      </c>
      <c r="AG154" s="84">
        <f t="shared" si="135"/>
        <v>15.817750646799261</v>
      </c>
      <c r="AH154" s="84">
        <f t="shared" si="136"/>
        <v>1.3892951953747795E-2</v>
      </c>
      <c r="AI154" s="84">
        <f t="shared" si="137"/>
        <v>17.566708899155007</v>
      </c>
      <c r="AJ154" s="84">
        <f t="shared" si="138"/>
        <v>1.3183225900798918E-2</v>
      </c>
      <c r="AK154" s="84">
        <f t="shared" si="139"/>
        <v>18.479922167969438</v>
      </c>
      <c r="AL154" s="84">
        <f t="shared" si="140"/>
        <v>1.2853364612787117E-2</v>
      </c>
      <c r="AM154" s="84">
        <f t="shared" si="141"/>
        <v>18.938728336481894</v>
      </c>
      <c r="AN154" s="84">
        <f t="shared" si="142"/>
        <v>1.269671844586602E-2</v>
      </c>
      <c r="AO154" s="84">
        <f t="shared" si="143"/>
        <v>19.164966359992057</v>
      </c>
      <c r="AP154" s="84">
        <f t="shared" si="144"/>
        <v>1.2621555043975887E-2</v>
      </c>
      <c r="AQ154" s="84">
        <f t="shared" si="145"/>
        <v>19.2755178420046</v>
      </c>
      <c r="AR154" s="84">
        <f t="shared" si="146"/>
        <v>1.2585308597652896E-2</v>
      </c>
      <c r="AS154" s="84">
        <f t="shared" si="147"/>
        <v>19.329302100859561</v>
      </c>
      <c r="AT154" s="84">
        <f t="shared" si="148"/>
        <v>1.2567786935078025E-2</v>
      </c>
      <c r="AU154" s="84">
        <f t="shared" si="149"/>
        <v>19.355412953029141</v>
      </c>
      <c r="AV154" s="84">
        <f t="shared" si="150"/>
        <v>1.2559306972019351E-2</v>
      </c>
      <c r="AW154" s="84">
        <f t="shared" si="151"/>
        <v>19.368076017437829</v>
      </c>
      <c r="AX154" s="84">
        <f t="shared" si="152"/>
        <v>1.2555200593128302E-2</v>
      </c>
      <c r="AY154" s="142">
        <v>0.1</v>
      </c>
      <c r="AZ154" s="46">
        <f t="shared" si="153"/>
        <v>0.26856645173088062</v>
      </c>
      <c r="BA154" s="85">
        <f t="shared" si="154"/>
        <v>3.0530491263931787</v>
      </c>
      <c r="BB154" s="85">
        <f t="shared" si="155"/>
        <v>0.2</v>
      </c>
      <c r="BC154" s="85">
        <f t="shared" si="156"/>
        <v>1.955738634010098</v>
      </c>
      <c r="BD154" s="85">
        <f t="shared" si="157"/>
        <v>0.24988574638967279</v>
      </c>
      <c r="BE154" s="85">
        <f t="shared" si="158"/>
        <v>1.7493904207336222</v>
      </c>
      <c r="BF154" s="85">
        <f t="shared" si="159"/>
        <v>0.26421259702406291</v>
      </c>
      <c r="BG154" s="85">
        <f t="shared" si="160"/>
        <v>1.7054775995076912</v>
      </c>
      <c r="BH154" s="85">
        <f t="shared" si="161"/>
        <v>0.26759246621267646</v>
      </c>
      <c r="BI154" s="85">
        <f t="shared" si="162"/>
        <v>1.6958543613445913</v>
      </c>
      <c r="BJ154" s="85">
        <f t="shared" si="163"/>
        <v>0.26835062778229768</v>
      </c>
      <c r="BK154" s="85">
        <f t="shared" si="164"/>
        <v>1.6937315254682348</v>
      </c>
      <c r="BL154" s="85">
        <f t="shared" si="165"/>
        <v>0.26851874355103678</v>
      </c>
      <c r="BM154" s="85">
        <f t="shared" si="166"/>
        <v>1.6932625529546872</v>
      </c>
      <c r="BN154" s="85">
        <f t="shared" si="167"/>
        <v>0.2685559259690013</v>
      </c>
      <c r="BO154" s="85">
        <f t="shared" si="168"/>
        <v>1.6931589149602919</v>
      </c>
      <c r="BP154" s="85">
        <f t="shared" si="169"/>
        <v>0.26856414497650566</v>
      </c>
      <c r="BQ154" s="85">
        <f t="shared" si="170"/>
        <v>1.6931360104136952</v>
      </c>
      <c r="BR154" s="85">
        <f t="shared" si="171"/>
        <v>0.26856596152258688</v>
      </c>
      <c r="BS154" s="85">
        <f t="shared" si="172"/>
        <v>1.6931309483072909</v>
      </c>
      <c r="BT154" s="85">
        <f t="shared" si="173"/>
        <v>0.26856636300023368</v>
      </c>
      <c r="BU154" s="85">
        <f t="shared" si="174"/>
        <v>1.6931298295333068</v>
      </c>
      <c r="BV154" s="85">
        <f t="shared" si="175"/>
        <v>0.26856645173088062</v>
      </c>
      <c r="BW154" s="85">
        <f t="shared" si="176"/>
        <v>1.693129582273353</v>
      </c>
    </row>
    <row r="155" spans="25:75" x14ac:dyDescent="0.4">
      <c r="Y155" s="142">
        <v>0.1031</v>
      </c>
      <c r="Z155" s="46">
        <f t="shared" si="128"/>
        <v>1.3033938508061277E-2</v>
      </c>
      <c r="AA155" s="84">
        <f t="shared" si="129"/>
        <v>2.985280361249663</v>
      </c>
      <c r="AB155" s="84">
        <f t="shared" si="130"/>
        <v>3.2603082676335986E-2</v>
      </c>
      <c r="AC155" s="84">
        <f t="shared" si="131"/>
        <v>7.8482885200698407</v>
      </c>
      <c r="AD155" s="84">
        <f t="shared" si="132"/>
        <v>2.0107762506709953E-2</v>
      </c>
      <c r="AE155" s="84">
        <f t="shared" si="133"/>
        <v>12.32708168992303</v>
      </c>
      <c r="AF155" s="84">
        <f t="shared" si="134"/>
        <v>1.6044311686440091E-2</v>
      </c>
      <c r="AG155" s="84">
        <f t="shared" si="135"/>
        <v>15.2927443697775</v>
      </c>
      <c r="AH155" s="84">
        <f t="shared" si="136"/>
        <v>1.4404842453798451E-2</v>
      </c>
      <c r="AI155" s="84">
        <f t="shared" si="137"/>
        <v>16.963977320572585</v>
      </c>
      <c r="AJ155" s="84">
        <f t="shared" si="138"/>
        <v>1.3676890997188088E-2</v>
      </c>
      <c r="AK155" s="84">
        <f t="shared" si="139"/>
        <v>17.834670601455638</v>
      </c>
      <c r="AL155" s="84">
        <f t="shared" si="140"/>
        <v>1.3338858974933336E-2</v>
      </c>
      <c r="AM155" s="84">
        <f t="shared" si="141"/>
        <v>18.271338726183771</v>
      </c>
      <c r="AN155" s="84">
        <f t="shared" si="142"/>
        <v>1.3178501877908137E-2</v>
      </c>
      <c r="AO155" s="84">
        <f t="shared" si="143"/>
        <v>18.486330552184569</v>
      </c>
      <c r="AP155" s="84">
        <f t="shared" si="144"/>
        <v>1.3101646279160837E-2</v>
      </c>
      <c r="AQ155" s="84">
        <f t="shared" si="145"/>
        <v>18.591239111812634</v>
      </c>
      <c r="AR155" s="84">
        <f t="shared" si="146"/>
        <v>1.3064628323314207E-2</v>
      </c>
      <c r="AS155" s="84">
        <f t="shared" si="147"/>
        <v>18.642209865199483</v>
      </c>
      <c r="AT155" s="84">
        <f t="shared" si="148"/>
        <v>1.3046755717141182E-2</v>
      </c>
      <c r="AU155" s="84">
        <f t="shared" si="149"/>
        <v>18.666922660660003</v>
      </c>
      <c r="AV155" s="84">
        <f t="shared" si="150"/>
        <v>1.3038116677003345E-2</v>
      </c>
      <c r="AW155" s="84">
        <f t="shared" si="151"/>
        <v>18.678892343851693</v>
      </c>
      <c r="AX155" s="84">
        <f t="shared" si="152"/>
        <v>1.3033938508061277E-2</v>
      </c>
      <c r="AY155" s="142">
        <v>0.1031</v>
      </c>
      <c r="AZ155" s="46">
        <f t="shared" si="153"/>
        <v>0.27528853527110836</v>
      </c>
      <c r="BA155" s="85">
        <f t="shared" si="154"/>
        <v>2.985280361249663</v>
      </c>
      <c r="BB155" s="85">
        <f t="shared" si="155"/>
        <v>0.20619999999999999</v>
      </c>
      <c r="BC155" s="85">
        <f t="shared" si="156"/>
        <v>1.9242458543570797</v>
      </c>
      <c r="BD155" s="85">
        <f t="shared" si="157"/>
        <v>0.25683307005008865</v>
      </c>
      <c r="BE155" s="85">
        <f t="shared" si="158"/>
        <v>1.7274379275313965</v>
      </c>
      <c r="BF155" s="85">
        <f t="shared" si="159"/>
        <v>0.27106908984335693</v>
      </c>
      <c r="BG155" s="85">
        <f t="shared" si="160"/>
        <v>1.6862249322104199</v>
      </c>
      <c r="BH155" s="85">
        <f t="shared" si="161"/>
        <v>0.27436169023746149</v>
      </c>
      <c r="BI155" s="85">
        <f t="shared" si="162"/>
        <v>1.677347229728499</v>
      </c>
      <c r="BJ155" s="85">
        <f t="shared" si="163"/>
        <v>0.275086789684441</v>
      </c>
      <c r="BK155" s="85">
        <f t="shared" si="164"/>
        <v>1.6754229040440181</v>
      </c>
      <c r="BL155" s="85">
        <f t="shared" si="165"/>
        <v>0.27524472135088784</v>
      </c>
      <c r="BM155" s="85">
        <f t="shared" si="166"/>
        <v>1.6750052202581776</v>
      </c>
      <c r="BN155" s="85">
        <f t="shared" si="167"/>
        <v>0.27527903709203849</v>
      </c>
      <c r="BO155" s="85">
        <f t="shared" si="168"/>
        <v>1.6749145332440369</v>
      </c>
      <c r="BP155" s="85">
        <f t="shared" si="169"/>
        <v>0.27528648938155109</v>
      </c>
      <c r="BQ155" s="85">
        <f t="shared" si="170"/>
        <v>1.6748948421210388</v>
      </c>
      <c r="BR155" s="85">
        <f t="shared" si="171"/>
        <v>0.27528810759782757</v>
      </c>
      <c r="BS155" s="85">
        <f t="shared" si="172"/>
        <v>1.6748905664732332</v>
      </c>
      <c r="BT155" s="85">
        <f t="shared" si="173"/>
        <v>0.27528845897428927</v>
      </c>
      <c r="BU155" s="85">
        <f t="shared" si="174"/>
        <v>1.6748896380742015</v>
      </c>
      <c r="BV155" s="85">
        <f t="shared" si="175"/>
        <v>0.27528853527110836</v>
      </c>
      <c r="BW155" s="85">
        <f t="shared" si="176"/>
        <v>1.6748894364847891</v>
      </c>
    </row>
    <row r="156" spans="25:75" x14ac:dyDescent="0.4">
      <c r="Y156" s="142">
        <v>0.10630000000000001</v>
      </c>
      <c r="Z156" s="46">
        <f t="shared" si="128"/>
        <v>1.3533974005160043E-2</v>
      </c>
      <c r="AA156" s="84">
        <f t="shared" si="129"/>
        <v>2.9196167760809795</v>
      </c>
      <c r="AB156" s="84">
        <f t="shared" si="130"/>
        <v>3.3615011527589875E-2</v>
      </c>
      <c r="AC156" s="84">
        <f t="shared" si="131"/>
        <v>7.6318747698775207</v>
      </c>
      <c r="AD156" s="84">
        <f t="shared" si="132"/>
        <v>2.0791248634050005E-2</v>
      </c>
      <c r="AE156" s="84">
        <f t="shared" si="133"/>
        <v>11.942367247640155</v>
      </c>
      <c r="AF156" s="84">
        <f t="shared" si="134"/>
        <v>1.6620763832753793E-2</v>
      </c>
      <c r="AG156" s="84">
        <f t="shared" si="135"/>
        <v>14.783582542515523</v>
      </c>
      <c r="AH156" s="84">
        <f t="shared" si="136"/>
        <v>1.4938477747614571E-2</v>
      </c>
      <c r="AI156" s="84">
        <f t="shared" si="137"/>
        <v>16.379675275107331</v>
      </c>
      <c r="AJ156" s="84">
        <f t="shared" si="138"/>
        <v>1.4191998150871842E-2</v>
      </c>
      <c r="AK156" s="84">
        <f t="shared" si="139"/>
        <v>17.209305705589351</v>
      </c>
      <c r="AL156" s="84">
        <f t="shared" si="140"/>
        <v>1.3845687173093608E-2</v>
      </c>
      <c r="AM156" s="84">
        <f t="shared" si="141"/>
        <v>17.62461180367222</v>
      </c>
      <c r="AN156" s="84">
        <f t="shared" si="142"/>
        <v>1.3681584897776745E-2</v>
      </c>
      <c r="AO156" s="84">
        <f t="shared" si="143"/>
        <v>17.828759116527447</v>
      </c>
      <c r="AP156" s="84">
        <f t="shared" si="144"/>
        <v>1.3603029224746611E-2</v>
      </c>
      <c r="AQ156" s="84">
        <f t="shared" si="145"/>
        <v>17.928229743560532</v>
      </c>
      <c r="AR156" s="84">
        <f t="shared" si="146"/>
        <v>1.3565240108541517E-2</v>
      </c>
      <c r="AS156" s="84">
        <f t="shared" si="147"/>
        <v>17.976490866498992</v>
      </c>
      <c r="AT156" s="84">
        <f t="shared" si="148"/>
        <v>1.3547018707224011E-2</v>
      </c>
      <c r="AU156" s="84">
        <f t="shared" si="149"/>
        <v>17.999858057288193</v>
      </c>
      <c r="AV156" s="84">
        <f t="shared" si="150"/>
        <v>1.3538222566341249E-2</v>
      </c>
      <c r="AW156" s="84">
        <f t="shared" si="151"/>
        <v>18.011160798285466</v>
      </c>
      <c r="AX156" s="84">
        <f t="shared" si="152"/>
        <v>1.3533974005160043E-2</v>
      </c>
      <c r="AY156" s="142">
        <v>0.10630000000000001</v>
      </c>
      <c r="AZ156" s="46">
        <f t="shared" si="153"/>
        <v>0.28219471670860341</v>
      </c>
      <c r="BA156" s="85">
        <f t="shared" si="154"/>
        <v>2.9196167760809795</v>
      </c>
      <c r="BB156" s="85">
        <f t="shared" si="155"/>
        <v>0.21260000000000001</v>
      </c>
      <c r="BC156" s="85">
        <f t="shared" si="156"/>
        <v>1.8937948822850341</v>
      </c>
      <c r="BD156" s="85">
        <f t="shared" si="157"/>
        <v>0.26397312642012977</v>
      </c>
      <c r="BE156" s="85">
        <f t="shared" si="158"/>
        <v>1.7061694930480547</v>
      </c>
      <c r="BF156" s="85">
        <f t="shared" si="159"/>
        <v>0.2781090357073715</v>
      </c>
      <c r="BG156" s="85">
        <f t="shared" si="160"/>
        <v>1.6675185216348805</v>
      </c>
      <c r="BH156" s="85">
        <f t="shared" si="161"/>
        <v>0.28131368012745672</v>
      </c>
      <c r="BI156" s="85">
        <f t="shared" si="162"/>
        <v>1.6593366775790148</v>
      </c>
      <c r="BJ156" s="85">
        <f t="shared" si="163"/>
        <v>0.28200637691668823</v>
      </c>
      <c r="BK156" s="85">
        <f t="shared" si="164"/>
        <v>1.6575944442490802</v>
      </c>
      <c r="BL156" s="85">
        <f t="shared" si="165"/>
        <v>0.28215454098556819</v>
      </c>
      <c r="BM156" s="85">
        <f t="shared" si="166"/>
        <v>1.6572229856739631</v>
      </c>
      <c r="BN156" s="85">
        <f t="shared" si="167"/>
        <v>0.28218616100659988</v>
      </c>
      <c r="BO156" s="85">
        <f t="shared" si="168"/>
        <v>1.6571437662585988</v>
      </c>
      <c r="BP156" s="85">
        <f t="shared" si="169"/>
        <v>0.28219290585155415</v>
      </c>
      <c r="BQ156" s="85">
        <f t="shared" si="170"/>
        <v>1.657126870493117</v>
      </c>
      <c r="BR156" s="85">
        <f t="shared" si="171"/>
        <v>0.28219434444177005</v>
      </c>
      <c r="BS156" s="85">
        <f t="shared" si="172"/>
        <v>1.6571232669523162</v>
      </c>
      <c r="BT156" s="85">
        <f t="shared" si="173"/>
        <v>0.28219465126815446</v>
      </c>
      <c r="BU156" s="85">
        <f t="shared" si="174"/>
        <v>1.6571224983845756</v>
      </c>
      <c r="BV156" s="85">
        <f t="shared" si="175"/>
        <v>0.28219471670860341</v>
      </c>
      <c r="BW156" s="85">
        <f t="shared" si="176"/>
        <v>1.6571223344633839</v>
      </c>
    </row>
    <row r="157" spans="25:75" x14ac:dyDescent="0.4">
      <c r="Y157" s="142">
        <v>0.1096</v>
      </c>
      <c r="Z157" s="46">
        <f t="shared" si="128"/>
        <v>1.4055858975741201E-2</v>
      </c>
      <c r="AA157" s="84">
        <f t="shared" si="129"/>
        <v>2.8560634731370405</v>
      </c>
      <c r="AB157" s="84">
        <f t="shared" si="130"/>
        <v>3.4658563155445438E-2</v>
      </c>
      <c r="AC157" s="84">
        <f t="shared" si="131"/>
        <v>7.4220150512453538</v>
      </c>
      <c r="AD157" s="84">
        <f t="shared" si="132"/>
        <v>2.1499757738561061E-2</v>
      </c>
      <c r="AE157" s="84">
        <f t="shared" si="133"/>
        <v>11.569454614879731</v>
      </c>
      <c r="AF157" s="84">
        <f t="shared" si="134"/>
        <v>1.7220193937253294E-2</v>
      </c>
      <c r="AG157" s="84">
        <f t="shared" si="135"/>
        <v>14.29034024036967</v>
      </c>
      <c r="AH157" s="84">
        <f t="shared" si="136"/>
        <v>1.5494344117746136E-2</v>
      </c>
      <c r="AI157" s="84">
        <f t="shared" si="137"/>
        <v>15.813888031510865</v>
      </c>
      <c r="AJ157" s="84">
        <f t="shared" si="138"/>
        <v>1.4729064089354241E-2</v>
      </c>
      <c r="AK157" s="84">
        <f t="shared" si="139"/>
        <v>16.603917648562025</v>
      </c>
      <c r="AL157" s="84">
        <f t="shared" si="140"/>
        <v>1.4374382470031396E-2</v>
      </c>
      <c r="AM157" s="84">
        <f t="shared" si="141"/>
        <v>16.998640023075744</v>
      </c>
      <c r="AN157" s="84">
        <f t="shared" si="142"/>
        <v>1.4206509730277499E-2</v>
      </c>
      <c r="AO157" s="84">
        <f t="shared" si="143"/>
        <v>17.19234556421069</v>
      </c>
      <c r="AP157" s="84">
        <f t="shared" si="144"/>
        <v>1.4126250903640836E-2</v>
      </c>
      <c r="AQ157" s="84">
        <f t="shared" si="145"/>
        <v>17.286583734227534</v>
      </c>
      <c r="AR157" s="84">
        <f t="shared" si="146"/>
        <v>1.4087693507717285E-2</v>
      </c>
      <c r="AS157" s="84">
        <f t="shared" si="147"/>
        <v>17.33223932266019</v>
      </c>
      <c r="AT157" s="84">
        <f t="shared" si="148"/>
        <v>1.4069126776616665E-2</v>
      </c>
      <c r="AU157" s="84">
        <f t="shared" si="149"/>
        <v>17.354313459496097</v>
      </c>
      <c r="AV157" s="84">
        <f t="shared" si="150"/>
        <v>1.4060176187760202E-2</v>
      </c>
      <c r="AW157" s="84">
        <f t="shared" si="151"/>
        <v>17.364975740163928</v>
      </c>
      <c r="AX157" s="84">
        <f t="shared" si="152"/>
        <v>1.4055858975741201E-2</v>
      </c>
      <c r="AY157" s="142">
        <v>0.1096</v>
      </c>
      <c r="AZ157" s="46">
        <f t="shared" si="153"/>
        <v>0.28928426307601762</v>
      </c>
      <c r="BA157" s="85">
        <f t="shared" si="154"/>
        <v>2.8560634731370405</v>
      </c>
      <c r="BB157" s="85">
        <f t="shared" si="155"/>
        <v>0.21920000000000001</v>
      </c>
      <c r="BC157" s="85">
        <f t="shared" si="156"/>
        <v>1.8643833987126917</v>
      </c>
      <c r="BD157" s="85">
        <f t="shared" si="157"/>
        <v>0.27130441658541726</v>
      </c>
      <c r="BE157" s="85">
        <f t="shared" si="158"/>
        <v>1.6855827301475719</v>
      </c>
      <c r="BF157" s="85">
        <f t="shared" si="159"/>
        <v>0.28533131688773167</v>
      </c>
      <c r="BG157" s="85">
        <f t="shared" si="160"/>
        <v>1.6493584353337065</v>
      </c>
      <c r="BH157" s="85">
        <f t="shared" si="161"/>
        <v>0.28844761629235077</v>
      </c>
      <c r="BI157" s="85">
        <f t="shared" si="162"/>
        <v>1.6418246704469102</v>
      </c>
      <c r="BJ157" s="85">
        <f t="shared" si="163"/>
        <v>0.28910865195854624</v>
      </c>
      <c r="BK157" s="85">
        <f t="shared" si="164"/>
        <v>1.6402490639614973</v>
      </c>
      <c r="BL157" s="85">
        <f t="shared" si="165"/>
        <v>0.28924747603630779</v>
      </c>
      <c r="BM157" s="85">
        <f t="shared" si="166"/>
        <v>1.639919155935772</v>
      </c>
      <c r="BN157" s="85">
        <f t="shared" si="167"/>
        <v>0.28927656901465909</v>
      </c>
      <c r="BO157" s="85">
        <f t="shared" si="168"/>
        <v>1.6398500612286082</v>
      </c>
      <c r="BP157" s="85">
        <f t="shared" si="169"/>
        <v>0.28928266325149221</v>
      </c>
      <c r="BQ157" s="85">
        <f t="shared" si="170"/>
        <v>1.6398355895453496</v>
      </c>
      <c r="BR157" s="85">
        <f t="shared" si="171"/>
        <v>0.28928393972026301</v>
      </c>
      <c r="BS157" s="85">
        <f t="shared" si="172"/>
        <v>1.6398325584611424</v>
      </c>
      <c r="BT157" s="85">
        <f t="shared" si="173"/>
        <v>0.2892842070779183</v>
      </c>
      <c r="BU157" s="85">
        <f t="shared" si="174"/>
        <v>1.639831923601184</v>
      </c>
      <c r="BV157" s="85">
        <f t="shared" si="175"/>
        <v>0.28928426307601762</v>
      </c>
      <c r="BW157" s="85">
        <f t="shared" si="176"/>
        <v>1.6398317906298345</v>
      </c>
    </row>
    <row r="158" spans="25:75" x14ac:dyDescent="0.4">
      <c r="Y158" s="142">
        <v>0.11310000000000001</v>
      </c>
      <c r="Z158" s="46">
        <f t="shared" si="128"/>
        <v>1.461626914090944E-2</v>
      </c>
      <c r="AA158" s="84">
        <f t="shared" si="129"/>
        <v>2.7928643969905211</v>
      </c>
      <c r="AB158" s="84">
        <f t="shared" si="130"/>
        <v>3.5765360336504369E-2</v>
      </c>
      <c r="AC158" s="84">
        <f t="shared" si="131"/>
        <v>7.2129053353666404</v>
      </c>
      <c r="AD158" s="84">
        <f t="shared" si="132"/>
        <v>2.2255246740427236E-2</v>
      </c>
      <c r="AE158" s="84">
        <f t="shared" si="133"/>
        <v>11.198043978092752</v>
      </c>
      <c r="AF158" s="84">
        <f t="shared" si="134"/>
        <v>1.7861439028153073E-2</v>
      </c>
      <c r="AG158" s="84">
        <f t="shared" si="135"/>
        <v>13.799407789436525</v>
      </c>
      <c r="AH158" s="84">
        <f t="shared" si="136"/>
        <v>1.6090046730003301E-2</v>
      </c>
      <c r="AI158" s="84">
        <f t="shared" si="137"/>
        <v>15.251013361395581</v>
      </c>
      <c r="AJ158" s="84">
        <f t="shared" si="138"/>
        <v>1.5305170746919821E-2</v>
      </c>
      <c r="AK158" s="84">
        <f t="shared" si="139"/>
        <v>16.001817591672221</v>
      </c>
      <c r="AL158" s="84">
        <f t="shared" si="140"/>
        <v>1.4941798386235666E-2</v>
      </c>
      <c r="AM158" s="84">
        <f t="shared" si="141"/>
        <v>16.37617019702099</v>
      </c>
      <c r="AN158" s="84">
        <f t="shared" si="142"/>
        <v>1.4770029344641481E-2</v>
      </c>
      <c r="AO158" s="84">
        <f t="shared" si="143"/>
        <v>16.559550628338922</v>
      </c>
      <c r="AP158" s="84">
        <f t="shared" si="144"/>
        <v>1.4688020031767881E-2</v>
      </c>
      <c r="AQ158" s="84">
        <f t="shared" si="145"/>
        <v>16.648618558430158</v>
      </c>
      <c r="AR158" s="84">
        <f t="shared" si="146"/>
        <v>1.4648677850020666E-2</v>
      </c>
      <c r="AS158" s="84">
        <f t="shared" si="147"/>
        <v>16.691701419916988</v>
      </c>
      <c r="AT158" s="84">
        <f t="shared" si="148"/>
        <v>1.4629760823349772E-2</v>
      </c>
      <c r="AU158" s="84">
        <f t="shared" si="149"/>
        <v>16.712499698625095</v>
      </c>
      <c r="AV158" s="84">
        <f t="shared" si="150"/>
        <v>1.4620654807710853E-2</v>
      </c>
      <c r="AW158" s="84">
        <f t="shared" si="151"/>
        <v>16.722530500696315</v>
      </c>
      <c r="AX158" s="84">
        <f t="shared" si="152"/>
        <v>1.461626914090944E-2</v>
      </c>
      <c r="AY158" s="142">
        <v>0.11310000000000001</v>
      </c>
      <c r="AZ158" s="46">
        <f t="shared" si="153"/>
        <v>0.29677001300228756</v>
      </c>
      <c r="BA158" s="85">
        <f t="shared" si="154"/>
        <v>2.7928643969905211</v>
      </c>
      <c r="BB158" s="85">
        <f t="shared" si="155"/>
        <v>0.22620000000000001</v>
      </c>
      <c r="BC158" s="85">
        <f t="shared" si="156"/>
        <v>1.8351963427614035</v>
      </c>
      <c r="BD158" s="85">
        <f t="shared" si="157"/>
        <v>0.27904629327693736</v>
      </c>
      <c r="BE158" s="85">
        <f t="shared" si="158"/>
        <v>1.6651046520593218</v>
      </c>
      <c r="BF158" s="85">
        <f t="shared" si="159"/>
        <v>0.2929521963417101</v>
      </c>
      <c r="BG158" s="85">
        <f t="shared" si="160"/>
        <v>1.631239358179619</v>
      </c>
      <c r="BH158" s="85">
        <f t="shared" si="161"/>
        <v>0.29597748785539402</v>
      </c>
      <c r="BI158" s="85">
        <f t="shared" si="162"/>
        <v>1.6243247483780616</v>
      </c>
      <c r="BJ158" s="85">
        <f t="shared" si="163"/>
        <v>0.29660679410943602</v>
      </c>
      <c r="BK158" s="85">
        <f t="shared" si="164"/>
        <v>1.6229054752286816</v>
      </c>
      <c r="BL158" s="85">
        <f t="shared" si="165"/>
        <v>0.29673646095356254</v>
      </c>
      <c r="BM158" s="85">
        <f t="shared" si="166"/>
        <v>1.6226138429099053</v>
      </c>
      <c r="BN158" s="85">
        <f t="shared" si="167"/>
        <v>0.2967631259714088</v>
      </c>
      <c r="BO158" s="85">
        <f t="shared" si="168"/>
        <v>1.6225539049075066</v>
      </c>
      <c r="BP158" s="85">
        <f t="shared" si="169"/>
        <v>0.29676860721447773</v>
      </c>
      <c r="BQ158" s="85">
        <f t="shared" si="170"/>
        <v>1.6225415855287346</v>
      </c>
      <c r="BR158" s="85">
        <f t="shared" si="171"/>
        <v>0.2967697338413614</v>
      </c>
      <c r="BS158" s="85">
        <f t="shared" si="172"/>
        <v>1.6225390534369266</v>
      </c>
      <c r="BT158" s="85">
        <f t="shared" si="173"/>
        <v>0.29676996540679496</v>
      </c>
      <c r="BU158" s="85">
        <f t="shared" si="174"/>
        <v>1.6225385329966127</v>
      </c>
      <c r="BV158" s="85">
        <f t="shared" si="175"/>
        <v>0.29677001300228756</v>
      </c>
      <c r="BW158" s="85">
        <f t="shared" si="176"/>
        <v>1.6225384260264677</v>
      </c>
    </row>
    <row r="159" spans="25:75" x14ac:dyDescent="0.4">
      <c r="Y159" s="142">
        <v>0.1166</v>
      </c>
      <c r="Z159" s="46">
        <f t="shared" si="128"/>
        <v>1.51837650078355E-2</v>
      </c>
      <c r="AA159" s="84">
        <f t="shared" si="129"/>
        <v>2.7336084969240693</v>
      </c>
      <c r="AB159" s="84">
        <f t="shared" si="130"/>
        <v>3.68721575175633E-2</v>
      </c>
      <c r="AC159" s="84">
        <f t="shared" si="131"/>
        <v>7.0164350383338352</v>
      </c>
      <c r="AD159" s="84">
        <f t="shared" si="132"/>
        <v>2.3014866176108525E-2</v>
      </c>
      <c r="AE159" s="84">
        <f t="shared" si="133"/>
        <v>10.849258594867534</v>
      </c>
      <c r="AF159" s="84">
        <f t="shared" si="134"/>
        <v>1.850830628688643E-2</v>
      </c>
      <c r="AG159" s="84">
        <f t="shared" si="135"/>
        <v>13.338704413173211</v>
      </c>
      <c r="AH159" s="84">
        <f t="shared" si="136"/>
        <v>1.6692057956415079E-2</v>
      </c>
      <c r="AI159" s="84">
        <f t="shared" si="137"/>
        <v>14.723058516771969</v>
      </c>
      <c r="AJ159" s="84">
        <f t="shared" si="138"/>
        <v>1.5887943589638506E-2</v>
      </c>
      <c r="AK159" s="84">
        <f t="shared" si="139"/>
        <v>15.437240603260943</v>
      </c>
      <c r="AL159" s="84">
        <f t="shared" si="140"/>
        <v>1.551607505577119E-2</v>
      </c>
      <c r="AM159" s="84">
        <f t="shared" si="141"/>
        <v>15.792593858000195</v>
      </c>
      <c r="AN159" s="84">
        <f t="shared" si="142"/>
        <v>1.5340516246689742E-2</v>
      </c>
      <c r="AO159" s="84">
        <f t="shared" si="143"/>
        <v>15.966351854330428</v>
      </c>
      <c r="AP159" s="84">
        <f t="shared" si="144"/>
        <v>1.5256814308271738E-2</v>
      </c>
      <c r="AQ159" s="84">
        <f t="shared" si="145"/>
        <v>16.050605124392312</v>
      </c>
      <c r="AR159" s="84">
        <f t="shared" si="146"/>
        <v>1.5216718379949251E-2</v>
      </c>
      <c r="AS159" s="84">
        <f t="shared" si="147"/>
        <v>16.091294006071749</v>
      </c>
      <c r="AT159" s="84">
        <f t="shared" si="148"/>
        <v>1.5197467499635658E-2</v>
      </c>
      <c r="AU159" s="84">
        <f t="shared" si="149"/>
        <v>16.110905976372244</v>
      </c>
      <c r="AV159" s="84">
        <f t="shared" si="150"/>
        <v>1.5188214666726874E-2</v>
      </c>
      <c r="AW159" s="84">
        <f t="shared" si="151"/>
        <v>16.120350081995824</v>
      </c>
      <c r="AX159" s="84">
        <f t="shared" si="152"/>
        <v>1.51837650078355E-2</v>
      </c>
      <c r="AY159" s="142">
        <v>0.1166</v>
      </c>
      <c r="AZ159" s="46">
        <f t="shared" si="153"/>
        <v>0.30422379616744505</v>
      </c>
      <c r="BA159" s="85">
        <f t="shared" si="154"/>
        <v>2.7336084969240693</v>
      </c>
      <c r="BB159" s="85">
        <f t="shared" si="155"/>
        <v>0.23319999999999999</v>
      </c>
      <c r="BC159" s="85">
        <f t="shared" si="156"/>
        <v>1.8078859778908756</v>
      </c>
      <c r="BD159" s="85">
        <f t="shared" si="157"/>
        <v>0.28675512318146806</v>
      </c>
      <c r="BE159" s="85">
        <f t="shared" si="158"/>
        <v>1.6458944591575215</v>
      </c>
      <c r="BF159" s="85">
        <f t="shared" si="159"/>
        <v>0.30053545365887308</v>
      </c>
      <c r="BG159" s="85">
        <f t="shared" si="160"/>
        <v>1.6141897090006179</v>
      </c>
      <c r="BH159" s="85">
        <f t="shared" si="161"/>
        <v>0.30347255201856294</v>
      </c>
      <c r="BI159" s="85">
        <f t="shared" si="162"/>
        <v>1.6078322568966177</v>
      </c>
      <c r="BJ159" s="85">
        <f t="shared" si="163"/>
        <v>0.30407193320933446</v>
      </c>
      <c r="BK159" s="85">
        <f t="shared" si="164"/>
        <v>1.6065511076548087</v>
      </c>
      <c r="BL159" s="85">
        <f t="shared" si="165"/>
        <v>0.30419315060836871</v>
      </c>
      <c r="BM159" s="85">
        <f t="shared" si="166"/>
        <v>1.6062926715572921</v>
      </c>
      <c r="BN159" s="85">
        <f t="shared" si="167"/>
        <v>0.30421762041088773</v>
      </c>
      <c r="BO159" s="85">
        <f t="shared" si="168"/>
        <v>1.6062405287003658</v>
      </c>
      <c r="BP159" s="85">
        <f t="shared" si="169"/>
        <v>0.30422255822899069</v>
      </c>
      <c r="BQ159" s="85">
        <f t="shared" si="170"/>
        <v>1.6062300077670195</v>
      </c>
      <c r="BR159" s="85">
        <f t="shared" si="171"/>
        <v>0.30422355456824501</v>
      </c>
      <c r="BS159" s="85">
        <f t="shared" si="172"/>
        <v>1.6062278849268008</v>
      </c>
      <c r="BT159" s="85">
        <f t="shared" si="173"/>
        <v>0.30422375560378606</v>
      </c>
      <c r="BU159" s="85">
        <f t="shared" si="174"/>
        <v>1.6062274565942598</v>
      </c>
      <c r="BV159" s="85">
        <f t="shared" si="175"/>
        <v>0.30422379616744505</v>
      </c>
      <c r="BW159" s="85">
        <f t="shared" si="176"/>
        <v>1.6062273701681473</v>
      </c>
    </row>
    <row r="160" spans="25:75" x14ac:dyDescent="0.4">
      <c r="Y160" s="142">
        <v>0.1202</v>
      </c>
      <c r="Z160" s="46">
        <f t="shared" si="128"/>
        <v>1.5774850262589114E-2</v>
      </c>
      <c r="AA160" s="84">
        <f t="shared" si="129"/>
        <v>2.6764065092796914</v>
      </c>
      <c r="AB160" s="84">
        <f t="shared" si="130"/>
        <v>3.8010577475223919E-2</v>
      </c>
      <c r="AC160" s="84">
        <f t="shared" si="131"/>
        <v>6.8263739775485996</v>
      </c>
      <c r="AD160" s="84">
        <f t="shared" si="132"/>
        <v>2.3800466409338878E-2</v>
      </c>
      <c r="AE160" s="84">
        <f t="shared" si="133"/>
        <v>10.512035487342875</v>
      </c>
      <c r="AF160" s="84">
        <f t="shared" si="134"/>
        <v>1.9179491877689619E-2</v>
      </c>
      <c r="AG160" s="84">
        <f t="shared" si="135"/>
        <v>12.893599987226134</v>
      </c>
      <c r="AH160" s="84">
        <f t="shared" si="136"/>
        <v>1.7317827530442816E-2</v>
      </c>
      <c r="AI160" s="84">
        <f t="shared" si="137"/>
        <v>14.21324179317374</v>
      </c>
      <c r="AJ160" s="84">
        <f t="shared" si="138"/>
        <v>1.6494301708418879E-2</v>
      </c>
      <c r="AK160" s="84">
        <f t="shared" si="139"/>
        <v>14.892229996824405</v>
      </c>
      <c r="AL160" s="84">
        <f t="shared" si="140"/>
        <v>1.6113899064737876E-2</v>
      </c>
      <c r="AM160" s="84">
        <f t="shared" si="141"/>
        <v>15.229343405354632</v>
      </c>
      <c r="AN160" s="84">
        <f t="shared" si="142"/>
        <v>1.5934554156449739E-2</v>
      </c>
      <c r="AO160" s="84">
        <f t="shared" si="143"/>
        <v>15.393871667551579</v>
      </c>
      <c r="AP160" s="84">
        <f t="shared" si="144"/>
        <v>1.5849171891105979E-2</v>
      </c>
      <c r="AQ160" s="84">
        <f t="shared" si="145"/>
        <v>15.473510499060597</v>
      </c>
      <c r="AR160" s="84">
        <f t="shared" si="146"/>
        <v>1.5808333136286164E-2</v>
      </c>
      <c r="AS160" s="84">
        <f t="shared" si="147"/>
        <v>15.511906772874108</v>
      </c>
      <c r="AT160" s="84">
        <f t="shared" si="148"/>
        <v>1.578875600841342E-2</v>
      </c>
      <c r="AU160" s="84">
        <f t="shared" si="149"/>
        <v>15.530383577903319</v>
      </c>
      <c r="AV160" s="84">
        <f t="shared" si="150"/>
        <v>1.5779361115344885E-2</v>
      </c>
      <c r="AW160" s="84">
        <f t="shared" si="151"/>
        <v>15.539266741752513</v>
      </c>
      <c r="AX160" s="84">
        <f t="shared" si="152"/>
        <v>1.5774850262589114E-2</v>
      </c>
      <c r="AY160" s="142">
        <v>0.1202</v>
      </c>
      <c r="AZ160" s="46">
        <f t="shared" si="153"/>
        <v>0.31185964778294012</v>
      </c>
      <c r="BA160" s="85">
        <f t="shared" si="154"/>
        <v>2.6764065092796914</v>
      </c>
      <c r="BB160" s="85">
        <f t="shared" si="155"/>
        <v>0.2404</v>
      </c>
      <c r="BC160" s="85">
        <f t="shared" si="156"/>
        <v>1.7815738537827672</v>
      </c>
      <c r="BD160" s="85">
        <f t="shared" si="157"/>
        <v>0.29465145286699235</v>
      </c>
      <c r="BE160" s="85">
        <f t="shared" si="158"/>
        <v>1.6273367211420529</v>
      </c>
      <c r="BF160" s="85">
        <f t="shared" si="159"/>
        <v>0.30829876841295584</v>
      </c>
      <c r="BG160" s="85">
        <f t="shared" si="160"/>
        <v>1.5976685138381019</v>
      </c>
      <c r="BH160" s="85">
        <f t="shared" si="161"/>
        <v>0.31114810753560157</v>
      </c>
      <c r="BI160" s="85">
        <f t="shared" si="162"/>
        <v>1.5918270844677118</v>
      </c>
      <c r="BJ160" s="85">
        <f t="shared" si="163"/>
        <v>0.31171848522506573</v>
      </c>
      <c r="BK160" s="85">
        <f t="shared" si="164"/>
        <v>1.5906715484662364</v>
      </c>
      <c r="BL160" s="85">
        <f t="shared" si="165"/>
        <v>0.31183168789702614</v>
      </c>
      <c r="BM160" s="85">
        <f t="shared" si="166"/>
        <v>1.5904427503615663</v>
      </c>
      <c r="BN160" s="85">
        <f t="shared" si="167"/>
        <v>0.31185411685065928</v>
      </c>
      <c r="BO160" s="85">
        <f t="shared" si="168"/>
        <v>1.5903974395811655</v>
      </c>
      <c r="BP160" s="85">
        <f t="shared" si="169"/>
        <v>0.31185855921594841</v>
      </c>
      <c r="BQ160" s="85">
        <f t="shared" si="170"/>
        <v>1.5903884659845526</v>
      </c>
      <c r="BR160" s="85">
        <f t="shared" si="171"/>
        <v>0.31185943902896984</v>
      </c>
      <c r="BS160" s="85">
        <f t="shared" si="172"/>
        <v>1.5903866887911642</v>
      </c>
      <c r="BT160" s="85">
        <f t="shared" si="173"/>
        <v>0.3118596132741337</v>
      </c>
      <c r="BU160" s="85">
        <f t="shared" si="174"/>
        <v>1.5903863368229394</v>
      </c>
      <c r="BV160" s="85">
        <f t="shared" si="175"/>
        <v>0.31185964778294012</v>
      </c>
      <c r="BW160" s="85">
        <f t="shared" si="176"/>
        <v>1.590386267116588</v>
      </c>
    </row>
    <row r="161" spans="25:75" x14ac:dyDescent="0.4">
      <c r="Y161" s="142">
        <v>0.124</v>
      </c>
      <c r="Z161" s="46">
        <f t="shared" si="128"/>
        <v>1.6406864612317072E-2</v>
      </c>
      <c r="AA161" s="84">
        <f t="shared" si="129"/>
        <v>2.6197821636620811</v>
      </c>
      <c r="AB161" s="84">
        <f t="shared" si="130"/>
        <v>3.92122429860879E-2</v>
      </c>
      <c r="AC161" s="84">
        <f t="shared" si="131"/>
        <v>6.637817300881796</v>
      </c>
      <c r="AD161" s="84">
        <f t="shared" si="132"/>
        <v>2.4634379540833386E-2</v>
      </c>
      <c r="AE161" s="84">
        <f t="shared" si="133"/>
        <v>10.1776844381956</v>
      </c>
      <c r="AF161" s="84">
        <f t="shared" si="134"/>
        <v>1.9894351411210764E-2</v>
      </c>
      <c r="AG161" s="84">
        <f t="shared" si="135"/>
        <v>12.452634065293143</v>
      </c>
      <c r="AH161" s="84">
        <f t="shared" si="136"/>
        <v>1.7985547494706294E-2</v>
      </c>
      <c r="AI161" s="84">
        <f t="shared" si="137"/>
        <v>13.708442418216251</v>
      </c>
      <c r="AJ161" s="84">
        <f t="shared" si="138"/>
        <v>1.7141949825379324E-2</v>
      </c>
      <c r="AK161" s="84">
        <f t="shared" si="139"/>
        <v>14.352762505448544</v>
      </c>
      <c r="AL161" s="84">
        <f t="shared" si="140"/>
        <v>1.6752766152373411E-2</v>
      </c>
      <c r="AM161" s="84">
        <f t="shared" si="141"/>
        <v>14.671928047089812</v>
      </c>
      <c r="AN161" s="84">
        <f t="shared" si="142"/>
        <v>1.656954876038718E-2</v>
      </c>
      <c r="AO161" s="84">
        <f t="shared" si="143"/>
        <v>14.827382801368573</v>
      </c>
      <c r="AP161" s="84">
        <f t="shared" si="144"/>
        <v>1.6482459818363885E-2</v>
      </c>
      <c r="AQ161" s="84">
        <f t="shared" si="145"/>
        <v>14.902489240635113</v>
      </c>
      <c r="AR161" s="84">
        <f t="shared" si="146"/>
        <v>1.6440872720080157E-2</v>
      </c>
      <c r="AS161" s="84">
        <f t="shared" si="147"/>
        <v>14.938635590013902</v>
      </c>
      <c r="AT161" s="84">
        <f t="shared" si="148"/>
        <v>1.6420970050652139E-2</v>
      </c>
      <c r="AU161" s="84">
        <f t="shared" si="149"/>
        <v>14.955999325426598</v>
      </c>
      <c r="AV161" s="84">
        <f t="shared" si="150"/>
        <v>1.6411435007924663E-2</v>
      </c>
      <c r="AW161" s="84">
        <f t="shared" si="151"/>
        <v>14.964332953564302</v>
      </c>
      <c r="AX161" s="84">
        <f t="shared" si="152"/>
        <v>1.6406864612317072E-2</v>
      </c>
      <c r="AY161" s="142">
        <v>0.124</v>
      </c>
      <c r="AZ161" s="46">
        <f t="shared" si="153"/>
        <v>0.31988827064575492</v>
      </c>
      <c r="BA161" s="85">
        <f t="shared" si="154"/>
        <v>2.6197821636620811</v>
      </c>
      <c r="BB161" s="85">
        <f t="shared" si="155"/>
        <v>0.248</v>
      </c>
      <c r="BC161" s="85">
        <f t="shared" si="156"/>
        <v>1.7555776758128985</v>
      </c>
      <c r="BD161" s="85">
        <f t="shared" si="157"/>
        <v>0.30295229477314678</v>
      </c>
      <c r="BE161" s="85">
        <f t="shared" si="158"/>
        <v>1.608948705549675</v>
      </c>
      <c r="BF161" s="85">
        <f t="shared" si="159"/>
        <v>0.31645588171608346</v>
      </c>
      <c r="BG161" s="85">
        <f t="shared" si="160"/>
        <v>1.5812469913517244</v>
      </c>
      <c r="BH161" s="85">
        <f t="shared" si="161"/>
        <v>0.31921582649834496</v>
      </c>
      <c r="BI161" s="85">
        <f t="shared" si="162"/>
        <v>1.5758949332087229</v>
      </c>
      <c r="BJ161" s="85">
        <f t="shared" si="163"/>
        <v>0.31975742781808253</v>
      </c>
      <c r="BK161" s="85">
        <f t="shared" si="164"/>
        <v>1.5748563211945039</v>
      </c>
      <c r="BL161" s="85">
        <f t="shared" si="165"/>
        <v>0.31986284986973812</v>
      </c>
      <c r="BM161" s="85">
        <f t="shared" si="166"/>
        <v>1.5746545962320888</v>
      </c>
      <c r="BN161" s="85">
        <f t="shared" si="167"/>
        <v>0.31988333761833498</v>
      </c>
      <c r="BO161" s="85">
        <f t="shared" si="168"/>
        <v>1.5746154095404188</v>
      </c>
      <c r="BP161" s="85">
        <f t="shared" si="169"/>
        <v>0.3198873179844795</v>
      </c>
      <c r="BQ161" s="85">
        <f t="shared" si="170"/>
        <v>1.5746077969638759</v>
      </c>
      <c r="BR161" s="85">
        <f t="shared" si="171"/>
        <v>0.3198880912448922</v>
      </c>
      <c r="BS161" s="85">
        <f t="shared" si="172"/>
        <v>1.5746063181024286</v>
      </c>
      <c r="BT161" s="85">
        <f t="shared" si="173"/>
        <v>0.31988824146341005</v>
      </c>
      <c r="BU161" s="85">
        <f t="shared" si="174"/>
        <v>1.5746060308102288</v>
      </c>
      <c r="BV161" s="85">
        <f t="shared" si="175"/>
        <v>0.31988827064575492</v>
      </c>
      <c r="BW161" s="85">
        <f t="shared" si="176"/>
        <v>1.5746059749991668</v>
      </c>
    </row>
    <row r="162" spans="25:75" x14ac:dyDescent="0.4">
      <c r="Y162" s="142">
        <v>0.1278</v>
      </c>
      <c r="Z162" s="46">
        <f t="shared" si="128"/>
        <v>1.7047160812875786E-2</v>
      </c>
      <c r="AA162" s="84">
        <f t="shared" si="129"/>
        <v>2.5666725194296602</v>
      </c>
      <c r="AB162" s="84">
        <f t="shared" si="130"/>
        <v>4.0413908496951888E-2</v>
      </c>
      <c r="AC162" s="84">
        <f t="shared" si="131"/>
        <v>6.4605634041435085</v>
      </c>
      <c r="AD162" s="84">
        <f t="shared" si="132"/>
        <v>2.5473046459649488E-2</v>
      </c>
      <c r="AE162" s="84">
        <f t="shared" si="133"/>
        <v>9.8635836603560314</v>
      </c>
      <c r="AF162" s="84">
        <f t="shared" si="134"/>
        <v>2.0615730011547099E-2</v>
      </c>
      <c r="AG162" s="84">
        <f t="shared" si="135"/>
        <v>12.038721024697477</v>
      </c>
      <c r="AH162" s="84">
        <f t="shared" si="136"/>
        <v>1.8660613116906664E-2</v>
      </c>
      <c r="AI162" s="84">
        <f t="shared" si="137"/>
        <v>13.234885638719465</v>
      </c>
      <c r="AJ162" s="84">
        <f t="shared" si="138"/>
        <v>1.7797376490829582E-2</v>
      </c>
      <c r="AK162" s="84">
        <f t="shared" si="139"/>
        <v>13.846859915242097</v>
      </c>
      <c r="AL162" s="84">
        <f t="shared" si="140"/>
        <v>1.739964689608196E-2</v>
      </c>
      <c r="AM162" s="84">
        <f t="shared" si="141"/>
        <v>14.149299008017046</v>
      </c>
      <c r="AN162" s="84">
        <f t="shared" si="142"/>
        <v>1.7212685039473458E-2</v>
      </c>
      <c r="AO162" s="84">
        <f t="shared" si="143"/>
        <v>14.296306090034561</v>
      </c>
      <c r="AP162" s="84">
        <f t="shared" si="144"/>
        <v>1.7123958442663529E-2</v>
      </c>
      <c r="AQ162" s="84">
        <f t="shared" si="145"/>
        <v>14.367196641732486</v>
      </c>
      <c r="AR162" s="84">
        <f t="shared" si="146"/>
        <v>1.7081659724433353E-2</v>
      </c>
      <c r="AS162" s="84">
        <f t="shared" si="147"/>
        <v>14.401252078523036</v>
      </c>
      <c r="AT162" s="84">
        <f t="shared" si="148"/>
        <v>1.7061450797617811E-2</v>
      </c>
      <c r="AU162" s="84">
        <f t="shared" si="149"/>
        <v>14.417582358790169</v>
      </c>
      <c r="AV162" s="84">
        <f t="shared" si="150"/>
        <v>1.7051785612210643E-2</v>
      </c>
      <c r="AW162" s="84">
        <f t="shared" si="151"/>
        <v>14.425406238763737</v>
      </c>
      <c r="AX162" s="84">
        <f t="shared" si="152"/>
        <v>1.7047160812875786E-2</v>
      </c>
      <c r="AY162" s="142">
        <v>0.1278</v>
      </c>
      <c r="AZ162" s="46">
        <f t="shared" si="153"/>
        <v>0.32788706953979629</v>
      </c>
      <c r="BA162" s="85">
        <f t="shared" si="154"/>
        <v>2.5666725194296602</v>
      </c>
      <c r="BB162" s="85">
        <f t="shared" si="155"/>
        <v>0.25559999999999999</v>
      </c>
      <c r="BC162" s="85">
        <f t="shared" si="156"/>
        <v>1.7312405553790171</v>
      </c>
      <c r="BD162" s="85">
        <f t="shared" si="157"/>
        <v>0.31121990892900264</v>
      </c>
      <c r="BE162" s="85">
        <f t="shared" si="158"/>
        <v>1.5916813703626453</v>
      </c>
      <c r="BF162" s="85">
        <f t="shared" si="159"/>
        <v>0.32457720287434438</v>
      </c>
      <c r="BG162" s="85">
        <f t="shared" si="160"/>
        <v>1.5657775789895889</v>
      </c>
      <c r="BH162" s="85">
        <f t="shared" si="161"/>
        <v>0.32725104715721631</v>
      </c>
      <c r="BI162" s="85">
        <f t="shared" si="162"/>
        <v>1.5608648649956893</v>
      </c>
      <c r="BJ162" s="85">
        <f t="shared" si="163"/>
        <v>0.32776564255812185</v>
      </c>
      <c r="BK162" s="85">
        <f t="shared" si="164"/>
        <v>1.5599292676392891</v>
      </c>
      <c r="BL162" s="85">
        <f t="shared" si="165"/>
        <v>0.3278639196749254</v>
      </c>
      <c r="BM162" s="85">
        <f t="shared" si="166"/>
        <v>1.559750946678367</v>
      </c>
      <c r="BN162" s="85">
        <f t="shared" si="167"/>
        <v>0.32788266091640444</v>
      </c>
      <c r="BO162" s="85">
        <f t="shared" si="168"/>
        <v>1.5597169542820186</v>
      </c>
      <c r="BP162" s="85">
        <f t="shared" si="169"/>
        <v>0.3278862338264153</v>
      </c>
      <c r="BQ162" s="85">
        <f t="shared" si="170"/>
        <v>1.5597104743008074</v>
      </c>
      <c r="BR162" s="85">
        <f t="shared" si="171"/>
        <v>0.32788691494463013</v>
      </c>
      <c r="BS162" s="85">
        <f t="shared" si="172"/>
        <v>1.55970923901313</v>
      </c>
      <c r="BT162" s="85">
        <f t="shared" si="173"/>
        <v>0.32788704478760833</v>
      </c>
      <c r="BU162" s="85">
        <f t="shared" si="174"/>
        <v>1.5597090035283034</v>
      </c>
      <c r="BV162" s="85">
        <f t="shared" si="175"/>
        <v>0.32788706953979629</v>
      </c>
      <c r="BW162" s="85">
        <f t="shared" si="176"/>
        <v>1.5597089586374526</v>
      </c>
    </row>
    <row r="163" spans="25:75" x14ac:dyDescent="0.4">
      <c r="Y163" s="142">
        <v>0.1318</v>
      </c>
      <c r="Z163" s="46">
        <f t="shared" si="128"/>
        <v>1.773006867760404E-2</v>
      </c>
      <c r="AA163" s="84">
        <f t="shared" si="129"/>
        <v>2.514225948165377</v>
      </c>
      <c r="AB163" s="84">
        <f t="shared" si="130"/>
        <v>4.1678819561019237E-2</v>
      </c>
      <c r="AC163" s="84">
        <f t="shared" si="131"/>
        <v>6.2851155359703812</v>
      </c>
      <c r="AD163" s="84">
        <f t="shared" si="132"/>
        <v>2.6360942245545319E-2</v>
      </c>
      <c r="AE163" s="84">
        <f t="shared" si="133"/>
        <v>9.5529069165963474</v>
      </c>
      <c r="AF163" s="84">
        <f t="shared" si="134"/>
        <v>2.1382072086352122E-2</v>
      </c>
      <c r="AG163" s="84">
        <f t="shared" si="135"/>
        <v>11.629680353913447</v>
      </c>
      <c r="AH163" s="84">
        <f t="shared" si="136"/>
        <v>1.9379103102446608E-2</v>
      </c>
      <c r="AI163" s="84">
        <f t="shared" si="137"/>
        <v>12.767186898439267</v>
      </c>
      <c r="AJ163" s="84">
        <f t="shared" si="138"/>
        <v>1.849566515458935E-2</v>
      </c>
      <c r="AK163" s="84">
        <f t="shared" si="139"/>
        <v>13.347398155070453</v>
      </c>
      <c r="AL163" s="84">
        <f t="shared" si="140"/>
        <v>1.808919558559741E-2</v>
      </c>
      <c r="AM163" s="84">
        <f t="shared" si="141"/>
        <v>13.633431927037314</v>
      </c>
      <c r="AN163" s="84">
        <f t="shared" si="142"/>
        <v>1.7898431146044273E-2</v>
      </c>
      <c r="AO163" s="84">
        <f t="shared" si="143"/>
        <v>13.772162161144269</v>
      </c>
      <c r="AP163" s="84">
        <f t="shared" si="144"/>
        <v>1.780805541912903E-2</v>
      </c>
      <c r="AQ163" s="84">
        <f t="shared" si="145"/>
        <v>13.838926106080091</v>
      </c>
      <c r="AR163" s="84">
        <f t="shared" si="146"/>
        <v>1.776504726028651E-2</v>
      </c>
      <c r="AS163" s="84">
        <f t="shared" si="147"/>
        <v>13.870936876282393</v>
      </c>
      <c r="AT163" s="84">
        <f t="shared" si="148"/>
        <v>1.7744536702147758E-2</v>
      </c>
      <c r="AU163" s="84">
        <f t="shared" si="149"/>
        <v>13.886257543115399</v>
      </c>
      <c r="AV163" s="84">
        <f t="shared" si="150"/>
        <v>1.7734745253280487E-2</v>
      </c>
      <c r="AW163" s="84">
        <f t="shared" si="151"/>
        <v>13.893583933093776</v>
      </c>
      <c r="AX163" s="84">
        <f t="shared" si="152"/>
        <v>1.773006867760404E-2</v>
      </c>
      <c r="AY163" s="142">
        <v>0.1318</v>
      </c>
      <c r="AZ163" s="46">
        <f t="shared" si="153"/>
        <v>0.33627716895664544</v>
      </c>
      <c r="BA163" s="85">
        <f t="shared" si="154"/>
        <v>2.514225948165377</v>
      </c>
      <c r="BB163" s="85">
        <f t="shared" si="155"/>
        <v>0.2636</v>
      </c>
      <c r="BC163" s="85">
        <f t="shared" si="156"/>
        <v>1.7072502506087046</v>
      </c>
      <c r="BD163" s="85">
        <f t="shared" si="157"/>
        <v>0.31988874896073843</v>
      </c>
      <c r="BE163" s="85">
        <f t="shared" si="158"/>
        <v>1.5746050602261503</v>
      </c>
      <c r="BF163" s="85">
        <f t="shared" si="159"/>
        <v>0.33309010899658004</v>
      </c>
      <c r="BG163" s="85">
        <f t="shared" si="160"/>
        <v>1.5504308932505011</v>
      </c>
      <c r="BH163" s="85">
        <f t="shared" si="161"/>
        <v>0.33567681927722437</v>
      </c>
      <c r="BI163" s="85">
        <f t="shared" si="162"/>
        <v>1.5459331470486486</v>
      </c>
      <c r="BJ163" s="85">
        <f t="shared" si="163"/>
        <v>0.3361647745905752</v>
      </c>
      <c r="BK163" s="85">
        <f t="shared" si="164"/>
        <v>1.5450930257520525</v>
      </c>
      <c r="BL163" s="85">
        <f t="shared" si="165"/>
        <v>0.3362561544627643</v>
      </c>
      <c r="BM163" s="85">
        <f t="shared" si="166"/>
        <v>1.5449359864303585</v>
      </c>
      <c r="BN163" s="85">
        <f t="shared" si="167"/>
        <v>0.33627324387522389</v>
      </c>
      <c r="BO163" s="85">
        <f t="shared" si="168"/>
        <v>1.5449066278828225</v>
      </c>
      <c r="BP163" s="85">
        <f t="shared" si="169"/>
        <v>0.33627643903502674</v>
      </c>
      <c r="BQ163" s="85">
        <f t="shared" si="170"/>
        <v>1.5449011391525347</v>
      </c>
      <c r="BR163" s="85">
        <f t="shared" si="171"/>
        <v>0.33627703639656326</v>
      </c>
      <c r="BS163" s="85">
        <f t="shared" si="172"/>
        <v>1.544900113001463</v>
      </c>
      <c r="BT163" s="85">
        <f t="shared" si="173"/>
        <v>0.33627714807724118</v>
      </c>
      <c r="BU163" s="85">
        <f t="shared" si="174"/>
        <v>1.5448999211561882</v>
      </c>
      <c r="BV163" s="85">
        <f t="shared" si="175"/>
        <v>0.33627716895664544</v>
      </c>
      <c r="BW163" s="85">
        <f t="shared" si="176"/>
        <v>1.5448998852895244</v>
      </c>
    </row>
    <row r="164" spans="25:75" x14ac:dyDescent="0.4">
      <c r="Y164" s="142">
        <v>0.13589999999999999</v>
      </c>
      <c r="Z164" s="46">
        <f t="shared" si="128"/>
        <v>1.8439492245329731E-2</v>
      </c>
      <c r="AA164" s="84">
        <f t="shared" si="129"/>
        <v>2.4638223243909412</v>
      </c>
      <c r="AB164" s="84">
        <f t="shared" si="130"/>
        <v>4.2975353401688274E-2</v>
      </c>
      <c r="AC164" s="84">
        <f t="shared" si="131"/>
        <v>6.1160952274524227</v>
      </c>
      <c r="AD164" s="84">
        <f t="shared" si="132"/>
        <v>2.7276398727623198E-2</v>
      </c>
      <c r="AE164" s="84">
        <f t="shared" si="133"/>
        <v>9.253848185897537</v>
      </c>
      <c r="AF164" s="84">
        <f t="shared" si="134"/>
        <v>2.2174966097595516E-2</v>
      </c>
      <c r="AG164" s="84">
        <f t="shared" si="135"/>
        <v>11.23630599375867</v>
      </c>
      <c r="AH164" s="84">
        <f t="shared" si="136"/>
        <v>2.0123910210122005E-2</v>
      </c>
      <c r="AI164" s="84">
        <f t="shared" si="137"/>
        <v>12.317690433111308</v>
      </c>
      <c r="AJ164" s="84">
        <f t="shared" si="138"/>
        <v>1.9220271013643965E-2</v>
      </c>
      <c r="AK164" s="84">
        <f t="shared" si="139"/>
        <v>12.867560795414292</v>
      </c>
      <c r="AL164" s="84">
        <f t="shared" si="140"/>
        <v>1.8805116804606722E-2</v>
      </c>
      <c r="AM164" s="84">
        <f t="shared" si="141"/>
        <v>13.137943843473055</v>
      </c>
      <c r="AN164" s="84">
        <f t="shared" si="142"/>
        <v>1.8610603181958556E-2</v>
      </c>
      <c r="AO164" s="84">
        <f t="shared" si="143"/>
        <v>13.268786743639057</v>
      </c>
      <c r="AP164" s="84">
        <f t="shared" si="144"/>
        <v>1.851861669744919E-2</v>
      </c>
      <c r="AQ164" s="84">
        <f t="shared" si="145"/>
        <v>13.331622395882199</v>
      </c>
      <c r="AR164" s="84">
        <f t="shared" si="146"/>
        <v>1.8474923450955666E-2</v>
      </c>
      <c r="AS164" s="84">
        <f t="shared" si="147"/>
        <v>13.361688769402569</v>
      </c>
      <c r="AT164" s="84">
        <f t="shared" si="148"/>
        <v>1.8454125676372651E-2</v>
      </c>
      <c r="AU164" s="84">
        <f t="shared" si="149"/>
        <v>13.376050339006575</v>
      </c>
      <c r="AV164" s="84">
        <f t="shared" si="150"/>
        <v>1.8444216122313371E-2</v>
      </c>
      <c r="AW164" s="84">
        <f t="shared" si="151"/>
        <v>13.382904639457907</v>
      </c>
      <c r="AX164" s="84">
        <f t="shared" si="152"/>
        <v>1.8439492245329731E-2</v>
      </c>
      <c r="AY164" s="142">
        <v>0.13589999999999999</v>
      </c>
      <c r="AZ164" s="46">
        <f t="shared" si="153"/>
        <v>0.34484794734771546</v>
      </c>
      <c r="BA164" s="85">
        <f t="shared" si="154"/>
        <v>2.4638223243909412</v>
      </c>
      <c r="BB164" s="85">
        <f t="shared" si="155"/>
        <v>0.27179999999999999</v>
      </c>
      <c r="BC164" s="85">
        <f t="shared" si="156"/>
        <v>1.6842342079720993</v>
      </c>
      <c r="BD164" s="85">
        <f t="shared" si="157"/>
        <v>0.32874026690792979</v>
      </c>
      <c r="BE164" s="85">
        <f t="shared" si="158"/>
        <v>1.5581659045101657</v>
      </c>
      <c r="BF164" s="85">
        <f t="shared" si="159"/>
        <v>0.34178051269020893</v>
      </c>
      <c r="BG164" s="85">
        <f t="shared" si="160"/>
        <v>1.5356095128038323</v>
      </c>
      <c r="BH164" s="85">
        <f t="shared" si="161"/>
        <v>0.34428154915418835</v>
      </c>
      <c r="BI164" s="85">
        <f t="shared" si="162"/>
        <v>1.53149269965173</v>
      </c>
      <c r="BJ164" s="85">
        <f t="shared" si="163"/>
        <v>0.34474397107640581</v>
      </c>
      <c r="BK164" s="85">
        <f t="shared" si="164"/>
        <v>1.5307385516953018</v>
      </c>
      <c r="BL164" s="85">
        <f t="shared" si="165"/>
        <v>0.34482888301216763</v>
      </c>
      <c r="BM164" s="85">
        <f t="shared" si="166"/>
        <v>1.5306003075413677</v>
      </c>
      <c r="BN164" s="85">
        <f t="shared" si="167"/>
        <v>0.34484445517055334</v>
      </c>
      <c r="BO164" s="85">
        <f t="shared" si="168"/>
        <v>1.5305749626129992</v>
      </c>
      <c r="BP164" s="85">
        <f t="shared" si="169"/>
        <v>0.34484731031389704</v>
      </c>
      <c r="BQ164" s="85">
        <f t="shared" si="170"/>
        <v>1.5305703159061288</v>
      </c>
      <c r="BR164" s="85">
        <f t="shared" si="171"/>
        <v>0.34484783377993228</v>
      </c>
      <c r="BS164" s="85">
        <f t="shared" si="172"/>
        <v>1.5305694639812464</v>
      </c>
      <c r="BT164" s="85">
        <f t="shared" si="173"/>
        <v>0.34484792975218848</v>
      </c>
      <c r="BU164" s="85">
        <f t="shared" si="174"/>
        <v>1.5305693077896505</v>
      </c>
      <c r="BV164" s="85">
        <f t="shared" si="175"/>
        <v>0.34484794734771546</v>
      </c>
      <c r="BW164" s="85">
        <f t="shared" si="176"/>
        <v>1.5305692791535361</v>
      </c>
    </row>
    <row r="165" spans="25:75" x14ac:dyDescent="0.4">
      <c r="Y165" s="142">
        <v>0.14019999999999999</v>
      </c>
      <c r="Z165" s="46">
        <f t="shared" si="128"/>
        <v>1.9193738589061926E-2</v>
      </c>
      <c r="AA165" s="84">
        <f t="shared" si="129"/>
        <v>2.4142803828153929</v>
      </c>
      <c r="AB165" s="84">
        <f t="shared" si="130"/>
        <v>4.4335132795560672E-2</v>
      </c>
      <c r="AC165" s="84">
        <f t="shared" si="131"/>
        <v>5.949550091768911</v>
      </c>
      <c r="AD165" s="84">
        <f t="shared" si="132"/>
        <v>2.8242283206730213E-2</v>
      </c>
      <c r="AE165" s="84">
        <f t="shared" si="133"/>
        <v>8.9594233217149615</v>
      </c>
      <c r="AF165" s="84">
        <f t="shared" si="134"/>
        <v>2.301451557086355E-2</v>
      </c>
      <c r="AG165" s="84">
        <f t="shared" si="135"/>
        <v>10.849414250626422</v>
      </c>
      <c r="AH165" s="84">
        <f t="shared" si="136"/>
        <v>2.0914077863095709E-2</v>
      </c>
      <c r="AI165" s="84">
        <f t="shared" si="137"/>
        <v>11.875902602135865</v>
      </c>
      <c r="AJ165" s="84">
        <f t="shared" si="138"/>
        <v>1.9989804779804294E-2</v>
      </c>
      <c r="AK165" s="84">
        <f t="shared" si="139"/>
        <v>12.396145480008034</v>
      </c>
      <c r="AL165" s="84">
        <f t="shared" si="140"/>
        <v>1.9565841641314616E-2</v>
      </c>
      <c r="AM165" s="84">
        <f t="shared" si="141"/>
        <v>12.651266626908358</v>
      </c>
      <c r="AN165" s="84">
        <f t="shared" si="142"/>
        <v>1.9367557860092751E-2</v>
      </c>
      <c r="AO165" s="84">
        <f t="shared" si="143"/>
        <v>12.774427297918304</v>
      </c>
      <c r="AP165" s="84">
        <f t="shared" si="144"/>
        <v>1.9273968590559829E-2</v>
      </c>
      <c r="AQ165" s="84">
        <f t="shared" si="145"/>
        <v>12.833441094750725</v>
      </c>
      <c r="AR165" s="84">
        <f t="shared" si="146"/>
        <v>1.9229602443008597E-2</v>
      </c>
      <c r="AS165" s="84">
        <f t="shared" si="147"/>
        <v>12.861617848617467</v>
      </c>
      <c r="AT165" s="84">
        <f t="shared" si="148"/>
        <v>1.9208527145137436E-2</v>
      </c>
      <c r="AU165" s="84">
        <f t="shared" si="149"/>
        <v>12.875048387629459</v>
      </c>
      <c r="AV165" s="84">
        <f t="shared" si="150"/>
        <v>1.9198505894017535E-2</v>
      </c>
      <c r="AW165" s="84">
        <f t="shared" si="151"/>
        <v>12.881444942874072</v>
      </c>
      <c r="AX165" s="84">
        <f t="shared" si="152"/>
        <v>1.9193738589061926E-2</v>
      </c>
      <c r="AY165" s="142">
        <v>0.14019999999999999</v>
      </c>
      <c r="AZ165" s="46">
        <f t="shared" si="153"/>
        <v>0.35380780802230988</v>
      </c>
      <c r="BA165" s="85">
        <f t="shared" si="154"/>
        <v>2.4142803828153929</v>
      </c>
      <c r="BB165" s="85">
        <f t="shared" si="155"/>
        <v>0.28039999999999998</v>
      </c>
      <c r="BC165" s="85">
        <f t="shared" si="156"/>
        <v>1.6616488945051093</v>
      </c>
      <c r="BD165" s="85">
        <f t="shared" si="157"/>
        <v>0.33798873880827462</v>
      </c>
      <c r="BE165" s="85">
        <f t="shared" si="158"/>
        <v>1.5419757294731351</v>
      </c>
      <c r="BF165" s="85">
        <f t="shared" si="159"/>
        <v>0.35085938117346122</v>
      </c>
      <c r="BG165" s="85">
        <f t="shared" si="160"/>
        <v>1.520965511474196</v>
      </c>
      <c r="BH165" s="85">
        <f t="shared" si="161"/>
        <v>0.3532744092955562</v>
      </c>
      <c r="BI165" s="85">
        <f t="shared" si="162"/>
        <v>1.517205903009931</v>
      </c>
      <c r="BJ165" s="85">
        <f t="shared" si="163"/>
        <v>0.35371184223634655</v>
      </c>
      <c r="BK165" s="85">
        <f t="shared" si="164"/>
        <v>1.5165308118884424</v>
      </c>
      <c r="BL165" s="85">
        <f t="shared" si="165"/>
        <v>0.35379056175655649</v>
      </c>
      <c r="BM165" s="85">
        <f t="shared" si="166"/>
        <v>1.5164095138500238</v>
      </c>
      <c r="BN165" s="85">
        <f t="shared" si="167"/>
        <v>0.3538047113786133</v>
      </c>
      <c r="BO165" s="85">
        <f t="shared" si="168"/>
        <v>1.5163877169873472</v>
      </c>
      <c r="BP165" s="85">
        <f t="shared" si="169"/>
        <v>0.35380725419959141</v>
      </c>
      <c r="BQ165" s="85">
        <f t="shared" si="170"/>
        <v>1.5163838000829295</v>
      </c>
      <c r="BR165" s="85">
        <f t="shared" si="171"/>
        <v>0.35380771115128862</v>
      </c>
      <c r="BS165" s="85">
        <f t="shared" si="172"/>
        <v>1.5163830962111771</v>
      </c>
      <c r="BT165" s="85">
        <f t="shared" si="173"/>
        <v>0.35380779326616624</v>
      </c>
      <c r="BU165" s="85">
        <f t="shared" si="174"/>
        <v>1.5163829697246167</v>
      </c>
      <c r="BV165" s="85">
        <f t="shared" si="175"/>
        <v>0.35380780802230988</v>
      </c>
      <c r="BW165" s="85">
        <f t="shared" si="176"/>
        <v>1.5163829469948344</v>
      </c>
    </row>
    <row r="166" spans="25:75" x14ac:dyDescent="0.4">
      <c r="Y166" s="142">
        <v>0.14449999999999999</v>
      </c>
      <c r="Z166" s="46">
        <f t="shared" si="128"/>
        <v>1.9958383510591517E-2</v>
      </c>
      <c r="AA166" s="84">
        <f t="shared" si="129"/>
        <v>2.3678342236733547</v>
      </c>
      <c r="AB166" s="84">
        <f t="shared" si="130"/>
        <v>4.5694912189433078E-2</v>
      </c>
      <c r="AC166" s="84">
        <f t="shared" si="131"/>
        <v>5.793014635045739</v>
      </c>
      <c r="AD166" s="84">
        <f t="shared" si="132"/>
        <v>2.921401049492817E-2</v>
      </c>
      <c r="AE166" s="84">
        <f t="shared" si="133"/>
        <v>8.682951267525441</v>
      </c>
      <c r="AF166" s="84">
        <f t="shared" si="134"/>
        <v>2.3862163219239577E-2</v>
      </c>
      <c r="AG166" s="84">
        <f t="shared" si="135"/>
        <v>10.486495286816492</v>
      </c>
      <c r="AH166" s="84">
        <f t="shared" si="136"/>
        <v>2.1713423891606288E-2</v>
      </c>
      <c r="AI166" s="84">
        <f t="shared" si="137"/>
        <v>11.461784071843057</v>
      </c>
      <c r="AJ166" s="84">
        <f t="shared" si="138"/>
        <v>2.0769085897834185E-2</v>
      </c>
      <c r="AK166" s="84">
        <f t="shared" si="139"/>
        <v>11.954443765642321</v>
      </c>
      <c r="AL166" s="84">
        <f t="shared" si="140"/>
        <v>2.0336621563131003E-2</v>
      </c>
      <c r="AM166" s="84">
        <f t="shared" si="141"/>
        <v>12.195376423061658</v>
      </c>
      <c r="AN166" s="84">
        <f t="shared" si="142"/>
        <v>2.013473364580675E-2</v>
      </c>
      <c r="AO166" s="84">
        <f t="shared" si="143"/>
        <v>12.311404141915171</v>
      </c>
      <c r="AP166" s="84">
        <f t="shared" si="144"/>
        <v>2.0039630050177594E-2</v>
      </c>
      <c r="AQ166" s="84">
        <f t="shared" si="145"/>
        <v>12.366873548327428</v>
      </c>
      <c r="AR166" s="84">
        <f t="shared" si="146"/>
        <v>1.9994637448040566E-2</v>
      </c>
      <c r="AS166" s="84">
        <f t="shared" si="147"/>
        <v>12.393299923048536</v>
      </c>
      <c r="AT166" s="84">
        <f t="shared" si="148"/>
        <v>1.9973308675382783E-2</v>
      </c>
      <c r="AU166" s="84">
        <f t="shared" si="149"/>
        <v>12.405869063873466</v>
      </c>
      <c r="AV166" s="84">
        <f t="shared" si="150"/>
        <v>1.9963188024090563E-2</v>
      </c>
      <c r="AW166" s="84">
        <f t="shared" si="151"/>
        <v>12.411842627765221</v>
      </c>
      <c r="AX166" s="84">
        <f t="shared" si="152"/>
        <v>1.9958383510591517E-2</v>
      </c>
      <c r="AY166" s="142">
        <v>0.14449999999999999</v>
      </c>
      <c r="AZ166" s="46">
        <f t="shared" si="153"/>
        <v>0.36274047523582592</v>
      </c>
      <c r="BA166" s="85">
        <f t="shared" si="154"/>
        <v>2.3678342236733547</v>
      </c>
      <c r="BB166" s="85">
        <f t="shared" si="155"/>
        <v>0.28899999999999998</v>
      </c>
      <c r="BC166" s="85">
        <f t="shared" si="156"/>
        <v>1.6405075076043909</v>
      </c>
      <c r="BD166" s="85">
        <f t="shared" si="157"/>
        <v>0.34720372695300611</v>
      </c>
      <c r="BE166" s="85">
        <f t="shared" si="158"/>
        <v>1.5267632239060509</v>
      </c>
      <c r="BF166" s="85">
        <f t="shared" si="159"/>
        <v>0.35990480454831442</v>
      </c>
      <c r="BG166" s="85">
        <f t="shared" si="160"/>
        <v>1.5071617085795679</v>
      </c>
      <c r="BH166" s="85">
        <f t="shared" si="161"/>
        <v>0.36223762985350166</v>
      </c>
      <c r="BI166" s="85">
        <f t="shared" si="162"/>
        <v>1.5037213757259251</v>
      </c>
      <c r="BJ166" s="85">
        <f t="shared" si="163"/>
        <v>0.36265177108141838</v>
      </c>
      <c r="BK166" s="85">
        <f t="shared" si="164"/>
        <v>1.503115573823514</v>
      </c>
      <c r="BL166" s="85">
        <f t="shared" si="165"/>
        <v>0.36272484363989016</v>
      </c>
      <c r="BM166" s="85">
        <f t="shared" si="166"/>
        <v>1.5030088376837178</v>
      </c>
      <c r="BN166" s="85">
        <f t="shared" si="167"/>
        <v>0.3627377228596661</v>
      </c>
      <c r="BO166" s="85">
        <f t="shared" si="168"/>
        <v>1.5029900299466838</v>
      </c>
      <c r="BP166" s="85">
        <f t="shared" si="169"/>
        <v>0.36273999242041682</v>
      </c>
      <c r="BQ166" s="85">
        <f t="shared" si="170"/>
        <v>1.5029867158178778</v>
      </c>
      <c r="BR166" s="85">
        <f t="shared" si="171"/>
        <v>0.36274039234623867</v>
      </c>
      <c r="BS166" s="85">
        <f t="shared" si="172"/>
        <v>1.5029861318303186</v>
      </c>
      <c r="BT166" s="85">
        <f t="shared" si="173"/>
        <v>0.36274046281789885</v>
      </c>
      <c r="BU166" s="85">
        <f t="shared" si="174"/>
        <v>1.5029860289249459</v>
      </c>
      <c r="BV166" s="85">
        <f t="shared" si="175"/>
        <v>0.36274047523582592</v>
      </c>
      <c r="BW166" s="85">
        <f t="shared" si="176"/>
        <v>1.5029860107918256</v>
      </c>
    </row>
    <row r="167" spans="25:75" x14ac:dyDescent="0.4">
      <c r="Y167" s="142">
        <v>0.14910000000000001</v>
      </c>
      <c r="Z167" s="46">
        <f t="shared" si="128"/>
        <v>2.0787811379019576E-2</v>
      </c>
      <c r="AA167" s="84">
        <f t="shared" si="129"/>
        <v>2.321266227265558</v>
      </c>
      <c r="AB167" s="84">
        <f t="shared" si="130"/>
        <v>4.7149559913110539E-2</v>
      </c>
      <c r="AC167" s="84">
        <f t="shared" si="131"/>
        <v>5.6356574804134034</v>
      </c>
      <c r="AD167" s="84">
        <f t="shared" si="132"/>
        <v>3.025992343574577E-2</v>
      </c>
      <c r="AE167" s="84">
        <f t="shared" si="133"/>
        <v>8.4053084296964666</v>
      </c>
      <c r="AF167" s="84">
        <f t="shared" si="134"/>
        <v>2.4777831354067307E-2</v>
      </c>
      <c r="AG167" s="84">
        <f t="shared" si="135"/>
        <v>10.122445224812092</v>
      </c>
      <c r="AH167" s="84">
        <f t="shared" si="136"/>
        <v>2.2578620402236627E-2</v>
      </c>
      <c r="AI167" s="84">
        <f t="shared" si="137"/>
        <v>11.046686637505694</v>
      </c>
      <c r="AJ167" s="84">
        <f t="shared" si="138"/>
        <v>2.1613450341359614E-2</v>
      </c>
      <c r="AK167" s="84">
        <f t="shared" si="139"/>
        <v>11.511896932727069</v>
      </c>
      <c r="AL167" s="84">
        <f t="shared" si="140"/>
        <v>2.1172233427296846E-2</v>
      </c>
      <c r="AM167" s="84">
        <f t="shared" si="141"/>
        <v>11.738731351804777</v>
      </c>
      <c r="AN167" s="84">
        <f t="shared" si="142"/>
        <v>2.0966673777948832E-2</v>
      </c>
      <c r="AO167" s="84">
        <f t="shared" si="143"/>
        <v>11.847680963865766</v>
      </c>
      <c r="AP167" s="84">
        <f t="shared" si="144"/>
        <v>2.0870047829881229E-2</v>
      </c>
      <c r="AQ167" s="84">
        <f t="shared" si="145"/>
        <v>11.8996376825437</v>
      </c>
      <c r="AR167" s="84">
        <f t="shared" si="146"/>
        <v>2.0824436129498625E-2</v>
      </c>
      <c r="AS167" s="84">
        <f t="shared" si="147"/>
        <v>11.924331510700954</v>
      </c>
      <c r="AT167" s="84">
        <f t="shared" si="148"/>
        <v>2.0802862527982992E-2</v>
      </c>
      <c r="AU167" s="84">
        <f t="shared" si="149"/>
        <v>11.936049116754821</v>
      </c>
      <c r="AV167" s="84">
        <f t="shared" si="150"/>
        <v>2.0792648947276282E-2</v>
      </c>
      <c r="AW167" s="84">
        <f t="shared" si="151"/>
        <v>11.941605081240199</v>
      </c>
      <c r="AX167" s="84">
        <f t="shared" si="152"/>
        <v>2.0787811379019576E-2</v>
      </c>
      <c r="AY167" s="142">
        <v>0.14910000000000001</v>
      </c>
      <c r="AZ167" s="46">
        <f t="shared" si="153"/>
        <v>0.3722688652223467</v>
      </c>
      <c r="BA167" s="85">
        <f t="shared" si="154"/>
        <v>2.321266227265558</v>
      </c>
      <c r="BB167" s="85">
        <f t="shared" si="155"/>
        <v>0.29820000000000002</v>
      </c>
      <c r="BC167" s="85">
        <f t="shared" si="156"/>
        <v>1.6193411372628632</v>
      </c>
      <c r="BD167" s="85">
        <f t="shared" si="157"/>
        <v>0.35702690174588125</v>
      </c>
      <c r="BE167" s="85">
        <f t="shared" si="158"/>
        <v>1.5114722710983159</v>
      </c>
      <c r="BF167" s="85">
        <f t="shared" si="159"/>
        <v>0.36954729136039194</v>
      </c>
      <c r="BG167" s="85">
        <f t="shared" si="160"/>
        <v>1.4932422309105284</v>
      </c>
      <c r="BH167" s="85">
        <f t="shared" si="161"/>
        <v>0.37179623158075559</v>
      </c>
      <c r="BI167" s="85">
        <f t="shared" si="162"/>
        <v>1.4901067669657899</v>
      </c>
      <c r="BJ167" s="85">
        <f t="shared" si="163"/>
        <v>0.37218719050665883</v>
      </c>
      <c r="BK167" s="85">
        <f t="shared" si="164"/>
        <v>1.4895658276231787</v>
      </c>
      <c r="BL167" s="85">
        <f t="shared" si="165"/>
        <v>0.37225476470019792</v>
      </c>
      <c r="BM167" s="85">
        <f t="shared" si="166"/>
        <v>1.4894724536410877</v>
      </c>
      <c r="BN167" s="85">
        <f t="shared" si="167"/>
        <v>0.37226643271222176</v>
      </c>
      <c r="BO167" s="85">
        <f t="shared" si="168"/>
        <v>1.4894563344587335</v>
      </c>
      <c r="BP167" s="85">
        <f t="shared" si="169"/>
        <v>0.37226844707616774</v>
      </c>
      <c r="BQ167" s="85">
        <f t="shared" si="170"/>
        <v>1.4894535517547445</v>
      </c>
      <c r="BR167" s="85">
        <f t="shared" si="171"/>
        <v>0.37226879482531622</v>
      </c>
      <c r="BS167" s="85">
        <f t="shared" si="172"/>
        <v>1.4894530713666903</v>
      </c>
      <c r="BT167" s="85">
        <f t="shared" si="173"/>
        <v>0.37226885485858319</v>
      </c>
      <c r="BU167" s="85">
        <f t="shared" si="174"/>
        <v>1.4894529884355583</v>
      </c>
      <c r="BV167" s="85">
        <f t="shared" si="175"/>
        <v>0.3722688652223467</v>
      </c>
      <c r="BW167" s="85">
        <f t="shared" si="176"/>
        <v>1.4894529741188549</v>
      </c>
    </row>
    <row r="168" spans="25:75" x14ac:dyDescent="0.4">
      <c r="Y168" s="142">
        <v>0.1537</v>
      </c>
      <c r="Z168" s="46">
        <f t="shared" si="128"/>
        <v>2.1628973515092027E-2</v>
      </c>
      <c r="AA168" s="84">
        <f t="shared" si="129"/>
        <v>2.2776335633347133</v>
      </c>
      <c r="AB168" s="84">
        <f t="shared" si="130"/>
        <v>4.8604207636787987E-2</v>
      </c>
      <c r="AC168" s="84">
        <f t="shared" si="131"/>
        <v>5.4878220342264408</v>
      </c>
      <c r="AD168" s="84">
        <f t="shared" si="132"/>
        <v>3.1312358809416747E-2</v>
      </c>
      <c r="AE168" s="84">
        <f t="shared" si="133"/>
        <v>8.144750876651619</v>
      </c>
      <c r="AF168" s="84">
        <f t="shared" si="134"/>
        <v>2.5702590200917998E-2</v>
      </c>
      <c r="AG168" s="84">
        <f t="shared" si="135"/>
        <v>9.7812003220009487</v>
      </c>
      <c r="AH168" s="84">
        <f t="shared" si="136"/>
        <v>2.3454151048192051E-2</v>
      </c>
      <c r="AI168" s="84">
        <f t="shared" si="137"/>
        <v>10.657899725166429</v>
      </c>
      <c r="AJ168" s="84">
        <f t="shared" si="138"/>
        <v>2.2468805228006893E-2</v>
      </c>
      <c r="AK168" s="84">
        <f t="shared" si="139"/>
        <v>11.097596381012876</v>
      </c>
      <c r="AL168" s="84">
        <f t="shared" si="140"/>
        <v>2.2019189635237881E-2</v>
      </c>
      <c r="AM168" s="84">
        <f t="shared" si="141"/>
        <v>11.311347883945611</v>
      </c>
      <c r="AN168" s="84">
        <f t="shared" si="142"/>
        <v>2.1810148106622455E-2</v>
      </c>
      <c r="AO168" s="84">
        <f t="shared" si="143"/>
        <v>11.413738490513444</v>
      </c>
      <c r="AP168" s="84">
        <f t="shared" si="144"/>
        <v>2.1712100249917501E-2</v>
      </c>
      <c r="AQ168" s="84">
        <f t="shared" si="145"/>
        <v>11.462444538810445</v>
      </c>
      <c r="AR168" s="84">
        <f t="shared" si="146"/>
        <v>2.1665921776273026E-2</v>
      </c>
      <c r="AS168" s="84">
        <f t="shared" si="147"/>
        <v>11.485537206983429</v>
      </c>
      <c r="AT168" s="84">
        <f t="shared" si="148"/>
        <v>2.1644130210388038E-2</v>
      </c>
      <c r="AU168" s="84">
        <f t="shared" si="149"/>
        <v>11.496468929149591</v>
      </c>
      <c r="AV168" s="84">
        <f t="shared" si="150"/>
        <v>2.1633837315571367E-2</v>
      </c>
      <c r="AW168" s="84">
        <f t="shared" si="151"/>
        <v>11.501640031527145</v>
      </c>
      <c r="AX168" s="84">
        <f t="shared" si="152"/>
        <v>2.1628973515092027E-2</v>
      </c>
      <c r="AY168" s="142">
        <v>0.1537</v>
      </c>
      <c r="AZ168" s="46">
        <f t="shared" si="153"/>
        <v>0.38177135707677978</v>
      </c>
      <c r="BA168" s="85">
        <f t="shared" si="154"/>
        <v>2.2776335633347133</v>
      </c>
      <c r="BB168" s="85">
        <f t="shared" si="155"/>
        <v>0.30740000000000001</v>
      </c>
      <c r="BC168" s="85">
        <f t="shared" si="156"/>
        <v>1.5995352573960457</v>
      </c>
      <c r="BD168" s="85">
        <f t="shared" si="157"/>
        <v>0.36681651584714153</v>
      </c>
      <c r="BE168" s="85">
        <f t="shared" si="158"/>
        <v>1.4971047848814953</v>
      </c>
      <c r="BF168" s="85">
        <f t="shared" si="159"/>
        <v>0.37915753482656189</v>
      </c>
      <c r="BG168" s="85">
        <f t="shared" si="160"/>
        <v>1.4801215071711731</v>
      </c>
      <c r="BH168" s="85">
        <f t="shared" si="161"/>
        <v>0.38132660380613737</v>
      </c>
      <c r="BI168" s="85">
        <f t="shared" si="162"/>
        <v>1.4772577938495832</v>
      </c>
      <c r="BJ168" s="85">
        <f t="shared" si="163"/>
        <v>0.38169603200195573</v>
      </c>
      <c r="BK168" s="85">
        <f t="shared" si="164"/>
        <v>1.4767735205216095</v>
      </c>
      <c r="BL168" s="85">
        <f t="shared" si="165"/>
        <v>0.38175861101413744</v>
      </c>
      <c r="BM168" s="85">
        <f t="shared" si="166"/>
        <v>1.4766915865484558</v>
      </c>
      <c r="BN168" s="85">
        <f t="shared" si="167"/>
        <v>0.38176920177195228</v>
      </c>
      <c r="BO168" s="85">
        <f t="shared" si="168"/>
        <v>1.476677723030748</v>
      </c>
      <c r="BP168" s="85">
        <f t="shared" si="169"/>
        <v>0.38177099385277807</v>
      </c>
      <c r="BQ168" s="85">
        <f t="shared" si="170"/>
        <v>1.4766753772417076</v>
      </c>
      <c r="BR168" s="85">
        <f t="shared" si="171"/>
        <v>0.38177129708592988</v>
      </c>
      <c r="BS168" s="85">
        <f t="shared" si="172"/>
        <v>1.4766749803194121</v>
      </c>
      <c r="BT168" s="85">
        <f t="shared" si="173"/>
        <v>0.38177134839496252</v>
      </c>
      <c r="BU168" s="85">
        <f t="shared" si="174"/>
        <v>1.4766749131576304</v>
      </c>
      <c r="BV168" s="85">
        <f t="shared" si="175"/>
        <v>0.38177135707677978</v>
      </c>
      <c r="BW168" s="85">
        <f t="shared" si="176"/>
        <v>1.4766749017934282</v>
      </c>
    </row>
    <row r="169" spans="25:75" x14ac:dyDescent="0.4">
      <c r="Y169" s="142">
        <v>0.1585</v>
      </c>
      <c r="Z169" s="46">
        <f t="shared" si="128"/>
        <v>2.2519116146683577E-2</v>
      </c>
      <c r="AA169" s="84">
        <f t="shared" si="129"/>
        <v>2.2349515282665657</v>
      </c>
      <c r="AB169" s="84">
        <f t="shared" si="130"/>
        <v>5.012210091366881E-2</v>
      </c>
      <c r="AC169" s="84">
        <f t="shared" si="131"/>
        <v>5.3428127652529582</v>
      </c>
      <c r="AD169" s="84">
        <f t="shared" si="132"/>
        <v>3.2417412207867362E-2</v>
      </c>
      <c r="AE169" s="84">
        <f t="shared" si="133"/>
        <v>7.8894724694222624</v>
      </c>
      <c r="AF169" s="84">
        <f t="shared" si="134"/>
        <v>2.6677144323415981E-2</v>
      </c>
      <c r="AG169" s="84">
        <f t="shared" si="135"/>
        <v>9.4472807413555184</v>
      </c>
      <c r="AH169" s="84">
        <f t="shared" si="136"/>
        <v>2.437866447493222E-2</v>
      </c>
      <c r="AI169" s="84">
        <f t="shared" si="137"/>
        <v>10.277771208514711</v>
      </c>
      <c r="AJ169" s="84">
        <f t="shared" si="138"/>
        <v>2.3372967112464095E-2</v>
      </c>
      <c r="AK169" s="84">
        <f t="shared" si="139"/>
        <v>10.692721029386504</v>
      </c>
      <c r="AL169" s="84">
        <f t="shared" si="140"/>
        <v>2.2914965233682943E-2</v>
      </c>
      <c r="AM169" s="84">
        <f t="shared" si="141"/>
        <v>10.893804216723874</v>
      </c>
      <c r="AN169" s="84">
        <f t="shared" si="142"/>
        <v>2.2702492344626617E-2</v>
      </c>
      <c r="AO169" s="84">
        <f t="shared" si="143"/>
        <v>10.989853185453287</v>
      </c>
      <c r="AP169" s="84">
        <f t="shared" si="144"/>
        <v>2.2603067162956229E-2</v>
      </c>
      <c r="AQ169" s="84">
        <f t="shared" si="145"/>
        <v>11.035420773939842</v>
      </c>
      <c r="AR169" s="84">
        <f t="shared" si="146"/>
        <v>2.2556352464749341E-2</v>
      </c>
      <c r="AS169" s="84">
        <f t="shared" si="147"/>
        <v>11.05696974658459</v>
      </c>
      <c r="AT169" s="84">
        <f t="shared" si="148"/>
        <v>2.2534361662181774E-2</v>
      </c>
      <c r="AU169" s="84">
        <f t="shared" si="149"/>
        <v>11.067144884456649</v>
      </c>
      <c r="AV169" s="84">
        <f t="shared" si="150"/>
        <v>2.2524000229048238E-2</v>
      </c>
      <c r="AW169" s="84">
        <f t="shared" si="151"/>
        <v>11.071946023938299</v>
      </c>
      <c r="AX169" s="84">
        <f t="shared" si="152"/>
        <v>2.2519116146683577E-2</v>
      </c>
      <c r="AY169" s="142">
        <v>0.1585</v>
      </c>
      <c r="AZ169" s="46">
        <f t="shared" si="153"/>
        <v>0.39166191094721875</v>
      </c>
      <c r="BA169" s="85">
        <f t="shared" si="154"/>
        <v>2.2349515282665657</v>
      </c>
      <c r="BB169" s="85">
        <f t="shared" si="155"/>
        <v>0.317</v>
      </c>
      <c r="BC169" s="85">
        <f t="shared" si="156"/>
        <v>1.5801839108950477</v>
      </c>
      <c r="BD169" s="85">
        <f t="shared" si="157"/>
        <v>0.37699839276698777</v>
      </c>
      <c r="BE169" s="85">
        <f t="shared" si="158"/>
        <v>1.4830070934206563</v>
      </c>
      <c r="BF169" s="85">
        <f t="shared" si="159"/>
        <v>0.3891541823920735</v>
      </c>
      <c r="BG169" s="85">
        <f t="shared" si="160"/>
        <v>1.4672066097835168</v>
      </c>
      <c r="BH169" s="85">
        <f t="shared" si="161"/>
        <v>0.39124398981183084</v>
      </c>
      <c r="BI169" s="85">
        <f t="shared" si="162"/>
        <v>1.464595687132056</v>
      </c>
      <c r="BJ169" s="85">
        <f t="shared" si="163"/>
        <v>0.39159256824585853</v>
      </c>
      <c r="BK169" s="85">
        <f t="shared" si="164"/>
        <v>1.4641630792458922</v>
      </c>
      <c r="BL169" s="85">
        <f t="shared" si="165"/>
        <v>0.39165041478087836</v>
      </c>
      <c r="BM169" s="85">
        <f t="shared" si="166"/>
        <v>1.4640913674938913</v>
      </c>
      <c r="BN169" s="85">
        <f t="shared" si="167"/>
        <v>0.39166000625656522</v>
      </c>
      <c r="BO169" s="85">
        <f t="shared" si="168"/>
        <v>1.4640794792241538</v>
      </c>
      <c r="BP169" s="85">
        <f t="shared" si="169"/>
        <v>0.39166159638552128</v>
      </c>
      <c r="BQ169" s="85">
        <f t="shared" si="170"/>
        <v>1.4640775083797335</v>
      </c>
      <c r="BR169" s="85">
        <f t="shared" si="171"/>
        <v>0.39166185999991593</v>
      </c>
      <c r="BS169" s="85">
        <f t="shared" si="172"/>
        <v>1.4640771816513041</v>
      </c>
      <c r="BT169" s="85">
        <f t="shared" si="173"/>
        <v>0.39166190370220799</v>
      </c>
      <c r="BU169" s="85">
        <f t="shared" si="174"/>
        <v>1.4640771274859414</v>
      </c>
      <c r="BV169" s="85">
        <f t="shared" si="175"/>
        <v>0.39166191094721875</v>
      </c>
      <c r="BW169" s="85">
        <f t="shared" si="176"/>
        <v>1.4640771185063535</v>
      </c>
    </row>
    <row r="170" spans="25:75" x14ac:dyDescent="0.4">
      <c r="Y170" s="142">
        <v>0.16339999999999999</v>
      </c>
      <c r="Z170" s="46">
        <f t="shared" si="128"/>
        <v>2.3440757527699956E-2</v>
      </c>
      <c r="AA170" s="84">
        <f t="shared" si="129"/>
        <v>2.1941121128075127</v>
      </c>
      <c r="AB170" s="84">
        <f t="shared" si="130"/>
        <v>5.1671616967151314E-2</v>
      </c>
      <c r="AC170" s="84">
        <f t="shared" si="131"/>
        <v>5.2036762007128461</v>
      </c>
      <c r="AD170" s="84">
        <f t="shared" si="132"/>
        <v>3.3552611429250694E-2</v>
      </c>
      <c r="AE170" s="84">
        <f t="shared" si="133"/>
        <v>7.6448398361019576</v>
      </c>
      <c r="AF170" s="84">
        <f t="shared" si="134"/>
        <v>2.7681987241020105E-2</v>
      </c>
      <c r="AG170" s="84">
        <f t="shared" si="135"/>
        <v>9.1277013816572108</v>
      </c>
      <c r="AH170" s="84">
        <f t="shared" si="136"/>
        <v>2.5333823936025974E-2</v>
      </c>
      <c r="AI170" s="84">
        <f t="shared" si="137"/>
        <v>9.9142808405843699</v>
      </c>
      <c r="AJ170" s="84">
        <f t="shared" si="138"/>
        <v>2.430809087216845E-2</v>
      </c>
      <c r="AK170" s="84">
        <f t="shared" si="139"/>
        <v>10.30576579803337</v>
      </c>
      <c r="AL170" s="84">
        <f t="shared" si="140"/>
        <v>2.3841925430840492E-2</v>
      </c>
      <c r="AM170" s="84">
        <f t="shared" si="141"/>
        <v>10.494858365900004</v>
      </c>
      <c r="AN170" s="84">
        <f t="shared" si="142"/>
        <v>2.3626161523118552E-2</v>
      </c>
      <c r="AO170" s="84">
        <f t="shared" si="143"/>
        <v>10.584914499055865</v>
      </c>
      <c r="AP170" s="84">
        <f t="shared" si="144"/>
        <v>2.352544150011647E-2</v>
      </c>
      <c r="AQ170" s="84">
        <f t="shared" si="145"/>
        <v>10.627520758350364</v>
      </c>
      <c r="AR170" s="84">
        <f t="shared" si="146"/>
        <v>2.3478236808591641E-2</v>
      </c>
      <c r="AS170" s="84">
        <f t="shared" si="147"/>
        <v>10.647615366932515</v>
      </c>
      <c r="AT170" s="84">
        <f t="shared" si="148"/>
        <v>2.3456071808905389E-2</v>
      </c>
      <c r="AU170" s="84">
        <f t="shared" si="149"/>
        <v>10.657078803617422</v>
      </c>
      <c r="AV170" s="84">
        <f t="shared" si="150"/>
        <v>2.3445655054247401E-2</v>
      </c>
      <c r="AW170" s="84">
        <f t="shared" si="151"/>
        <v>10.661532480400496</v>
      </c>
      <c r="AX170" s="84">
        <f t="shared" si="152"/>
        <v>2.3440757527699956E-2</v>
      </c>
      <c r="AY170" s="142">
        <v>0.16339999999999999</v>
      </c>
      <c r="AZ170" s="46">
        <f t="shared" si="153"/>
        <v>0.40173454365612543</v>
      </c>
      <c r="BA170" s="85">
        <f t="shared" si="154"/>
        <v>2.1941121128075127</v>
      </c>
      <c r="BB170" s="85">
        <f t="shared" si="155"/>
        <v>0.32679999999999998</v>
      </c>
      <c r="BC170" s="85">
        <f t="shared" si="156"/>
        <v>1.5616875277910063</v>
      </c>
      <c r="BD170" s="85">
        <f t="shared" si="157"/>
        <v>0.3873596542218195</v>
      </c>
      <c r="BE170" s="85">
        <f t="shared" si="158"/>
        <v>1.4694726166818624</v>
      </c>
      <c r="BF170" s="85">
        <f t="shared" si="159"/>
        <v>0.39932886760908054</v>
      </c>
      <c r="BG170" s="85">
        <f t="shared" si="160"/>
        <v>1.4547689143801379</v>
      </c>
      <c r="BH170" s="85">
        <f t="shared" si="161"/>
        <v>0.40134185083471008</v>
      </c>
      <c r="BI170" s="85">
        <f t="shared" si="162"/>
        <v>1.4523877908997833</v>
      </c>
      <c r="BJ170" s="85">
        <f t="shared" si="163"/>
        <v>0.40167070692518303</v>
      </c>
      <c r="BK170" s="85">
        <f t="shared" si="164"/>
        <v>1.4520012079902915</v>
      </c>
      <c r="BL170" s="85">
        <f t="shared" si="165"/>
        <v>0.40172417406268723</v>
      </c>
      <c r="BM170" s="85">
        <f t="shared" si="166"/>
        <v>1.4519384190304285</v>
      </c>
      <c r="BN170" s="85">
        <f t="shared" si="167"/>
        <v>0.40173286023353849</v>
      </c>
      <c r="BO170" s="85">
        <f t="shared" si="168"/>
        <v>1.4519282201345338</v>
      </c>
      <c r="BP170" s="85">
        <f t="shared" si="169"/>
        <v>0.40173427119324262</v>
      </c>
      <c r="BQ170" s="85">
        <f t="shared" si="170"/>
        <v>1.4519265634959304</v>
      </c>
      <c r="BR170" s="85">
        <f t="shared" si="171"/>
        <v>0.40173450038125008</v>
      </c>
      <c r="BS170" s="85">
        <f t="shared" si="172"/>
        <v>1.4519262944024556</v>
      </c>
      <c r="BT170" s="85">
        <f t="shared" si="173"/>
        <v>0.40173453760907912</v>
      </c>
      <c r="BU170" s="85">
        <f t="shared" si="174"/>
        <v>1.4519262506926696</v>
      </c>
      <c r="BV170" s="85">
        <f t="shared" si="175"/>
        <v>0.40173454365612543</v>
      </c>
      <c r="BW170" s="85">
        <f t="shared" si="176"/>
        <v>1.4519262435927369</v>
      </c>
    </row>
    <row r="171" spans="25:75" x14ac:dyDescent="0.4">
      <c r="Y171" s="142">
        <v>0.16850000000000001</v>
      </c>
      <c r="Z171" s="46">
        <f t="shared" si="128"/>
        <v>2.4413779837721937E-2</v>
      </c>
      <c r="AA171" s="84">
        <f t="shared" si="129"/>
        <v>2.154273936165346</v>
      </c>
      <c r="AB171" s="84">
        <f t="shared" si="130"/>
        <v>5.3284378573837193E-2</v>
      </c>
      <c r="AC171" s="84">
        <f t="shared" si="131"/>
        <v>5.0675641002386911</v>
      </c>
      <c r="AD171" s="84">
        <f t="shared" si="132"/>
        <v>3.4741674206636486E-2</v>
      </c>
      <c r="AE171" s="84">
        <f t="shared" si="133"/>
        <v>7.4058468359497782</v>
      </c>
      <c r="AF171" s="84">
        <f t="shared" si="134"/>
        <v>2.8738427825613418E-2</v>
      </c>
      <c r="AG171" s="84">
        <f t="shared" si="135"/>
        <v>8.8159149872437972</v>
      </c>
      <c r="AH171" s="84">
        <f t="shared" si="136"/>
        <v>2.634005466630986E-2</v>
      </c>
      <c r="AI171" s="84">
        <f t="shared" si="137"/>
        <v>9.5599740024639441</v>
      </c>
      <c r="AJ171" s="84">
        <f t="shared" si="138"/>
        <v>2.529426202488079E-2</v>
      </c>
      <c r="AK171" s="84">
        <f t="shared" si="139"/>
        <v>9.9287893279023969</v>
      </c>
      <c r="AL171" s="84">
        <f t="shared" si="140"/>
        <v>2.4820025357122091E-2</v>
      </c>
      <c r="AM171" s="84">
        <f t="shared" si="141"/>
        <v>10.106319484949044</v>
      </c>
      <c r="AN171" s="84">
        <f t="shared" si="142"/>
        <v>2.4601062093037914E-2</v>
      </c>
      <c r="AO171" s="84">
        <f t="shared" si="143"/>
        <v>10.190606562246437</v>
      </c>
      <c r="AP171" s="84">
        <f t="shared" si="144"/>
        <v>2.4499112466748511E-2</v>
      </c>
      <c r="AQ171" s="84">
        <f t="shared" si="145"/>
        <v>10.23036668688477</v>
      </c>
      <c r="AR171" s="84">
        <f t="shared" si="146"/>
        <v>2.4451458453844235E-2</v>
      </c>
      <c r="AS171" s="84">
        <f t="shared" si="147"/>
        <v>10.249065764677347</v>
      </c>
      <c r="AT171" s="84">
        <f t="shared" si="148"/>
        <v>2.4429142836486659E-2</v>
      </c>
      <c r="AU171" s="84">
        <f t="shared" si="149"/>
        <v>10.257847415929982</v>
      </c>
      <c r="AV171" s="84">
        <f t="shared" si="150"/>
        <v>2.4418683812401278E-2</v>
      </c>
      <c r="AW171" s="84">
        <f t="shared" si="151"/>
        <v>10.261968799559188</v>
      </c>
      <c r="AX171" s="84">
        <f t="shared" si="152"/>
        <v>2.4413779837721937E-2</v>
      </c>
      <c r="AY171" s="142">
        <v>0.16850000000000001</v>
      </c>
      <c r="AZ171" s="46">
        <f t="shared" si="153"/>
        <v>0.41219504347686858</v>
      </c>
      <c r="BA171" s="85">
        <f t="shared" si="154"/>
        <v>2.154273936165346</v>
      </c>
      <c r="BB171" s="85">
        <f t="shared" si="155"/>
        <v>0.33700000000000002</v>
      </c>
      <c r="BC171" s="85">
        <f t="shared" si="156"/>
        <v>1.5436610644699935</v>
      </c>
      <c r="BD171" s="85">
        <f t="shared" si="157"/>
        <v>0.39811119417796825</v>
      </c>
      <c r="BE171" s="85">
        <f t="shared" si="158"/>
        <v>1.4562217345937323</v>
      </c>
      <c r="BF171" s="85">
        <f t="shared" si="159"/>
        <v>0.40988932705494469</v>
      </c>
      <c r="BG171" s="85">
        <f t="shared" si="160"/>
        <v>1.4425541967974738</v>
      </c>
      <c r="BH171" s="85">
        <f t="shared" si="161"/>
        <v>0.41182650586554986</v>
      </c>
      <c r="BI171" s="85">
        <f t="shared" si="162"/>
        <v>1.4403858695301357</v>
      </c>
      <c r="BJ171" s="85">
        <f t="shared" si="163"/>
        <v>0.41213636687129279</v>
      </c>
      <c r="BK171" s="85">
        <f t="shared" si="164"/>
        <v>1.4400410459739559</v>
      </c>
      <c r="BL171" s="85">
        <f t="shared" si="165"/>
        <v>0.41218570776390517</v>
      </c>
      <c r="BM171" s="85">
        <f t="shared" si="166"/>
        <v>1.4399861886797158</v>
      </c>
      <c r="BN171" s="85">
        <f t="shared" si="167"/>
        <v>0.41219355894243903</v>
      </c>
      <c r="BO171" s="85">
        <f t="shared" si="168"/>
        <v>1.4399774610129612</v>
      </c>
      <c r="BP171" s="85">
        <f t="shared" si="169"/>
        <v>0.412194808087883</v>
      </c>
      <c r="BQ171" s="85">
        <f t="shared" si="170"/>
        <v>1.4399760724482786</v>
      </c>
      <c r="BR171" s="85">
        <f t="shared" si="171"/>
        <v>0.41219500682695442</v>
      </c>
      <c r="BS171" s="85">
        <f t="shared" si="172"/>
        <v>1.4399758515284278</v>
      </c>
      <c r="BT171" s="85">
        <f t="shared" si="173"/>
        <v>0.41219503844625405</v>
      </c>
      <c r="BU171" s="85">
        <f t="shared" si="174"/>
        <v>1.4399758163801968</v>
      </c>
      <c r="BV171" s="85">
        <f t="shared" si="175"/>
        <v>0.41219504347686858</v>
      </c>
      <c r="BW171" s="85">
        <f t="shared" si="176"/>
        <v>1.4399758107881317</v>
      </c>
    </row>
    <row r="172" spans="25:75" x14ac:dyDescent="0.4">
      <c r="Y172" s="142">
        <v>0.17380000000000001</v>
      </c>
      <c r="Z172" s="46">
        <f t="shared" si="128"/>
        <v>2.543967394164888E-2</v>
      </c>
      <c r="AA172" s="84">
        <f t="shared" si="129"/>
        <v>2.1154974294495368</v>
      </c>
      <c r="AB172" s="84">
        <f t="shared" si="130"/>
        <v>5.4960385733726434E-2</v>
      </c>
      <c r="AC172" s="84">
        <f t="shared" si="131"/>
        <v>4.9346913842161921</v>
      </c>
      <c r="AD172" s="84">
        <f t="shared" si="132"/>
        <v>3.5985374318270251E-2</v>
      </c>
      <c r="AE172" s="84">
        <f t="shared" si="133"/>
        <v>7.1728807118356661</v>
      </c>
      <c r="AF172" s="84">
        <f t="shared" si="134"/>
        <v>2.9847586459761145E-2</v>
      </c>
      <c r="AG172" s="84">
        <f t="shared" si="135"/>
        <v>8.5124300837064446</v>
      </c>
      <c r="AH172" s="84">
        <f t="shared" si="136"/>
        <v>2.7398655020176011E-2</v>
      </c>
      <c r="AI172" s="84">
        <f t="shared" si="137"/>
        <v>9.2154288817937537</v>
      </c>
      <c r="AJ172" s="84">
        <f t="shared" si="138"/>
        <v>2.6332873154495152E-2</v>
      </c>
      <c r="AK172" s="84">
        <f t="shared" si="139"/>
        <v>9.5624063896935798</v>
      </c>
      <c r="AL172" s="84">
        <f t="shared" si="140"/>
        <v>2.5850706968938032E-2</v>
      </c>
      <c r="AM172" s="84">
        <f t="shared" si="141"/>
        <v>9.7288207896766004</v>
      </c>
      <c r="AN172" s="84">
        <f t="shared" si="142"/>
        <v>2.5628661282508857E-2</v>
      </c>
      <c r="AO172" s="84">
        <f t="shared" si="143"/>
        <v>9.8075717071076411</v>
      </c>
      <c r="AP172" s="84">
        <f t="shared" si="144"/>
        <v>2.5525559898421528E-2</v>
      </c>
      <c r="AQ172" s="84">
        <f t="shared" si="145"/>
        <v>9.8446053462850749</v>
      </c>
      <c r="AR172" s="84">
        <f t="shared" si="146"/>
        <v>2.5477503372320832E-2</v>
      </c>
      <c r="AS172" s="84">
        <f t="shared" si="147"/>
        <v>9.8619698858045108</v>
      </c>
      <c r="AT172" s="84">
        <f t="shared" si="148"/>
        <v>2.5455063634977283E-2</v>
      </c>
      <c r="AU172" s="84">
        <f t="shared" si="149"/>
        <v>9.8701007066099926</v>
      </c>
      <c r="AV172" s="84">
        <f t="shared" si="150"/>
        <v>2.5444576750930557E-2</v>
      </c>
      <c r="AW172" s="84">
        <f t="shared" si="151"/>
        <v>9.8739054632681302</v>
      </c>
      <c r="AX172" s="84">
        <f t="shared" si="152"/>
        <v>2.543967394164888E-2</v>
      </c>
      <c r="AY172" s="142">
        <v>0.17380000000000001</v>
      </c>
      <c r="AZ172" s="46">
        <f t="shared" si="153"/>
        <v>0.42304309985062483</v>
      </c>
      <c r="BA172" s="85">
        <f t="shared" si="154"/>
        <v>2.1154974294495368</v>
      </c>
      <c r="BB172" s="85">
        <f t="shared" si="155"/>
        <v>0.34760000000000002</v>
      </c>
      <c r="BC172" s="85">
        <f t="shared" si="156"/>
        <v>1.5261284310095418</v>
      </c>
      <c r="BD172" s="85">
        <f t="shared" si="157"/>
        <v>0.40925168594281941</v>
      </c>
      <c r="BE172" s="85">
        <f t="shared" si="158"/>
        <v>1.4432726995627589</v>
      </c>
      <c r="BF172" s="85">
        <f t="shared" si="159"/>
        <v>0.42083496931995856</v>
      </c>
      <c r="BG172" s="85">
        <f t="shared" si="160"/>
        <v>1.4305810008159392</v>
      </c>
      <c r="BH172" s="85">
        <f t="shared" si="161"/>
        <v>0.42269760999283329</v>
      </c>
      <c r="BI172" s="85">
        <f t="shared" si="162"/>
        <v>1.4286090431595555</v>
      </c>
      <c r="BJ172" s="85">
        <f t="shared" si="163"/>
        <v>0.42298924133493454</v>
      </c>
      <c r="BK172" s="85">
        <f t="shared" si="164"/>
        <v>1.4283019654161684</v>
      </c>
      <c r="BL172" s="85">
        <f t="shared" si="165"/>
        <v>0.42303470917161962</v>
      </c>
      <c r="BM172" s="85">
        <f t="shared" si="166"/>
        <v>1.4282541298506304</v>
      </c>
      <c r="BN172" s="85">
        <f t="shared" si="167"/>
        <v>0.42304179332236586</v>
      </c>
      <c r="BO172" s="85">
        <f t="shared" si="168"/>
        <v>1.4282466777769152</v>
      </c>
      <c r="BP172" s="85">
        <f t="shared" si="169"/>
        <v>0.42304289696033165</v>
      </c>
      <c r="BQ172" s="85">
        <f t="shared" si="170"/>
        <v>1.4282455168441799</v>
      </c>
      <c r="BR172" s="85">
        <f t="shared" si="171"/>
        <v>0.42304306889304277</v>
      </c>
      <c r="BS172" s="85">
        <f t="shared" si="172"/>
        <v>1.4282453359862539</v>
      </c>
      <c r="BT172" s="85">
        <f t="shared" si="173"/>
        <v>0.42304309567789822</v>
      </c>
      <c r="BU172" s="85">
        <f t="shared" si="174"/>
        <v>1.4282453078109814</v>
      </c>
      <c r="BV172" s="85">
        <f t="shared" si="175"/>
        <v>0.42304309985062483</v>
      </c>
      <c r="BW172" s="85">
        <f t="shared" si="176"/>
        <v>1.4282453034216465</v>
      </c>
    </row>
    <row r="173" spans="25:75" x14ac:dyDescent="0.4">
      <c r="Y173" s="142">
        <v>0.1792</v>
      </c>
      <c r="Z173" s="46">
        <f t="shared" si="128"/>
        <v>2.6500166788580432E-2</v>
      </c>
      <c r="AA173" s="84">
        <f t="shared" si="129"/>
        <v>2.0784914113270307</v>
      </c>
      <c r="AB173" s="84">
        <f t="shared" si="130"/>
        <v>5.6668015670217356E-2</v>
      </c>
      <c r="AC173" s="84">
        <f t="shared" si="131"/>
        <v>4.8075084636984169</v>
      </c>
      <c r="AD173" s="84">
        <f t="shared" si="132"/>
        <v>3.7260793018499792E-2</v>
      </c>
      <c r="AE173" s="84">
        <f t="shared" si="133"/>
        <v>6.9502361313418568</v>
      </c>
      <c r="AF173" s="84">
        <f t="shared" si="134"/>
        <v>3.0989341117899999E-2</v>
      </c>
      <c r="AG173" s="84">
        <f t="shared" si="135"/>
        <v>8.2228297245219526</v>
      </c>
      <c r="AH173" s="84">
        <f t="shared" si="136"/>
        <v>2.8490592029305539E-2</v>
      </c>
      <c r="AI173" s="84">
        <f t="shared" si="137"/>
        <v>8.8869730232583706</v>
      </c>
      <c r="AJ173" s="84">
        <f t="shared" si="138"/>
        <v>2.7405339816167752E-2</v>
      </c>
      <c r="AK173" s="84">
        <f t="shared" si="139"/>
        <v>9.2133380972451224</v>
      </c>
      <c r="AL173" s="84">
        <f t="shared" si="140"/>
        <v>2.6915572277064141E-2</v>
      </c>
      <c r="AM173" s="84">
        <f t="shared" si="141"/>
        <v>9.3692827391873976</v>
      </c>
      <c r="AN173" s="84">
        <f t="shared" si="142"/>
        <v>2.6690637686869696E-2</v>
      </c>
      <c r="AO173" s="84">
        <f t="shared" si="143"/>
        <v>9.4428292398216875</v>
      </c>
      <c r="AP173" s="84">
        <f t="shared" si="144"/>
        <v>2.6586493040438509E-2</v>
      </c>
      <c r="AQ173" s="84">
        <f t="shared" si="145"/>
        <v>9.4773045141195649</v>
      </c>
      <c r="AR173" s="84">
        <f t="shared" si="146"/>
        <v>2.6538092584991086E-2</v>
      </c>
      <c r="AS173" s="84">
        <f t="shared" si="147"/>
        <v>9.493419125964504</v>
      </c>
      <c r="AT173" s="84">
        <f t="shared" si="148"/>
        <v>2.6515559465533096E-2</v>
      </c>
      <c r="AU173" s="84">
        <f t="shared" si="149"/>
        <v>9.5009415324409634</v>
      </c>
      <c r="AV173" s="84">
        <f t="shared" si="150"/>
        <v>2.6505060489606817E-2</v>
      </c>
      <c r="AW173" s="84">
        <f t="shared" si="151"/>
        <v>9.5044508733986923</v>
      </c>
      <c r="AX173" s="84">
        <f t="shared" si="152"/>
        <v>2.6500166788580432E-2</v>
      </c>
      <c r="AY173" s="142">
        <v>0.1792</v>
      </c>
      <c r="AZ173" s="46">
        <f t="shared" si="153"/>
        <v>0.4340744986171084</v>
      </c>
      <c r="BA173" s="85">
        <f t="shared" si="154"/>
        <v>2.0784914113270307</v>
      </c>
      <c r="BB173" s="85">
        <f t="shared" si="155"/>
        <v>0.3584</v>
      </c>
      <c r="BC173" s="85">
        <f t="shared" si="156"/>
        <v>1.5094063757766714</v>
      </c>
      <c r="BD173" s="85">
        <f t="shared" si="157"/>
        <v>0.42057071428619131</v>
      </c>
      <c r="BE173" s="85">
        <f t="shared" si="158"/>
        <v>1.4308622672180125</v>
      </c>
      <c r="BF173" s="85">
        <f t="shared" si="159"/>
        <v>0.43195967179828365</v>
      </c>
      <c r="BG173" s="85">
        <f t="shared" si="160"/>
        <v>1.4190711240132674</v>
      </c>
      <c r="BH173" s="85">
        <f t="shared" si="161"/>
        <v>0.43375054819075021</v>
      </c>
      <c r="BI173" s="85">
        <f t="shared" si="162"/>
        <v>1.4172767149114458</v>
      </c>
      <c r="BJ173" s="85">
        <f t="shared" si="163"/>
        <v>0.43402504636048117</v>
      </c>
      <c r="BK173" s="85">
        <f t="shared" si="164"/>
        <v>1.4170030622219179</v>
      </c>
      <c r="BL173" s="85">
        <f t="shared" si="165"/>
        <v>0.43406695395780365</v>
      </c>
      <c r="BM173" s="85">
        <f t="shared" si="166"/>
        <v>1.4169613159751973</v>
      </c>
      <c r="BN173" s="85">
        <f t="shared" si="167"/>
        <v>0.43407334811002357</v>
      </c>
      <c r="BO173" s="85">
        <f t="shared" si="168"/>
        <v>1.4169549471925038</v>
      </c>
      <c r="BP173" s="85">
        <f t="shared" si="169"/>
        <v>0.43407432362294524</v>
      </c>
      <c r="BQ173" s="85">
        <f t="shared" si="170"/>
        <v>1.4169539755675218</v>
      </c>
      <c r="BR173" s="85">
        <f t="shared" si="171"/>
        <v>0.43407447244831004</v>
      </c>
      <c r="BS173" s="85">
        <f t="shared" si="172"/>
        <v>1.4169538273357123</v>
      </c>
      <c r="BT173" s="85">
        <f t="shared" si="173"/>
        <v>0.43407449515322871</v>
      </c>
      <c r="BU173" s="85">
        <f t="shared" si="174"/>
        <v>1.4169538047213561</v>
      </c>
      <c r="BV173" s="85">
        <f t="shared" si="175"/>
        <v>0.4340744986171084</v>
      </c>
      <c r="BW173" s="85">
        <f t="shared" si="176"/>
        <v>1.4169538012712932</v>
      </c>
    </row>
    <row r="174" spans="25:75" x14ac:dyDescent="0.4">
      <c r="Y174" s="142">
        <v>0.18479999999999999</v>
      </c>
      <c r="Z174" s="46">
        <f t="shared" si="128"/>
        <v>2.7615978760645751E-2</v>
      </c>
      <c r="AA174" s="84">
        <f t="shared" si="129"/>
        <v>2.0425409772008765</v>
      </c>
      <c r="AB174" s="84">
        <f t="shared" si="130"/>
        <v>5.8438891159911646E-2</v>
      </c>
      <c r="AC174" s="84">
        <f t="shared" si="131"/>
        <v>4.6835814760674577</v>
      </c>
      <c r="AD174" s="84">
        <f t="shared" si="132"/>
        <v>3.8592091523309308E-2</v>
      </c>
      <c r="AE174" s="84">
        <f t="shared" si="133"/>
        <v>6.7336489220181379</v>
      </c>
      <c r="AF174" s="84">
        <f t="shared" si="134"/>
        <v>3.2185637912899911E-2</v>
      </c>
      <c r="AG174" s="84">
        <f t="shared" si="135"/>
        <v>7.9415535683282652</v>
      </c>
      <c r="AH174" s="84">
        <f t="shared" si="136"/>
        <v>2.963702599390106E-2</v>
      </c>
      <c r="AI174" s="84">
        <f t="shared" si="137"/>
        <v>8.5682875763471795</v>
      </c>
      <c r="AJ174" s="84">
        <f t="shared" si="138"/>
        <v>2.8532533693707982E-2</v>
      </c>
      <c r="AK174" s="84">
        <f t="shared" si="139"/>
        <v>8.8748605653310264</v>
      </c>
      <c r="AL174" s="84">
        <f t="shared" si="140"/>
        <v>2.8035389013670853E-2</v>
      </c>
      <c r="AM174" s="84">
        <f t="shared" si="141"/>
        <v>9.0207746127072781</v>
      </c>
      <c r="AN174" s="84">
        <f t="shared" si="142"/>
        <v>2.7807723721320586E-2</v>
      </c>
      <c r="AO174" s="84">
        <f t="shared" si="143"/>
        <v>9.0893451315885834</v>
      </c>
      <c r="AP174" s="84">
        <f t="shared" si="144"/>
        <v>2.7702633647260621E-2</v>
      </c>
      <c r="AQ174" s="84">
        <f t="shared" si="145"/>
        <v>9.1213791402895996</v>
      </c>
      <c r="AR174" s="84">
        <f t="shared" si="146"/>
        <v>2.7653945454470367E-2</v>
      </c>
      <c r="AS174" s="84">
        <f t="shared" si="147"/>
        <v>9.1363033860593585</v>
      </c>
      <c r="AT174" s="84">
        <f t="shared" si="148"/>
        <v>2.7631349720611945E-2</v>
      </c>
      <c r="AU174" s="84">
        <f t="shared" si="149"/>
        <v>9.143247536983095</v>
      </c>
      <c r="AV174" s="84">
        <f t="shared" si="150"/>
        <v>2.7620854942498746E-2</v>
      </c>
      <c r="AW174" s="84">
        <f t="shared" si="151"/>
        <v>9.1464766873411065</v>
      </c>
      <c r="AX174" s="84">
        <f t="shared" si="152"/>
        <v>2.7615978760645751E-2</v>
      </c>
      <c r="AY174" s="142">
        <v>0.18479999999999999</v>
      </c>
      <c r="AZ174" s="46">
        <f t="shared" si="153"/>
        <v>0.44549410070059453</v>
      </c>
      <c r="BA174" s="85">
        <f t="shared" si="154"/>
        <v>2.0425409772008765</v>
      </c>
      <c r="BB174" s="85">
        <f t="shared" si="155"/>
        <v>0.36959999999999998</v>
      </c>
      <c r="BC174" s="85">
        <f t="shared" si="156"/>
        <v>1.4931682775908868</v>
      </c>
      <c r="BD174" s="85">
        <f t="shared" si="157"/>
        <v>0.43227784146748144</v>
      </c>
      <c r="BE174" s="85">
        <f t="shared" si="158"/>
        <v>1.4187511754865383</v>
      </c>
      <c r="BF174" s="85">
        <f t="shared" si="159"/>
        <v>0.44346998827940004</v>
      </c>
      <c r="BG174" s="85">
        <f t="shared" si="160"/>
        <v>1.4078056001771149</v>
      </c>
      <c r="BH174" s="85">
        <f t="shared" si="161"/>
        <v>0.4451906220526069</v>
      </c>
      <c r="BI174" s="85">
        <f t="shared" si="162"/>
        <v>1.4061745084258428</v>
      </c>
      <c r="BJ174" s="85">
        <f t="shared" si="163"/>
        <v>0.44544874659391714</v>
      </c>
      <c r="BK174" s="85">
        <f t="shared" si="164"/>
        <v>1.4059309664662907</v>
      </c>
      <c r="BL174" s="85">
        <f t="shared" si="165"/>
        <v>0.44548732628436055</v>
      </c>
      <c r="BM174" s="85">
        <f t="shared" si="166"/>
        <v>1.4058945919538151</v>
      </c>
      <c r="BN174" s="85">
        <f t="shared" si="167"/>
        <v>0.44549308926246295</v>
      </c>
      <c r="BO174" s="85">
        <f t="shared" si="168"/>
        <v>1.4058891589540514</v>
      </c>
      <c r="BP174" s="85">
        <f t="shared" si="169"/>
        <v>0.44549395005632247</v>
      </c>
      <c r="BQ174" s="85">
        <f t="shared" si="170"/>
        <v>1.4058883474605486</v>
      </c>
      <c r="BR174" s="85">
        <f t="shared" si="171"/>
        <v>0.44549407862819468</v>
      </c>
      <c r="BS174" s="85">
        <f t="shared" si="172"/>
        <v>1.4058882262526744</v>
      </c>
      <c r="BT174" s="85">
        <f t="shared" si="173"/>
        <v>0.44549409783220678</v>
      </c>
      <c r="BU174" s="85">
        <f t="shared" si="174"/>
        <v>1.4058882081485851</v>
      </c>
      <c r="BV174" s="85">
        <f t="shared" si="175"/>
        <v>0.44549410070059453</v>
      </c>
      <c r="BW174" s="85">
        <f t="shared" si="176"/>
        <v>1.4058882054444863</v>
      </c>
    </row>
    <row r="175" spans="25:75" x14ac:dyDescent="0.4">
      <c r="Y175" s="142">
        <v>0.1905</v>
      </c>
      <c r="Z175" s="46">
        <f t="shared" si="128"/>
        <v>2.876825777782268E-2</v>
      </c>
      <c r="AA175" s="84">
        <f t="shared" si="129"/>
        <v>2.0082569772184735</v>
      </c>
      <c r="AB175" s="84">
        <f t="shared" si="130"/>
        <v>6.0241389426207624E-2</v>
      </c>
      <c r="AC175" s="84">
        <f t="shared" si="131"/>
        <v>4.5650395118405616</v>
      </c>
      <c r="AD175" s="84">
        <f t="shared" si="132"/>
        <v>3.9956031959758644E-2</v>
      </c>
      <c r="AE175" s="84">
        <f t="shared" si="133"/>
        <v>6.5268354162094306</v>
      </c>
      <c r="AF175" s="84">
        <f t="shared" si="134"/>
        <v>3.3415909920586725E-2</v>
      </c>
      <c r="AG175" s="84">
        <f t="shared" si="135"/>
        <v>7.6734130429199343</v>
      </c>
      <c r="AH175" s="84">
        <f t="shared" si="136"/>
        <v>3.0818417499241659E-2</v>
      </c>
      <c r="AI175" s="84">
        <f t="shared" si="137"/>
        <v>8.2648106987074641</v>
      </c>
      <c r="AJ175" s="84">
        <f t="shared" si="138"/>
        <v>2.9695330752240488E-2</v>
      </c>
      <c r="AK175" s="84">
        <f t="shared" si="139"/>
        <v>8.5527407790556502</v>
      </c>
      <c r="AL175" s="84">
        <f t="shared" si="140"/>
        <v>2.9191201283948035E-2</v>
      </c>
      <c r="AM175" s="84">
        <f t="shared" si="141"/>
        <v>8.6892288901355936</v>
      </c>
      <c r="AN175" s="84">
        <f t="shared" si="142"/>
        <v>2.8961030001282119E-2</v>
      </c>
      <c r="AO175" s="84">
        <f t="shared" si="143"/>
        <v>8.7531334429776457</v>
      </c>
      <c r="AP175" s="84">
        <f t="shared" si="144"/>
        <v>2.8855117528444555E-2</v>
      </c>
      <c r="AQ175" s="84">
        <f t="shared" si="145"/>
        <v>8.7828830581746082</v>
      </c>
      <c r="AR175" s="84">
        <f t="shared" si="146"/>
        <v>2.8806206664320096E-2</v>
      </c>
      <c r="AS175" s="84">
        <f t="shared" si="147"/>
        <v>8.7966957636038714</v>
      </c>
      <c r="AT175" s="84">
        <f t="shared" si="148"/>
        <v>2.8783581807526503E-2</v>
      </c>
      <c r="AU175" s="84">
        <f t="shared" si="149"/>
        <v>8.8031011074899297</v>
      </c>
      <c r="AV175" s="84">
        <f t="shared" si="150"/>
        <v>2.8773108095622859E-2</v>
      </c>
      <c r="AW175" s="84">
        <f t="shared" si="151"/>
        <v>8.8060697570166546</v>
      </c>
      <c r="AX175" s="84">
        <f t="shared" si="152"/>
        <v>2.876825777782268E-2</v>
      </c>
      <c r="AY175" s="142">
        <v>0.1905</v>
      </c>
      <c r="AZ175" s="46">
        <f t="shared" si="153"/>
        <v>0.45709861101206495</v>
      </c>
      <c r="BA175" s="85">
        <f t="shared" si="154"/>
        <v>2.0082569772184735</v>
      </c>
      <c r="BB175" s="85">
        <f t="shared" si="155"/>
        <v>0.38100000000000001</v>
      </c>
      <c r="BC175" s="85">
        <f t="shared" si="156"/>
        <v>1.477686765295497</v>
      </c>
      <c r="BD175" s="85">
        <f t="shared" si="157"/>
        <v>0.44416407213069942</v>
      </c>
      <c r="BE175" s="85">
        <f t="shared" si="158"/>
        <v>1.4071460277385859</v>
      </c>
      <c r="BF175" s="85">
        <f t="shared" si="159"/>
        <v>0.45516099003734212</v>
      </c>
      <c r="BG175" s="85">
        <f t="shared" si="160"/>
        <v>1.3969794442121666</v>
      </c>
      <c r="BH175" s="85">
        <f t="shared" si="161"/>
        <v>0.45681421537648259</v>
      </c>
      <c r="BI175" s="85">
        <f t="shared" si="162"/>
        <v>1.395495741002214</v>
      </c>
      <c r="BJ175" s="85">
        <f t="shared" si="163"/>
        <v>0.45705699528579335</v>
      </c>
      <c r="BK175" s="85">
        <f t="shared" si="164"/>
        <v>1.3952788100568001</v>
      </c>
      <c r="BL175" s="85">
        <f t="shared" si="165"/>
        <v>0.45709252436852998</v>
      </c>
      <c r="BM175" s="85">
        <f t="shared" si="166"/>
        <v>1.3952470841893798</v>
      </c>
      <c r="BN175" s="85">
        <f t="shared" si="167"/>
        <v>0.4570977211449847</v>
      </c>
      <c r="BO175" s="85">
        <f t="shared" si="168"/>
        <v>1.3952424441390332</v>
      </c>
      <c r="BP175" s="85">
        <f t="shared" si="169"/>
        <v>0.45709848121169744</v>
      </c>
      <c r="BQ175" s="85">
        <f t="shared" si="170"/>
        <v>1.3952417655069382</v>
      </c>
      <c r="BR175" s="85">
        <f t="shared" si="171"/>
        <v>0.45709859237582318</v>
      </c>
      <c r="BS175" s="85">
        <f t="shared" si="172"/>
        <v>1.3952416662532929</v>
      </c>
      <c r="BT175" s="85">
        <f t="shared" si="173"/>
        <v>0.45709860863418972</v>
      </c>
      <c r="BU175" s="85">
        <f t="shared" si="174"/>
        <v>1.3952416517369042</v>
      </c>
      <c r="BV175" s="85">
        <f t="shared" si="175"/>
        <v>0.45709861101206495</v>
      </c>
      <c r="BW175" s="85">
        <f t="shared" si="176"/>
        <v>1.3952416496138029</v>
      </c>
    </row>
    <row r="176" spans="25:75" x14ac:dyDescent="0.4">
      <c r="Y176" s="142">
        <v>0.19650000000000001</v>
      </c>
      <c r="Z176" s="46">
        <f t="shared" si="128"/>
        <v>2.999894164281685E-2</v>
      </c>
      <c r="AA176" s="84">
        <f t="shared" si="129"/>
        <v>1.9744566251172531</v>
      </c>
      <c r="AB176" s="84">
        <f t="shared" si="130"/>
        <v>6.2138756022308651E-2</v>
      </c>
      <c r="AC176" s="84">
        <f t="shared" si="131"/>
        <v>4.447808732849408</v>
      </c>
      <c r="AD176" s="84">
        <f t="shared" si="132"/>
        <v>4.1401235531523313E-2</v>
      </c>
      <c r="AE176" s="84">
        <f t="shared" si="133"/>
        <v>6.3226911022454875</v>
      </c>
      <c r="AF176" s="84">
        <f t="shared" si="134"/>
        <v>3.4724449638700638E-2</v>
      </c>
      <c r="AG176" s="84">
        <f t="shared" si="135"/>
        <v>7.4091912598003846</v>
      </c>
      <c r="AH176" s="84">
        <f t="shared" si="136"/>
        <v>3.2077532276431758E-2</v>
      </c>
      <c r="AI176" s="84">
        <f t="shared" si="137"/>
        <v>7.9661044700716239</v>
      </c>
      <c r="AJ176" s="84">
        <f t="shared" si="138"/>
        <v>3.0935942703820128E-2</v>
      </c>
      <c r="AK176" s="84">
        <f t="shared" si="139"/>
        <v>8.235894945116879</v>
      </c>
      <c r="AL176" s="84">
        <f t="shared" si="140"/>
        <v>3.0425025744736017E-2</v>
      </c>
      <c r="AM176" s="84">
        <f t="shared" si="141"/>
        <v>8.3632345206120089</v>
      </c>
      <c r="AN176" s="84">
        <f t="shared" si="142"/>
        <v>3.0192509791699438E-2</v>
      </c>
      <c r="AO176" s="84">
        <f t="shared" si="143"/>
        <v>8.4226208096361397</v>
      </c>
      <c r="AP176" s="84">
        <f t="shared" si="144"/>
        <v>3.0085880696829742E-2</v>
      </c>
      <c r="AQ176" s="84">
        <f t="shared" si="145"/>
        <v>8.4501632794319157</v>
      </c>
      <c r="AR176" s="84">
        <f t="shared" si="146"/>
        <v>3.0036809705379829E-2</v>
      </c>
      <c r="AS176" s="84">
        <f t="shared" si="147"/>
        <v>8.4629044427346258</v>
      </c>
      <c r="AT176" s="84">
        <f t="shared" si="148"/>
        <v>3.0014190517617612E-2</v>
      </c>
      <c r="AU176" s="84">
        <f t="shared" si="149"/>
        <v>8.4687915604453927</v>
      </c>
      <c r="AV176" s="84">
        <f t="shared" si="150"/>
        <v>3.0003756455690117E-2</v>
      </c>
      <c r="AW176" s="84">
        <f t="shared" si="151"/>
        <v>8.4715102509475919</v>
      </c>
      <c r="AX176" s="84">
        <f t="shared" si="152"/>
        <v>2.999894164281685E-2</v>
      </c>
      <c r="AY176" s="142">
        <v>0.19650000000000001</v>
      </c>
      <c r="AZ176" s="46">
        <f t="shared" si="153"/>
        <v>0.46929546248603676</v>
      </c>
      <c r="BA176" s="85">
        <f t="shared" si="154"/>
        <v>1.9744566251172531</v>
      </c>
      <c r="BB176" s="85">
        <f t="shared" si="155"/>
        <v>0.39300000000000002</v>
      </c>
      <c r="BC176" s="85">
        <f t="shared" si="156"/>
        <v>1.4624246896726385</v>
      </c>
      <c r="BD176" s="85">
        <f t="shared" si="157"/>
        <v>0.45664593283794652</v>
      </c>
      <c r="BE176" s="85">
        <f t="shared" si="158"/>
        <v>1.3956462492769246</v>
      </c>
      <c r="BF176" s="85">
        <f t="shared" si="159"/>
        <v>0.46744301314913994</v>
      </c>
      <c r="BG176" s="85">
        <f t="shared" si="160"/>
        <v>1.3862210672595872</v>
      </c>
      <c r="BH176" s="85">
        <f t="shared" si="161"/>
        <v>0.46902943831520227</v>
      </c>
      <c r="BI176" s="85">
        <f t="shared" si="162"/>
        <v>1.3848747503454952</v>
      </c>
      <c r="BJ176" s="85">
        <f t="shared" si="163"/>
        <v>0.46925736826704473</v>
      </c>
      <c r="BK176" s="85">
        <f t="shared" si="164"/>
        <v>1.3846821060161507</v>
      </c>
      <c r="BL176" s="85">
        <f t="shared" si="165"/>
        <v>0.46929000992053388</v>
      </c>
      <c r="BM176" s="85">
        <f t="shared" si="166"/>
        <v>1.3846545337261886</v>
      </c>
      <c r="BN176" s="85">
        <f t="shared" si="167"/>
        <v>0.46929468232635807</v>
      </c>
      <c r="BO176" s="85">
        <f t="shared" si="168"/>
        <v>1.384650587292048</v>
      </c>
      <c r="BP176" s="85">
        <f t="shared" si="169"/>
        <v>0.46929535110130161</v>
      </c>
      <c r="BQ176" s="85">
        <f t="shared" si="170"/>
        <v>1.3846500224343024</v>
      </c>
      <c r="BR176" s="85">
        <f t="shared" si="171"/>
        <v>0.46929544682407731</v>
      </c>
      <c r="BS176" s="85">
        <f t="shared" si="172"/>
        <v>1.3846499415854923</v>
      </c>
      <c r="BT176" s="85">
        <f t="shared" si="173"/>
        <v>0.46929546052500515</v>
      </c>
      <c r="BU176" s="85">
        <f t="shared" si="174"/>
        <v>1.3846499300134976</v>
      </c>
      <c r="BV176" s="85">
        <f t="shared" si="175"/>
        <v>0.46929546248603676</v>
      </c>
      <c r="BW176" s="85">
        <f t="shared" si="176"/>
        <v>1.3846499283571831</v>
      </c>
    </row>
    <row r="177" spans="25:75" x14ac:dyDescent="0.4">
      <c r="Y177" s="142">
        <v>0.2026</v>
      </c>
      <c r="Z177" s="46">
        <f t="shared" si="128"/>
        <v>3.1268507559679908E-2</v>
      </c>
      <c r="AA177" s="84">
        <f t="shared" si="129"/>
        <v>1.9422809412350823</v>
      </c>
      <c r="AB177" s="84">
        <f t="shared" si="130"/>
        <v>6.4067745395011366E-2</v>
      </c>
      <c r="AC177" s="84">
        <f t="shared" si="131"/>
        <v>4.3358633824207402</v>
      </c>
      <c r="AD177" s="84">
        <f t="shared" si="132"/>
        <v>4.2880285722159885E-2</v>
      </c>
      <c r="AE177" s="84">
        <f t="shared" si="133"/>
        <v>6.1281380456477015</v>
      </c>
      <c r="AF177" s="84">
        <f t="shared" si="134"/>
        <v>3.6068758616834805E-2</v>
      </c>
      <c r="AG177" s="84">
        <f t="shared" si="135"/>
        <v>7.1578400623544489</v>
      </c>
      <c r="AH177" s="84">
        <f t="shared" si="136"/>
        <v>3.3373708651730428E-2</v>
      </c>
      <c r="AI177" s="84">
        <f t="shared" si="137"/>
        <v>7.6822814900983358</v>
      </c>
      <c r="AJ177" s="84">
        <f t="shared" si="138"/>
        <v>3.2214423013946156E-2</v>
      </c>
      <c r="AK177" s="84">
        <f t="shared" si="139"/>
        <v>7.9350443828992763</v>
      </c>
      <c r="AL177" s="84">
        <f t="shared" si="140"/>
        <v>3.1697191614302948E-2</v>
      </c>
      <c r="AM177" s="84">
        <f t="shared" si="141"/>
        <v>8.053819037360034</v>
      </c>
      <c r="AN177" s="84">
        <f t="shared" si="142"/>
        <v>3.1462594411827409E-2</v>
      </c>
      <c r="AO177" s="84">
        <f t="shared" si="143"/>
        <v>8.1089856376629168</v>
      </c>
      <c r="AP177" s="84">
        <f t="shared" si="144"/>
        <v>3.1355389481371912E-2</v>
      </c>
      <c r="AQ177" s="84">
        <f t="shared" si="145"/>
        <v>8.1344717310292598</v>
      </c>
      <c r="AR177" s="84">
        <f t="shared" si="146"/>
        <v>3.1306231199923915E-2</v>
      </c>
      <c r="AS177" s="84">
        <f t="shared" si="147"/>
        <v>8.146216948266563</v>
      </c>
      <c r="AT177" s="84">
        <f t="shared" si="148"/>
        <v>3.1283654393951872E-2</v>
      </c>
      <c r="AU177" s="84">
        <f t="shared" si="149"/>
        <v>8.1516235842649323</v>
      </c>
      <c r="AV177" s="84">
        <f t="shared" si="150"/>
        <v>3.127327809373695E-2</v>
      </c>
      <c r="AW177" s="84">
        <f t="shared" si="151"/>
        <v>8.1541111071715893</v>
      </c>
      <c r="AX177" s="84">
        <f t="shared" si="152"/>
        <v>3.1268507559679908E-2</v>
      </c>
      <c r="AY177" s="142">
        <v>0.2026</v>
      </c>
      <c r="AZ177" s="46">
        <f t="shared" si="153"/>
        <v>0.48167843865620219</v>
      </c>
      <c r="BA177" s="85">
        <f t="shared" si="154"/>
        <v>1.9422809412350823</v>
      </c>
      <c r="BB177" s="85">
        <f t="shared" si="155"/>
        <v>0.4052</v>
      </c>
      <c r="BC177" s="85">
        <f t="shared" si="156"/>
        <v>1.4478944369163256</v>
      </c>
      <c r="BD177" s="85">
        <f t="shared" si="157"/>
        <v>0.46930697757140505</v>
      </c>
      <c r="BE177" s="85">
        <f t="shared" si="158"/>
        <v>1.3846402028074194</v>
      </c>
      <c r="BF177" s="85">
        <f t="shared" si="159"/>
        <v>0.47990689809195741</v>
      </c>
      <c r="BG177" s="85">
        <f t="shared" si="160"/>
        <v>1.3758958775361614</v>
      </c>
      <c r="BH177" s="85">
        <f t="shared" si="161"/>
        <v>0.48142947537165004</v>
      </c>
      <c r="BI177" s="85">
        <f t="shared" si="162"/>
        <v>1.374673103663751</v>
      </c>
      <c r="BJ177" s="85">
        <f t="shared" si="163"/>
        <v>0.48164354391372938</v>
      </c>
      <c r="BK177" s="85">
        <f t="shared" si="164"/>
        <v>1.3745018381412284</v>
      </c>
      <c r="BL177" s="85">
        <f t="shared" si="165"/>
        <v>0.4816735498262425</v>
      </c>
      <c r="BM177" s="85">
        <f t="shared" si="166"/>
        <v>1.3744778447035777</v>
      </c>
      <c r="BN177" s="85">
        <f t="shared" si="167"/>
        <v>0.48167775395142903</v>
      </c>
      <c r="BO177" s="85">
        <f t="shared" si="168"/>
        <v>1.374474483236646</v>
      </c>
      <c r="BP177" s="85">
        <f t="shared" si="169"/>
        <v>0.48167834295576173</v>
      </c>
      <c r="BQ177" s="85">
        <f t="shared" si="170"/>
        <v>1.3744740122949439</v>
      </c>
      <c r="BR177" s="85">
        <f t="shared" si="171"/>
        <v>0.48167842547547363</v>
      </c>
      <c r="BS177" s="85">
        <f t="shared" si="172"/>
        <v>1.3744739463159443</v>
      </c>
      <c r="BT177" s="85">
        <f t="shared" si="173"/>
        <v>0.48167843703650043</v>
      </c>
      <c r="BU177" s="85">
        <f t="shared" si="174"/>
        <v>1.3744739370722763</v>
      </c>
      <c r="BV177" s="85">
        <f t="shared" si="175"/>
        <v>0.48167843865620219</v>
      </c>
      <c r="BW177" s="85">
        <f t="shared" si="176"/>
        <v>1.3744739357772371</v>
      </c>
    </row>
    <row r="178" spans="25:75" x14ac:dyDescent="0.4">
      <c r="Y178" s="142">
        <v>0.2089</v>
      </c>
      <c r="Z178" s="46">
        <f t="shared" si="128"/>
        <v>3.2598803690518582E-2</v>
      </c>
      <c r="AA178" s="84">
        <f t="shared" si="129"/>
        <v>1.9111556712420978</v>
      </c>
      <c r="AB178" s="84">
        <f t="shared" si="130"/>
        <v>6.6059980320917436E-2</v>
      </c>
      <c r="AC178" s="84">
        <f t="shared" si="131"/>
        <v>4.2272329706031044</v>
      </c>
      <c r="AD178" s="84">
        <f t="shared" si="132"/>
        <v>4.4417936623660823E-2</v>
      </c>
      <c r="AE178" s="84">
        <f t="shared" si="133"/>
        <v>5.9397409531373748</v>
      </c>
      <c r="AF178" s="84">
        <f t="shared" si="134"/>
        <v>3.7471641582384599E-2</v>
      </c>
      <c r="AG178" s="84">
        <f t="shared" si="135"/>
        <v>6.9148997581633127</v>
      </c>
      <c r="AH178" s="84">
        <f t="shared" si="136"/>
        <v>3.4729099887427367E-2</v>
      </c>
      <c r="AI178" s="84">
        <f t="shared" si="137"/>
        <v>7.4082880109330285</v>
      </c>
      <c r="AJ178" s="84">
        <f t="shared" si="138"/>
        <v>3.3552705327777467E-2</v>
      </c>
      <c r="AK178" s="84">
        <f t="shared" si="139"/>
        <v>7.6448202900501485</v>
      </c>
      <c r="AL178" s="84">
        <f t="shared" si="140"/>
        <v>3.3029563274290304E-2</v>
      </c>
      <c r="AM178" s="84">
        <f t="shared" si="141"/>
        <v>7.7554536503551379</v>
      </c>
      <c r="AN178" s="84">
        <f t="shared" si="142"/>
        <v>3.279312982813086E-2</v>
      </c>
      <c r="AO178" s="84">
        <f t="shared" si="143"/>
        <v>7.8066196216923522</v>
      </c>
      <c r="AP178" s="84">
        <f t="shared" si="144"/>
        <v>3.2685487162664811E-2</v>
      </c>
      <c r="AQ178" s="84">
        <f t="shared" si="145"/>
        <v>7.8301610164894155</v>
      </c>
      <c r="AR178" s="84">
        <f t="shared" si="146"/>
        <v>3.2636315684959769E-2</v>
      </c>
      <c r="AS178" s="84">
        <f t="shared" si="147"/>
        <v>7.84096677568707</v>
      </c>
      <c r="AT178" s="84">
        <f t="shared" si="148"/>
        <v>3.2613819622681825E-2</v>
      </c>
      <c r="AU178" s="84">
        <f t="shared" si="149"/>
        <v>7.8459213637380865</v>
      </c>
      <c r="AV178" s="84">
        <f t="shared" si="150"/>
        <v>3.2603520414232944E-2</v>
      </c>
      <c r="AW178" s="84">
        <f t="shared" si="151"/>
        <v>7.8481919820702721</v>
      </c>
      <c r="AX178" s="84">
        <f t="shared" si="152"/>
        <v>3.2598803690518582E-2</v>
      </c>
      <c r="AY178" s="142">
        <v>0.2089</v>
      </c>
      <c r="AZ178" s="46">
        <f t="shared" si="153"/>
        <v>0.49445140484130634</v>
      </c>
      <c r="BA178" s="85">
        <f t="shared" si="154"/>
        <v>1.9111556712420978</v>
      </c>
      <c r="BB178" s="85">
        <f t="shared" si="155"/>
        <v>0.4178</v>
      </c>
      <c r="BC178" s="85">
        <f t="shared" si="156"/>
        <v>1.4338341047914884</v>
      </c>
      <c r="BD178" s="85">
        <f t="shared" si="157"/>
        <v>0.48235525501984361</v>
      </c>
      <c r="BE178" s="85">
        <f t="shared" si="158"/>
        <v>1.3739335827246772</v>
      </c>
      <c r="BF178" s="85">
        <f t="shared" si="159"/>
        <v>0.49275790247614548</v>
      </c>
      <c r="BG178" s="85">
        <f t="shared" si="160"/>
        <v>1.3658244513759714</v>
      </c>
      <c r="BH178" s="85">
        <f t="shared" si="161"/>
        <v>0.49421853129235677</v>
      </c>
      <c r="BI178" s="85">
        <f t="shared" si="162"/>
        <v>1.3647145402082657</v>
      </c>
      <c r="BJ178" s="85">
        <f t="shared" si="163"/>
        <v>0.49441946239034051</v>
      </c>
      <c r="BK178" s="85">
        <f t="shared" si="164"/>
        <v>1.3645623939301443</v>
      </c>
      <c r="BL178" s="85">
        <f t="shared" si="165"/>
        <v>0.49444702506708116</v>
      </c>
      <c r="BM178" s="85">
        <f t="shared" si="166"/>
        <v>1.3645415334197011</v>
      </c>
      <c r="BN178" s="85">
        <f t="shared" si="167"/>
        <v>0.49445080449689582</v>
      </c>
      <c r="BO178" s="85">
        <f t="shared" si="168"/>
        <v>1.3645386731898292</v>
      </c>
      <c r="BP178" s="85">
        <f t="shared" si="169"/>
        <v>0.49445132270947856</v>
      </c>
      <c r="BQ178" s="85">
        <f t="shared" si="170"/>
        <v>1.3645382810159659</v>
      </c>
      <c r="BR178" s="85">
        <f t="shared" si="171"/>
        <v>0.49445139376313618</v>
      </c>
      <c r="BS178" s="85">
        <f t="shared" si="172"/>
        <v>1.3645382272439166</v>
      </c>
      <c r="BT178" s="85">
        <f t="shared" si="173"/>
        <v>0.49445140350550315</v>
      </c>
      <c r="BU178" s="85">
        <f t="shared" si="174"/>
        <v>1.3645382198710807</v>
      </c>
      <c r="BV178" s="85">
        <f t="shared" si="175"/>
        <v>0.49445140484130634</v>
      </c>
      <c r="BW178" s="85">
        <f t="shared" si="176"/>
        <v>1.3645382188601707</v>
      </c>
    </row>
    <row r="179" spans="25:75" x14ac:dyDescent="0.4">
      <c r="Y179" s="142">
        <v>0.21540000000000001</v>
      </c>
      <c r="Z179" s="46">
        <f t="shared" si="128"/>
        <v>3.3991300190915452E-2</v>
      </c>
      <c r="AA179" s="84">
        <f t="shared" si="129"/>
        <v>1.8810812991855521</v>
      </c>
      <c r="AB179" s="84">
        <f t="shared" si="130"/>
        <v>6.8115460800026895E-2</v>
      </c>
      <c r="AC179" s="84">
        <f t="shared" si="131"/>
        <v>4.1219387888510894</v>
      </c>
      <c r="AD179" s="84">
        <f t="shared" si="132"/>
        <v>4.6014924397869757E-2</v>
      </c>
      <c r="AE179" s="84">
        <f t="shared" si="133"/>
        <v>5.7575341984212107</v>
      </c>
      <c r="AF179" s="84">
        <f t="shared" si="134"/>
        <v>3.8934196711803357E-2</v>
      </c>
      <c r="AG179" s="84">
        <f t="shared" si="135"/>
        <v>6.6804030108329764</v>
      </c>
      <c r="AH179" s="84">
        <f t="shared" si="136"/>
        <v>3.6144993448660782E-2</v>
      </c>
      <c r="AI179" s="84">
        <f t="shared" si="137"/>
        <v>7.1441501743672395</v>
      </c>
      <c r="AJ179" s="84">
        <f t="shared" si="138"/>
        <v>3.495217405079315E-2</v>
      </c>
      <c r="AK179" s="84">
        <f t="shared" si="139"/>
        <v>7.365243017345839</v>
      </c>
      <c r="AL179" s="84">
        <f t="shared" si="140"/>
        <v>3.4423572635663639E-2</v>
      </c>
      <c r="AM179" s="84">
        <f t="shared" si="141"/>
        <v>7.468154780321659</v>
      </c>
      <c r="AN179" s="84">
        <f t="shared" si="142"/>
        <v>3.4185570092452489E-2</v>
      </c>
      <c r="AO179" s="84">
        <f t="shared" si="143"/>
        <v>7.5155367753638771</v>
      </c>
      <c r="AP179" s="84">
        <f t="shared" si="144"/>
        <v>3.4077637576581048E-2</v>
      </c>
      <c r="AQ179" s="84">
        <f t="shared" si="145"/>
        <v>7.5372437403747723</v>
      </c>
      <c r="AR179" s="84">
        <f t="shared" si="146"/>
        <v>3.402853106809136E-2</v>
      </c>
      <c r="AS179" s="84">
        <f t="shared" si="147"/>
        <v>7.5471657225230029</v>
      </c>
      <c r="AT179" s="84">
        <f t="shared" si="148"/>
        <v>3.400615568037553E-2</v>
      </c>
      <c r="AU179" s="84">
        <f t="shared" si="149"/>
        <v>7.55169623974807</v>
      </c>
      <c r="AV179" s="84">
        <f t="shared" si="150"/>
        <v>3.399595343022016E-2</v>
      </c>
      <c r="AW179" s="84">
        <f t="shared" si="151"/>
        <v>7.553763960299956</v>
      </c>
      <c r="AX179" s="84">
        <f t="shared" si="152"/>
        <v>3.3991300190915452E-2</v>
      </c>
      <c r="AY179" s="142">
        <v>0.21540000000000001</v>
      </c>
      <c r="AZ179" s="46">
        <f t="shared" si="153"/>
        <v>0.50761488996071769</v>
      </c>
      <c r="BA179" s="85">
        <f t="shared" si="154"/>
        <v>1.8810812991855521</v>
      </c>
      <c r="BB179" s="85">
        <f t="shared" si="155"/>
        <v>0.43080000000000002</v>
      </c>
      <c r="BC179" s="85">
        <f t="shared" si="156"/>
        <v>1.4202415207552068</v>
      </c>
      <c r="BD179" s="85">
        <f t="shared" si="157"/>
        <v>0.49579069883351917</v>
      </c>
      <c r="BE179" s="85">
        <f t="shared" si="158"/>
        <v>1.3635275393395623</v>
      </c>
      <c r="BF179" s="85">
        <f t="shared" si="159"/>
        <v>0.50599650911729543</v>
      </c>
      <c r="BG179" s="85">
        <f t="shared" si="160"/>
        <v>1.3560099930553744</v>
      </c>
      <c r="BH179" s="85">
        <f t="shared" si="161"/>
        <v>0.50739716056600415</v>
      </c>
      <c r="BI179" s="85">
        <f t="shared" si="162"/>
        <v>1.3550029983671215</v>
      </c>
      <c r="BJ179" s="85">
        <f t="shared" si="163"/>
        <v>0.50758566618248258</v>
      </c>
      <c r="BK179" s="85">
        <f t="shared" si="164"/>
        <v>1.3548679170261346</v>
      </c>
      <c r="BL179" s="85">
        <f t="shared" si="165"/>
        <v>0.50761096888641155</v>
      </c>
      <c r="BM179" s="85">
        <f t="shared" si="166"/>
        <v>1.354849793344256</v>
      </c>
      <c r="BN179" s="85">
        <f t="shared" si="167"/>
        <v>0.50761436400408333</v>
      </c>
      <c r="BO179" s="85">
        <f t="shared" si="168"/>
        <v>1.3548473616519545</v>
      </c>
      <c r="BP179" s="85">
        <f t="shared" si="169"/>
        <v>0.50761481953930532</v>
      </c>
      <c r="BQ179" s="85">
        <f t="shared" si="170"/>
        <v>1.3548470353855917</v>
      </c>
      <c r="BR179" s="85">
        <f t="shared" si="171"/>
        <v>0.50761488065972216</v>
      </c>
      <c r="BS179" s="85">
        <f t="shared" si="172"/>
        <v>1.3548469916095809</v>
      </c>
      <c r="BT179" s="85">
        <f t="shared" si="173"/>
        <v>0.50761488886040984</v>
      </c>
      <c r="BU179" s="85">
        <f t="shared" si="174"/>
        <v>1.3548469857360388</v>
      </c>
      <c r="BV179" s="85">
        <f t="shared" si="175"/>
        <v>0.50761488996071769</v>
      </c>
      <c r="BW179" s="85">
        <f t="shared" si="176"/>
        <v>1.3548469849479701</v>
      </c>
    </row>
    <row r="180" spans="25:75" x14ac:dyDescent="0.4">
      <c r="Y180" s="142">
        <v>0.22220000000000001</v>
      </c>
      <c r="Z180" s="46">
        <f t="shared" si="128"/>
        <v>3.5469336619581668E-2</v>
      </c>
      <c r="AA180" s="84">
        <f t="shared" si="129"/>
        <v>1.8516330288297291</v>
      </c>
      <c r="AB180" s="84">
        <f t="shared" si="130"/>
        <v>7.0265809608941382E-2</v>
      </c>
      <c r="AC180" s="84">
        <f t="shared" si="131"/>
        <v>4.0185074612194427</v>
      </c>
      <c r="AD180" s="84">
        <f t="shared" si="132"/>
        <v>4.7696786994523802E-2</v>
      </c>
      <c r="AE180" s="84">
        <f t="shared" si="133"/>
        <v>5.5789726606687369</v>
      </c>
      <c r="AF180" s="84">
        <f t="shared" si="134"/>
        <v>4.0480362925412058E-2</v>
      </c>
      <c r="AG180" s="84">
        <f t="shared" si="135"/>
        <v>6.451070597745951</v>
      </c>
      <c r="AH180" s="84">
        <f t="shared" si="136"/>
        <v>3.7644853968594502E-2</v>
      </c>
      <c r="AI180" s="84">
        <f t="shared" si="137"/>
        <v>6.8861692863372461</v>
      </c>
      <c r="AJ180" s="84">
        <f t="shared" si="138"/>
        <v>3.643616554579391E-2</v>
      </c>
      <c r="AK180" s="84">
        <f t="shared" si="139"/>
        <v>7.092393891093117</v>
      </c>
      <c r="AL180" s="84">
        <f t="shared" si="140"/>
        <v>3.5902533042032482E-2</v>
      </c>
      <c r="AM180" s="84">
        <f t="shared" si="141"/>
        <v>7.1878930893387398</v>
      </c>
      <c r="AN180" s="84">
        <f t="shared" si="142"/>
        <v>3.5663232890255504E-2</v>
      </c>
      <c r="AO180" s="84">
        <f t="shared" si="143"/>
        <v>7.2316532213820253</v>
      </c>
      <c r="AP180" s="84">
        <f t="shared" si="144"/>
        <v>3.5555166600435749E-2</v>
      </c>
      <c r="AQ180" s="84">
        <f t="shared" si="145"/>
        <v>7.2516094237435702</v>
      </c>
      <c r="AR180" s="84">
        <f t="shared" si="146"/>
        <v>3.5506209541856286E-2</v>
      </c>
      <c r="AS180" s="84">
        <f t="shared" si="147"/>
        <v>7.2606904042059632</v>
      </c>
      <c r="AT180" s="84">
        <f t="shared" si="148"/>
        <v>3.5483998701230597E-2</v>
      </c>
      <c r="AU180" s="84">
        <f t="shared" si="149"/>
        <v>7.2648185843163926</v>
      </c>
      <c r="AV180" s="84">
        <f t="shared" si="150"/>
        <v>3.5473915507028643E-2</v>
      </c>
      <c r="AW180" s="84">
        <f t="shared" si="151"/>
        <v>7.2666943980156127</v>
      </c>
      <c r="AX180" s="84">
        <f t="shared" si="152"/>
        <v>3.5469336619581668E-2</v>
      </c>
      <c r="AY180" s="142">
        <v>0.22220000000000001</v>
      </c>
      <c r="AZ180" s="46">
        <f t="shared" si="153"/>
        <v>0.52137170943310174</v>
      </c>
      <c r="BA180" s="85">
        <f t="shared" si="154"/>
        <v>1.8516330288297291</v>
      </c>
      <c r="BB180" s="85">
        <f t="shared" si="155"/>
        <v>0.44440000000000002</v>
      </c>
      <c r="BC180" s="85">
        <f t="shared" si="156"/>
        <v>1.4069223270982405</v>
      </c>
      <c r="BD180" s="85">
        <f t="shared" si="157"/>
        <v>0.50981950727614234</v>
      </c>
      <c r="BE180" s="85">
        <f t="shared" si="158"/>
        <v>1.3532751290745277</v>
      </c>
      <c r="BF180" s="85">
        <f t="shared" si="159"/>
        <v>0.51982655288824886</v>
      </c>
      <c r="BG180" s="85">
        <f t="shared" si="160"/>
        <v>1.3463155113374492</v>
      </c>
      <c r="BH180" s="85">
        <f t="shared" si="161"/>
        <v>0.52116841171478678</v>
      </c>
      <c r="BI180" s="85">
        <f t="shared" si="162"/>
        <v>1.3454035240984679</v>
      </c>
      <c r="BJ180" s="85">
        <f t="shared" si="163"/>
        <v>0.52134501985271364</v>
      </c>
      <c r="BK180" s="85">
        <f t="shared" si="164"/>
        <v>1.3452838585635976</v>
      </c>
      <c r="BL180" s="85">
        <f t="shared" si="165"/>
        <v>0.52136820664818306</v>
      </c>
      <c r="BM180" s="85">
        <f t="shared" si="166"/>
        <v>1.3452681540242806</v>
      </c>
      <c r="BN180" s="85">
        <f t="shared" si="167"/>
        <v>0.52137124984205463</v>
      </c>
      <c r="BO180" s="85">
        <f t="shared" si="168"/>
        <v>1.345266092961295</v>
      </c>
      <c r="BP180" s="85">
        <f t="shared" si="169"/>
        <v>0.52137164923462787</v>
      </c>
      <c r="BQ180" s="85">
        <f t="shared" si="170"/>
        <v>1.3452658224666747</v>
      </c>
      <c r="BR180" s="85">
        <f t="shared" si="171"/>
        <v>0.52137170165111568</v>
      </c>
      <c r="BS180" s="85">
        <f t="shared" si="172"/>
        <v>1.345265786966853</v>
      </c>
      <c r="BT180" s="85">
        <f t="shared" si="173"/>
        <v>0.5213717085302777</v>
      </c>
      <c r="BU180" s="85">
        <f t="shared" si="174"/>
        <v>1.3452657823078418</v>
      </c>
      <c r="BV180" s="85">
        <f t="shared" si="175"/>
        <v>0.52137170943310174</v>
      </c>
      <c r="BW180" s="85">
        <f t="shared" si="176"/>
        <v>1.3452657816963913</v>
      </c>
    </row>
    <row r="181" spans="25:75" x14ac:dyDescent="0.4">
      <c r="Y181" s="142">
        <v>0.2291</v>
      </c>
      <c r="Z181" s="46">
        <f t="shared" si="128"/>
        <v>3.6990864498478195E-2</v>
      </c>
      <c r="AA181" s="84">
        <f t="shared" si="129"/>
        <v>1.8236645851174456</v>
      </c>
      <c r="AB181" s="84">
        <f t="shared" si="130"/>
        <v>7.2447781194457564E-2</v>
      </c>
      <c r="AC181" s="84">
        <f t="shared" si="131"/>
        <v>3.9199600079763774</v>
      </c>
      <c r="AD181" s="84">
        <f t="shared" si="132"/>
        <v>4.94147671464241E-2</v>
      </c>
      <c r="AE181" s="84">
        <f t="shared" si="133"/>
        <v>5.4092647630500084</v>
      </c>
      <c r="AF181" s="84">
        <f t="shared" si="134"/>
        <v>4.2065732118642472E-2</v>
      </c>
      <c r="AG181" s="84">
        <f t="shared" si="135"/>
        <v>6.233575427768308</v>
      </c>
      <c r="AH181" s="84">
        <f t="shared" si="136"/>
        <v>3.9185822047259254E-2</v>
      </c>
      <c r="AI181" s="84">
        <f t="shared" si="137"/>
        <v>6.6418377474139936</v>
      </c>
      <c r="AJ181" s="84">
        <f t="shared" si="138"/>
        <v>3.7962380718245668E-2</v>
      </c>
      <c r="AK181" s="84">
        <f t="shared" si="139"/>
        <v>6.8341876609797456</v>
      </c>
      <c r="AL181" s="84">
        <f t="shared" si="140"/>
        <v>3.7424337529061664E-2</v>
      </c>
      <c r="AM181" s="84">
        <f t="shared" si="141"/>
        <v>6.9227925958535188</v>
      </c>
      <c r="AN181" s="84">
        <f t="shared" si="142"/>
        <v>3.7184068900761605E-2</v>
      </c>
      <c r="AO181" s="84">
        <f t="shared" si="143"/>
        <v>6.9631946205575819</v>
      </c>
      <c r="AP181" s="84">
        <f t="shared" si="144"/>
        <v>3.7076036791569435E-2</v>
      </c>
      <c r="AQ181" s="84">
        <f t="shared" si="145"/>
        <v>6.9815325531540742</v>
      </c>
      <c r="AR181" s="84">
        <f t="shared" si="146"/>
        <v>3.7027312180854408E-2</v>
      </c>
      <c r="AS181" s="84">
        <f t="shared" si="147"/>
        <v>6.9898386000929458</v>
      </c>
      <c r="AT181" s="84">
        <f t="shared" si="148"/>
        <v>3.7005305806261775E-2</v>
      </c>
      <c r="AU181" s="84">
        <f t="shared" si="149"/>
        <v>6.9935972339003891</v>
      </c>
      <c r="AV181" s="84">
        <f t="shared" si="150"/>
        <v>3.6995360417511544E-2</v>
      </c>
      <c r="AW181" s="84">
        <f t="shared" si="151"/>
        <v>6.9952973594926089</v>
      </c>
      <c r="AX181" s="84">
        <f t="shared" si="152"/>
        <v>3.6990864498478195E-2</v>
      </c>
      <c r="AY181" s="142">
        <v>0.2291</v>
      </c>
      <c r="AZ181" s="46">
        <f t="shared" si="153"/>
        <v>0.53531793247377946</v>
      </c>
      <c r="BA181" s="85">
        <f t="shared" si="154"/>
        <v>1.8236645851174456</v>
      </c>
      <c r="BB181" s="85">
        <f t="shared" si="155"/>
        <v>0.4582</v>
      </c>
      <c r="BC181" s="85">
        <f t="shared" si="156"/>
        <v>1.3942607624425003</v>
      </c>
      <c r="BD181" s="85">
        <f t="shared" si="157"/>
        <v>0.52402929267560672</v>
      </c>
      <c r="BE181" s="85">
        <f t="shared" si="158"/>
        <v>1.3434754287859665</v>
      </c>
      <c r="BF181" s="85">
        <f t="shared" si="159"/>
        <v>0.5338419559675206</v>
      </c>
      <c r="BG181" s="85">
        <f t="shared" si="160"/>
        <v>1.3370259593241536</v>
      </c>
      <c r="BH181" s="85">
        <f t="shared" si="161"/>
        <v>0.53512796515791827</v>
      </c>
      <c r="BI181" s="85">
        <f t="shared" si="162"/>
        <v>1.3361989976141595</v>
      </c>
      <c r="BJ181" s="85">
        <f t="shared" si="163"/>
        <v>0.53529353252085488</v>
      </c>
      <c r="BK181" s="85">
        <f t="shared" si="164"/>
        <v>1.3360928313309188</v>
      </c>
      <c r="BL181" s="85">
        <f t="shared" si="165"/>
        <v>0.53531479937992654</v>
      </c>
      <c r="BM181" s="85">
        <f t="shared" si="166"/>
        <v>1.3360791994055803</v>
      </c>
      <c r="BN181" s="85">
        <f t="shared" si="167"/>
        <v>0.53531753026323337</v>
      </c>
      <c r="BO181" s="85">
        <f t="shared" si="168"/>
        <v>1.3360774490080454</v>
      </c>
      <c r="BP181" s="85">
        <f t="shared" si="169"/>
        <v>0.5353178809233613</v>
      </c>
      <c r="BQ181" s="85">
        <f t="shared" si="170"/>
        <v>1.3360772242489212</v>
      </c>
      <c r="BR181" s="85">
        <f t="shared" si="171"/>
        <v>0.53531792594979033</v>
      </c>
      <c r="BS181" s="85">
        <f t="shared" si="172"/>
        <v>1.3360771953888024</v>
      </c>
      <c r="BT181" s="85">
        <f t="shared" si="173"/>
        <v>0.53531793173139453</v>
      </c>
      <c r="BU181" s="85">
        <f t="shared" si="174"/>
        <v>1.3360771916830285</v>
      </c>
      <c r="BV181" s="85">
        <f t="shared" si="175"/>
        <v>0.53531793247377946</v>
      </c>
      <c r="BW181" s="85">
        <f t="shared" si="176"/>
        <v>1.3360771912071898</v>
      </c>
    </row>
    <row r="182" spans="25:75" x14ac:dyDescent="0.4">
      <c r="Y182" s="142">
        <v>0.23619999999999999</v>
      </c>
      <c r="Z182" s="46">
        <f t="shared" si="128"/>
        <v>3.8578847210035773E-2</v>
      </c>
      <c r="AA182" s="84">
        <f t="shared" si="129"/>
        <v>1.7967130696373883</v>
      </c>
      <c r="AB182" s="84">
        <f t="shared" si="130"/>
        <v>7.4692998333177107E-2</v>
      </c>
      <c r="AC182" s="84">
        <f t="shared" si="131"/>
        <v>3.8246957111759676</v>
      </c>
      <c r="AD182" s="84">
        <f t="shared" si="132"/>
        <v>5.1194206078558749E-2</v>
      </c>
      <c r="AE182" s="84">
        <f t="shared" si="133"/>
        <v>5.2456354186067822</v>
      </c>
      <c r="AF182" s="84">
        <f t="shared" si="134"/>
        <v>4.3713965506335675E-2</v>
      </c>
      <c r="AG182" s="84">
        <f t="shared" si="135"/>
        <v>6.0243321492696511</v>
      </c>
      <c r="AH182" s="84">
        <f t="shared" si="136"/>
        <v>4.0791042287772986E-2</v>
      </c>
      <c r="AI182" s="84">
        <f t="shared" si="137"/>
        <v>6.4071049064965928</v>
      </c>
      <c r="AJ182" s="84">
        <f t="shared" si="138"/>
        <v>3.9553811479249558E-2</v>
      </c>
      <c r="AK182" s="84">
        <f t="shared" si="139"/>
        <v>6.5863287282233527</v>
      </c>
      <c r="AL182" s="84">
        <f t="shared" si="140"/>
        <v>3.9011940693945764E-2</v>
      </c>
      <c r="AM182" s="84">
        <f t="shared" si="141"/>
        <v>6.6684340642636624</v>
      </c>
      <c r="AN182" s="84">
        <f t="shared" si="142"/>
        <v>3.8771028871604669E-2</v>
      </c>
      <c r="AO182" s="84">
        <f t="shared" si="143"/>
        <v>6.7056806121564385</v>
      </c>
      <c r="AP182" s="84">
        <f t="shared" si="144"/>
        <v>3.8663202541745982E-2</v>
      </c>
      <c r="AQ182" s="84">
        <f t="shared" si="145"/>
        <v>6.7225028622862224</v>
      </c>
      <c r="AR182" s="84">
        <f t="shared" si="146"/>
        <v>3.8614797247221042E-2</v>
      </c>
      <c r="AS182" s="84">
        <f t="shared" si="147"/>
        <v>6.7300854917836412</v>
      </c>
      <c r="AT182" s="84">
        <f t="shared" si="148"/>
        <v>3.859303792330928E-2</v>
      </c>
      <c r="AU182" s="84">
        <f t="shared" si="149"/>
        <v>6.7335003098402533</v>
      </c>
      <c r="AV182" s="84">
        <f t="shared" si="150"/>
        <v>3.8583250672276748E-2</v>
      </c>
      <c r="AW182" s="84">
        <f t="shared" si="151"/>
        <v>6.7350375463676553</v>
      </c>
      <c r="AX182" s="84">
        <f t="shared" si="152"/>
        <v>3.8578847210035773E-2</v>
      </c>
      <c r="AY182" s="142">
        <v>0.23619999999999999</v>
      </c>
      <c r="AZ182" s="46">
        <f t="shared" si="153"/>
        <v>0.5496566735444175</v>
      </c>
      <c r="BA182" s="85">
        <f t="shared" si="154"/>
        <v>1.7967130696373883</v>
      </c>
      <c r="BB182" s="85">
        <f t="shared" si="155"/>
        <v>0.47239999999999999</v>
      </c>
      <c r="BC182" s="85">
        <f t="shared" si="156"/>
        <v>1.3820459415648396</v>
      </c>
      <c r="BD182" s="85">
        <f t="shared" si="157"/>
        <v>0.53862686697070672</v>
      </c>
      <c r="BE182" s="85">
        <f t="shared" si="158"/>
        <v>1.33396987562279</v>
      </c>
      <c r="BF182" s="85">
        <f t="shared" si="159"/>
        <v>0.54824697146976864</v>
      </c>
      <c r="BG182" s="85">
        <f t="shared" si="160"/>
        <v>1.3279936505475618</v>
      </c>
      <c r="BH182" s="85">
        <f t="shared" si="161"/>
        <v>0.5494791947594887</v>
      </c>
      <c r="BI182" s="85">
        <f t="shared" si="162"/>
        <v>1.3272438962508037</v>
      </c>
      <c r="BJ182" s="85">
        <f t="shared" si="163"/>
        <v>0.54963437204988974</v>
      </c>
      <c r="BK182" s="85">
        <f t="shared" si="164"/>
        <v>1.3271497255238289</v>
      </c>
      <c r="BL182" s="85">
        <f t="shared" si="165"/>
        <v>0.54965387194099014</v>
      </c>
      <c r="BM182" s="85">
        <f t="shared" si="166"/>
        <v>1.3271378957520537</v>
      </c>
      <c r="BN182" s="85">
        <f t="shared" si="167"/>
        <v>0.54965632167337708</v>
      </c>
      <c r="BO182" s="85">
        <f t="shared" si="168"/>
        <v>1.3271364096631721</v>
      </c>
      <c r="BP182" s="85">
        <f t="shared" si="169"/>
        <v>0.54965662941789906</v>
      </c>
      <c r="BQ182" s="85">
        <f t="shared" si="170"/>
        <v>1.3271362229761166</v>
      </c>
      <c r="BR182" s="85">
        <f t="shared" si="171"/>
        <v>0.54965666807774871</v>
      </c>
      <c r="BS182" s="85">
        <f t="shared" si="172"/>
        <v>1.3271361995239079</v>
      </c>
      <c r="BT182" s="85">
        <f t="shared" si="173"/>
        <v>0.54965667293431997</v>
      </c>
      <c r="BU182" s="85">
        <f t="shared" si="174"/>
        <v>1.3271361965777684</v>
      </c>
      <c r="BV182" s="85">
        <f t="shared" si="175"/>
        <v>0.5496566735444175</v>
      </c>
      <c r="BW182" s="85">
        <f t="shared" si="176"/>
        <v>1.3271361962076651</v>
      </c>
    </row>
    <row r="183" spans="25:75" x14ac:dyDescent="0.4">
      <c r="Y183" s="142">
        <v>0.24360000000000001</v>
      </c>
      <c r="Z183" s="46">
        <f t="shared" si="128"/>
        <v>4.0257468761050581E-2</v>
      </c>
      <c r="AA183" s="84">
        <f t="shared" si="129"/>
        <v>1.7704154706847879</v>
      </c>
      <c r="AB183" s="84">
        <f t="shared" si="130"/>
        <v>7.7033083801701721E-2</v>
      </c>
      <c r="AC183" s="84">
        <f t="shared" si="131"/>
        <v>3.7314491630983428</v>
      </c>
      <c r="AD183" s="84">
        <f t="shared" si="132"/>
        <v>5.306108391334359E-2</v>
      </c>
      <c r="AE183" s="84">
        <f t="shared" si="133"/>
        <v>5.0859093764017755</v>
      </c>
      <c r="AF183" s="84">
        <f t="shared" si="134"/>
        <v>4.544965315139133E-2</v>
      </c>
      <c r="AG183" s="84">
        <f t="shared" si="135"/>
        <v>5.8205488696835355</v>
      </c>
      <c r="AH183" s="84">
        <f t="shared" si="136"/>
        <v>4.2484734835067206E-2</v>
      </c>
      <c r="AI183" s="84">
        <f t="shared" si="137"/>
        <v>6.1788291716671129</v>
      </c>
      <c r="AJ183" s="84">
        <f t="shared" si="138"/>
        <v>4.1234600171922521E-2</v>
      </c>
      <c r="AK183" s="84">
        <f t="shared" si="139"/>
        <v>6.3454931596765816</v>
      </c>
      <c r="AL183" s="84">
        <f t="shared" si="140"/>
        <v>4.0689484880160082E-2</v>
      </c>
      <c r="AM183" s="84">
        <f t="shared" si="141"/>
        <v>6.4214022591914528</v>
      </c>
      <c r="AN183" s="84">
        <f t="shared" si="142"/>
        <v>4.04482692952641E-2</v>
      </c>
      <c r="AO183" s="84">
        <f t="shared" si="143"/>
        <v>6.4556511436090283</v>
      </c>
      <c r="AP183" s="84">
        <f t="shared" si="144"/>
        <v>4.0340832391315716E-2</v>
      </c>
      <c r="AQ183" s="84">
        <f t="shared" si="145"/>
        <v>6.4710385159541737</v>
      </c>
      <c r="AR183" s="84">
        <f t="shared" si="146"/>
        <v>4.0292840955474959E-2</v>
      </c>
      <c r="AS183" s="84">
        <f t="shared" si="147"/>
        <v>6.4779387095211804</v>
      </c>
      <c r="AT183" s="84">
        <f t="shared" si="148"/>
        <v>4.02713756027058E-2</v>
      </c>
      <c r="AU183" s="84">
        <f t="shared" si="149"/>
        <v>6.4810303602502808</v>
      </c>
      <c r="AV183" s="84">
        <f t="shared" si="150"/>
        <v>4.0261769114805994E-2</v>
      </c>
      <c r="AW183" s="84">
        <f t="shared" si="151"/>
        <v>6.482415057932446</v>
      </c>
      <c r="AX183" s="84">
        <f t="shared" si="152"/>
        <v>4.0257468761050581E-2</v>
      </c>
      <c r="AY183" s="142">
        <v>0.24360000000000001</v>
      </c>
      <c r="AZ183" s="46">
        <f t="shared" si="153"/>
        <v>0.56459041033051238</v>
      </c>
      <c r="BA183" s="85">
        <f t="shared" si="154"/>
        <v>1.7704154706847879</v>
      </c>
      <c r="BB183" s="85">
        <f t="shared" si="155"/>
        <v>0.48720000000000002</v>
      </c>
      <c r="BC183" s="85">
        <f t="shared" si="156"/>
        <v>1.3701117208405529</v>
      </c>
      <c r="BD183" s="85">
        <f t="shared" si="157"/>
        <v>0.55381777033852453</v>
      </c>
      <c r="BE183" s="85">
        <f t="shared" si="158"/>
        <v>1.3246316707290164</v>
      </c>
      <c r="BF183" s="85">
        <f t="shared" si="159"/>
        <v>0.56324495498399341</v>
      </c>
      <c r="BG183" s="85">
        <f t="shared" si="160"/>
        <v>1.3190997139710288</v>
      </c>
      <c r="BH183" s="85">
        <f t="shared" si="161"/>
        <v>0.56442476981303769</v>
      </c>
      <c r="BI183" s="85">
        <f t="shared" si="162"/>
        <v>1.3184208950020404</v>
      </c>
      <c r="BJ183" s="85">
        <f t="shared" si="163"/>
        <v>0.56457005457645681</v>
      </c>
      <c r="BK183" s="85">
        <f t="shared" si="164"/>
        <v>1.3183375074943082</v>
      </c>
      <c r="BL183" s="85">
        <f t="shared" si="165"/>
        <v>0.56458790939174563</v>
      </c>
      <c r="BM183" s="85">
        <f t="shared" si="166"/>
        <v>1.3183272626342468</v>
      </c>
      <c r="BN183" s="85">
        <f t="shared" si="167"/>
        <v>0.56459010312354907</v>
      </c>
      <c r="BO183" s="85">
        <f t="shared" si="168"/>
        <v>1.3183260039459468</v>
      </c>
      <c r="BP183" s="85">
        <f t="shared" si="169"/>
        <v>0.56459037264822853</v>
      </c>
      <c r="BQ183" s="85">
        <f t="shared" si="170"/>
        <v>1.3183258493026018</v>
      </c>
      <c r="BR183" s="85">
        <f t="shared" si="171"/>
        <v>0.56459040576225017</v>
      </c>
      <c r="BS183" s="85">
        <f t="shared" si="172"/>
        <v>1.3183258303030048</v>
      </c>
      <c r="BT183" s="85">
        <f t="shared" si="173"/>
        <v>0.56459040983066411</v>
      </c>
      <c r="BU183" s="85">
        <f t="shared" si="174"/>
        <v>1.3183258279687</v>
      </c>
      <c r="BV183" s="85">
        <f t="shared" si="175"/>
        <v>0.56459041033051238</v>
      </c>
      <c r="BW183" s="85">
        <f t="shared" si="176"/>
        <v>1.3183258276819056</v>
      </c>
    </row>
    <row r="184" spans="25:75" x14ac:dyDescent="0.4">
      <c r="Y184" s="142">
        <v>0.25119999999999998</v>
      </c>
      <c r="Z184" s="46">
        <f t="shared" si="128"/>
        <v>4.200581910383714E-2</v>
      </c>
      <c r="AA184" s="84">
        <f t="shared" si="129"/>
        <v>1.7451373367229346</v>
      </c>
      <c r="AB184" s="84">
        <f t="shared" si="130"/>
        <v>7.9436414823429682E-2</v>
      </c>
      <c r="AC184" s="84">
        <f t="shared" si="131"/>
        <v>3.6415354859591198</v>
      </c>
      <c r="AD184" s="84">
        <f t="shared" si="132"/>
        <v>5.4991069598969766E-2</v>
      </c>
      <c r="AE184" s="84">
        <f t="shared" si="133"/>
        <v>4.9323353486414234</v>
      </c>
      <c r="AF184" s="84">
        <f t="shared" si="134"/>
        <v>4.7250688589229484E-2</v>
      </c>
      <c r="AG184" s="84">
        <f t="shared" si="135"/>
        <v>5.6250819852676948</v>
      </c>
      <c r="AH184" s="84">
        <f t="shared" si="136"/>
        <v>4.4245592160526162E-2</v>
      </c>
      <c r="AI184" s="84">
        <f t="shared" si="137"/>
        <v>5.9601990263588016</v>
      </c>
      <c r="AJ184" s="84">
        <f t="shared" si="138"/>
        <v>4.2983725992648977E-2</v>
      </c>
      <c r="AK184" s="84">
        <f t="shared" si="139"/>
        <v>6.11503719586036</v>
      </c>
      <c r="AL184" s="84">
        <f t="shared" si="140"/>
        <v>4.2436043766505879E-2</v>
      </c>
      <c r="AM184" s="84">
        <f t="shared" si="141"/>
        <v>6.1851350356008883</v>
      </c>
      <c r="AN184" s="84">
        <f t="shared" si="142"/>
        <v>4.2194888861930083E-2</v>
      </c>
      <c r="AO184" s="84">
        <f t="shared" si="143"/>
        <v>6.2165829956992082</v>
      </c>
      <c r="AP184" s="84">
        <f t="shared" si="144"/>
        <v>4.2088027455974841E-2</v>
      </c>
      <c r="AQ184" s="84">
        <f t="shared" si="145"/>
        <v>6.2306346375762818</v>
      </c>
      <c r="AR184" s="84">
        <f t="shared" si="146"/>
        <v>4.2040541145014619E-2</v>
      </c>
      <c r="AS184" s="84">
        <f t="shared" si="147"/>
        <v>6.2369019450425043</v>
      </c>
      <c r="AT184" s="84">
        <f t="shared" si="148"/>
        <v>4.2019413089421004E-2</v>
      </c>
      <c r="AU184" s="84">
        <f t="shared" si="149"/>
        <v>6.2396950501448707</v>
      </c>
      <c r="AV184" s="84">
        <f t="shared" si="150"/>
        <v>4.2010007359395599E-2</v>
      </c>
      <c r="AW184" s="84">
        <f t="shared" si="151"/>
        <v>6.240939389185125</v>
      </c>
      <c r="AX184" s="84">
        <f t="shared" si="152"/>
        <v>4.200581910383714E-2</v>
      </c>
      <c r="AY184" s="142">
        <v>0.25119999999999998</v>
      </c>
      <c r="AZ184" s="46">
        <f t="shared" si="153"/>
        <v>0.5799179139530487</v>
      </c>
      <c r="BA184" s="85">
        <f t="shared" si="154"/>
        <v>1.7451373367229346</v>
      </c>
      <c r="BB184" s="85">
        <f t="shared" si="155"/>
        <v>0.50239999999999996</v>
      </c>
      <c r="BC184" s="85">
        <f t="shared" si="156"/>
        <v>1.3586226396400471</v>
      </c>
      <c r="BD184" s="85">
        <f t="shared" si="157"/>
        <v>0.56939678705176244</v>
      </c>
      <c r="BE184" s="85">
        <f t="shared" si="158"/>
        <v>1.3155922548065944</v>
      </c>
      <c r="BF184" s="85">
        <f t="shared" si="159"/>
        <v>0.57863377752863165</v>
      </c>
      <c r="BG184" s="85">
        <f t="shared" si="160"/>
        <v>1.3104709530251142</v>
      </c>
      <c r="BH184" s="85">
        <f t="shared" si="161"/>
        <v>0.5797633213166361</v>
      </c>
      <c r="BI184" s="85">
        <f t="shared" si="162"/>
        <v>1.3098562947512897</v>
      </c>
      <c r="BJ184" s="85">
        <f t="shared" si="163"/>
        <v>0.57989933414794115</v>
      </c>
      <c r="BK184" s="85">
        <f t="shared" si="164"/>
        <v>1.3097824485847112</v>
      </c>
      <c r="BL184" s="85">
        <f t="shared" si="165"/>
        <v>0.57991568141969285</v>
      </c>
      <c r="BM184" s="85">
        <f t="shared" si="166"/>
        <v>1.3097735754885422</v>
      </c>
      <c r="BN184" s="85">
        <f t="shared" si="167"/>
        <v>0.57991764574352422</v>
      </c>
      <c r="BO184" s="85">
        <f t="shared" si="168"/>
        <v>1.3097725093128139</v>
      </c>
      <c r="BP184" s="85">
        <f t="shared" si="169"/>
        <v>0.57991788177458614</v>
      </c>
      <c r="BQ184" s="85">
        <f t="shared" si="170"/>
        <v>1.3097723812027759</v>
      </c>
      <c r="BR184" s="85">
        <f t="shared" si="171"/>
        <v>0.57991791013573546</v>
      </c>
      <c r="BS184" s="85">
        <f t="shared" si="172"/>
        <v>1.3097723658092673</v>
      </c>
      <c r="BT184" s="85">
        <f t="shared" si="173"/>
        <v>0.5799179135435687</v>
      </c>
      <c r="BU184" s="85">
        <f t="shared" si="174"/>
        <v>1.3097723639596066</v>
      </c>
      <c r="BV184" s="85">
        <f t="shared" si="175"/>
        <v>0.5799179139530487</v>
      </c>
      <c r="BW184" s="85">
        <f t="shared" si="176"/>
        <v>1.3097723637373542</v>
      </c>
    </row>
    <row r="185" spans="25:75" x14ac:dyDescent="0.4">
      <c r="Y185" s="142">
        <v>0.25900000000000001</v>
      </c>
      <c r="Z185" s="46">
        <f t="shared" si="128"/>
        <v>4.3825136867724462E-2</v>
      </c>
      <c r="AA185" s="84">
        <f t="shared" si="129"/>
        <v>1.7208497537535119</v>
      </c>
      <c r="AB185" s="84">
        <f t="shared" si="130"/>
        <v>8.1902991398361019E-2</v>
      </c>
      <c r="AC185" s="84">
        <f t="shared" si="131"/>
        <v>3.5548774859044028</v>
      </c>
      <c r="AD185" s="84">
        <f t="shared" si="132"/>
        <v>5.6984786059015545E-2</v>
      </c>
      <c r="AE185" s="84">
        <f t="shared" si="133"/>
        <v>4.7847661868733065</v>
      </c>
      <c r="AF185" s="84">
        <f t="shared" si="134"/>
        <v>4.9118023315644646E-2</v>
      </c>
      <c r="AG185" s="84">
        <f t="shared" si="135"/>
        <v>5.4377199241605974</v>
      </c>
      <c r="AH185" s="84">
        <f t="shared" si="136"/>
        <v>4.6074732617875827E-2</v>
      </c>
      <c r="AI185" s="84">
        <f t="shared" si="137"/>
        <v>5.7509583847033641</v>
      </c>
      <c r="AJ185" s="84">
        <f t="shared" si="138"/>
        <v>4.4802384470619468E-2</v>
      </c>
      <c r="AK185" s="84">
        <f t="shared" si="139"/>
        <v>5.8946781484608932</v>
      </c>
      <c r="AL185" s="84">
        <f t="shared" si="140"/>
        <v>4.4252844571738573E-2</v>
      </c>
      <c r="AM185" s="84">
        <f t="shared" si="141"/>
        <v>5.9593348877428953</v>
      </c>
      <c r="AN185" s="84">
        <f t="shared" si="142"/>
        <v>4.4012125770242695E-2</v>
      </c>
      <c r="AO185" s="84">
        <f t="shared" si="143"/>
        <v>5.9881706812317814</v>
      </c>
      <c r="AP185" s="84">
        <f t="shared" si="144"/>
        <v>4.3906028584505631E-2</v>
      </c>
      <c r="AQ185" s="84">
        <f t="shared" si="145"/>
        <v>6.0009815077839264</v>
      </c>
      <c r="AR185" s="84">
        <f t="shared" si="146"/>
        <v>4.3859138502701553E-2</v>
      </c>
      <c r="AS185" s="84">
        <f t="shared" si="147"/>
        <v>6.0066632517453034</v>
      </c>
      <c r="AT185" s="84">
        <f t="shared" si="148"/>
        <v>4.3838390265125676E-2</v>
      </c>
      <c r="AU185" s="84">
        <f t="shared" si="149"/>
        <v>6.0091812656522103</v>
      </c>
      <c r="AV185" s="84">
        <f t="shared" si="150"/>
        <v>4.3829204551003129E-2</v>
      </c>
      <c r="AW185" s="84">
        <f t="shared" si="151"/>
        <v>6.010296816328097</v>
      </c>
      <c r="AX185" s="84">
        <f t="shared" si="152"/>
        <v>4.3825136867724462E-2</v>
      </c>
      <c r="AY185" s="142">
        <v>0.25900000000000001</v>
      </c>
      <c r="AZ185" s="46">
        <f t="shared" si="153"/>
        <v>0.59563998760649439</v>
      </c>
      <c r="BA185" s="85">
        <f t="shared" si="154"/>
        <v>1.7208497537535119</v>
      </c>
      <c r="BB185" s="85">
        <f t="shared" si="155"/>
        <v>0.51800000000000002</v>
      </c>
      <c r="BC185" s="85">
        <f t="shared" si="156"/>
        <v>1.3475648543793013</v>
      </c>
      <c r="BD185" s="85">
        <f t="shared" si="157"/>
        <v>0.58536452456386734</v>
      </c>
      <c r="BE185" s="85">
        <f t="shared" si="158"/>
        <v>1.3068445906096726</v>
      </c>
      <c r="BF185" s="85">
        <f t="shared" si="159"/>
        <v>0.59441432142940476</v>
      </c>
      <c r="BG185" s="85">
        <f t="shared" si="160"/>
        <v>1.3021026369733211</v>
      </c>
      <c r="BH185" s="85">
        <f t="shared" si="161"/>
        <v>0.59549569684753412</v>
      </c>
      <c r="BI185" s="85">
        <f t="shared" si="162"/>
        <v>1.3015459764691706</v>
      </c>
      <c r="BJ185" s="85">
        <f t="shared" si="163"/>
        <v>0.59562302753912089</v>
      </c>
      <c r="BK185" s="85">
        <f t="shared" si="164"/>
        <v>1.3014805677837975</v>
      </c>
      <c r="BL185" s="85">
        <f t="shared" si="165"/>
        <v>0.59563799450470412</v>
      </c>
      <c r="BM185" s="85">
        <f t="shared" si="166"/>
        <v>1.301472881279597</v>
      </c>
      <c r="BN185" s="85">
        <f t="shared" si="167"/>
        <v>0.59563975342233233</v>
      </c>
      <c r="BO185" s="85">
        <f t="shared" si="168"/>
        <v>1.3014719779879176</v>
      </c>
      <c r="BP185" s="85">
        <f t="shared" si="169"/>
        <v>0.59563996012533815</v>
      </c>
      <c r="BQ185" s="85">
        <f t="shared" si="170"/>
        <v>1.3014718718360059</v>
      </c>
      <c r="BR185" s="85">
        <f t="shared" si="171"/>
        <v>0.59563998441641985</v>
      </c>
      <c r="BS185" s="85">
        <f t="shared" si="172"/>
        <v>1.301471859361375</v>
      </c>
      <c r="BT185" s="85">
        <f t="shared" si="173"/>
        <v>0.59563998727102974</v>
      </c>
      <c r="BU185" s="85">
        <f t="shared" si="174"/>
        <v>1.3014718578953963</v>
      </c>
      <c r="BV185" s="85">
        <f t="shared" si="175"/>
        <v>0.59563998760649439</v>
      </c>
      <c r="BW185" s="85">
        <f t="shared" si="176"/>
        <v>1.3014718577231195</v>
      </c>
    </row>
    <row r="186" spans="25:75" x14ac:dyDescent="0.4">
      <c r="Y186" s="142">
        <v>0.2671</v>
      </c>
      <c r="Z186" s="46">
        <f t="shared" si="128"/>
        <v>4.5740401848880334E-2</v>
      </c>
      <c r="AA186" s="84">
        <f t="shared" si="129"/>
        <v>1.6972402079206166</v>
      </c>
      <c r="AB186" s="84">
        <f t="shared" si="130"/>
        <v>8.4464436303097412E-2</v>
      </c>
      <c r="AC186" s="84">
        <f t="shared" si="131"/>
        <v>3.4703811049771249</v>
      </c>
      <c r="AD186" s="84">
        <f t="shared" si="132"/>
        <v>5.9068638244011373E-2</v>
      </c>
      <c r="AE186" s="84">
        <f t="shared" si="133"/>
        <v>4.6413302157475034</v>
      </c>
      <c r="AF186" s="84">
        <f t="shared" si="134"/>
        <v>5.1076874003032555E-2</v>
      </c>
      <c r="AG186" s="84">
        <f t="shared" si="135"/>
        <v>5.2560692684060726</v>
      </c>
      <c r="AH186" s="84">
        <f t="shared" si="136"/>
        <v>4.7997100652596499E-2</v>
      </c>
      <c r="AI186" s="84">
        <f t="shared" si="137"/>
        <v>5.5484200559762487</v>
      </c>
      <c r="AJ186" s="84">
        <f t="shared" si="138"/>
        <v>4.671548665416575E-2</v>
      </c>
      <c r="AK186" s="84">
        <f t="shared" si="139"/>
        <v>5.6815764641187227</v>
      </c>
      <c r="AL186" s="84">
        <f t="shared" si="140"/>
        <v>4.6164816745352388E-2</v>
      </c>
      <c r="AM186" s="84">
        <f t="shared" si="141"/>
        <v>5.7410862930080349</v>
      </c>
      <c r="AN186" s="84">
        <f t="shared" si="142"/>
        <v>4.5924930372239034E-2</v>
      </c>
      <c r="AO186" s="84">
        <f t="shared" si="143"/>
        <v>5.7674615160610641</v>
      </c>
      <c r="AP186" s="84">
        <f t="shared" si="144"/>
        <v>4.5819800213739714E-2</v>
      </c>
      <c r="AQ186" s="84">
        <f t="shared" si="145"/>
        <v>5.779108432997262</v>
      </c>
      <c r="AR186" s="84">
        <f t="shared" si="146"/>
        <v>4.5773605496855295E-2</v>
      </c>
      <c r="AS186" s="84">
        <f t="shared" si="147"/>
        <v>5.7842432474932002</v>
      </c>
      <c r="AT186" s="84">
        <f t="shared" si="148"/>
        <v>4.5753283810110144E-2</v>
      </c>
      <c r="AU186" s="84">
        <f t="shared" si="149"/>
        <v>5.7865054417238211</v>
      </c>
      <c r="AV186" s="84">
        <f t="shared" si="150"/>
        <v>4.5744339471111874E-2</v>
      </c>
      <c r="AW186" s="84">
        <f t="shared" si="151"/>
        <v>5.7875017623633696</v>
      </c>
      <c r="AX186" s="84">
        <f t="shared" si="152"/>
        <v>4.5740401848880334E-2</v>
      </c>
      <c r="AY186" s="142">
        <v>0.2671</v>
      </c>
      <c r="AZ186" s="46">
        <f t="shared" si="153"/>
        <v>0.61195884409613877</v>
      </c>
      <c r="BA186" s="85">
        <f t="shared" si="154"/>
        <v>1.6972402079206166</v>
      </c>
      <c r="BB186" s="85">
        <f t="shared" si="155"/>
        <v>0.53420000000000001</v>
      </c>
      <c r="BC186" s="85">
        <f t="shared" si="156"/>
        <v>1.3367953039356175</v>
      </c>
      <c r="BD186" s="85">
        <f t="shared" si="157"/>
        <v>0.60192597364975631</v>
      </c>
      <c r="BE186" s="85">
        <f t="shared" si="158"/>
        <v>1.2982785179236538</v>
      </c>
      <c r="BF186" s="85">
        <f t="shared" si="159"/>
        <v>0.61078955831991055</v>
      </c>
      <c r="BG186" s="85">
        <f t="shared" si="160"/>
        <v>1.2938909683599666</v>
      </c>
      <c r="BH186" s="85">
        <f t="shared" si="161"/>
        <v>0.61182426739817053</v>
      </c>
      <c r="BI186" s="85">
        <f t="shared" si="162"/>
        <v>1.2933873242643816</v>
      </c>
      <c r="BJ186" s="85">
        <f t="shared" si="163"/>
        <v>0.61194337776918339</v>
      </c>
      <c r="BK186" s="85">
        <f t="shared" si="164"/>
        <v>1.2933294600595504</v>
      </c>
      <c r="BL186" s="85">
        <f t="shared" si="165"/>
        <v>0.61195706694197261</v>
      </c>
      <c r="BM186" s="85">
        <f t="shared" si="166"/>
        <v>1.2933228113028368</v>
      </c>
      <c r="BN186" s="85">
        <f t="shared" si="167"/>
        <v>0.61195863992452282</v>
      </c>
      <c r="BO186" s="85">
        <f t="shared" si="168"/>
        <v>1.2933220473334177</v>
      </c>
      <c r="BP186" s="85">
        <f t="shared" si="169"/>
        <v>0.611958820667447</v>
      </c>
      <c r="BQ186" s="85">
        <f t="shared" si="170"/>
        <v>1.2933219595500796</v>
      </c>
      <c r="BR186" s="85">
        <f t="shared" si="171"/>
        <v>0.61195884143558876</v>
      </c>
      <c r="BS186" s="85">
        <f t="shared" si="172"/>
        <v>1.2933219494633987</v>
      </c>
      <c r="BT186" s="85">
        <f t="shared" si="173"/>
        <v>0.61195884382193699</v>
      </c>
      <c r="BU186" s="85">
        <f t="shared" si="174"/>
        <v>1.2933219483043961</v>
      </c>
      <c r="BV186" s="85">
        <f t="shared" si="175"/>
        <v>0.61195884409613877</v>
      </c>
      <c r="BW186" s="85">
        <f t="shared" si="176"/>
        <v>1.2933219481712217</v>
      </c>
    </row>
    <row r="187" spans="25:75" x14ac:dyDescent="0.4">
      <c r="Y187" s="142">
        <v>0.27539999999999998</v>
      </c>
      <c r="Z187" s="46">
        <f t="shared" si="128"/>
        <v>4.7729554571541599E-2</v>
      </c>
      <c r="AA187" s="84">
        <f t="shared" si="129"/>
        <v>1.674595055789569</v>
      </c>
      <c r="AB187" s="84">
        <f t="shared" si="130"/>
        <v>8.7089126761037153E-2</v>
      </c>
      <c r="AC187" s="84">
        <f t="shared" si="131"/>
        <v>3.3890926795803185</v>
      </c>
      <c r="AD187" s="84">
        <f t="shared" si="132"/>
        <v>6.1217715050362664E-2</v>
      </c>
      <c r="AE187" s="84">
        <f t="shared" si="133"/>
        <v>4.5037930687524259</v>
      </c>
      <c r="AF187" s="84">
        <f t="shared" si="134"/>
        <v>5.3104292127285853E-2</v>
      </c>
      <c r="AG187" s="84">
        <f t="shared" si="135"/>
        <v>5.082347304767616</v>
      </c>
      <c r="AH187" s="84">
        <f t="shared" si="136"/>
        <v>4.9990406528278984E-2</v>
      </c>
      <c r="AI187" s="84">
        <f t="shared" si="137"/>
        <v>5.3550408578679871</v>
      </c>
      <c r="AJ187" s="84">
        <f t="shared" si="138"/>
        <v>4.8700951217805238E-2</v>
      </c>
      <c r="AK187" s="84">
        <f t="shared" si="139"/>
        <v>5.4783068250256841</v>
      </c>
      <c r="AL187" s="84">
        <f t="shared" si="140"/>
        <v>4.8149930224340727E-2</v>
      </c>
      <c r="AM187" s="84">
        <f t="shared" si="141"/>
        <v>5.5330198537487174</v>
      </c>
      <c r="AN187" s="84">
        <f t="shared" si="142"/>
        <v>4.7911274517904556E-2</v>
      </c>
      <c r="AO187" s="84">
        <f t="shared" si="143"/>
        <v>5.5571120930787741</v>
      </c>
      <c r="AP187" s="84">
        <f t="shared" si="144"/>
        <v>4.7807304716143473E-2</v>
      </c>
      <c r="AQ187" s="84">
        <f t="shared" si="145"/>
        <v>5.567683916035568</v>
      </c>
      <c r="AR187" s="84">
        <f t="shared" si="146"/>
        <v>4.7761895304141294E-2</v>
      </c>
      <c r="AS187" s="84">
        <f t="shared" si="147"/>
        <v>5.572315828632993</v>
      </c>
      <c r="AT187" s="84">
        <f t="shared" si="148"/>
        <v>4.7742040460674914E-2</v>
      </c>
      <c r="AU187" s="84">
        <f t="shared" si="149"/>
        <v>5.5743438898391151</v>
      </c>
      <c r="AV187" s="84">
        <f t="shared" si="150"/>
        <v>4.7733354901414747E-2</v>
      </c>
      <c r="AW187" s="84">
        <f t="shared" si="151"/>
        <v>5.5752316076973489</v>
      </c>
      <c r="AX187" s="84">
        <f t="shared" si="152"/>
        <v>4.7729554571541599E-2</v>
      </c>
      <c r="AY187" s="142">
        <v>0.27539999999999998</v>
      </c>
      <c r="AZ187" s="46">
        <f t="shared" si="153"/>
        <v>0.6286736707202627</v>
      </c>
      <c r="BA187" s="85">
        <f t="shared" si="154"/>
        <v>1.674595055789569</v>
      </c>
      <c r="BB187" s="85">
        <f t="shared" si="155"/>
        <v>0.55079999999999996</v>
      </c>
      <c r="BC187" s="85">
        <f t="shared" si="156"/>
        <v>1.3264441179027664</v>
      </c>
      <c r="BD187" s="85">
        <f t="shared" si="157"/>
        <v>0.61887701704846698</v>
      </c>
      <c r="BE187" s="85">
        <f t="shared" si="158"/>
        <v>1.2900006299666193</v>
      </c>
      <c r="BF187" s="85">
        <f t="shared" si="159"/>
        <v>0.62755800353749758</v>
      </c>
      <c r="BG187" s="85">
        <f t="shared" si="160"/>
        <v>1.2859396676944699</v>
      </c>
      <c r="BH187" s="85">
        <f t="shared" si="161"/>
        <v>0.6285481279561187</v>
      </c>
      <c r="BI187" s="85">
        <f t="shared" si="162"/>
        <v>1.2854838217749318</v>
      </c>
      <c r="BJ187" s="85">
        <f t="shared" si="163"/>
        <v>0.62865956292642799</v>
      </c>
      <c r="BK187" s="85">
        <f t="shared" si="164"/>
        <v>1.2854326104293243</v>
      </c>
      <c r="BL187" s="85">
        <f t="shared" si="165"/>
        <v>0.6286720856293827</v>
      </c>
      <c r="BM187" s="85">
        <f t="shared" si="166"/>
        <v>1.2854268566306744</v>
      </c>
      <c r="BN187" s="85">
        <f t="shared" si="167"/>
        <v>0.62867349265170025</v>
      </c>
      <c r="BO187" s="85">
        <f t="shared" si="168"/>
        <v>1.2854262101617291</v>
      </c>
      <c r="BP187" s="85">
        <f t="shared" si="169"/>
        <v>0.62867365073850268</v>
      </c>
      <c r="BQ187" s="85">
        <f t="shared" si="170"/>
        <v>1.2854261375275247</v>
      </c>
      <c r="BR187" s="85">
        <f t="shared" si="171"/>
        <v>0.6286736685003983</v>
      </c>
      <c r="BS187" s="85">
        <f t="shared" si="172"/>
        <v>1.2854261293666869</v>
      </c>
      <c r="BT187" s="85">
        <f t="shared" si="173"/>
        <v>0.6286736704960415</v>
      </c>
      <c r="BU187" s="85">
        <f t="shared" si="174"/>
        <v>1.2854261284497732</v>
      </c>
      <c r="BV187" s="85">
        <f t="shared" si="175"/>
        <v>0.6286736707202627</v>
      </c>
      <c r="BW187" s="85">
        <f t="shared" si="176"/>
        <v>1.2854261283467532</v>
      </c>
    </row>
    <row r="188" spans="25:75" x14ac:dyDescent="0.4">
      <c r="Y188" s="142">
        <v>0.28399999999999997</v>
      </c>
      <c r="Z188" s="46">
        <f t="shared" si="128"/>
        <v>4.9818064891745367E-2</v>
      </c>
      <c r="AA188" s="84">
        <f t="shared" si="129"/>
        <v>1.652631237234834</v>
      </c>
      <c r="AB188" s="84">
        <f t="shared" si="130"/>
        <v>8.9808685548781964E-2</v>
      </c>
      <c r="AC188" s="84">
        <f t="shared" si="131"/>
        <v>3.3100185102806883</v>
      </c>
      <c r="AD188" s="84">
        <f t="shared" si="132"/>
        <v>6.3458690719292263E-2</v>
      </c>
      <c r="AE188" s="84">
        <f t="shared" si="133"/>
        <v>4.3704603592889413</v>
      </c>
      <c r="AF188" s="84">
        <f t="shared" si="134"/>
        <v>5.5225890310412154E-2</v>
      </c>
      <c r="AG188" s="84">
        <f t="shared" si="135"/>
        <v>4.9143927693652749</v>
      </c>
      <c r="AH188" s="84">
        <f t="shared" si="136"/>
        <v>5.2080049344680947E-2</v>
      </c>
      <c r="AI188" s="84">
        <f t="shared" si="137"/>
        <v>5.1683979422427075</v>
      </c>
      <c r="AJ188" s="84">
        <f t="shared" si="138"/>
        <v>5.0784168524331923E-2</v>
      </c>
      <c r="AK188" s="84">
        <f t="shared" si="139"/>
        <v>5.282311210105866</v>
      </c>
      <c r="AL188" s="84">
        <f t="shared" si="140"/>
        <v>5.0233602716566864E-2</v>
      </c>
      <c r="AM188" s="84">
        <f t="shared" si="141"/>
        <v>5.3325103409167607</v>
      </c>
      <c r="AN188" s="84">
        <f t="shared" si="142"/>
        <v>4.9996599337267911E-2</v>
      </c>
      <c r="AO188" s="84">
        <f t="shared" si="143"/>
        <v>5.3544643815542763</v>
      </c>
      <c r="AP188" s="84">
        <f t="shared" si="144"/>
        <v>4.9893997590989031E-2</v>
      </c>
      <c r="AQ188" s="84">
        <f t="shared" si="145"/>
        <v>5.3640340589369933</v>
      </c>
      <c r="AR188" s="84">
        <f t="shared" si="146"/>
        <v>4.9849471157903454E-2</v>
      </c>
      <c r="AS188" s="84">
        <f t="shared" si="147"/>
        <v>5.3681994539882414</v>
      </c>
      <c r="AT188" s="84">
        <f t="shared" si="148"/>
        <v>4.9830127331597647E-2</v>
      </c>
      <c r="AU188" s="84">
        <f t="shared" si="149"/>
        <v>5.3700113941467755</v>
      </c>
      <c r="AV188" s="84">
        <f t="shared" si="150"/>
        <v>4.9821719823700296E-2</v>
      </c>
      <c r="AW188" s="84">
        <f t="shared" si="151"/>
        <v>5.3707993712093014</v>
      </c>
      <c r="AX188" s="84">
        <f t="shared" si="152"/>
        <v>4.9818064891745367E-2</v>
      </c>
      <c r="AY188" s="142">
        <v>0.28399999999999997</v>
      </c>
      <c r="AZ188" s="46">
        <f t="shared" si="153"/>
        <v>0.64598651682764086</v>
      </c>
      <c r="BA188" s="85">
        <f t="shared" si="154"/>
        <v>1.652631237234834</v>
      </c>
      <c r="BB188" s="85">
        <f t="shared" si="155"/>
        <v>0.56799999999999995</v>
      </c>
      <c r="BC188" s="85">
        <f t="shared" si="156"/>
        <v>1.3163817150743538</v>
      </c>
      <c r="BD188" s="85">
        <f t="shared" si="157"/>
        <v>0.63642230735709782</v>
      </c>
      <c r="BE188" s="85">
        <f t="shared" si="158"/>
        <v>1.2819105272874456</v>
      </c>
      <c r="BF188" s="85">
        <f t="shared" si="159"/>
        <v>0.64492239384260397</v>
      </c>
      <c r="BG188" s="85">
        <f t="shared" si="160"/>
        <v>1.2781538163949848</v>
      </c>
      <c r="BH188" s="85">
        <f t="shared" si="161"/>
        <v>0.64586946661139999</v>
      </c>
      <c r="BI188" s="85">
        <f t="shared" si="162"/>
        <v>1.2777415338647682</v>
      </c>
      <c r="BJ188" s="85">
        <f t="shared" si="163"/>
        <v>0.64597365795778106</v>
      </c>
      <c r="BK188" s="85">
        <f t="shared" si="164"/>
        <v>1.2776962527597429</v>
      </c>
      <c r="BL188" s="85">
        <f t="shared" si="165"/>
        <v>0.64598510439578816</v>
      </c>
      <c r="BM188" s="85">
        <f t="shared" si="166"/>
        <v>1.2776912791018769</v>
      </c>
      <c r="BN188" s="85">
        <f t="shared" si="167"/>
        <v>0.64598636170489776</v>
      </c>
      <c r="BO188" s="85">
        <f t="shared" si="168"/>
        <v>1.277690732792266</v>
      </c>
      <c r="BP188" s="85">
        <f t="shared" si="169"/>
        <v>0.64598649980894407</v>
      </c>
      <c r="BQ188" s="85">
        <f t="shared" si="170"/>
        <v>1.2776906727852242</v>
      </c>
      <c r="BR188" s="85">
        <f t="shared" si="171"/>
        <v>0.64598651497839765</v>
      </c>
      <c r="BS188" s="85">
        <f t="shared" si="172"/>
        <v>1.2776906661940066</v>
      </c>
      <c r="BT188" s="85">
        <f t="shared" si="173"/>
        <v>0.64598651664462148</v>
      </c>
      <c r="BU188" s="85">
        <f t="shared" si="174"/>
        <v>1.2776906654700224</v>
      </c>
      <c r="BV188" s="85">
        <f t="shared" si="175"/>
        <v>0.64598651682764086</v>
      </c>
      <c r="BW188" s="85">
        <f t="shared" si="176"/>
        <v>1.2776906653904994</v>
      </c>
    </row>
    <row r="189" spans="25:75" x14ac:dyDescent="0.4">
      <c r="Y189" s="142">
        <v>0.29289999999999999</v>
      </c>
      <c r="Z189" s="46">
        <f t="shared" ref="Z189:Z252" si="177">AX189</f>
        <v>5.2007827831981275E-2</v>
      </c>
      <c r="AA189" s="84">
        <f t="shared" ref="AA189:AA252" si="178">(1+0.0712/Y189*(2.514+0.8*EXP(-0.55*Y189/(0.0712))))</f>
        <v>1.6313600079085053</v>
      </c>
      <c r="AB189" s="84">
        <f t="shared" ref="AB189:AB252" si="179">Y189/SQRT($Z$1)</f>
        <v>9.2623112666331817E-2</v>
      </c>
      <c r="AC189" s="84">
        <f t="shared" ref="AC189:AC252" si="180">(1+0.0712/AB189*(2.514+0.8*EXP(-0.55*AB189/(0.0712))))</f>
        <v>3.2332179883419783</v>
      </c>
      <c r="AD189" s="84">
        <f t="shared" ref="AD189:AD252" si="181">$Y189/SQRT(($Z$1*AC189)/($AA189))</f>
        <v>6.579255985957573E-2</v>
      </c>
      <c r="AE189" s="84">
        <f t="shared" ref="AE189:AE252" si="182">(1+0.0712/AD189*(2.514+0.8*EXP(-0.55*AD189/(0.0712))))</f>
        <v>4.2414251167766537</v>
      </c>
      <c r="AF189" s="84">
        <f t="shared" ref="AF189:AF252" si="183">$Y189/SQRT(($Z$1*AE189)/($AA189))</f>
        <v>5.7443166972450103E-2</v>
      </c>
      <c r="AG189" s="84">
        <f t="shared" ref="AG189:AG252" si="184">(1+0.0712/AF189*(2.514+0.8*EXP(-0.55*AF189/(0.0712))))</f>
        <v>4.7523079447532437</v>
      </c>
      <c r="AH189" s="84">
        <f t="shared" ref="AH189:AH252" si="185">$Y189/SQRT(($Z$1*AG189)/($AA189))</f>
        <v>5.4267771800583314E-2</v>
      </c>
      <c r="AI189" s="84">
        <f t="shared" ref="AI189:AI252" si="186">(1+0.0712/AH189*(2.514+0.8*EXP(-0.55*AH189/(0.0712))))</f>
        <v>4.9885922824604521</v>
      </c>
      <c r="AJ189" s="84">
        <f t="shared" ref="AJ189:AJ252" si="187">$Y189/SQRT(($Z$1*AI189)/($AA189))</f>
        <v>5.2966987388679547E-2</v>
      </c>
      <c r="AK189" s="84">
        <f t="shared" ref="AK189:AK252" si="188">(1+0.0712/AJ189*(2.514+0.8*EXP(-0.55*AJ189/(0.0712))))</f>
        <v>5.0936870486044059</v>
      </c>
      <c r="AL189" s="84">
        <f t="shared" ref="AL189:AL252" si="189">$Y189/SQRT(($Z$1*AK189)/($AA189))</f>
        <v>5.2417722587132572E-2</v>
      </c>
      <c r="AM189" s="84">
        <f t="shared" ref="AM189:AM252" si="190">(1+0.0712/AL189*(2.514+0.8*EXP(-0.55*AL189/(0.0712))))</f>
        <v>5.1396521031876112</v>
      </c>
      <c r="AN189" s="84">
        <f t="shared" ref="AN189:AN252" si="191">$Y189/SQRT(($Z$1*AM189)/($AA189))</f>
        <v>5.2182804486798337E-2</v>
      </c>
      <c r="AO189" s="84">
        <f t="shared" ref="AO189:AO252" si="192">(1+0.0712/AN189*(2.514+0.8*EXP(-0.55*AN189/(0.0712))))</f>
        <v>5.1596105787144575</v>
      </c>
      <c r="AP189" s="84">
        <f t="shared" ref="AP189:AP252" si="193">$Y189/SQRT(($Z$1*AO189)/($AA189))</f>
        <v>5.2081779580096729E-2</v>
      </c>
      <c r="AQ189" s="84">
        <f t="shared" ref="AQ189:AQ252" si="194">(1+0.0712/AP189*(2.514+0.8*EXP(-0.55*AP189/(0.0712))))</f>
        <v>5.1682496859970781</v>
      </c>
      <c r="AR189" s="84">
        <f t="shared" ref="AR189:AR252" si="195">$Y189/SQRT(($Z$1*AQ189)/($AA189))</f>
        <v>5.203823212275023E-2</v>
      </c>
      <c r="AS189" s="84">
        <f t="shared" ref="AS189:AS252" si="196">(1+0.0712/AR189*(2.514+0.8*EXP(-0.55*AR189/(0.0712))))</f>
        <v>5.1719841139241005</v>
      </c>
      <c r="AT189" s="84">
        <f t="shared" ref="AT189:AT252" si="197">$Y189/SQRT(($Z$1*AS189)/($AA189))</f>
        <v>5.2019441643582902E-2</v>
      </c>
      <c r="AU189" s="84">
        <f t="shared" ref="AU189:AU252" si="198">(1+0.0712/AT189*(2.514+0.8*EXP(-0.55*AT189/(0.0712))))</f>
        <v>5.1735974548642343</v>
      </c>
      <c r="AV189" s="84">
        <f t="shared" ref="AV189:AV252" si="199">$Y189/SQRT(($Z$1*AU189)/($AA189))</f>
        <v>5.2011330108092835E-2</v>
      </c>
      <c r="AW189" s="84">
        <f t="shared" ref="AW189:AW252" si="200">(1+0.0712/AV189*(2.514+0.8*EXP(-0.55*AV189/(0.0712))))</f>
        <v>5.1742942721559171</v>
      </c>
      <c r="AX189" s="84">
        <f t="shared" ref="AX189:AX252" si="201">$Y189/SQRT(($Z$1*AW189)/($AA189))</f>
        <v>5.2007827831981275E-2</v>
      </c>
      <c r="AY189" s="142">
        <v>0.29289999999999999</v>
      </c>
      <c r="AZ189" s="46">
        <f t="shared" si="153"/>
        <v>0.66389794206509234</v>
      </c>
      <c r="BA189" s="85">
        <f t="shared" si="154"/>
        <v>1.6313600079085053</v>
      </c>
      <c r="BB189" s="85">
        <f t="shared" si="155"/>
        <v>0.58579999999999999</v>
      </c>
      <c r="BC189" s="85">
        <f t="shared" si="156"/>
        <v>1.3066129372869077</v>
      </c>
      <c r="BD189" s="85">
        <f t="shared" si="157"/>
        <v>0.6545620105407135</v>
      </c>
      <c r="BE189" s="85">
        <f t="shared" si="158"/>
        <v>1.2740146498224216</v>
      </c>
      <c r="BF189" s="85">
        <f t="shared" si="159"/>
        <v>0.66288327582281015</v>
      </c>
      <c r="BG189" s="85">
        <f t="shared" si="160"/>
        <v>1.2705408342876117</v>
      </c>
      <c r="BH189" s="85">
        <f t="shared" si="161"/>
        <v>0.6637888596172703</v>
      </c>
      <c r="BI189" s="85">
        <f t="shared" si="162"/>
        <v>1.2701681722926432</v>
      </c>
      <c r="BJ189" s="85">
        <f t="shared" si="163"/>
        <v>0.66388622890445315</v>
      </c>
      <c r="BK189" s="85">
        <f t="shared" si="164"/>
        <v>1.2701281653165075</v>
      </c>
      <c r="BL189" s="85">
        <f t="shared" si="165"/>
        <v>0.66389668449157235</v>
      </c>
      <c r="BM189" s="85">
        <f t="shared" si="166"/>
        <v>1.2701238700522164</v>
      </c>
      <c r="BN189" s="85">
        <f t="shared" si="167"/>
        <v>0.6638978070629129</v>
      </c>
      <c r="BO189" s="85">
        <f t="shared" si="168"/>
        <v>1.2701234088964355</v>
      </c>
      <c r="BP189" s="85">
        <f t="shared" si="169"/>
        <v>0.66389792758674626</v>
      </c>
      <c r="BQ189" s="85">
        <f t="shared" si="170"/>
        <v>1.2701233593849666</v>
      </c>
      <c r="BR189" s="85">
        <f t="shared" si="171"/>
        <v>0.66389794052665518</v>
      </c>
      <c r="BS189" s="85">
        <f t="shared" si="172"/>
        <v>1.2701233540692234</v>
      </c>
      <c r="BT189" s="85">
        <f t="shared" si="173"/>
        <v>0.66389794191593399</v>
      </c>
      <c r="BU189" s="85">
        <f t="shared" si="174"/>
        <v>1.2701233534985046</v>
      </c>
      <c r="BV189" s="85">
        <f t="shared" si="175"/>
        <v>0.66389794206509234</v>
      </c>
      <c r="BW189" s="85">
        <f t="shared" si="176"/>
        <v>1.27012335343723</v>
      </c>
    </row>
    <row r="190" spans="25:75" x14ac:dyDescent="0.4">
      <c r="Y190" s="142">
        <v>0.30199999999999999</v>
      </c>
      <c r="Z190" s="46">
        <f t="shared" si="177"/>
        <v>5.4275559707945162E-2</v>
      </c>
      <c r="AA190" s="84">
        <f t="shared" si="178"/>
        <v>1.6110030126295105</v>
      </c>
      <c r="AB190" s="84">
        <f t="shared" si="179"/>
        <v>9.5500785337085045E-2</v>
      </c>
      <c r="AC190" s="84">
        <f t="shared" si="180"/>
        <v>3.1595144959465822</v>
      </c>
      <c r="AD190" s="84">
        <f t="shared" si="181"/>
        <v>6.8193808096718489E-2</v>
      </c>
      <c r="AE190" s="84">
        <f t="shared" si="182"/>
        <v>4.1180534217907159</v>
      </c>
      <c r="AF190" s="84">
        <f t="shared" si="183"/>
        <v>5.9732285350083826E-2</v>
      </c>
      <c r="AG190" s="84">
        <f t="shared" si="184"/>
        <v>4.5977841163766087</v>
      </c>
      <c r="AH190" s="84">
        <f t="shared" si="185"/>
        <v>5.6530240281525174E-2</v>
      </c>
      <c r="AI190" s="84">
        <f t="shared" si="186"/>
        <v>4.8174806871838047</v>
      </c>
      <c r="AJ190" s="84">
        <f t="shared" si="187"/>
        <v>5.5226195771226824E-2</v>
      </c>
      <c r="AK190" s="84">
        <f t="shared" si="188"/>
        <v>4.9143695300116601</v>
      </c>
      <c r="AL190" s="84">
        <f t="shared" si="189"/>
        <v>5.4679081973430313E-2</v>
      </c>
      <c r="AM190" s="84">
        <f t="shared" si="190"/>
        <v>4.9564160926715743</v>
      </c>
      <c r="AN190" s="84">
        <f t="shared" si="191"/>
        <v>5.4446659584787394E-2</v>
      </c>
      <c r="AO190" s="84">
        <f t="shared" si="192"/>
        <v>4.9745375639143594</v>
      </c>
      <c r="AP190" s="84">
        <f t="shared" si="193"/>
        <v>5.4347398722823993E-2</v>
      </c>
      <c r="AQ190" s="84">
        <f t="shared" si="194"/>
        <v>4.9823246267818018</v>
      </c>
      <c r="AR190" s="84">
        <f t="shared" si="195"/>
        <v>5.4304911316543712E-2</v>
      </c>
      <c r="AS190" s="84">
        <f t="shared" si="196"/>
        <v>4.9856666086000363</v>
      </c>
      <c r="AT190" s="84">
        <f t="shared" si="197"/>
        <v>5.4286707487041716E-2</v>
      </c>
      <c r="AU190" s="84">
        <f t="shared" si="198"/>
        <v>4.9871001121402632</v>
      </c>
      <c r="AV190" s="84">
        <f t="shared" si="199"/>
        <v>5.4278904778190147E-2</v>
      </c>
      <c r="AW190" s="84">
        <f t="shared" si="200"/>
        <v>4.9877148534476223</v>
      </c>
      <c r="AX190" s="84">
        <f t="shared" si="201"/>
        <v>5.4275559707945162E-2</v>
      </c>
      <c r="AY190" s="142">
        <v>0.30199999999999999</v>
      </c>
      <c r="AZ190" s="46">
        <f t="shared" si="153"/>
        <v>0.68220733245907916</v>
      </c>
      <c r="BA190" s="85">
        <f t="shared" si="154"/>
        <v>1.6110030126295105</v>
      </c>
      <c r="BB190" s="85">
        <f t="shared" si="155"/>
        <v>0.60399999999999998</v>
      </c>
      <c r="BC190" s="85">
        <f t="shared" si="156"/>
        <v>1.2972399481475796</v>
      </c>
      <c r="BD190" s="85">
        <f t="shared" si="157"/>
        <v>0.67309281988406455</v>
      </c>
      <c r="BE190" s="85">
        <f t="shared" si="158"/>
        <v>1.2663989128265123</v>
      </c>
      <c r="BF190" s="85">
        <f t="shared" si="159"/>
        <v>0.68123954528937436</v>
      </c>
      <c r="BG190" s="85">
        <f t="shared" si="160"/>
        <v>1.2631849855383463</v>
      </c>
      <c r="BH190" s="85">
        <f t="shared" si="161"/>
        <v>0.68210563517273626</v>
      </c>
      <c r="BI190" s="85">
        <f t="shared" si="162"/>
        <v>1.2628479257647756</v>
      </c>
      <c r="BJ190" s="85">
        <f t="shared" si="163"/>
        <v>0.68219665762574588</v>
      </c>
      <c r="BK190" s="85">
        <f t="shared" si="164"/>
        <v>1.2628125529995042</v>
      </c>
      <c r="BL190" s="85">
        <f t="shared" si="165"/>
        <v>0.68220621209730969</v>
      </c>
      <c r="BM190" s="85">
        <f t="shared" si="166"/>
        <v>1.2628088405404216</v>
      </c>
      <c r="BN190" s="85">
        <f t="shared" si="167"/>
        <v>0.68220721488597647</v>
      </c>
      <c r="BO190" s="85">
        <f t="shared" si="168"/>
        <v>1.2628084509057922</v>
      </c>
      <c r="BP190" s="85">
        <f t="shared" si="169"/>
        <v>0.6822073201321579</v>
      </c>
      <c r="BQ190" s="85">
        <f t="shared" si="170"/>
        <v>1.2628084100123416</v>
      </c>
      <c r="BR190" s="85">
        <f t="shared" si="171"/>
        <v>0.68220733117809751</v>
      </c>
      <c r="BS190" s="85">
        <f t="shared" si="172"/>
        <v>1.2628084057204376</v>
      </c>
      <c r="BT190" s="85">
        <f t="shared" si="173"/>
        <v>0.68220733233740594</v>
      </c>
      <c r="BU190" s="85">
        <f t="shared" si="174"/>
        <v>1.2628084052699879</v>
      </c>
      <c r="BV190" s="85">
        <f t="shared" si="175"/>
        <v>0.68220733245907916</v>
      </c>
      <c r="BW190" s="85">
        <f t="shared" si="176"/>
        <v>1.2628084052227118</v>
      </c>
    </row>
    <row r="191" spans="25:75" x14ac:dyDescent="0.4">
      <c r="Y191" s="142">
        <v>0.31140000000000001</v>
      </c>
      <c r="Z191" s="46">
        <f t="shared" si="177"/>
        <v>5.6647395043868537E-2</v>
      </c>
      <c r="AA191" s="84">
        <f t="shared" si="178"/>
        <v>1.5913162106441168</v>
      </c>
      <c r="AB191" s="84">
        <f t="shared" si="179"/>
        <v>9.847332633764333E-2</v>
      </c>
      <c r="AC191" s="84">
        <f t="shared" si="180"/>
        <v>3.0880477160946289</v>
      </c>
      <c r="AD191" s="84">
        <f t="shared" si="181"/>
        <v>7.0689490345332076E-2</v>
      </c>
      <c r="AE191" s="84">
        <f t="shared" si="182"/>
        <v>3.9988858733140016</v>
      </c>
      <c r="AF191" s="84">
        <f t="shared" si="183"/>
        <v>6.211941352226636E-2</v>
      </c>
      <c r="AG191" s="84">
        <f t="shared" si="184"/>
        <v>4.448967080721606</v>
      </c>
      <c r="AH191" s="84">
        <f t="shared" si="185"/>
        <v>5.8893485171406267E-2</v>
      </c>
      <c r="AI191" s="84">
        <f t="shared" si="186"/>
        <v>4.6529894931863334</v>
      </c>
      <c r="AJ191" s="84">
        <f t="shared" si="187"/>
        <v>5.7587843502441727E-2</v>
      </c>
      <c r="AK191" s="84">
        <f t="shared" si="188"/>
        <v>4.7421722430207582</v>
      </c>
      <c r="AL191" s="84">
        <f t="shared" si="189"/>
        <v>5.7043765989904606E-2</v>
      </c>
      <c r="AM191" s="84">
        <f t="shared" si="190"/>
        <v>4.7805600876344148</v>
      </c>
      <c r="AN191" s="84">
        <f t="shared" si="191"/>
        <v>5.6814273951781791E-2</v>
      </c>
      <c r="AO191" s="84">
        <f t="shared" si="192"/>
        <v>4.7969759720579939</v>
      </c>
      <c r="AP191" s="84">
        <f t="shared" si="193"/>
        <v>5.6716977671073809E-2</v>
      </c>
      <c r="AQ191" s="84">
        <f t="shared" si="194"/>
        <v>4.8039764244708287</v>
      </c>
      <c r="AR191" s="84">
        <f t="shared" si="195"/>
        <v>5.6675638037100393E-2</v>
      </c>
      <c r="AS191" s="84">
        <f t="shared" si="196"/>
        <v>4.8069581913563537</v>
      </c>
      <c r="AT191" s="84">
        <f t="shared" si="197"/>
        <v>5.6658057298004542E-2</v>
      </c>
      <c r="AU191" s="84">
        <f t="shared" si="198"/>
        <v>4.8082276029218018</v>
      </c>
      <c r="AV191" s="84">
        <f t="shared" si="199"/>
        <v>5.6650577708142934E-2</v>
      </c>
      <c r="AW191" s="84">
        <f t="shared" si="200"/>
        <v>4.8087679068172449</v>
      </c>
      <c r="AX191" s="84">
        <f t="shared" si="201"/>
        <v>5.6647395043868537E-2</v>
      </c>
      <c r="AY191" s="142">
        <v>0.31140000000000001</v>
      </c>
      <c r="AZ191" s="46">
        <f t="shared" si="153"/>
        <v>0.70111649906370166</v>
      </c>
      <c r="BA191" s="85">
        <f t="shared" si="154"/>
        <v>1.5913162106441168</v>
      </c>
      <c r="BB191" s="85">
        <f t="shared" si="155"/>
        <v>0.62280000000000002</v>
      </c>
      <c r="BC191" s="85">
        <f t="shared" si="156"/>
        <v>1.2881510261021294</v>
      </c>
      <c r="BD191" s="85">
        <f t="shared" si="157"/>
        <v>0.69221890411736675</v>
      </c>
      <c r="BE191" s="85">
        <f t="shared" si="158"/>
        <v>1.2589759003597407</v>
      </c>
      <c r="BF191" s="85">
        <f t="shared" si="159"/>
        <v>0.70019360339304149</v>
      </c>
      <c r="BG191" s="85">
        <f t="shared" si="160"/>
        <v>1.2560032109214738</v>
      </c>
      <c r="BH191" s="85">
        <f t="shared" si="161"/>
        <v>0.70102171751561837</v>
      </c>
      <c r="BI191" s="85">
        <f t="shared" si="162"/>
        <v>1.255698475771077</v>
      </c>
      <c r="BJ191" s="85">
        <f t="shared" si="163"/>
        <v>0.70110677495712626</v>
      </c>
      <c r="BK191" s="85">
        <f t="shared" si="164"/>
        <v>1.2556672173532075</v>
      </c>
      <c r="BL191" s="85">
        <f t="shared" si="165"/>
        <v>0.70111550153366309</v>
      </c>
      <c r="BM191" s="85">
        <f t="shared" si="166"/>
        <v>1.2556640107938182</v>
      </c>
      <c r="BN191" s="85">
        <f t="shared" si="167"/>
        <v>0.70111639674410153</v>
      </c>
      <c r="BO191" s="85">
        <f t="shared" si="168"/>
        <v>1.2556636818555202</v>
      </c>
      <c r="BP191" s="85">
        <f t="shared" si="169"/>
        <v>0.70111648857761644</v>
      </c>
      <c r="BQ191" s="85">
        <f t="shared" si="170"/>
        <v>1.2556636481120389</v>
      </c>
      <c r="BR191" s="85">
        <f t="shared" si="171"/>
        <v>0.70111649799817699</v>
      </c>
      <c r="BS191" s="85">
        <f t="shared" si="172"/>
        <v>1.2556636446505309</v>
      </c>
      <c r="BT191" s="85">
        <f t="shared" si="173"/>
        <v>0.70111649896456651</v>
      </c>
      <c r="BU191" s="85">
        <f t="shared" si="174"/>
        <v>1.255663644295439</v>
      </c>
      <c r="BV191" s="85">
        <f t="shared" si="175"/>
        <v>0.70111649906370166</v>
      </c>
      <c r="BW191" s="85">
        <f t="shared" si="176"/>
        <v>1.2556636442590126</v>
      </c>
    </row>
    <row r="192" spans="25:75" x14ac:dyDescent="0.4">
      <c r="Y192" s="142">
        <v>0.3211</v>
      </c>
      <c r="Z192" s="46">
        <f t="shared" si="177"/>
        <v>5.9124905189702058E-2</v>
      </c>
      <c r="AA192" s="84">
        <f t="shared" si="178"/>
        <v>1.5722979498053791</v>
      </c>
      <c r="AB192" s="84">
        <f t="shared" si="179"/>
        <v>0.10154073566800666</v>
      </c>
      <c r="AC192" s="84">
        <f t="shared" si="180"/>
        <v>3.0188316996954745</v>
      </c>
      <c r="AD192" s="84">
        <f t="shared" si="181"/>
        <v>7.328047551100518E-2</v>
      </c>
      <c r="AE192" s="84">
        <f t="shared" si="182"/>
        <v>3.8839323958681971</v>
      </c>
      <c r="AF192" s="84">
        <f t="shared" si="183"/>
        <v>6.4605858022090984E-2</v>
      </c>
      <c r="AG192" s="84">
        <f t="shared" si="184"/>
        <v>4.305848888657998</v>
      </c>
      <c r="AH192" s="84">
        <f t="shared" si="185"/>
        <v>6.1359009090169447E-2</v>
      </c>
      <c r="AI192" s="84">
        <f t="shared" si="186"/>
        <v>4.495093648194965</v>
      </c>
      <c r="AJ192" s="84">
        <f t="shared" si="187"/>
        <v>6.00535046841204E-2</v>
      </c>
      <c r="AK192" s="84">
        <f t="shared" si="188"/>
        <v>4.5770581882514252</v>
      </c>
      <c r="AL192" s="84">
        <f t="shared" si="189"/>
        <v>5.9513365821707083E-2</v>
      </c>
      <c r="AM192" s="84">
        <f t="shared" si="190"/>
        <v>4.6120397161425508</v>
      </c>
      <c r="AN192" s="84">
        <f t="shared" si="191"/>
        <v>5.9287236897109789E-2</v>
      </c>
      <c r="AO192" s="84">
        <f t="shared" si="192"/>
        <v>4.6268771347923803</v>
      </c>
      <c r="AP192" s="84">
        <f t="shared" si="193"/>
        <v>5.9192099735426218E-2</v>
      </c>
      <c r="AQ192" s="84">
        <f t="shared" si="194"/>
        <v>4.6331539824149752</v>
      </c>
      <c r="AR192" s="84">
        <f t="shared" si="195"/>
        <v>5.9151990372046978E-2</v>
      </c>
      <c r="AS192" s="84">
        <f t="shared" si="196"/>
        <v>4.6358064199407627</v>
      </c>
      <c r="AT192" s="84">
        <f t="shared" si="197"/>
        <v>5.913506565670517E-2</v>
      </c>
      <c r="AU192" s="84">
        <f t="shared" si="198"/>
        <v>4.6369267506472944</v>
      </c>
      <c r="AV192" s="84">
        <f t="shared" si="199"/>
        <v>5.9127921395467041E-2</v>
      </c>
      <c r="AW192" s="84">
        <f t="shared" si="200"/>
        <v>4.637399860308685</v>
      </c>
      <c r="AX192" s="84">
        <f t="shared" si="201"/>
        <v>5.9124905189702058E-2</v>
      </c>
      <c r="AY192" s="142">
        <v>0.3211</v>
      </c>
      <c r="AZ192" s="46">
        <f t="shared" si="153"/>
        <v>0.72062595405864149</v>
      </c>
      <c r="BA192" s="85">
        <f t="shared" si="154"/>
        <v>1.5722979498053791</v>
      </c>
      <c r="BB192" s="85">
        <f t="shared" si="155"/>
        <v>0.64219999999999999</v>
      </c>
      <c r="BC192" s="85">
        <f t="shared" si="156"/>
        <v>1.2793458908470774</v>
      </c>
      <c r="BD192" s="85">
        <f t="shared" si="157"/>
        <v>0.71194056026936425</v>
      </c>
      <c r="BE192" s="85">
        <f t="shared" si="158"/>
        <v>1.2517481084954141</v>
      </c>
      <c r="BF192" s="85">
        <f t="shared" si="159"/>
        <v>0.71974598910881238</v>
      </c>
      <c r="BG192" s="85">
        <f t="shared" si="160"/>
        <v>1.2489990428032349</v>
      </c>
      <c r="BH192" s="85">
        <f t="shared" si="161"/>
        <v>0.72053763961711792</v>
      </c>
      <c r="BI192" s="85">
        <f t="shared" si="162"/>
        <v>1.2487236137811004</v>
      </c>
      <c r="BJ192" s="85">
        <f t="shared" si="163"/>
        <v>0.720617099168123</v>
      </c>
      <c r="BK192" s="85">
        <f t="shared" si="164"/>
        <v>1.2486960024616172</v>
      </c>
      <c r="BL192" s="85">
        <f t="shared" si="165"/>
        <v>0.72062506631101442</v>
      </c>
      <c r="BM192" s="85">
        <f t="shared" si="166"/>
        <v>1.2486932343093022</v>
      </c>
      <c r="BN192" s="85">
        <f t="shared" si="167"/>
        <v>0.72062586506557846</v>
      </c>
      <c r="BO192" s="85">
        <f t="shared" si="168"/>
        <v>1.2486929567886242</v>
      </c>
      <c r="BP192" s="85">
        <f t="shared" si="169"/>
        <v>0.7206259451447391</v>
      </c>
      <c r="BQ192" s="85">
        <f t="shared" si="170"/>
        <v>1.2486929289658157</v>
      </c>
      <c r="BR192" s="85">
        <f t="shared" si="171"/>
        <v>0.72062595317306899</v>
      </c>
      <c r="BS192" s="85">
        <f t="shared" si="172"/>
        <v>1.2486929261764426</v>
      </c>
      <c r="BT192" s="85">
        <f t="shared" si="173"/>
        <v>0.72062595397794837</v>
      </c>
      <c r="BU192" s="85">
        <f t="shared" si="174"/>
        <v>1.2486929258967943</v>
      </c>
      <c r="BV192" s="85">
        <f t="shared" si="175"/>
        <v>0.72062595405864149</v>
      </c>
      <c r="BW192" s="85">
        <f t="shared" si="176"/>
        <v>1.248692925868758</v>
      </c>
    </row>
    <row r="193" spans="25:75" x14ac:dyDescent="0.4">
      <c r="Y193" s="142">
        <v>0.33110000000000001</v>
      </c>
      <c r="Z193" s="46">
        <f t="shared" si="177"/>
        <v>6.1709535513395412E-2</v>
      </c>
      <c r="AA193" s="84">
        <f t="shared" si="178"/>
        <v>1.5539426700408883</v>
      </c>
      <c r="AB193" s="84">
        <f t="shared" si="179"/>
        <v>0.10470301332817504</v>
      </c>
      <c r="AC193" s="84">
        <f t="shared" si="180"/>
        <v>2.9518665171683036</v>
      </c>
      <c r="AD193" s="84">
        <f t="shared" si="181"/>
        <v>7.5967584820169354E-2</v>
      </c>
      <c r="AE193" s="84">
        <f t="shared" si="182"/>
        <v>3.7731773739662562</v>
      </c>
      <c r="AF193" s="84">
        <f t="shared" si="183"/>
        <v>6.7192850609071722E-2</v>
      </c>
      <c r="AG193" s="84">
        <f t="shared" si="184"/>
        <v>4.1683879096549656</v>
      </c>
      <c r="AH193" s="84">
        <f t="shared" si="185"/>
        <v>6.3928220127230706E-2</v>
      </c>
      <c r="AI193" s="84">
        <f t="shared" si="186"/>
        <v>4.3437297548720029</v>
      </c>
      <c r="AJ193" s="84">
        <f t="shared" si="187"/>
        <v>6.2624645140527263E-2</v>
      </c>
      <c r="AK193" s="84">
        <f t="shared" si="188"/>
        <v>4.418949572845543</v>
      </c>
      <c r="AL193" s="84">
        <f t="shared" si="189"/>
        <v>6.2089355823157576E-2</v>
      </c>
      <c r="AM193" s="84">
        <f t="shared" si="190"/>
        <v>4.4507685779395842</v>
      </c>
      <c r="AN193" s="84">
        <f t="shared" si="191"/>
        <v>6.1867016113329815E-2</v>
      </c>
      <c r="AO193" s="84">
        <f t="shared" si="192"/>
        <v>4.4641497470928275</v>
      </c>
      <c r="AP193" s="84">
        <f t="shared" si="193"/>
        <v>6.1774224164933826E-2</v>
      </c>
      <c r="AQ193" s="84">
        <f t="shared" si="194"/>
        <v>4.4697632733098125</v>
      </c>
      <c r="AR193" s="84">
        <f t="shared" si="195"/>
        <v>6.173542119589142E-2</v>
      </c>
      <c r="AS193" s="84">
        <f t="shared" si="196"/>
        <v>4.4721157822022297</v>
      </c>
      <c r="AT193" s="84">
        <f t="shared" si="197"/>
        <v>6.171918142941122E-2</v>
      </c>
      <c r="AU193" s="84">
        <f t="shared" si="198"/>
        <v>4.473101244404047</v>
      </c>
      <c r="AV193" s="84">
        <f t="shared" si="199"/>
        <v>6.1712382424943417E-2</v>
      </c>
      <c r="AW193" s="84">
        <f t="shared" si="200"/>
        <v>4.4735139785862055</v>
      </c>
      <c r="AX193" s="84">
        <f t="shared" si="201"/>
        <v>6.1709535513395412E-2</v>
      </c>
      <c r="AY193" s="142">
        <v>0.33110000000000001</v>
      </c>
      <c r="AZ193" s="46">
        <f t="shared" si="153"/>
        <v>0.74073617900244781</v>
      </c>
      <c r="BA193" s="85">
        <f t="shared" si="154"/>
        <v>1.5539426700408883</v>
      </c>
      <c r="BB193" s="85">
        <f t="shared" si="155"/>
        <v>0.66220000000000001</v>
      </c>
      <c r="BC193" s="85">
        <f t="shared" si="156"/>
        <v>1.2708227043318756</v>
      </c>
      <c r="BD193" s="85">
        <f t="shared" si="157"/>
        <v>0.73225810926842338</v>
      </c>
      <c r="BE193" s="85">
        <f t="shared" si="158"/>
        <v>1.2447168009934595</v>
      </c>
      <c r="BF193" s="85">
        <f t="shared" si="159"/>
        <v>0.73989722197761421</v>
      </c>
      <c r="BG193" s="85">
        <f t="shared" si="160"/>
        <v>1.242174791170332</v>
      </c>
      <c r="BH193" s="85">
        <f t="shared" si="161"/>
        <v>0.74065390483884797</v>
      </c>
      <c r="BI193" s="85">
        <f t="shared" si="162"/>
        <v>1.2419258986869588</v>
      </c>
      <c r="BJ193" s="85">
        <f t="shared" si="163"/>
        <v>0.7407281177829661</v>
      </c>
      <c r="BK193" s="85">
        <f t="shared" si="164"/>
        <v>1.2419015159842826</v>
      </c>
      <c r="BL193" s="85">
        <f t="shared" si="165"/>
        <v>0.74073538923910776</v>
      </c>
      <c r="BM193" s="85">
        <f t="shared" si="166"/>
        <v>1.2418991272107156</v>
      </c>
      <c r="BN193" s="85">
        <f t="shared" si="167"/>
        <v>0.74073610163523884</v>
      </c>
      <c r="BO193" s="85">
        <f t="shared" si="168"/>
        <v>1.2418988931813326</v>
      </c>
      <c r="BP193" s="85">
        <f t="shared" si="169"/>
        <v>0.74073617142916726</v>
      </c>
      <c r="BQ193" s="85">
        <f t="shared" si="170"/>
        <v>1.2418988702533409</v>
      </c>
      <c r="BR193" s="85">
        <f t="shared" si="171"/>
        <v>0.74073617826691907</v>
      </c>
      <c r="BS193" s="85">
        <f t="shared" si="172"/>
        <v>1.2418988680070726</v>
      </c>
      <c r="BT193" s="85">
        <f t="shared" si="173"/>
        <v>0.74073617893681742</v>
      </c>
      <c r="BU193" s="85">
        <f t="shared" si="174"/>
        <v>1.2418988677870044</v>
      </c>
      <c r="BV193" s="85">
        <f t="shared" si="175"/>
        <v>0.74073617900244781</v>
      </c>
      <c r="BW193" s="85">
        <f t="shared" si="176"/>
        <v>1.2418988677654441</v>
      </c>
    </row>
    <row r="194" spans="25:75" x14ac:dyDescent="0.4">
      <c r="Y194" s="142">
        <v>0.34150000000000003</v>
      </c>
      <c r="Z194" s="46">
        <f t="shared" si="177"/>
        <v>6.4428893498285525E-2</v>
      </c>
      <c r="AA194" s="84">
        <f t="shared" si="178"/>
        <v>1.5360752850564778</v>
      </c>
      <c r="AB194" s="84">
        <f t="shared" si="179"/>
        <v>0.10799178209475016</v>
      </c>
      <c r="AC194" s="84">
        <f t="shared" si="180"/>
        <v>2.8865316630116995</v>
      </c>
      <c r="AD194" s="84">
        <f t="shared" si="181"/>
        <v>7.8778697476914489E-2</v>
      </c>
      <c r="AE194" s="84">
        <f t="shared" si="182"/>
        <v>3.6655833187373132</v>
      </c>
      <c r="AF194" s="84">
        <f t="shared" si="183"/>
        <v>6.9907763938727441E-2</v>
      </c>
      <c r="AG194" s="84">
        <f t="shared" si="184"/>
        <v>4.0352787209261933</v>
      </c>
      <c r="AH194" s="84">
        <f t="shared" si="185"/>
        <v>6.6628523627394839E-2</v>
      </c>
      <c r="AI194" s="84">
        <f t="shared" si="186"/>
        <v>4.1974459149216514</v>
      </c>
      <c r="AJ194" s="84">
        <f t="shared" si="187"/>
        <v>6.5328758406592205E-2</v>
      </c>
      <c r="AK194" s="84">
        <f t="shared" si="188"/>
        <v>4.2663201220467251</v>
      </c>
      <c r="AL194" s="84">
        <f t="shared" si="189"/>
        <v>6.4799288758476403E-2</v>
      </c>
      <c r="AM194" s="84">
        <f t="shared" si="190"/>
        <v>4.2951838923471648</v>
      </c>
      <c r="AN194" s="84">
        <f t="shared" si="191"/>
        <v>6.4581195116693621E-2</v>
      </c>
      <c r="AO194" s="84">
        <f t="shared" si="192"/>
        <v>4.3072133805581867</v>
      </c>
      <c r="AP194" s="84">
        <f t="shared" si="193"/>
        <v>6.4490948610914825E-2</v>
      </c>
      <c r="AQ194" s="84">
        <f t="shared" si="194"/>
        <v>4.312215391804247</v>
      </c>
      <c r="AR194" s="84">
        <f t="shared" si="195"/>
        <v>6.4453534193762443E-2</v>
      </c>
      <c r="AS194" s="84">
        <f t="shared" si="196"/>
        <v>4.3142933106693011</v>
      </c>
      <c r="AT194" s="84">
        <f t="shared" si="197"/>
        <v>6.4438010753984254E-2</v>
      </c>
      <c r="AU194" s="84">
        <f t="shared" si="198"/>
        <v>4.3151561716557509</v>
      </c>
      <c r="AV194" s="84">
        <f t="shared" si="199"/>
        <v>6.4431567901965234E-2</v>
      </c>
      <c r="AW194" s="84">
        <f t="shared" si="200"/>
        <v>4.315514418039827</v>
      </c>
      <c r="AX194" s="84">
        <f t="shared" si="201"/>
        <v>6.4428893498285525E-2</v>
      </c>
      <c r="AY194" s="142">
        <v>0.34150000000000003</v>
      </c>
      <c r="AZ194" s="46">
        <f t="shared" si="153"/>
        <v>0.76164868831923282</v>
      </c>
      <c r="BA194" s="85">
        <f t="shared" si="154"/>
        <v>1.5360752850564778</v>
      </c>
      <c r="BB194" s="85">
        <f t="shared" si="155"/>
        <v>0.68300000000000005</v>
      </c>
      <c r="BC194" s="85">
        <f t="shared" si="156"/>
        <v>1.2625007794280658</v>
      </c>
      <c r="BD194" s="85">
        <f t="shared" si="157"/>
        <v>0.75337486561004274</v>
      </c>
      <c r="BE194" s="85">
        <f t="shared" si="158"/>
        <v>1.2378177306369116</v>
      </c>
      <c r="BF194" s="85">
        <f t="shared" si="159"/>
        <v>0.7608492289196026</v>
      </c>
      <c r="BG194" s="85">
        <f t="shared" si="160"/>
        <v>1.2354690089998381</v>
      </c>
      <c r="BH194" s="85">
        <f t="shared" si="161"/>
        <v>0.76157210198350767</v>
      </c>
      <c r="BI194" s="85">
        <f t="shared" si="162"/>
        <v>1.2352443382135394</v>
      </c>
      <c r="BJ194" s="85">
        <f t="shared" si="163"/>
        <v>0.76164135760289375</v>
      </c>
      <c r="BK194" s="85">
        <f t="shared" si="164"/>
        <v>1.2352228361190416</v>
      </c>
      <c r="BL194" s="85">
        <f t="shared" si="165"/>
        <v>0.76164798669551415</v>
      </c>
      <c r="BM194" s="85">
        <f t="shared" si="166"/>
        <v>1.2352207781639013</v>
      </c>
      <c r="BN194" s="85">
        <f t="shared" si="167"/>
        <v>0.76164862117186216</v>
      </c>
      <c r="BO194" s="85">
        <f t="shared" si="168"/>
        <v>1.2352205811970924</v>
      </c>
      <c r="BP194" s="85">
        <f t="shared" si="169"/>
        <v>0.76164868189765267</v>
      </c>
      <c r="BQ194" s="85">
        <f t="shared" si="170"/>
        <v>1.2352205623453982</v>
      </c>
      <c r="BR194" s="85">
        <f t="shared" si="171"/>
        <v>0.76164868770971916</v>
      </c>
      <c r="BS194" s="85">
        <f t="shared" si="172"/>
        <v>1.2352205605411024</v>
      </c>
      <c r="BT194" s="85">
        <f t="shared" si="173"/>
        <v>0.76164868826599197</v>
      </c>
      <c r="BU194" s="85">
        <f t="shared" si="174"/>
        <v>1.2352205603684134</v>
      </c>
      <c r="BV194" s="85">
        <f t="shared" si="175"/>
        <v>0.76164868831923282</v>
      </c>
      <c r="BW194" s="85">
        <f t="shared" si="176"/>
        <v>1.2352205603518853</v>
      </c>
    </row>
    <row r="195" spans="25:75" x14ac:dyDescent="0.4">
      <c r="Y195" s="142">
        <v>0.35210000000000002</v>
      </c>
      <c r="Z195" s="46">
        <f t="shared" si="177"/>
        <v>6.72318540824694E-2</v>
      </c>
      <c r="AA195" s="84">
        <f t="shared" si="178"/>
        <v>1.5190272659481332</v>
      </c>
      <c r="AB195" s="84">
        <f t="shared" si="179"/>
        <v>0.11134379641452864</v>
      </c>
      <c r="AC195" s="84">
        <f t="shared" si="180"/>
        <v>2.8240595287803858</v>
      </c>
      <c r="AD195" s="84">
        <f t="shared" si="181"/>
        <v>8.1660472074774795E-2</v>
      </c>
      <c r="AE195" s="84">
        <f t="shared" si="182"/>
        <v>3.5631598331786662</v>
      </c>
      <c r="AF195" s="84">
        <f t="shared" si="183"/>
        <v>7.2699455437575125E-2</v>
      </c>
      <c r="AG195" s="84">
        <f t="shared" si="184"/>
        <v>3.9089820179300756</v>
      </c>
      <c r="AH195" s="84">
        <f t="shared" si="185"/>
        <v>6.9409189552110048E-2</v>
      </c>
      <c r="AI195" s="84">
        <f t="shared" si="186"/>
        <v>4.0589268217021344</v>
      </c>
      <c r="AJ195" s="84">
        <f t="shared" si="187"/>
        <v>6.8115068702015821E-2</v>
      </c>
      <c r="AK195" s="84">
        <f t="shared" si="188"/>
        <v>4.1219582565478419</v>
      </c>
      <c r="AL195" s="84">
        <f t="shared" si="189"/>
        <v>6.7592267380462839E-2</v>
      </c>
      <c r="AM195" s="84">
        <f t="shared" si="190"/>
        <v>4.1481203711512009</v>
      </c>
      <c r="AN195" s="84">
        <f t="shared" si="191"/>
        <v>6.7378778672046225E-2</v>
      </c>
      <c r="AO195" s="84">
        <f t="shared" si="192"/>
        <v>4.1589229050047898</v>
      </c>
      <c r="AP195" s="84">
        <f t="shared" si="193"/>
        <v>6.7291215760635514E-2</v>
      </c>
      <c r="AQ195" s="84">
        <f t="shared" si="194"/>
        <v>4.1633738082141702</v>
      </c>
      <c r="AR195" s="84">
        <f t="shared" si="195"/>
        <v>6.7255236913601038E-2</v>
      </c>
      <c r="AS195" s="84">
        <f t="shared" si="196"/>
        <v>4.16520607224078</v>
      </c>
      <c r="AT195" s="84">
        <f t="shared" si="197"/>
        <v>6.7240442578805237E-2</v>
      </c>
      <c r="AU195" s="84">
        <f t="shared" si="198"/>
        <v>4.1659600708954727</v>
      </c>
      <c r="AV195" s="84">
        <f t="shared" si="199"/>
        <v>6.7234357367160491E-2</v>
      </c>
      <c r="AW195" s="84">
        <f t="shared" si="200"/>
        <v>4.166270304143044</v>
      </c>
      <c r="AX195" s="84">
        <f t="shared" si="201"/>
        <v>6.72318540824694E-2</v>
      </c>
      <c r="AY195" s="142">
        <v>0.35210000000000002</v>
      </c>
      <c r="AZ195" s="46">
        <f t="shared" si="153"/>
        <v>0.78296171449786611</v>
      </c>
      <c r="BA195" s="85">
        <f t="shared" si="154"/>
        <v>1.5190272659481332</v>
      </c>
      <c r="BB195" s="85">
        <f t="shared" si="155"/>
        <v>0.70420000000000005</v>
      </c>
      <c r="BC195" s="85">
        <f t="shared" si="156"/>
        <v>1.2545356993234307</v>
      </c>
      <c r="BD195" s="85">
        <f t="shared" si="157"/>
        <v>0.77488507008920415</v>
      </c>
      <c r="BE195" s="85">
        <f t="shared" si="158"/>
        <v>1.2311826878629182</v>
      </c>
      <c r="BF195" s="85">
        <f t="shared" si="159"/>
        <v>0.7821995384750885</v>
      </c>
      <c r="BG195" s="85">
        <f t="shared" si="160"/>
        <v>1.2290108047472124</v>
      </c>
      <c r="BH195" s="85">
        <f t="shared" si="161"/>
        <v>0.7828903770279394</v>
      </c>
      <c r="BI195" s="85">
        <f t="shared" si="162"/>
        <v>1.2288078007876324</v>
      </c>
      <c r="BJ195" s="85">
        <f t="shared" si="163"/>
        <v>0.78295504266683458</v>
      </c>
      <c r="BK195" s="85">
        <f t="shared" si="164"/>
        <v>1.2287888172781893</v>
      </c>
      <c r="BL195" s="85">
        <f t="shared" si="165"/>
        <v>0.78296109056409402</v>
      </c>
      <c r="BM195" s="85">
        <f t="shared" si="166"/>
        <v>1.2287870419952769</v>
      </c>
      <c r="BN195" s="85">
        <f t="shared" si="167"/>
        <v>0.78296165615312441</v>
      </c>
      <c r="BO195" s="85">
        <f t="shared" si="168"/>
        <v>1.2287868759752703</v>
      </c>
      <c r="BP195" s="85">
        <f t="shared" si="169"/>
        <v>0.7829617090456551</v>
      </c>
      <c r="BQ195" s="85">
        <f t="shared" si="170"/>
        <v>1.2287868604494894</v>
      </c>
      <c r="BR195" s="85">
        <f t="shared" si="171"/>
        <v>0.7829617139920344</v>
      </c>
      <c r="BS195" s="85">
        <f t="shared" si="172"/>
        <v>1.2287868589975568</v>
      </c>
      <c r="BT195" s="85">
        <f t="shared" si="173"/>
        <v>0.78296171445460749</v>
      </c>
      <c r="BU195" s="85">
        <f t="shared" si="174"/>
        <v>1.2287868588617756</v>
      </c>
      <c r="BV195" s="85">
        <f t="shared" si="175"/>
        <v>0.78296171449786611</v>
      </c>
      <c r="BW195" s="85">
        <f t="shared" si="176"/>
        <v>1.2287868588490778</v>
      </c>
    </row>
    <row r="196" spans="25:75" x14ac:dyDescent="0.4">
      <c r="Y196" s="142">
        <v>0.36309999999999998</v>
      </c>
      <c r="Z196" s="46">
        <f t="shared" si="177"/>
        <v>7.0172318604621614E-2</v>
      </c>
      <c r="AA196" s="84">
        <f t="shared" si="178"/>
        <v>1.5024615758378124</v>
      </c>
      <c r="AB196" s="84">
        <f t="shared" si="179"/>
        <v>0.11482230184071383</v>
      </c>
      <c r="AC196" s="84">
        <f t="shared" si="180"/>
        <v>2.7632352760321037</v>
      </c>
      <c r="AD196" s="84">
        <f t="shared" si="181"/>
        <v>8.4667942012896527E-2</v>
      </c>
      <c r="AE196" s="84">
        <f t="shared" si="182"/>
        <v>3.463893049827274</v>
      </c>
      <c r="AF196" s="84">
        <f t="shared" si="183"/>
        <v>7.5621571591746817E-2</v>
      </c>
      <c r="AG196" s="84">
        <f t="shared" si="184"/>
        <v>3.7869873410626438</v>
      </c>
      <c r="AH196" s="84">
        <f t="shared" si="185"/>
        <v>7.2323762152220181E-2</v>
      </c>
      <c r="AI196" s="84">
        <f t="shared" si="186"/>
        <v>3.9253984252677121</v>
      </c>
      <c r="AJ196" s="84">
        <f t="shared" si="187"/>
        <v>7.103723746398756E-2</v>
      </c>
      <c r="AK196" s="84">
        <f t="shared" si="188"/>
        <v>3.9829595478100992</v>
      </c>
      <c r="AL196" s="84">
        <f t="shared" si="189"/>
        <v>7.0522059724122427E-2</v>
      </c>
      <c r="AM196" s="84">
        <f t="shared" si="190"/>
        <v>4.0066111789532535</v>
      </c>
      <c r="AN196" s="84">
        <f t="shared" si="191"/>
        <v>7.0313600440281565E-2</v>
      </c>
      <c r="AO196" s="84">
        <f t="shared" si="192"/>
        <v>4.0162820784823037</v>
      </c>
      <c r="AP196" s="84">
        <f t="shared" si="193"/>
        <v>7.0228894536899802E-2</v>
      </c>
      <c r="AQ196" s="84">
        <f t="shared" si="194"/>
        <v>4.0202285308848085</v>
      </c>
      <c r="AR196" s="84">
        <f t="shared" si="195"/>
        <v>7.0194416019315614E-2</v>
      </c>
      <c r="AS196" s="84">
        <f t="shared" si="196"/>
        <v>4.0218376720816353</v>
      </c>
      <c r="AT196" s="84">
        <f t="shared" si="197"/>
        <v>7.0180372187092721E-2</v>
      </c>
      <c r="AU196" s="84">
        <f t="shared" si="198"/>
        <v>4.0224935722148381</v>
      </c>
      <c r="AV196" s="84">
        <f t="shared" si="199"/>
        <v>7.0174650214983009E-2</v>
      </c>
      <c r="AW196" s="84">
        <f t="shared" si="200"/>
        <v>4.0227608868395759</v>
      </c>
      <c r="AX196" s="84">
        <f t="shared" si="201"/>
        <v>7.0172318604621614E-2</v>
      </c>
      <c r="AY196" s="142">
        <v>0.36309999999999998</v>
      </c>
      <c r="AZ196" s="46">
        <f t="shared" si="153"/>
        <v>0.80507773621576706</v>
      </c>
      <c r="BA196" s="85">
        <f t="shared" si="154"/>
        <v>1.5024615758378124</v>
      </c>
      <c r="BB196" s="85">
        <f t="shared" si="155"/>
        <v>0.72619999999999996</v>
      </c>
      <c r="BC196" s="85">
        <f t="shared" si="156"/>
        <v>1.2467714113954735</v>
      </c>
      <c r="BD196" s="85">
        <f t="shared" si="157"/>
        <v>0.7971949042473031</v>
      </c>
      <c r="BE196" s="85">
        <f t="shared" si="158"/>
        <v>1.2246845043761847</v>
      </c>
      <c r="BF196" s="85">
        <f t="shared" si="159"/>
        <v>0.8043513965638609</v>
      </c>
      <c r="BG196" s="85">
        <f t="shared" si="160"/>
        <v>1.2226773767976171</v>
      </c>
      <c r="BH196" s="85">
        <f t="shared" si="161"/>
        <v>0.80501133101868172</v>
      </c>
      <c r="BI196" s="85">
        <f t="shared" si="162"/>
        <v>1.2224941092596411</v>
      </c>
      <c r="BJ196" s="85">
        <f t="shared" si="163"/>
        <v>0.80507166951631715</v>
      </c>
      <c r="BK196" s="85">
        <f t="shared" si="164"/>
        <v>1.2224773680913477</v>
      </c>
      <c r="BL196" s="85">
        <f t="shared" si="165"/>
        <v>0.80507718200862044</v>
      </c>
      <c r="BM196" s="85">
        <f t="shared" si="166"/>
        <v>1.222475838753952</v>
      </c>
      <c r="BN196" s="85">
        <f t="shared" si="167"/>
        <v>0.8050776855908659</v>
      </c>
      <c r="BO196" s="85">
        <f t="shared" si="168"/>
        <v>1.2224756990455785</v>
      </c>
      <c r="BP196" s="85">
        <f t="shared" si="169"/>
        <v>0.80507773159427154</v>
      </c>
      <c r="BQ196" s="85">
        <f t="shared" si="170"/>
        <v>1.2224756862829036</v>
      </c>
      <c r="BR196" s="85">
        <f t="shared" si="171"/>
        <v>0.80507773579678676</v>
      </c>
      <c r="BS196" s="85">
        <f t="shared" si="172"/>
        <v>1.2224756851170042</v>
      </c>
      <c r="BT196" s="85">
        <f t="shared" si="173"/>
        <v>0.80507773618069611</v>
      </c>
      <c r="BU196" s="85">
        <f t="shared" si="174"/>
        <v>1.2224756850104967</v>
      </c>
      <c r="BV196" s="85">
        <f t="shared" si="175"/>
        <v>0.80507773621576706</v>
      </c>
      <c r="BW196" s="85">
        <f t="shared" si="176"/>
        <v>1.222475685000767</v>
      </c>
    </row>
    <row r="197" spans="25:75" x14ac:dyDescent="0.4">
      <c r="Y197" s="142">
        <v>0.37440000000000001</v>
      </c>
      <c r="Z197" s="46">
        <f t="shared" si="177"/>
        <v>7.3224856291684695E-2</v>
      </c>
      <c r="AA197" s="84">
        <f t="shared" si="178"/>
        <v>1.4865268969322474</v>
      </c>
      <c r="AB197" s="84">
        <f t="shared" si="179"/>
        <v>0.11839567559670412</v>
      </c>
      <c r="AC197" s="84">
        <f t="shared" si="180"/>
        <v>2.7046227552837268</v>
      </c>
      <c r="AD197" s="84">
        <f t="shared" si="181"/>
        <v>8.7774603651176966E-2</v>
      </c>
      <c r="AE197" s="84">
        <f t="shared" si="182"/>
        <v>3.3686861479624257</v>
      </c>
      <c r="AF197" s="84">
        <f t="shared" si="183"/>
        <v>7.8648772808419837E-2</v>
      </c>
      <c r="AG197" s="84">
        <f t="shared" si="184"/>
        <v>3.6703824728857599</v>
      </c>
      <c r="AH197" s="84">
        <f t="shared" si="185"/>
        <v>7.534710400907059E-2</v>
      </c>
      <c r="AI197" s="84">
        <f t="shared" si="186"/>
        <v>3.7980341526190746</v>
      </c>
      <c r="AJ197" s="84">
        <f t="shared" si="187"/>
        <v>7.4070076476439137E-2</v>
      </c>
      <c r="AK197" s="84">
        <f t="shared" si="188"/>
        <v>3.8505342087281336</v>
      </c>
      <c r="AL197" s="84">
        <f t="shared" si="189"/>
        <v>7.3563389722179587E-2</v>
      </c>
      <c r="AM197" s="84">
        <f t="shared" si="190"/>
        <v>3.8718815197129763</v>
      </c>
      <c r="AN197" s="84">
        <f t="shared" si="191"/>
        <v>7.3360316477396312E-2</v>
      </c>
      <c r="AO197" s="84">
        <f t="shared" si="192"/>
        <v>3.8805219016932679</v>
      </c>
      <c r="AP197" s="84">
        <f t="shared" si="193"/>
        <v>7.3278598810895532E-2</v>
      </c>
      <c r="AQ197" s="84">
        <f t="shared" si="194"/>
        <v>3.884012652581649</v>
      </c>
      <c r="AR197" s="84">
        <f t="shared" si="195"/>
        <v>7.324566189011289E-2</v>
      </c>
      <c r="AS197" s="84">
        <f t="shared" si="196"/>
        <v>3.8854218781474259</v>
      </c>
      <c r="AT197" s="84">
        <f t="shared" si="197"/>
        <v>7.3232377744454721E-2</v>
      </c>
      <c r="AU197" s="84">
        <f t="shared" si="198"/>
        <v>3.8859906149696335</v>
      </c>
      <c r="AV197" s="84">
        <f t="shared" si="199"/>
        <v>7.3227018560920037E-2</v>
      </c>
      <c r="AW197" s="84">
        <f t="shared" si="200"/>
        <v>3.8862201185136875</v>
      </c>
      <c r="AX197" s="84">
        <f t="shared" si="201"/>
        <v>7.3224856291684695E-2</v>
      </c>
      <c r="AY197" s="142">
        <v>0.37440000000000001</v>
      </c>
      <c r="AZ197" s="46">
        <f t="shared" ref="AZ197:AZ260" si="202">BV197</f>
        <v>0.82779596825083246</v>
      </c>
      <c r="BA197" s="85">
        <f t="shared" ref="BA197:BA260" si="203">(1+0.0712/$AY197*(2.514+0.8*EXP(-0.55*$AY197/0.0712)))</f>
        <v>1.4865268969322474</v>
      </c>
      <c r="BB197" s="85">
        <f t="shared" ref="BB197:BB260" si="204">AY197*SQRT($AZ$1/(1*1))</f>
        <v>0.74880000000000002</v>
      </c>
      <c r="BC197" s="85">
        <f t="shared" ref="BC197:BC260" si="205">(1+0.0712/BB197*(2.514+0.8*EXP(-0.55*BB197/0.0712)))</f>
        <v>1.2392788243261474</v>
      </c>
      <c r="BD197" s="85">
        <f t="shared" ref="BD197:BD260" si="206">$AY197*SQRT(($AZ$1*$BA197)/(1*1*BC197))</f>
        <v>0.82010169044481329</v>
      </c>
      <c r="BE197" s="85">
        <f t="shared" ref="BE197:BE260" si="207">(1+0.0712/BD197*(2.514+0.8*EXP(-0.55*BD197/0.0712)))</f>
        <v>1.2183848599501992</v>
      </c>
      <c r="BF197" s="85">
        <f t="shared" ref="BF197:BF260" si="208">$AY197*SQRT(($AZ$1*$BA197)/(1*1*BE197))</f>
        <v>0.82710372113567188</v>
      </c>
      <c r="BG197" s="85">
        <f t="shared" ref="BG197:BG260" si="209">(1+0.0712/BF197*(2.514+0.8*EXP(-0.55*BF197/0.0712)))</f>
        <v>1.2165296452767353</v>
      </c>
      <c r="BH197" s="85">
        <f t="shared" ref="BH197:BH260" si="210">$AY197*SQRT(($AZ$1*$BA197)/(1*1*BG197))</f>
        <v>0.82773414983027149</v>
      </c>
      <c r="BI197" s="85">
        <f t="shared" ref="BI197:BI260" si="211">(1+0.0712/BH197*(2.514+0.8*EXP(-0.55*BH197/0.0712)))</f>
        <v>1.2163641678745294</v>
      </c>
      <c r="BJ197" s="85">
        <f t="shared" ref="BJ197:BJ260" si="212">$AY197*SQRT(($AZ$1*$BA197)/(1*1*BI197))</f>
        <v>0.82779045148822938</v>
      </c>
      <c r="BK197" s="85">
        <f t="shared" ref="BK197:BK260" si="213">(1+0.0712/BJ197*(2.514+0.8*EXP(-0.55*BJ197/0.0712)))</f>
        <v>1.2163494019868624</v>
      </c>
      <c r="BL197" s="85">
        <f t="shared" ref="BL197:BL260" si="214">$AY197*SQRT(($AZ$1*$BA197)/(1*1*BK197))</f>
        <v>0.82779547595887215</v>
      </c>
      <c r="BM197" s="85">
        <f t="shared" ref="BM197:BM260" si="215">(1+0.0712/BL197*(2.514+0.8*EXP(-0.55*BL197/0.0712)))</f>
        <v>1.2163480843486978</v>
      </c>
      <c r="BN197" s="85">
        <f t="shared" ref="BN197:BN260" si="216">$AY197*SQRT(($AZ$1*$BA197)/(1*1*BM197))</f>
        <v>0.82779592432337823</v>
      </c>
      <c r="BO197" s="85">
        <f t="shared" ref="BO197:BO260" si="217">(1+0.0712/BN197*(2.514+0.8*EXP(-0.55*BN197/0.0712)))</f>
        <v>1.2163479667685029</v>
      </c>
      <c r="BP197" s="85">
        <f t="shared" ref="BP197:BP260" si="218">$AY197*SQRT(($AZ$1*$BA197)/(1*1*BO197))</f>
        <v>0.82779596433347657</v>
      </c>
      <c r="BQ197" s="85">
        <f t="shared" ref="BQ197:BQ260" si="219">(1+0.0712/BP197*(2.514+0.8*EXP(-0.55*BP197/0.0712)))</f>
        <v>1.2163479562761641</v>
      </c>
      <c r="BR197" s="85">
        <f t="shared" ref="BR197:BR260" si="220">$AY197*SQRT(($AZ$1*$BA197)/(1*1*BQ197))</f>
        <v>0.82779596790380183</v>
      </c>
      <c r="BS197" s="85">
        <f t="shared" ref="BS197:BS260" si="221">(1+0.0712/BR197*(2.514+0.8*EXP(-0.55*BR197/0.0712)))</f>
        <v>1.2163479553398739</v>
      </c>
      <c r="BT197" s="85">
        <f t="shared" ref="BT197:BT260" si="222">$AY197*SQRT(($AZ$1*$BA197)/(1*1*BS197))</f>
        <v>0.82779596822240198</v>
      </c>
      <c r="BU197" s="85">
        <f t="shared" ref="BU197:BU260" si="223">(1+0.0712/BT197*(2.514+0.8*EXP(-0.55*BT197/0.0712)))</f>
        <v>1.2163479552563234</v>
      </c>
      <c r="BV197" s="85">
        <f t="shared" ref="BV197:BV260" si="224">$AY197*SQRT(($AZ$1*$BA197)/(1*1*BU197))</f>
        <v>0.82779596825083246</v>
      </c>
      <c r="BW197" s="85">
        <f t="shared" ref="BW197:BW260" si="225">(1+0.0712/BV197*(2.514+0.8*EXP(-0.55*BV197/0.0712)))</f>
        <v>1.2163479552488679</v>
      </c>
    </row>
    <row r="198" spans="25:75" x14ac:dyDescent="0.4">
      <c r="Y198" s="142">
        <v>0.3861</v>
      </c>
      <c r="Z198" s="46">
        <f t="shared" si="177"/>
        <v>7.6417606088178602E-2</v>
      </c>
      <c r="AA198" s="84">
        <f t="shared" si="178"/>
        <v>1.4710766522104983</v>
      </c>
      <c r="AB198" s="84">
        <f t="shared" si="179"/>
        <v>0.12209554045910112</v>
      </c>
      <c r="AC198" s="84">
        <f t="shared" si="180"/>
        <v>2.6477006429180987</v>
      </c>
      <c r="AD198" s="84">
        <f t="shared" si="181"/>
        <v>9.1008721323740521E-2</v>
      </c>
      <c r="AE198" s="84">
        <f t="shared" si="182"/>
        <v>3.2766729666908612</v>
      </c>
      <c r="AF198" s="84">
        <f t="shared" si="183"/>
        <v>8.1808966070780989E-2</v>
      </c>
      <c r="AG198" s="84">
        <f t="shared" si="184"/>
        <v>3.5580825892137407</v>
      </c>
      <c r="AH198" s="84">
        <f t="shared" si="185"/>
        <v>7.8507191396918613E-2</v>
      </c>
      <c r="AI198" s="84">
        <f t="shared" si="186"/>
        <v>3.675630743059203</v>
      </c>
      <c r="AJ198" s="84">
        <f t="shared" si="187"/>
        <v>7.7241645186949717E-2</v>
      </c>
      <c r="AK198" s="84">
        <f t="shared" si="188"/>
        <v>3.7234192158363197</v>
      </c>
      <c r="AL198" s="84">
        <f t="shared" si="189"/>
        <v>7.6744362904681646E-2</v>
      </c>
      <c r="AM198" s="84">
        <f t="shared" si="190"/>
        <v>3.7426391638002912</v>
      </c>
      <c r="AN198" s="84">
        <f t="shared" si="191"/>
        <v>7.6547052773677918E-2</v>
      </c>
      <c r="AO198" s="84">
        <f t="shared" si="192"/>
        <v>3.7503360751394679</v>
      </c>
      <c r="AP198" s="84">
        <f t="shared" si="193"/>
        <v>7.6468462685686509E-2</v>
      </c>
      <c r="AQ198" s="84">
        <f t="shared" si="194"/>
        <v>3.7534131399398949</v>
      </c>
      <c r="AR198" s="84">
        <f t="shared" si="195"/>
        <v>7.6437111665888277E-2</v>
      </c>
      <c r="AS198" s="84">
        <f t="shared" si="196"/>
        <v>3.7546424452027711</v>
      </c>
      <c r="AT198" s="84">
        <f t="shared" si="197"/>
        <v>7.6424597526725951E-2</v>
      </c>
      <c r="AU198" s="84">
        <f t="shared" si="198"/>
        <v>3.7551334256871689</v>
      </c>
      <c r="AV198" s="84">
        <f t="shared" si="199"/>
        <v>7.6419601138014201E-2</v>
      </c>
      <c r="AW198" s="84">
        <f t="shared" si="200"/>
        <v>3.7553295002961615</v>
      </c>
      <c r="AX198" s="84">
        <f t="shared" si="201"/>
        <v>7.6417606088178602E-2</v>
      </c>
      <c r="AY198" s="142">
        <v>0.3861</v>
      </c>
      <c r="AZ198" s="46">
        <f t="shared" si="202"/>
        <v>0.85131767300457939</v>
      </c>
      <c r="BA198" s="85">
        <f t="shared" si="203"/>
        <v>1.4710766522104983</v>
      </c>
      <c r="BB198" s="85">
        <f t="shared" si="204"/>
        <v>0.7722</v>
      </c>
      <c r="BC198" s="85">
        <f t="shared" si="205"/>
        <v>1.2319904360963778</v>
      </c>
      <c r="BD198" s="85">
        <f t="shared" si="206"/>
        <v>0.84380827572793382</v>
      </c>
      <c r="BE198" s="85">
        <f t="shared" si="207"/>
        <v>1.2122293631069483</v>
      </c>
      <c r="BF198" s="85">
        <f t="shared" si="208"/>
        <v>0.85065811411168857</v>
      </c>
      <c r="BG198" s="85">
        <f t="shared" si="209"/>
        <v>1.2105153128234727</v>
      </c>
      <c r="BH198" s="85">
        <f t="shared" si="210"/>
        <v>0.85126015317145953</v>
      </c>
      <c r="BI198" s="85">
        <f t="shared" si="211"/>
        <v>1.2103659947740355</v>
      </c>
      <c r="BJ198" s="85">
        <f t="shared" si="212"/>
        <v>0.85131265984555959</v>
      </c>
      <c r="BK198" s="85">
        <f t="shared" si="213"/>
        <v>1.2103529821491574</v>
      </c>
      <c r="BL198" s="85">
        <f t="shared" si="214"/>
        <v>0.85131723610665255</v>
      </c>
      <c r="BM198" s="85">
        <f t="shared" si="215"/>
        <v>1.210351848100222</v>
      </c>
      <c r="BN198" s="85">
        <f t="shared" si="216"/>
        <v>0.85131763493083779</v>
      </c>
      <c r="BO198" s="85">
        <f t="shared" si="217"/>
        <v>1.2103517492676892</v>
      </c>
      <c r="BP198" s="85">
        <f t="shared" si="218"/>
        <v>0.85131766968845113</v>
      </c>
      <c r="BQ198" s="85">
        <f t="shared" si="219"/>
        <v>1.2103517406544171</v>
      </c>
      <c r="BR198" s="85">
        <f t="shared" si="220"/>
        <v>0.85131767271758318</v>
      </c>
      <c r="BS198" s="85">
        <f t="shared" si="221"/>
        <v>1.2103517399037691</v>
      </c>
      <c r="BT198" s="85">
        <f t="shared" si="222"/>
        <v>0.85131767298157268</v>
      </c>
      <c r="BU198" s="85">
        <f t="shared" si="223"/>
        <v>1.2103517398383499</v>
      </c>
      <c r="BV198" s="85">
        <f t="shared" si="224"/>
        <v>0.85131767300457939</v>
      </c>
      <c r="BW198" s="85">
        <f t="shared" si="225"/>
        <v>1.2103517398326487</v>
      </c>
    </row>
    <row r="199" spans="25:75" x14ac:dyDescent="0.4">
      <c r="Y199" s="142">
        <v>0.39810000000000001</v>
      </c>
      <c r="Z199" s="46">
        <f t="shared" si="177"/>
        <v>7.9724239994705917E-2</v>
      </c>
      <c r="AA199" s="84">
        <f t="shared" si="178"/>
        <v>1.4562351344271831</v>
      </c>
      <c r="AB199" s="84">
        <f t="shared" si="179"/>
        <v>0.12589027365130318</v>
      </c>
      <c r="AC199" s="84">
        <f t="shared" si="180"/>
        <v>2.5929440836423683</v>
      </c>
      <c r="AD199" s="84">
        <f t="shared" si="181"/>
        <v>9.4343363257015728E-2</v>
      </c>
      <c r="AE199" s="84">
        <f t="shared" si="182"/>
        <v>3.1886007483052539</v>
      </c>
      <c r="AF199" s="84">
        <f t="shared" si="183"/>
        <v>8.5076155867986739E-2</v>
      </c>
      <c r="AG199" s="84">
        <f t="shared" si="184"/>
        <v>3.4509747735597007</v>
      </c>
      <c r="AH199" s="84">
        <f t="shared" si="185"/>
        <v>8.1778104079858263E-2</v>
      </c>
      <c r="AI199" s="84">
        <f t="shared" si="186"/>
        <v>3.5591362513867626</v>
      </c>
      <c r="AJ199" s="84">
        <f t="shared" si="187"/>
        <v>8.0525906609285464E-2</v>
      </c>
      <c r="AK199" s="84">
        <f t="shared" si="188"/>
        <v>3.6025869083557658</v>
      </c>
      <c r="AL199" s="84">
        <f t="shared" si="189"/>
        <v>8.0038823608384532E-2</v>
      </c>
      <c r="AM199" s="84">
        <f t="shared" si="190"/>
        <v>3.6198653731027317</v>
      </c>
      <c r="AN199" s="84">
        <f t="shared" si="191"/>
        <v>7.984757309442915E-2</v>
      </c>
      <c r="AO199" s="84">
        <f t="shared" si="192"/>
        <v>3.6267087908988396</v>
      </c>
      <c r="AP199" s="84">
        <f t="shared" si="193"/>
        <v>7.9772203337805436E-2</v>
      </c>
      <c r="AQ199" s="84">
        <f t="shared" si="194"/>
        <v>3.6294149525372563</v>
      </c>
      <c r="AR199" s="84">
        <f t="shared" si="195"/>
        <v>7.9742457947056353E-2</v>
      </c>
      <c r="AS199" s="84">
        <f t="shared" si="196"/>
        <v>3.6304844087597492</v>
      </c>
      <c r="AT199" s="84">
        <f t="shared" si="197"/>
        <v>7.9730711945748337E-2</v>
      </c>
      <c r="AU199" s="84">
        <f t="shared" si="198"/>
        <v>3.6309069460960295</v>
      </c>
      <c r="AV199" s="84">
        <f t="shared" si="199"/>
        <v>7.9726072583830521E-2</v>
      </c>
      <c r="AW199" s="84">
        <f t="shared" si="200"/>
        <v>3.6310738724175176</v>
      </c>
      <c r="AX199" s="84">
        <f t="shared" si="201"/>
        <v>7.9724239994705917E-2</v>
      </c>
      <c r="AY199" s="142">
        <v>0.39810000000000001</v>
      </c>
      <c r="AZ199" s="46">
        <f t="shared" si="202"/>
        <v>0.87544196588455803</v>
      </c>
      <c r="BA199" s="85">
        <f t="shared" si="203"/>
        <v>1.4562351344271831</v>
      </c>
      <c r="BB199" s="85">
        <f t="shared" si="204"/>
        <v>0.79620000000000002</v>
      </c>
      <c r="BC199" s="85">
        <f t="shared" si="205"/>
        <v>1.2249664304557204</v>
      </c>
      <c r="BD199" s="85">
        <f t="shared" si="206"/>
        <v>0.86811214505849255</v>
      </c>
      <c r="BE199" s="85">
        <f t="shared" si="207"/>
        <v>1.2062711594900923</v>
      </c>
      <c r="BF199" s="85">
        <f t="shared" si="208"/>
        <v>0.87481345392599041</v>
      </c>
      <c r="BG199" s="85">
        <f t="shared" si="209"/>
        <v>1.2046870469519433</v>
      </c>
      <c r="BH199" s="85">
        <f t="shared" si="210"/>
        <v>0.87538843632312591</v>
      </c>
      <c r="BI199" s="85">
        <f t="shared" si="211"/>
        <v>1.2045522670679965</v>
      </c>
      <c r="BJ199" s="85">
        <f t="shared" si="212"/>
        <v>0.87543740947891002</v>
      </c>
      <c r="BK199" s="85">
        <f t="shared" si="213"/>
        <v>1.2045407956693981</v>
      </c>
      <c r="BL199" s="85">
        <f t="shared" si="214"/>
        <v>0.87544157806647405</v>
      </c>
      <c r="BM199" s="85">
        <f t="shared" si="215"/>
        <v>1.2045398192854662</v>
      </c>
      <c r="BN199" s="85">
        <f t="shared" si="216"/>
        <v>0.87544193287704297</v>
      </c>
      <c r="BO199" s="85">
        <f t="shared" si="217"/>
        <v>1.2045397361806907</v>
      </c>
      <c r="BP199" s="85">
        <f t="shared" si="218"/>
        <v>0.8754419630767124</v>
      </c>
      <c r="BQ199" s="85">
        <f t="shared" si="219"/>
        <v>1.2045397291072384</v>
      </c>
      <c r="BR199" s="85">
        <f t="shared" si="220"/>
        <v>0.87544196564715371</v>
      </c>
      <c r="BS199" s="85">
        <f t="shared" si="221"/>
        <v>1.2045397285051824</v>
      </c>
      <c r="BT199" s="85">
        <f t="shared" si="222"/>
        <v>0.87544196586593637</v>
      </c>
      <c r="BU199" s="85">
        <f t="shared" si="223"/>
        <v>1.2045397284539385</v>
      </c>
      <c r="BV199" s="85">
        <f t="shared" si="224"/>
        <v>0.87544196588455803</v>
      </c>
      <c r="BW199" s="85">
        <f t="shared" si="225"/>
        <v>1.2045397284495769</v>
      </c>
    </row>
    <row r="200" spans="25:75" x14ac:dyDescent="0.4">
      <c r="Y200" s="142">
        <v>0.41049999999999998</v>
      </c>
      <c r="Z200" s="46">
        <f t="shared" si="177"/>
        <v>8.3173095679780928E-2</v>
      </c>
      <c r="AA200" s="84">
        <f t="shared" si="178"/>
        <v>1.4418683077256405</v>
      </c>
      <c r="AB200" s="84">
        <f t="shared" si="179"/>
        <v>0.12981149794991195</v>
      </c>
      <c r="AC200" s="84">
        <f t="shared" si="180"/>
        <v>2.539875256799903</v>
      </c>
      <c r="AD200" s="84">
        <f t="shared" si="181"/>
        <v>9.7806961209031776E-2</v>
      </c>
      <c r="AE200" s="84">
        <f t="shared" si="182"/>
        <v>3.1036783266783576</v>
      </c>
      <c r="AF200" s="84">
        <f t="shared" si="183"/>
        <v>8.8478470757055616E-2</v>
      </c>
      <c r="AG200" s="84">
        <f t="shared" si="184"/>
        <v>3.348070709700278</v>
      </c>
      <c r="AH200" s="84">
        <f t="shared" si="185"/>
        <v>8.5188044437474145E-2</v>
      </c>
      <c r="AI200" s="84">
        <f t="shared" si="186"/>
        <v>3.4474561842021587</v>
      </c>
      <c r="AJ200" s="84">
        <f t="shared" si="187"/>
        <v>8.3951136906704762E-2</v>
      </c>
      <c r="AK200" s="84">
        <f t="shared" si="188"/>
        <v>3.4868894388144747</v>
      </c>
      <c r="AL200" s="84">
        <f t="shared" si="189"/>
        <v>8.3475085193971413E-2</v>
      </c>
      <c r="AM200" s="84">
        <f t="shared" si="190"/>
        <v>3.5023863141851805</v>
      </c>
      <c r="AN200" s="84">
        <f t="shared" si="191"/>
        <v>8.3290205944638859E-2</v>
      </c>
      <c r="AO200" s="84">
        <f t="shared" si="192"/>
        <v>3.5084537390956609</v>
      </c>
      <c r="AP200" s="84">
        <f t="shared" si="193"/>
        <v>8.3218154866759361E-2</v>
      </c>
      <c r="AQ200" s="84">
        <f t="shared" si="194"/>
        <v>3.5108258329893682</v>
      </c>
      <c r="AR200" s="84">
        <f t="shared" si="195"/>
        <v>8.3190036890922442E-2</v>
      </c>
      <c r="AS200" s="84">
        <f t="shared" si="196"/>
        <v>3.5117526889346564</v>
      </c>
      <c r="AT200" s="84">
        <f t="shared" si="197"/>
        <v>8.3179058004399051E-2</v>
      </c>
      <c r="AU200" s="84">
        <f t="shared" si="198"/>
        <v>3.5121147619004964</v>
      </c>
      <c r="AV200" s="84">
        <f t="shared" si="199"/>
        <v>8.3174770322116995E-2</v>
      </c>
      <c r="AW200" s="84">
        <f t="shared" si="200"/>
        <v>3.5122561921366073</v>
      </c>
      <c r="AX200" s="84">
        <f t="shared" si="201"/>
        <v>8.3173095679780928E-2</v>
      </c>
      <c r="AY200" s="142">
        <v>0.41049999999999998</v>
      </c>
      <c r="AZ200" s="46">
        <f t="shared" si="202"/>
        <v>0.90036997826152054</v>
      </c>
      <c r="BA200" s="85">
        <f t="shared" si="203"/>
        <v>1.4418683077256405</v>
      </c>
      <c r="BB200" s="85">
        <f t="shared" si="204"/>
        <v>0.82099999999999995</v>
      </c>
      <c r="BC200" s="85">
        <f t="shared" si="205"/>
        <v>1.2181450602075579</v>
      </c>
      <c r="BD200" s="85">
        <f t="shared" si="206"/>
        <v>0.89321591173689174</v>
      </c>
      <c r="BE200" s="85">
        <f t="shared" si="207"/>
        <v>1.2004601688963119</v>
      </c>
      <c r="BF200" s="85">
        <f t="shared" si="208"/>
        <v>0.89977117864823264</v>
      </c>
      <c r="BG200" s="85">
        <f t="shared" si="209"/>
        <v>1.1989965692667055</v>
      </c>
      <c r="BH200" s="85">
        <f t="shared" si="210"/>
        <v>0.90032018068897413</v>
      </c>
      <c r="BI200" s="85">
        <f t="shared" si="211"/>
        <v>1.1988749675381107</v>
      </c>
      <c r="BJ200" s="85">
        <f t="shared" si="212"/>
        <v>0.90036583920934443</v>
      </c>
      <c r="BK200" s="85">
        <f t="shared" si="213"/>
        <v>1.1988648610891284</v>
      </c>
      <c r="BL200" s="85">
        <f t="shared" si="214"/>
        <v>0.90036963425019423</v>
      </c>
      <c r="BM200" s="85">
        <f t="shared" si="215"/>
        <v>1.1988640211086745</v>
      </c>
      <c r="BN200" s="85">
        <f t="shared" si="216"/>
        <v>0.90036994967077078</v>
      </c>
      <c r="BO200" s="85">
        <f t="shared" si="217"/>
        <v>1.1988639512949595</v>
      </c>
      <c r="BP200" s="85">
        <f t="shared" si="218"/>
        <v>0.9003699758864937</v>
      </c>
      <c r="BQ200" s="85">
        <f t="shared" si="219"/>
        <v>1.1988639454924961</v>
      </c>
      <c r="BR200" s="85">
        <f t="shared" si="220"/>
        <v>0.90036997806537478</v>
      </c>
      <c r="BS200" s="85">
        <f t="shared" si="221"/>
        <v>1.198863945010233</v>
      </c>
      <c r="BT200" s="85">
        <f t="shared" si="222"/>
        <v>0.90036997824646903</v>
      </c>
      <c r="BU200" s="85">
        <f t="shared" si="223"/>
        <v>1.1988639449701504</v>
      </c>
      <c r="BV200" s="85">
        <f t="shared" si="224"/>
        <v>0.90036997826152054</v>
      </c>
      <c r="BW200" s="85">
        <f t="shared" si="225"/>
        <v>1.198863944966819</v>
      </c>
    </row>
    <row r="201" spans="25:75" x14ac:dyDescent="0.4">
      <c r="Y201" s="142">
        <v>0.42330000000000001</v>
      </c>
      <c r="Z201" s="46">
        <f t="shared" si="177"/>
        <v>8.6765163931557754E-2</v>
      </c>
      <c r="AA201" s="84">
        <f t="shared" si="178"/>
        <v>1.427975241553916</v>
      </c>
      <c r="AB201" s="84">
        <f t="shared" si="179"/>
        <v>0.13385921335492748</v>
      </c>
      <c r="AC201" s="84">
        <f t="shared" si="180"/>
        <v>2.4885059514109011</v>
      </c>
      <c r="AD201" s="84">
        <f t="shared" si="181"/>
        <v>0.10140030596411503</v>
      </c>
      <c r="AE201" s="84">
        <f t="shared" si="182"/>
        <v>3.0219058532305834</v>
      </c>
      <c r="AF201" s="84">
        <f t="shared" si="183"/>
        <v>9.2017015331615534E-2</v>
      </c>
      <c r="AG201" s="84">
        <f t="shared" si="184"/>
        <v>3.2493481436422806</v>
      </c>
      <c r="AH201" s="84">
        <f t="shared" si="185"/>
        <v>8.8738173352058983E-2</v>
      </c>
      <c r="AI201" s="84">
        <f t="shared" si="186"/>
        <v>3.3405493433862645</v>
      </c>
      <c r="AJ201" s="84">
        <f t="shared" si="187"/>
        <v>8.7518458922027739E-2</v>
      </c>
      <c r="AK201" s="84">
        <f t="shared" si="188"/>
        <v>3.376273039591513</v>
      </c>
      <c r="AL201" s="84">
        <f t="shared" si="189"/>
        <v>8.7054219652169113E-2</v>
      </c>
      <c r="AM201" s="84">
        <f t="shared" si="190"/>
        <v>3.3901407077539654</v>
      </c>
      <c r="AN201" s="84">
        <f t="shared" si="191"/>
        <v>8.6875985731321478E-2</v>
      </c>
      <c r="AO201" s="84">
        <f t="shared" si="192"/>
        <v>3.3955053942724884</v>
      </c>
      <c r="AP201" s="84">
        <f t="shared" si="193"/>
        <v>8.6807329285778126E-2</v>
      </c>
      <c r="AQ201" s="84">
        <f t="shared" si="194"/>
        <v>3.397577940714319</v>
      </c>
      <c r="AR201" s="84">
        <f t="shared" si="195"/>
        <v>8.6780848706100838E-2</v>
      </c>
      <c r="AS201" s="84">
        <f t="shared" si="196"/>
        <v>3.3983782170717385</v>
      </c>
      <c r="AT201" s="84">
        <f t="shared" si="197"/>
        <v>8.6770630192133533E-2</v>
      </c>
      <c r="AU201" s="84">
        <f t="shared" si="198"/>
        <v>3.3986871677593351</v>
      </c>
      <c r="AV201" s="84">
        <f t="shared" si="199"/>
        <v>8.6766686249400121E-2</v>
      </c>
      <c r="AW201" s="84">
        <f t="shared" si="200"/>
        <v>3.3988064305433894</v>
      </c>
      <c r="AX201" s="84">
        <f t="shared" si="201"/>
        <v>8.6765163931557754E-2</v>
      </c>
      <c r="AY201" s="142">
        <v>0.42330000000000001</v>
      </c>
      <c r="AZ201" s="46">
        <f t="shared" si="202"/>
        <v>0.92610173986987521</v>
      </c>
      <c r="BA201" s="85">
        <f t="shared" si="203"/>
        <v>1.427975241553916</v>
      </c>
      <c r="BB201" s="85">
        <f t="shared" si="204"/>
        <v>0.84660000000000002</v>
      </c>
      <c r="BC201" s="85">
        <f t="shared" si="205"/>
        <v>1.2115274023956628</v>
      </c>
      <c r="BD201" s="85">
        <f t="shared" si="206"/>
        <v>0.9191195043260868</v>
      </c>
      <c r="BE201" s="85">
        <f t="shared" si="207"/>
        <v>1.1947992616347314</v>
      </c>
      <c r="BF201" s="85">
        <f t="shared" si="208"/>
        <v>0.92553134198148346</v>
      </c>
      <c r="BG201" s="85">
        <f t="shared" si="209"/>
        <v>1.1934472896308634</v>
      </c>
      <c r="BH201" s="85">
        <f t="shared" si="210"/>
        <v>0.9260554280887352</v>
      </c>
      <c r="BI201" s="85">
        <f t="shared" si="211"/>
        <v>1.1933376161147253</v>
      </c>
      <c r="BJ201" s="85">
        <f t="shared" si="212"/>
        <v>0.92609798160423762</v>
      </c>
      <c r="BK201" s="85">
        <f t="shared" si="213"/>
        <v>1.193328716584835</v>
      </c>
      <c r="BL201" s="85">
        <f t="shared" si="214"/>
        <v>0.92610143489467978</v>
      </c>
      <c r="BM201" s="85">
        <f t="shared" si="215"/>
        <v>1.1933279944088946</v>
      </c>
      <c r="BN201" s="85">
        <f t="shared" si="216"/>
        <v>0.92610171512277994</v>
      </c>
      <c r="BO201" s="85">
        <f t="shared" si="217"/>
        <v>1.193327935805897</v>
      </c>
      <c r="BP201" s="85">
        <f t="shared" si="218"/>
        <v>0.92610173786268823</v>
      </c>
      <c r="BQ201" s="85">
        <f t="shared" si="219"/>
        <v>1.1933279310503913</v>
      </c>
      <c r="BR201" s="85">
        <f t="shared" si="220"/>
        <v>0.92610173970798237</v>
      </c>
      <c r="BS201" s="85">
        <f t="shared" si="221"/>
        <v>1.1933279306644924</v>
      </c>
      <c r="BT201" s="85">
        <f t="shared" si="222"/>
        <v>0.92610173985772404</v>
      </c>
      <c r="BU201" s="85">
        <f t="shared" si="223"/>
        <v>1.1933279306331774</v>
      </c>
      <c r="BV201" s="85">
        <f t="shared" si="224"/>
        <v>0.92610173986987521</v>
      </c>
      <c r="BW201" s="85">
        <f t="shared" si="225"/>
        <v>1.1933279306306364</v>
      </c>
    </row>
    <row r="202" spans="25:75" x14ac:dyDescent="0.4">
      <c r="Y202" s="142">
        <v>0.4365</v>
      </c>
      <c r="Z202" s="46">
        <f t="shared" si="177"/>
        <v>9.0501242307014076E-2</v>
      </c>
      <c r="AA202" s="84">
        <f t="shared" si="178"/>
        <v>1.414552194782513</v>
      </c>
      <c r="AB202" s="84">
        <f t="shared" si="179"/>
        <v>0.13803341986634976</v>
      </c>
      <c r="AC202" s="84">
        <f t="shared" si="180"/>
        <v>2.4388369798774465</v>
      </c>
      <c r="AD202" s="84">
        <f t="shared" si="181"/>
        <v>0.10512411452467507</v>
      </c>
      <c r="AE202" s="84">
        <f t="shared" si="182"/>
        <v>2.9432640815862348</v>
      </c>
      <c r="AF202" s="84">
        <f t="shared" si="183"/>
        <v>9.5692768903961126E-2</v>
      </c>
      <c r="AG202" s="84">
        <f t="shared" si="184"/>
        <v>3.1547601490548582</v>
      </c>
      <c r="AH202" s="84">
        <f t="shared" si="185"/>
        <v>9.2429491418483875E-2</v>
      </c>
      <c r="AI202" s="84">
        <f t="shared" si="186"/>
        <v>3.2383471437069873</v>
      </c>
      <c r="AJ202" s="84">
        <f t="shared" si="187"/>
        <v>9.1228815337477176E-2</v>
      </c>
      <c r="AK202" s="84">
        <f t="shared" si="188"/>
        <v>3.2706552792480084</v>
      </c>
      <c r="AL202" s="84">
        <f t="shared" si="189"/>
        <v>9.0777109536258241E-2</v>
      </c>
      <c r="AM202" s="84">
        <f t="shared" si="190"/>
        <v>3.2830380473138558</v>
      </c>
      <c r="AN202" s="84">
        <f t="shared" si="191"/>
        <v>9.060575394924042E-2</v>
      </c>
      <c r="AO202" s="84">
        <f t="shared" si="192"/>
        <v>3.2877687724903866</v>
      </c>
      <c r="AP202" s="84">
        <f t="shared" si="193"/>
        <v>9.0540544798319494E-2</v>
      </c>
      <c r="AQ202" s="84">
        <f t="shared" si="194"/>
        <v>3.289573891462759</v>
      </c>
      <c r="AR202" s="84">
        <f t="shared" si="195"/>
        <v>9.0515699805056068E-2</v>
      </c>
      <c r="AS202" s="84">
        <f t="shared" si="196"/>
        <v>3.2902623554053649</v>
      </c>
      <c r="AT202" s="84">
        <f t="shared" si="197"/>
        <v>9.0506229427165019E-2</v>
      </c>
      <c r="AU202" s="84">
        <f t="shared" si="198"/>
        <v>3.2905248856074478</v>
      </c>
      <c r="AV202" s="84">
        <f t="shared" si="199"/>
        <v>9.0502618894883133E-2</v>
      </c>
      <c r="AW202" s="84">
        <f t="shared" si="200"/>
        <v>3.290624988787799</v>
      </c>
      <c r="AX202" s="84">
        <f t="shared" si="201"/>
        <v>9.0501242307014076E-2</v>
      </c>
      <c r="AY202" s="142">
        <v>0.4365</v>
      </c>
      <c r="AZ202" s="46">
        <f t="shared" si="202"/>
        <v>0.95263722081329083</v>
      </c>
      <c r="BA202" s="85">
        <f t="shared" si="203"/>
        <v>1.414552194782513</v>
      </c>
      <c r="BB202" s="85">
        <f t="shared" si="204"/>
        <v>0.873</v>
      </c>
      <c r="BC202" s="85">
        <f t="shared" si="205"/>
        <v>1.2051133060191459</v>
      </c>
      <c r="BD202" s="85">
        <f t="shared" si="206"/>
        <v>0.94582282703350407</v>
      </c>
      <c r="BE202" s="85">
        <f t="shared" si="207"/>
        <v>1.1892902509252687</v>
      </c>
      <c r="BF202" s="85">
        <f t="shared" si="208"/>
        <v>0.9520939439919236</v>
      </c>
      <c r="BG202" s="85">
        <f t="shared" si="209"/>
        <v>1.1880415615335531</v>
      </c>
      <c r="BH202" s="85">
        <f t="shared" si="210"/>
        <v>0.95259416108044803</v>
      </c>
      <c r="BI202" s="85">
        <f t="shared" si="211"/>
        <v>1.1879426714615211</v>
      </c>
      <c r="BJ202" s="85">
        <f t="shared" si="212"/>
        <v>0.95263380951933818</v>
      </c>
      <c r="BK202" s="85">
        <f t="shared" si="213"/>
        <v>1.1879348376571341</v>
      </c>
      <c r="BL202" s="85">
        <f t="shared" si="214"/>
        <v>0.95263695057319742</v>
      </c>
      <c r="BM202" s="85">
        <f t="shared" si="215"/>
        <v>1.1879342170705263</v>
      </c>
      <c r="BN202" s="85">
        <f t="shared" si="216"/>
        <v>0.95263719940585512</v>
      </c>
      <c r="BO202" s="85">
        <f t="shared" si="217"/>
        <v>1.187934167908153</v>
      </c>
      <c r="BP202" s="85">
        <f t="shared" si="218"/>
        <v>0.952637219118187</v>
      </c>
      <c r="BQ202" s="85">
        <f t="shared" si="219"/>
        <v>1.1879341640135486</v>
      </c>
      <c r="BR202" s="85">
        <f t="shared" si="220"/>
        <v>0.95263722067978251</v>
      </c>
      <c r="BS202" s="85">
        <f t="shared" si="221"/>
        <v>1.1879341637050211</v>
      </c>
      <c r="BT202" s="85">
        <f t="shared" si="222"/>
        <v>0.95263722080349078</v>
      </c>
      <c r="BU202" s="85">
        <f t="shared" si="223"/>
        <v>1.1879341636805798</v>
      </c>
      <c r="BV202" s="85">
        <f t="shared" si="224"/>
        <v>0.95263722081329083</v>
      </c>
      <c r="BW202" s="85">
        <f t="shared" si="225"/>
        <v>1.1879341636786436</v>
      </c>
    </row>
    <row r="203" spans="25:75" x14ac:dyDescent="0.4">
      <c r="Y203" s="142">
        <v>0.4501</v>
      </c>
      <c r="Z203" s="46">
        <f t="shared" si="177"/>
        <v>9.4381938864288514E-2</v>
      </c>
      <c r="AA203" s="84">
        <f t="shared" si="178"/>
        <v>1.4015930800813634</v>
      </c>
      <c r="AB203" s="84">
        <f t="shared" si="179"/>
        <v>0.14233411748417873</v>
      </c>
      <c r="AC203" s="84">
        <f t="shared" si="180"/>
        <v>2.3908597056809979</v>
      </c>
      <c r="AD203" s="84">
        <f t="shared" si="181"/>
        <v>0.10897903022244333</v>
      </c>
      <c r="AE203" s="84">
        <f t="shared" si="182"/>
        <v>2.8677172407005131</v>
      </c>
      <c r="AF203" s="84">
        <f t="shared" si="183"/>
        <v>9.9506584955630265E-2</v>
      </c>
      <c r="AG203" s="84">
        <f t="shared" si="184"/>
        <v>3.0642390375097412</v>
      </c>
      <c r="AH203" s="84">
        <f t="shared" si="185"/>
        <v>9.6262838758722144E-2</v>
      </c>
      <c r="AI203" s="84">
        <f t="shared" si="186"/>
        <v>3.1407581609763962</v>
      </c>
      <c r="AJ203" s="84">
        <f t="shared" si="187"/>
        <v>9.5082969553343402E-2</v>
      </c>
      <c r="AK203" s="84">
        <f t="shared" si="188"/>
        <v>3.1699299666198053</v>
      </c>
      <c r="AL203" s="84">
        <f t="shared" si="189"/>
        <v>9.464444994484815E-2</v>
      </c>
      <c r="AM203" s="84">
        <f t="shared" si="190"/>
        <v>3.1809636932548049</v>
      </c>
      <c r="AN203" s="84">
        <f t="shared" si="191"/>
        <v>9.4480161975761007E-2</v>
      </c>
      <c r="AO203" s="84">
        <f t="shared" si="192"/>
        <v>3.1851246242950784</v>
      </c>
      <c r="AP203" s="84">
        <f t="shared" si="193"/>
        <v>9.4418429082990848E-2</v>
      </c>
      <c r="AQ203" s="84">
        <f t="shared" si="194"/>
        <v>3.1866920006796473</v>
      </c>
      <c r="AR203" s="84">
        <f t="shared" si="195"/>
        <v>9.4395206346434585E-2</v>
      </c>
      <c r="AS203" s="84">
        <f t="shared" si="196"/>
        <v>3.1872821655553358</v>
      </c>
      <c r="AT203" s="84">
        <f t="shared" si="197"/>
        <v>9.4386466719480464E-2</v>
      </c>
      <c r="AU203" s="84">
        <f t="shared" si="198"/>
        <v>3.1875043453910878</v>
      </c>
      <c r="AV203" s="84">
        <f t="shared" si="199"/>
        <v>9.4383177134142418E-2</v>
      </c>
      <c r="AW203" s="84">
        <f t="shared" si="200"/>
        <v>3.1875879846229029</v>
      </c>
      <c r="AX203" s="84">
        <f t="shared" si="201"/>
        <v>9.4381938864288514E-2</v>
      </c>
      <c r="AY203" s="142">
        <v>0.4501</v>
      </c>
      <c r="AZ203" s="46">
        <f t="shared" si="202"/>
        <v>0.97997633255599292</v>
      </c>
      <c r="BA203" s="85">
        <f t="shared" si="203"/>
        <v>1.4015930800813634</v>
      </c>
      <c r="BB203" s="85">
        <f t="shared" si="204"/>
        <v>0.9002</v>
      </c>
      <c r="BC203" s="85">
        <f t="shared" si="205"/>
        <v>1.198901574300461</v>
      </c>
      <c r="BD203" s="85">
        <f t="shared" si="206"/>
        <v>0.9733257558212659</v>
      </c>
      <c r="BE203" s="85">
        <f t="shared" si="207"/>
        <v>1.1839340220453785</v>
      </c>
      <c r="BF203" s="85">
        <f t="shared" si="208"/>
        <v>0.97945893076610302</v>
      </c>
      <c r="BG203" s="85">
        <f t="shared" si="209"/>
        <v>1.1827808033790086</v>
      </c>
      <c r="BH203" s="85">
        <f t="shared" si="210"/>
        <v>0.97993630371975482</v>
      </c>
      <c r="BI203" s="85">
        <f t="shared" si="211"/>
        <v>1.1826916515037507</v>
      </c>
      <c r="BJ203" s="85">
        <f t="shared" si="212"/>
        <v>0.97997323706273209</v>
      </c>
      <c r="BK203" s="85">
        <f t="shared" si="213"/>
        <v>1.1826847576473047</v>
      </c>
      <c r="BL203" s="85">
        <f t="shared" si="214"/>
        <v>0.97997609318518086</v>
      </c>
      <c r="BM203" s="85">
        <f t="shared" si="215"/>
        <v>1.1826842245546205</v>
      </c>
      <c r="BN203" s="85">
        <f t="shared" si="216"/>
        <v>0.979976314046344</v>
      </c>
      <c r="BO203" s="85">
        <f t="shared" si="217"/>
        <v>1.1826841833312132</v>
      </c>
      <c r="BP203" s="85">
        <f t="shared" si="218"/>
        <v>0.97997633112527482</v>
      </c>
      <c r="BQ203" s="85">
        <f t="shared" si="219"/>
        <v>1.1826841801434571</v>
      </c>
      <c r="BR203" s="85">
        <f t="shared" si="220"/>
        <v>0.97997633244596782</v>
      </c>
      <c r="BS203" s="85">
        <f t="shared" si="221"/>
        <v>1.1826841798969516</v>
      </c>
      <c r="BT203" s="85">
        <f t="shared" si="222"/>
        <v>0.97997633254809546</v>
      </c>
      <c r="BU203" s="85">
        <f t="shared" si="223"/>
        <v>1.1826841798778898</v>
      </c>
      <c r="BV203" s="85">
        <f t="shared" si="224"/>
        <v>0.97997633255599292</v>
      </c>
      <c r="BW203" s="85">
        <f t="shared" si="225"/>
        <v>1.1826841798764156</v>
      </c>
    </row>
    <row r="204" spans="25:75" x14ac:dyDescent="0.4">
      <c r="Y204" s="142">
        <v>0.4642</v>
      </c>
      <c r="Z204" s="46">
        <f t="shared" si="177"/>
        <v>9.8436540708066705E-2</v>
      </c>
      <c r="AA204" s="84">
        <f t="shared" si="178"/>
        <v>1.389003434146675</v>
      </c>
      <c r="AB204" s="84">
        <f t="shared" si="179"/>
        <v>0.14679292898501617</v>
      </c>
      <c r="AC204" s="84">
        <f t="shared" si="180"/>
        <v>2.3442372853821336</v>
      </c>
      <c r="AD204" s="84">
        <f t="shared" si="181"/>
        <v>0.11299416346697158</v>
      </c>
      <c r="AE204" s="84">
        <f t="shared" si="182"/>
        <v>2.7947157924436992</v>
      </c>
      <c r="AF204" s="84">
        <f t="shared" si="183"/>
        <v>0.10348751804587369</v>
      </c>
      <c r="AG204" s="84">
        <f t="shared" si="184"/>
        <v>2.977104437688483</v>
      </c>
      <c r="AH204" s="84">
        <f t="shared" si="185"/>
        <v>0.10026740167862201</v>
      </c>
      <c r="AI204" s="84">
        <f t="shared" si="186"/>
        <v>3.0470324669488473</v>
      </c>
      <c r="AJ204" s="84">
        <f t="shared" si="187"/>
        <v>9.9110177737967348E-2</v>
      </c>
      <c r="AK204" s="84">
        <f t="shared" si="188"/>
        <v>3.0733124730073698</v>
      </c>
      <c r="AL204" s="84">
        <f t="shared" si="189"/>
        <v>9.86855206179795E-2</v>
      </c>
      <c r="AM204" s="84">
        <f t="shared" si="190"/>
        <v>3.0831161890458563</v>
      </c>
      <c r="AN204" s="84">
        <f t="shared" si="191"/>
        <v>9.8528495210730344E-2</v>
      </c>
      <c r="AO204" s="84">
        <f t="shared" si="192"/>
        <v>3.0867634440051086</v>
      </c>
      <c r="AP204" s="84">
        <f t="shared" si="193"/>
        <v>9.8470268403802019E-2</v>
      </c>
      <c r="AQ204" s="84">
        <f t="shared" si="194"/>
        <v>3.0881189450377073</v>
      </c>
      <c r="AR204" s="84">
        <f t="shared" si="195"/>
        <v>9.8448654728427967E-2</v>
      </c>
      <c r="AS204" s="84">
        <f t="shared" si="196"/>
        <v>3.0886225263112768</v>
      </c>
      <c r="AT204" s="84">
        <f t="shared" si="197"/>
        <v>9.8440628671589467E-2</v>
      </c>
      <c r="AU204" s="84">
        <f t="shared" si="198"/>
        <v>3.0888095852122621</v>
      </c>
      <c r="AV204" s="84">
        <f t="shared" si="199"/>
        <v>9.8437647834780997E-2</v>
      </c>
      <c r="AW204" s="84">
        <f t="shared" si="200"/>
        <v>3.0888790659724239</v>
      </c>
      <c r="AX204" s="84">
        <f t="shared" si="201"/>
        <v>9.8436540708066705E-2</v>
      </c>
      <c r="AY204" s="142">
        <v>0.4642</v>
      </c>
      <c r="AZ204" s="46">
        <f t="shared" si="202"/>
        <v>1.0083199466214039</v>
      </c>
      <c r="BA204" s="85">
        <f t="shared" si="203"/>
        <v>1.389003434146675</v>
      </c>
      <c r="BB204" s="85">
        <f t="shared" si="204"/>
        <v>0.9284</v>
      </c>
      <c r="BC204" s="85">
        <f t="shared" si="205"/>
        <v>1.1928485020333337</v>
      </c>
      <c r="BD204" s="85">
        <f t="shared" si="206"/>
        <v>1.0018302633993614</v>
      </c>
      <c r="BE204" s="85">
        <f t="shared" si="207"/>
        <v>1.1786945519113152</v>
      </c>
      <c r="BF204" s="85">
        <f t="shared" si="208"/>
        <v>1.0078273814621455</v>
      </c>
      <c r="BG204" s="85">
        <f t="shared" si="209"/>
        <v>1.1776301082590768</v>
      </c>
      <c r="BH204" s="85">
        <f t="shared" si="210"/>
        <v>1.0082827592348347</v>
      </c>
      <c r="BI204" s="85">
        <f t="shared" si="211"/>
        <v>1.177549801441923</v>
      </c>
      <c r="BJ204" s="85">
        <f t="shared" si="212"/>
        <v>1.0083171402005471</v>
      </c>
      <c r="BK204" s="85">
        <f t="shared" si="213"/>
        <v>1.1775437412438881</v>
      </c>
      <c r="BL204" s="85">
        <f t="shared" si="214"/>
        <v>1.0083197348360904</v>
      </c>
      <c r="BM204" s="85">
        <f t="shared" si="215"/>
        <v>1.1775432839144913</v>
      </c>
      <c r="BN204" s="85">
        <f t="shared" si="216"/>
        <v>1.0083199306395982</v>
      </c>
      <c r="BO204" s="85">
        <f t="shared" si="217"/>
        <v>1.177543249402341</v>
      </c>
      <c r="BP204" s="85">
        <f t="shared" si="218"/>
        <v>1.0083199454158236</v>
      </c>
      <c r="BQ204" s="85">
        <f t="shared" si="219"/>
        <v>1.1775432467978975</v>
      </c>
      <c r="BR204" s="85">
        <f t="shared" si="220"/>
        <v>1.0083199465309047</v>
      </c>
      <c r="BS204" s="85">
        <f t="shared" si="221"/>
        <v>1.1775432466013542</v>
      </c>
      <c r="BT204" s="85">
        <f t="shared" si="222"/>
        <v>1.0083199466150539</v>
      </c>
      <c r="BU204" s="85">
        <f t="shared" si="223"/>
        <v>1.1775432465865223</v>
      </c>
      <c r="BV204" s="85">
        <f t="shared" si="224"/>
        <v>1.0083199466214039</v>
      </c>
      <c r="BW204" s="85">
        <f t="shared" si="225"/>
        <v>1.177543246585403</v>
      </c>
    </row>
    <row r="205" spans="25:75" x14ac:dyDescent="0.4">
      <c r="Y205" s="142">
        <v>0.47860000000000003</v>
      </c>
      <c r="Z205" s="46">
        <f t="shared" si="177"/>
        <v>0.10260777743318006</v>
      </c>
      <c r="AA205" s="84">
        <f t="shared" si="178"/>
        <v>1.376951967721578</v>
      </c>
      <c r="AB205" s="84">
        <f t="shared" si="179"/>
        <v>0.15134660881565865</v>
      </c>
      <c r="AC205" s="84">
        <f t="shared" si="180"/>
        <v>2.2996065301710633</v>
      </c>
      <c r="AD205" s="84">
        <f t="shared" si="181"/>
        <v>0.11711305852533481</v>
      </c>
      <c r="AE205" s="84">
        <f t="shared" si="182"/>
        <v>2.7252321632683953</v>
      </c>
      <c r="AF205" s="84">
        <f t="shared" si="183"/>
        <v>0.10757970198002312</v>
      </c>
      <c r="AG205" s="84">
        <f t="shared" si="184"/>
        <v>2.8944909540515154</v>
      </c>
      <c r="AH205" s="84">
        <f t="shared" si="185"/>
        <v>0.10438689784206207</v>
      </c>
      <c r="AI205" s="84">
        <f t="shared" si="186"/>
        <v>2.9583715558995856</v>
      </c>
      <c r="AJ205" s="84">
        <f t="shared" si="187"/>
        <v>0.10325372556816981</v>
      </c>
      <c r="AK205" s="84">
        <f t="shared" si="188"/>
        <v>2.9820294222167902</v>
      </c>
      <c r="AL205" s="84">
        <f t="shared" si="189"/>
        <v>0.10284332937390205</v>
      </c>
      <c r="AM205" s="84">
        <f t="shared" si="190"/>
        <v>2.9907307948791821</v>
      </c>
      <c r="AN205" s="84">
        <f t="shared" si="191"/>
        <v>0.10269361178899232</v>
      </c>
      <c r="AO205" s="84">
        <f t="shared" si="192"/>
        <v>2.9939231030896996</v>
      </c>
      <c r="AP205" s="84">
        <f t="shared" si="193"/>
        <v>0.10263884800857166</v>
      </c>
      <c r="AQ205" s="84">
        <f t="shared" si="194"/>
        <v>2.9950931975016726</v>
      </c>
      <c r="AR205" s="84">
        <f t="shared" si="195"/>
        <v>0.10261879706750256</v>
      </c>
      <c r="AS205" s="84">
        <f t="shared" si="196"/>
        <v>2.9955219336894592</v>
      </c>
      <c r="AT205" s="84">
        <f t="shared" si="197"/>
        <v>0.10261145311089161</v>
      </c>
      <c r="AU205" s="84">
        <f t="shared" si="198"/>
        <v>2.9956790081528304</v>
      </c>
      <c r="AV205" s="84">
        <f t="shared" si="199"/>
        <v>0.10260876292776924</v>
      </c>
      <c r="AW205" s="84">
        <f t="shared" si="200"/>
        <v>2.9957365523215991</v>
      </c>
      <c r="AX205" s="84">
        <f t="shared" si="201"/>
        <v>0.10260777743318006</v>
      </c>
      <c r="AY205" s="142">
        <v>0.47860000000000003</v>
      </c>
      <c r="AZ205" s="46">
        <f t="shared" si="202"/>
        <v>1.0372658284294116</v>
      </c>
      <c r="BA205" s="85">
        <f t="shared" si="203"/>
        <v>1.376951967721578</v>
      </c>
      <c r="BB205" s="85">
        <f t="shared" si="204"/>
        <v>0.95720000000000005</v>
      </c>
      <c r="BC205" s="85">
        <f t="shared" si="205"/>
        <v>1.1870370068378113</v>
      </c>
      <c r="BD205" s="85">
        <f t="shared" si="206"/>
        <v>1.030931847699796</v>
      </c>
      <c r="BE205" s="85">
        <f t="shared" si="207"/>
        <v>1.173645440797964</v>
      </c>
      <c r="BF205" s="85">
        <f t="shared" si="208"/>
        <v>1.0367967506384119</v>
      </c>
      <c r="BG205" s="85">
        <f t="shared" si="209"/>
        <v>1.1726623249244896</v>
      </c>
      <c r="BH205" s="85">
        <f t="shared" si="210"/>
        <v>1.0372312652369911</v>
      </c>
      <c r="BI205" s="85">
        <f t="shared" si="211"/>
        <v>1.1725899324307991</v>
      </c>
      <c r="BJ205" s="85">
        <f t="shared" si="212"/>
        <v>1.0372632826528221</v>
      </c>
      <c r="BK205" s="85">
        <f t="shared" si="213"/>
        <v>1.1725846005626341</v>
      </c>
      <c r="BL205" s="85">
        <f t="shared" si="214"/>
        <v>1.037265640923938</v>
      </c>
      <c r="BM205" s="85">
        <f t="shared" si="215"/>
        <v>1.1725842078522219</v>
      </c>
      <c r="BN205" s="85">
        <f t="shared" si="216"/>
        <v>1.0372658146193454</v>
      </c>
      <c r="BO205" s="85">
        <f t="shared" si="217"/>
        <v>1.1725841789277156</v>
      </c>
      <c r="BP205" s="85">
        <f t="shared" si="218"/>
        <v>1.0372658274126278</v>
      </c>
      <c r="BQ205" s="85">
        <f t="shared" si="219"/>
        <v>1.1725841767973235</v>
      </c>
      <c r="BR205" s="85">
        <f t="shared" si="220"/>
        <v>1.0372658283548983</v>
      </c>
      <c r="BS205" s="85">
        <f t="shared" si="221"/>
        <v>1.1725841766404126</v>
      </c>
      <c r="BT205" s="85">
        <f t="shared" si="222"/>
        <v>1.0372658284242999</v>
      </c>
      <c r="BU205" s="85">
        <f t="shared" si="223"/>
        <v>1.1725841766288556</v>
      </c>
      <c r="BV205" s="85">
        <f t="shared" si="224"/>
        <v>1.0372658284294116</v>
      </c>
      <c r="BW205" s="85">
        <f t="shared" si="225"/>
        <v>1.1725841766280043</v>
      </c>
    </row>
    <row r="206" spans="25:75" x14ac:dyDescent="0.4">
      <c r="Y206" s="142">
        <v>0.49359999999999998</v>
      </c>
      <c r="Z206" s="46">
        <f t="shared" si="177"/>
        <v>0.10698290655186123</v>
      </c>
      <c r="AA206" s="84">
        <f t="shared" si="178"/>
        <v>1.3651837119011909</v>
      </c>
      <c r="AB206" s="84">
        <f t="shared" si="179"/>
        <v>0.15609002530591118</v>
      </c>
      <c r="AC206" s="84">
        <f t="shared" si="180"/>
        <v>2.2560343338651765</v>
      </c>
      <c r="AD206" s="84">
        <f t="shared" si="181"/>
        <v>0.1214221301751099</v>
      </c>
      <c r="AE206" s="84">
        <f t="shared" si="182"/>
        <v>2.6577915378310575</v>
      </c>
      <c r="AF206" s="84">
        <f t="shared" si="183"/>
        <v>0.1118691254325367</v>
      </c>
      <c r="AG206" s="84">
        <f t="shared" si="184"/>
        <v>2.8146214001766126</v>
      </c>
      <c r="AH206" s="84">
        <f t="shared" si="185"/>
        <v>0.10870780016586831</v>
      </c>
      <c r="AI206" s="84">
        <f t="shared" si="186"/>
        <v>2.8728508328249847</v>
      </c>
      <c r="AJ206" s="84">
        <f t="shared" si="187"/>
        <v>0.10760046835644771</v>
      </c>
      <c r="AK206" s="84">
        <f t="shared" si="188"/>
        <v>2.8940883387843712</v>
      </c>
      <c r="AL206" s="84">
        <f t="shared" si="189"/>
        <v>0.1072049425389114</v>
      </c>
      <c r="AM206" s="84">
        <f t="shared" si="190"/>
        <v>2.9017845627522929</v>
      </c>
      <c r="AN206" s="84">
        <f t="shared" si="191"/>
        <v>0.10706268162501763</v>
      </c>
      <c r="AO206" s="84">
        <f t="shared" si="192"/>
        <v>2.9045671401754571</v>
      </c>
      <c r="AP206" s="84">
        <f t="shared" si="193"/>
        <v>0.10701138627357343</v>
      </c>
      <c r="AQ206" s="84">
        <f t="shared" si="194"/>
        <v>2.9055723443370125</v>
      </c>
      <c r="AR206" s="84">
        <f t="shared" si="195"/>
        <v>0.10699287398353426</v>
      </c>
      <c r="AS206" s="84">
        <f t="shared" si="196"/>
        <v>2.9059353642271102</v>
      </c>
      <c r="AT206" s="84">
        <f t="shared" si="197"/>
        <v>0.10698619080762234</v>
      </c>
      <c r="AU206" s="84">
        <f t="shared" si="198"/>
        <v>2.9060664511322978</v>
      </c>
      <c r="AV206" s="84">
        <f t="shared" si="199"/>
        <v>0.10698377781276411</v>
      </c>
      <c r="AW206" s="84">
        <f t="shared" si="200"/>
        <v>2.9061137849068546</v>
      </c>
      <c r="AX206" s="84">
        <f t="shared" si="201"/>
        <v>0.10698290655186123</v>
      </c>
      <c r="AY206" s="142">
        <v>0.49359999999999998</v>
      </c>
      <c r="AZ206" s="46">
        <f t="shared" si="202"/>
        <v>1.0674167602062394</v>
      </c>
      <c r="BA206" s="85">
        <f t="shared" si="203"/>
        <v>1.3651837119011909</v>
      </c>
      <c r="BB206" s="85">
        <f t="shared" si="204"/>
        <v>0.98719999999999997</v>
      </c>
      <c r="BC206" s="85">
        <f t="shared" si="205"/>
        <v>1.1813458047876502</v>
      </c>
      <c r="BD206" s="85">
        <f t="shared" si="206"/>
        <v>1.0612364887743222</v>
      </c>
      <c r="BE206" s="85">
        <f t="shared" si="207"/>
        <v>1.1686829291500589</v>
      </c>
      <c r="BF206" s="85">
        <f t="shared" si="208"/>
        <v>1.0669703365332157</v>
      </c>
      <c r="BG206" s="85">
        <f t="shared" si="209"/>
        <v>1.1677757984394708</v>
      </c>
      <c r="BH206" s="85">
        <f t="shared" si="210"/>
        <v>1.0673846684926156</v>
      </c>
      <c r="BI206" s="85">
        <f t="shared" si="211"/>
        <v>1.1677106271755606</v>
      </c>
      <c r="BJ206" s="85">
        <f t="shared" si="212"/>
        <v>1.0674144540558097</v>
      </c>
      <c r="BK206" s="85">
        <f t="shared" si="213"/>
        <v>1.167705944087988</v>
      </c>
      <c r="BL206" s="85">
        <f t="shared" si="214"/>
        <v>1.0674165944878158</v>
      </c>
      <c r="BM206" s="85">
        <f t="shared" si="215"/>
        <v>1.1677056075648944</v>
      </c>
      <c r="BN206" s="85">
        <f t="shared" si="216"/>
        <v>1.0674167482981196</v>
      </c>
      <c r="BO206" s="85">
        <f t="shared" si="217"/>
        <v>1.1677055833825762</v>
      </c>
      <c r="BP206" s="85">
        <f t="shared" si="218"/>
        <v>1.0674167593508248</v>
      </c>
      <c r="BQ206" s="85">
        <f t="shared" si="219"/>
        <v>1.1677055816448514</v>
      </c>
      <c r="BR206" s="85">
        <f t="shared" si="220"/>
        <v>1.0674167601450646</v>
      </c>
      <c r="BS206" s="85">
        <f t="shared" si="221"/>
        <v>1.1677055815199797</v>
      </c>
      <c r="BT206" s="85">
        <f t="shared" si="222"/>
        <v>1.0674167602021383</v>
      </c>
      <c r="BU206" s="85">
        <f t="shared" si="223"/>
        <v>1.1677055815110065</v>
      </c>
      <c r="BV206" s="85">
        <f t="shared" si="224"/>
        <v>1.0674167602062394</v>
      </c>
      <c r="BW206" s="85">
        <f t="shared" si="225"/>
        <v>1.1677055815103616</v>
      </c>
    </row>
    <row r="207" spans="25:75" x14ac:dyDescent="0.4">
      <c r="Y207" s="142">
        <v>0.50890000000000002</v>
      </c>
      <c r="Z207" s="46">
        <f t="shared" si="177"/>
        <v>0.1114746201931338</v>
      </c>
      <c r="AA207" s="84">
        <f t="shared" si="178"/>
        <v>1.353928989579495</v>
      </c>
      <c r="AB207" s="84">
        <f t="shared" si="179"/>
        <v>0.16092831012596881</v>
      </c>
      <c r="AC207" s="84">
        <f t="shared" si="180"/>
        <v>2.2143834644440519</v>
      </c>
      <c r="AD207" s="84">
        <f t="shared" si="181"/>
        <v>0.12583573194217834</v>
      </c>
      <c r="AE207" s="84">
        <f t="shared" si="182"/>
        <v>2.5937066552586132</v>
      </c>
      <c r="AF207" s="84">
        <f t="shared" si="183"/>
        <v>0.11627061410479475</v>
      </c>
      <c r="AG207" s="84">
        <f t="shared" si="184"/>
        <v>2.7390267520725446</v>
      </c>
      <c r="AH207" s="84">
        <f t="shared" si="185"/>
        <v>0.1131441899478226</v>
      </c>
      <c r="AI207" s="84">
        <f t="shared" si="186"/>
        <v>2.7920924500635858</v>
      </c>
      <c r="AJ207" s="84">
        <f t="shared" si="187"/>
        <v>0.112063839312977</v>
      </c>
      <c r="AK207" s="84">
        <f t="shared" si="188"/>
        <v>2.8111465196411407</v>
      </c>
      <c r="AL207" s="84">
        <f t="shared" si="189"/>
        <v>0.11168340685736367</v>
      </c>
      <c r="AM207" s="84">
        <f t="shared" si="190"/>
        <v>2.8179474925958301</v>
      </c>
      <c r="AN207" s="84">
        <f t="shared" si="191"/>
        <v>0.11154855433212593</v>
      </c>
      <c r="AO207" s="84">
        <f t="shared" si="192"/>
        <v>2.820369827441926</v>
      </c>
      <c r="AP207" s="84">
        <f t="shared" si="193"/>
        <v>0.11150064111327143</v>
      </c>
      <c r="AQ207" s="84">
        <f t="shared" si="194"/>
        <v>2.8212319522220284</v>
      </c>
      <c r="AR207" s="84">
        <f t="shared" si="195"/>
        <v>0.11148360337723669</v>
      </c>
      <c r="AS207" s="84">
        <f t="shared" si="196"/>
        <v>2.8215387058491168</v>
      </c>
      <c r="AT207" s="84">
        <f t="shared" si="197"/>
        <v>0.11147754304406356</v>
      </c>
      <c r="AU207" s="84">
        <f t="shared" si="198"/>
        <v>2.8216478418126516</v>
      </c>
      <c r="AV207" s="84">
        <f t="shared" si="199"/>
        <v>0.11147538715371182</v>
      </c>
      <c r="AW207" s="84">
        <f t="shared" si="200"/>
        <v>2.8216866685895559</v>
      </c>
      <c r="AX207" s="84">
        <f t="shared" si="201"/>
        <v>0.1114746201931338</v>
      </c>
      <c r="AY207" s="142">
        <v>0.50890000000000002</v>
      </c>
      <c r="AZ207" s="46">
        <f t="shared" si="202"/>
        <v>1.0981694235983317</v>
      </c>
      <c r="BA207" s="85">
        <f t="shared" si="203"/>
        <v>1.353928989579495</v>
      </c>
      <c r="BB207" s="85">
        <f t="shared" si="204"/>
        <v>1.0178</v>
      </c>
      <c r="BC207" s="85">
        <f t="shared" si="205"/>
        <v>1.1758879255800094</v>
      </c>
      <c r="BD207" s="85">
        <f t="shared" si="206"/>
        <v>1.0921377646738863</v>
      </c>
      <c r="BE207" s="85">
        <f t="shared" si="207"/>
        <v>1.1639071147243845</v>
      </c>
      <c r="BF207" s="85">
        <f t="shared" si="208"/>
        <v>1.0977443959144029</v>
      </c>
      <c r="BG207" s="85">
        <f t="shared" si="209"/>
        <v>1.1630694969641027</v>
      </c>
      <c r="BH207" s="85">
        <f t="shared" si="210"/>
        <v>1.0981396107811678</v>
      </c>
      <c r="BI207" s="85">
        <f t="shared" si="211"/>
        <v>1.1630107762522397</v>
      </c>
      <c r="BJ207" s="85">
        <f t="shared" si="212"/>
        <v>1.0981673331063</v>
      </c>
      <c r="BK207" s="85">
        <f t="shared" si="213"/>
        <v>1.1630066588812247</v>
      </c>
      <c r="BL207" s="85">
        <f t="shared" si="214"/>
        <v>1.0981692770153528</v>
      </c>
      <c r="BM207" s="85">
        <f t="shared" si="215"/>
        <v>1.1630063701760738</v>
      </c>
      <c r="BN207" s="85">
        <f t="shared" si="216"/>
        <v>1.0981694133203272</v>
      </c>
      <c r="BO207" s="85">
        <f t="shared" si="217"/>
        <v>1.1630063499323935</v>
      </c>
      <c r="BP207" s="85">
        <f t="shared" si="218"/>
        <v>1.0981694228778804</v>
      </c>
      <c r="BQ207" s="85">
        <f t="shared" si="219"/>
        <v>1.1630063485129294</v>
      </c>
      <c r="BR207" s="85">
        <f t="shared" si="220"/>
        <v>1.0981694235480453</v>
      </c>
      <c r="BS207" s="85">
        <f t="shared" si="221"/>
        <v>1.1630063484133981</v>
      </c>
      <c r="BT207" s="85">
        <f t="shared" si="222"/>
        <v>1.0981694235950366</v>
      </c>
      <c r="BU207" s="85">
        <f t="shared" si="223"/>
        <v>1.163006348406419</v>
      </c>
      <c r="BV207" s="85">
        <f t="shared" si="224"/>
        <v>1.0981694235983317</v>
      </c>
      <c r="BW207" s="85">
        <f t="shared" si="225"/>
        <v>1.1630063484059296</v>
      </c>
    </row>
    <row r="208" spans="25:75" x14ac:dyDescent="0.4">
      <c r="Y208" s="142">
        <v>0.52480000000000004</v>
      </c>
      <c r="Z208" s="46">
        <f t="shared" si="177"/>
        <v>0.11617098851940164</v>
      </c>
      <c r="AA208" s="84">
        <f t="shared" si="178"/>
        <v>1.3429597627880567</v>
      </c>
      <c r="AB208" s="84">
        <f t="shared" si="179"/>
        <v>0.16595633160563655</v>
      </c>
      <c r="AC208" s="84">
        <f t="shared" si="180"/>
        <v>2.1738190226160734</v>
      </c>
      <c r="AD208" s="84">
        <f t="shared" si="181"/>
        <v>0.13044085424488205</v>
      </c>
      <c r="AE208" s="84">
        <f t="shared" si="182"/>
        <v>2.531668662941216</v>
      </c>
      <c r="AF208" s="84">
        <f t="shared" si="183"/>
        <v>0.12087093837910436</v>
      </c>
      <c r="AG208" s="84">
        <f t="shared" si="184"/>
        <v>2.6661384118294169</v>
      </c>
      <c r="AH208" s="84">
        <f t="shared" si="185"/>
        <v>0.11778337125381963</v>
      </c>
      <c r="AI208" s="84">
        <f t="shared" si="186"/>
        <v>2.7144030358385254</v>
      </c>
      <c r="AJ208" s="84">
        <f t="shared" si="187"/>
        <v>0.1167315253458516</v>
      </c>
      <c r="AK208" s="84">
        <f t="shared" si="188"/>
        <v>2.7314538634279151</v>
      </c>
      <c r="AL208" s="84">
        <f t="shared" si="189"/>
        <v>0.11636661253465333</v>
      </c>
      <c r="AM208" s="84">
        <f t="shared" si="190"/>
        <v>2.7374443192540365</v>
      </c>
      <c r="AN208" s="84">
        <f t="shared" si="191"/>
        <v>0.11623921800981528</v>
      </c>
      <c r="AO208" s="84">
        <f t="shared" si="192"/>
        <v>2.7395448745818216</v>
      </c>
      <c r="AP208" s="84">
        <f t="shared" si="193"/>
        <v>0.11619464605685012</v>
      </c>
      <c r="AQ208" s="84">
        <f t="shared" si="194"/>
        <v>2.7402809363214327</v>
      </c>
      <c r="AR208" s="84">
        <f t="shared" si="195"/>
        <v>0.11617903959544287</v>
      </c>
      <c r="AS208" s="84">
        <f t="shared" si="196"/>
        <v>2.7405388006982463</v>
      </c>
      <c r="AT208" s="84">
        <f t="shared" si="197"/>
        <v>0.1161735736738536</v>
      </c>
      <c r="AU208" s="84">
        <f t="shared" si="198"/>
        <v>2.7406291307740034</v>
      </c>
      <c r="AV208" s="84">
        <f t="shared" si="199"/>
        <v>0.11617165914005848</v>
      </c>
      <c r="AW208" s="84">
        <f t="shared" si="200"/>
        <v>2.7406607725433663</v>
      </c>
      <c r="AX208" s="84">
        <f t="shared" si="201"/>
        <v>0.11617098851940164</v>
      </c>
      <c r="AY208" s="142">
        <v>0.52480000000000004</v>
      </c>
      <c r="AZ208" s="46">
        <f t="shared" si="202"/>
        <v>1.1301264698968752</v>
      </c>
      <c r="BA208" s="85">
        <f t="shared" si="203"/>
        <v>1.3429597627880567</v>
      </c>
      <c r="BB208" s="85">
        <f t="shared" si="204"/>
        <v>1.0496000000000001</v>
      </c>
      <c r="BC208" s="85">
        <f t="shared" si="205"/>
        <v>1.1705544532556653</v>
      </c>
      <c r="BD208" s="85">
        <f t="shared" si="206"/>
        <v>1.124241238330264</v>
      </c>
      <c r="BE208" s="85">
        <f t="shared" si="207"/>
        <v>1.1592242228349965</v>
      </c>
      <c r="BF208" s="85">
        <f t="shared" si="208"/>
        <v>1.1297220323815711</v>
      </c>
      <c r="BG208" s="85">
        <f t="shared" si="209"/>
        <v>1.1584514002662218</v>
      </c>
      <c r="BH208" s="85">
        <f t="shared" si="210"/>
        <v>1.1300987979155783</v>
      </c>
      <c r="BI208" s="85">
        <f t="shared" si="211"/>
        <v>1.1583985501316676</v>
      </c>
      <c r="BJ208" s="85">
        <f t="shared" si="212"/>
        <v>1.1301245771227055</v>
      </c>
      <c r="BK208" s="85">
        <f t="shared" si="213"/>
        <v>1.1583949352884868</v>
      </c>
      <c r="BL208" s="85">
        <f t="shared" si="214"/>
        <v>1.1301263404332182</v>
      </c>
      <c r="BM208" s="85">
        <f t="shared" si="215"/>
        <v>1.1583946880374638</v>
      </c>
      <c r="BN208" s="85">
        <f t="shared" si="216"/>
        <v>1.1301264610418853</v>
      </c>
      <c r="BO208" s="85">
        <f t="shared" si="217"/>
        <v>1.1583946711257707</v>
      </c>
      <c r="BP208" s="85">
        <f t="shared" si="218"/>
        <v>1.1301264692913844</v>
      </c>
      <c r="BQ208" s="85">
        <f t="shared" si="219"/>
        <v>1.1583946699690297</v>
      </c>
      <c r="BR208" s="85">
        <f t="shared" si="220"/>
        <v>1.1301264698556412</v>
      </c>
      <c r="BS208" s="85">
        <f t="shared" si="221"/>
        <v>1.1583946698899099</v>
      </c>
      <c r="BT208" s="85">
        <f t="shared" si="222"/>
        <v>1.1301264698942357</v>
      </c>
      <c r="BU208" s="85">
        <f t="shared" si="223"/>
        <v>1.1583946698844982</v>
      </c>
      <c r="BV208" s="85">
        <f t="shared" si="224"/>
        <v>1.1301264698968752</v>
      </c>
      <c r="BW208" s="85">
        <f t="shared" si="225"/>
        <v>1.1583946698841281</v>
      </c>
    </row>
    <row r="209" spans="25:75" x14ac:dyDescent="0.4">
      <c r="Y209" s="142">
        <v>0.54120000000000001</v>
      </c>
      <c r="Z209" s="46">
        <f t="shared" si="177"/>
        <v>0.12104283587180785</v>
      </c>
      <c r="AA209" s="84">
        <f t="shared" si="178"/>
        <v>1.3323497129524995</v>
      </c>
      <c r="AB209" s="84">
        <f t="shared" si="179"/>
        <v>0.17114246696831267</v>
      </c>
      <c r="AC209" s="84">
        <f t="shared" si="180"/>
        <v>2.1346219979646404</v>
      </c>
      <c r="AD209" s="84">
        <f t="shared" si="181"/>
        <v>0.13520925316330754</v>
      </c>
      <c r="AE209" s="84">
        <f t="shared" si="182"/>
        <v>2.4720894616598401</v>
      </c>
      <c r="AF209" s="84">
        <f t="shared" si="183"/>
        <v>0.12564199180217528</v>
      </c>
      <c r="AG209" s="84">
        <f t="shared" si="184"/>
        <v>2.5964210203754772</v>
      </c>
      <c r="AH209" s="84">
        <f t="shared" si="185"/>
        <v>0.12259685972711926</v>
      </c>
      <c r="AI209" s="84">
        <f t="shared" si="186"/>
        <v>2.640263653560913</v>
      </c>
      <c r="AJ209" s="84">
        <f t="shared" si="187"/>
        <v>0.12157471375170224</v>
      </c>
      <c r="AK209" s="84">
        <f t="shared" si="188"/>
        <v>2.6554948798028919</v>
      </c>
      <c r="AL209" s="84">
        <f t="shared" si="189"/>
        <v>0.12122555192694072</v>
      </c>
      <c r="AM209" s="84">
        <f t="shared" si="190"/>
        <v>2.6607592939933724</v>
      </c>
      <c r="AN209" s="84">
        <f t="shared" si="191"/>
        <v>0.12110556785010888</v>
      </c>
      <c r="AO209" s="84">
        <f t="shared" si="192"/>
        <v>2.6625756461730727</v>
      </c>
      <c r="AP209" s="84">
        <f t="shared" si="193"/>
        <v>0.12106425298830852</v>
      </c>
      <c r="AQ209" s="84">
        <f t="shared" si="194"/>
        <v>2.6632019519845764</v>
      </c>
      <c r="AR209" s="84">
        <f t="shared" si="195"/>
        <v>0.12105001679725998</v>
      </c>
      <c r="AS209" s="84">
        <f t="shared" si="196"/>
        <v>2.6634178665627699</v>
      </c>
      <c r="AT209" s="84">
        <f t="shared" si="197"/>
        <v>0.12104511013327642</v>
      </c>
      <c r="AU209" s="84">
        <f t="shared" si="198"/>
        <v>2.6634922962465075</v>
      </c>
      <c r="AV209" s="84">
        <f t="shared" si="199"/>
        <v>0.12104341885520908</v>
      </c>
      <c r="AW209" s="84">
        <f t="shared" si="200"/>
        <v>2.6635179528750257</v>
      </c>
      <c r="AX209" s="84">
        <f t="shared" si="201"/>
        <v>0.12104283587180785</v>
      </c>
      <c r="AY209" s="142">
        <v>0.54120000000000001</v>
      </c>
      <c r="AZ209" s="46">
        <f t="shared" si="202"/>
        <v>1.1630865035632818</v>
      </c>
      <c r="BA209" s="85">
        <f t="shared" si="203"/>
        <v>1.3323497129524995</v>
      </c>
      <c r="BB209" s="85">
        <f t="shared" si="204"/>
        <v>1.0824</v>
      </c>
      <c r="BC209" s="85">
        <f t="shared" si="205"/>
        <v>1.1653825893373138</v>
      </c>
      <c r="BD209" s="85">
        <f t="shared" si="206"/>
        <v>1.1573444602437162</v>
      </c>
      <c r="BE209" s="85">
        <f t="shared" si="207"/>
        <v>1.1546680949761368</v>
      </c>
      <c r="BF209" s="85">
        <f t="shared" si="208"/>
        <v>1.1627017256018357</v>
      </c>
      <c r="BG209" s="85">
        <f t="shared" si="209"/>
        <v>1.1539551859422608</v>
      </c>
      <c r="BH209" s="85">
        <f t="shared" si="210"/>
        <v>1.1630608264536815</v>
      </c>
      <c r="BI209" s="85">
        <f t="shared" si="211"/>
        <v>1.1539076344538592</v>
      </c>
      <c r="BJ209" s="85">
        <f t="shared" si="212"/>
        <v>1.1630847905483757</v>
      </c>
      <c r="BK209" s="85">
        <f t="shared" si="213"/>
        <v>1.153904462218388</v>
      </c>
      <c r="BL209" s="85">
        <f t="shared" si="214"/>
        <v>1.1630863892839789</v>
      </c>
      <c r="BM209" s="85">
        <f t="shared" si="215"/>
        <v>1.1539042505911927</v>
      </c>
      <c r="BN209" s="85">
        <f t="shared" si="216"/>
        <v>1.1630864959395786</v>
      </c>
      <c r="BO209" s="85">
        <f t="shared" si="217"/>
        <v>1.1539042364730407</v>
      </c>
      <c r="BP209" s="85">
        <f t="shared" si="218"/>
        <v>1.1630865030548274</v>
      </c>
      <c r="BQ209" s="85">
        <f t="shared" si="219"/>
        <v>1.1539042355311853</v>
      </c>
      <c r="BR209" s="85">
        <f t="shared" si="220"/>
        <v>1.1630865035295026</v>
      </c>
      <c r="BS209" s="85">
        <f t="shared" si="221"/>
        <v>1.153904235468352</v>
      </c>
      <c r="BT209" s="85">
        <f t="shared" si="222"/>
        <v>1.1630865035611693</v>
      </c>
      <c r="BU209" s="85">
        <f t="shared" si="223"/>
        <v>1.1539042354641602</v>
      </c>
      <c r="BV209" s="85">
        <f t="shared" si="224"/>
        <v>1.1630865035632818</v>
      </c>
      <c r="BW209" s="85">
        <f t="shared" si="225"/>
        <v>1.1539042354638807</v>
      </c>
    </row>
    <row r="210" spans="25:75" x14ac:dyDescent="0.4">
      <c r="Y210" s="142">
        <v>0.55800000000000005</v>
      </c>
      <c r="Z210" s="46">
        <f t="shared" si="177"/>
        <v>0.12606013424067711</v>
      </c>
      <c r="AA210" s="84">
        <f t="shared" si="178"/>
        <v>1.3221535378719309</v>
      </c>
      <c r="AB210" s="84">
        <f t="shared" si="179"/>
        <v>0.17645509343739557</v>
      </c>
      <c r="AC210" s="84">
        <f t="shared" si="180"/>
        <v>2.0970011644652162</v>
      </c>
      <c r="AD210" s="84">
        <f t="shared" si="181"/>
        <v>0.14011215372210273</v>
      </c>
      <c r="AE210" s="84">
        <f t="shared" si="182"/>
        <v>2.415260529657882</v>
      </c>
      <c r="AF210" s="84">
        <f t="shared" si="183"/>
        <v>0.13055489282510674</v>
      </c>
      <c r="AG210" s="84">
        <f t="shared" si="184"/>
        <v>2.5301905090226375</v>
      </c>
      <c r="AH210" s="84">
        <f t="shared" si="185"/>
        <v>0.1275553073360825</v>
      </c>
      <c r="AI210" s="84">
        <f t="shared" si="186"/>
        <v>2.5699927132013425</v>
      </c>
      <c r="AJ210" s="84">
        <f t="shared" si="187"/>
        <v>0.12656371050514445</v>
      </c>
      <c r="AK210" s="84">
        <f t="shared" si="188"/>
        <v>2.5835851096590261</v>
      </c>
      <c r="AL210" s="84">
        <f t="shared" si="189"/>
        <v>0.12623034181692686</v>
      </c>
      <c r="AM210" s="84">
        <f t="shared" si="190"/>
        <v>2.5882049873138744</v>
      </c>
      <c r="AN210" s="84">
        <f t="shared" si="191"/>
        <v>0.12611763258290107</v>
      </c>
      <c r="AO210" s="84">
        <f t="shared" si="192"/>
        <v>2.5897727102258257</v>
      </c>
      <c r="AP210" s="84">
        <f t="shared" si="193"/>
        <v>0.12607945405228535</v>
      </c>
      <c r="AQ210" s="84">
        <f t="shared" si="194"/>
        <v>2.5903044172440124</v>
      </c>
      <c r="AR210" s="84">
        <f t="shared" si="195"/>
        <v>0.12606651333948091</v>
      </c>
      <c r="AS210" s="84">
        <f t="shared" si="196"/>
        <v>2.590484717175078</v>
      </c>
      <c r="AT210" s="84">
        <f t="shared" si="197"/>
        <v>0.12606212609507239</v>
      </c>
      <c r="AU210" s="84">
        <f t="shared" si="198"/>
        <v>2.5905458524166027</v>
      </c>
      <c r="AV210" s="84">
        <f t="shared" si="199"/>
        <v>0.12606063859312594</v>
      </c>
      <c r="AW210" s="84">
        <f t="shared" si="200"/>
        <v>2.5905665814244854</v>
      </c>
      <c r="AX210" s="84">
        <f t="shared" si="201"/>
        <v>0.12606013424067711</v>
      </c>
      <c r="AY210" s="142">
        <v>0.55800000000000005</v>
      </c>
      <c r="AZ210" s="46">
        <f t="shared" si="202"/>
        <v>1.1968481463603684</v>
      </c>
      <c r="BA210" s="85">
        <f t="shared" si="203"/>
        <v>1.3221535378719309</v>
      </c>
      <c r="BB210" s="85">
        <f t="shared" si="204"/>
        <v>1.1160000000000001</v>
      </c>
      <c r="BC210" s="85">
        <f t="shared" si="205"/>
        <v>1.160400601195938</v>
      </c>
      <c r="BD210" s="85">
        <f t="shared" si="206"/>
        <v>1.1912452111082314</v>
      </c>
      <c r="BE210" s="85">
        <f t="shared" si="207"/>
        <v>1.1502650687174276</v>
      </c>
      <c r="BF210" s="85">
        <f t="shared" si="208"/>
        <v>1.1964820144178483</v>
      </c>
      <c r="BG210" s="85">
        <f t="shared" si="209"/>
        <v>1.1496071931253871</v>
      </c>
      <c r="BH210" s="85">
        <f t="shared" si="210"/>
        <v>1.1968243155702007</v>
      </c>
      <c r="BI210" s="85">
        <f t="shared" si="211"/>
        <v>1.1495643921232266</v>
      </c>
      <c r="BJ210" s="85">
        <f t="shared" si="212"/>
        <v>1.1968465956632806</v>
      </c>
      <c r="BK210" s="85">
        <f t="shared" si="213"/>
        <v>1.1495616070918679</v>
      </c>
      <c r="BL210" s="85">
        <f t="shared" si="214"/>
        <v>1.1968480454565151</v>
      </c>
      <c r="BM210" s="85">
        <f t="shared" si="215"/>
        <v>1.149561425870028</v>
      </c>
      <c r="BN210" s="85">
        <f t="shared" si="216"/>
        <v>1.1968481397946651</v>
      </c>
      <c r="BO210" s="85">
        <f t="shared" si="217"/>
        <v>1.1495614140779251</v>
      </c>
      <c r="BP210" s="85">
        <f t="shared" si="218"/>
        <v>1.1968481459332483</v>
      </c>
      <c r="BQ210" s="85">
        <f t="shared" si="219"/>
        <v>1.1495614133106131</v>
      </c>
      <c r="BR210" s="85">
        <f t="shared" si="220"/>
        <v>1.1968481463326857</v>
      </c>
      <c r="BS210" s="85">
        <f t="shared" si="221"/>
        <v>1.1495614132606842</v>
      </c>
      <c r="BT210" s="85">
        <f t="shared" si="222"/>
        <v>1.1968481463586771</v>
      </c>
      <c r="BU210" s="85">
        <f t="shared" si="223"/>
        <v>1.1495614132574352</v>
      </c>
      <c r="BV210" s="85">
        <f t="shared" si="224"/>
        <v>1.1968481463603684</v>
      </c>
      <c r="BW210" s="85">
        <f t="shared" si="225"/>
        <v>1.1495614132572238</v>
      </c>
    </row>
    <row r="211" spans="25:75" x14ac:dyDescent="0.4">
      <c r="Y211" s="142">
        <v>0.57540000000000002</v>
      </c>
      <c r="Z211" s="46">
        <f t="shared" si="177"/>
        <v>0.13128237508867918</v>
      </c>
      <c r="AA211" s="84">
        <f t="shared" si="178"/>
        <v>1.3122444856239743</v>
      </c>
      <c r="AB211" s="84">
        <f t="shared" si="179"/>
        <v>0.18195745656608855</v>
      </c>
      <c r="AC211" s="84">
        <f t="shared" si="180"/>
        <v>2.060494819552666</v>
      </c>
      <c r="AD211" s="84">
        <f t="shared" si="181"/>
        <v>0.14520831045108698</v>
      </c>
      <c r="AE211" s="84">
        <f t="shared" si="182"/>
        <v>2.3604610595717226</v>
      </c>
      <c r="AF211" s="84">
        <f t="shared" si="183"/>
        <v>0.13566843512180649</v>
      </c>
      <c r="AG211" s="84">
        <f t="shared" si="184"/>
        <v>2.4665839388637174</v>
      </c>
      <c r="AH211" s="84">
        <f t="shared" si="185"/>
        <v>0.1327178342732693</v>
      </c>
      <c r="AI211" s="84">
        <f t="shared" si="186"/>
        <v>2.5026586103748221</v>
      </c>
      <c r="AJ211" s="84">
        <f t="shared" si="187"/>
        <v>0.13175782897185714</v>
      </c>
      <c r="AK211" s="84">
        <f t="shared" si="188"/>
        <v>2.5147614843993473</v>
      </c>
      <c r="AL211" s="84">
        <f t="shared" si="189"/>
        <v>0.13144038898786284</v>
      </c>
      <c r="AM211" s="84">
        <f t="shared" si="190"/>
        <v>2.518804265420723</v>
      </c>
      <c r="AN211" s="84">
        <f t="shared" si="191"/>
        <v>0.13133486310162654</v>
      </c>
      <c r="AO211" s="84">
        <f t="shared" si="192"/>
        <v>2.5201527356343547</v>
      </c>
      <c r="AP211" s="84">
        <f t="shared" si="193"/>
        <v>0.13129972141252766</v>
      </c>
      <c r="AQ211" s="84">
        <f t="shared" si="194"/>
        <v>2.5206023005587186</v>
      </c>
      <c r="AR211" s="84">
        <f t="shared" si="195"/>
        <v>0.13128801183392058</v>
      </c>
      <c r="AS211" s="84">
        <f t="shared" si="196"/>
        <v>2.520752156329408</v>
      </c>
      <c r="AT211" s="84">
        <f t="shared" si="197"/>
        <v>0.13128410931646006</v>
      </c>
      <c r="AU211" s="84">
        <f t="shared" si="198"/>
        <v>2.5208021058345174</v>
      </c>
      <c r="AV211" s="84">
        <f t="shared" si="199"/>
        <v>0.13128280861761532</v>
      </c>
      <c r="AW211" s="84">
        <f t="shared" si="200"/>
        <v>2.5208187545652985</v>
      </c>
      <c r="AX211" s="84">
        <f t="shared" si="201"/>
        <v>0.13128237508867918</v>
      </c>
      <c r="AY211" s="142">
        <v>0.57540000000000002</v>
      </c>
      <c r="AZ211" s="46">
        <f t="shared" si="202"/>
        <v>1.2318128782101148</v>
      </c>
      <c r="BA211" s="85">
        <f t="shared" si="203"/>
        <v>1.3122444856239743</v>
      </c>
      <c r="BB211" s="85">
        <f t="shared" si="204"/>
        <v>1.1508</v>
      </c>
      <c r="BC211" s="85">
        <f t="shared" si="205"/>
        <v>1.155548009972664</v>
      </c>
      <c r="BD211" s="85">
        <f t="shared" si="206"/>
        <v>1.2263466087300534</v>
      </c>
      <c r="BE211" s="85">
        <f t="shared" si="207"/>
        <v>1.1459629587332081</v>
      </c>
      <c r="BF211" s="85">
        <f t="shared" si="208"/>
        <v>1.2314646266541518</v>
      </c>
      <c r="BG211" s="85">
        <f t="shared" si="209"/>
        <v>1.1453561927837106</v>
      </c>
      <c r="BH211" s="85">
        <f t="shared" si="210"/>
        <v>1.2317907749185266</v>
      </c>
      <c r="BI211" s="85">
        <f t="shared" si="211"/>
        <v>1.14531769739676</v>
      </c>
      <c r="BJ211" s="85">
        <f t="shared" si="212"/>
        <v>1.2318114756656608</v>
      </c>
      <c r="BK211" s="85">
        <f t="shared" si="213"/>
        <v>1.1453152547694758</v>
      </c>
      <c r="BL211" s="85">
        <f t="shared" si="214"/>
        <v>1.2318127892143553</v>
      </c>
      <c r="BM211" s="85">
        <f t="shared" si="215"/>
        <v>1.1453150997773658</v>
      </c>
      <c r="BN211" s="85">
        <f t="shared" si="216"/>
        <v>1.2318128725631456</v>
      </c>
      <c r="BO211" s="85">
        <f t="shared" si="217"/>
        <v>1.1453150899426408</v>
      </c>
      <c r="BP211" s="85">
        <f t="shared" si="218"/>
        <v>1.2318128778518829</v>
      </c>
      <c r="BQ211" s="85">
        <f t="shared" si="219"/>
        <v>1.1453150893185973</v>
      </c>
      <c r="BR211" s="85">
        <f t="shared" si="220"/>
        <v>1.2318128781874695</v>
      </c>
      <c r="BS211" s="85">
        <f t="shared" si="221"/>
        <v>1.1453150892789998</v>
      </c>
      <c r="BT211" s="85">
        <f t="shared" si="222"/>
        <v>1.2318128782087636</v>
      </c>
      <c r="BU211" s="85">
        <f t="shared" si="223"/>
        <v>1.1453150892764872</v>
      </c>
      <c r="BV211" s="85">
        <f t="shared" si="224"/>
        <v>1.2318128782101148</v>
      </c>
      <c r="BW211" s="85">
        <f t="shared" si="225"/>
        <v>1.1453150892763277</v>
      </c>
    </row>
    <row r="212" spans="25:75" x14ac:dyDescent="0.4">
      <c r="Y212" s="142">
        <v>0.59340000000000004</v>
      </c>
      <c r="Z212" s="46">
        <f t="shared" si="177"/>
        <v>0.13670960094855664</v>
      </c>
      <c r="AA212" s="84">
        <f t="shared" si="178"/>
        <v>1.3026266857760258</v>
      </c>
      <c r="AB212" s="84">
        <f t="shared" si="179"/>
        <v>0.18764955635439162</v>
      </c>
      <c r="AC212" s="84">
        <f t="shared" si="180"/>
        <v>2.0251240310753817</v>
      </c>
      <c r="AD212" s="84">
        <f t="shared" si="181"/>
        <v>0.15049834143985769</v>
      </c>
      <c r="AE212" s="84">
        <f t="shared" si="182"/>
        <v>2.307704548223855</v>
      </c>
      <c r="AF212" s="84">
        <f t="shared" si="183"/>
        <v>0.14098321967303348</v>
      </c>
      <c r="AG212" s="84">
        <f t="shared" si="184"/>
        <v>2.4055983636086973</v>
      </c>
      <c r="AH212" s="84">
        <f t="shared" si="185"/>
        <v>0.13808482936803293</v>
      </c>
      <c r="AI212" s="84">
        <f t="shared" si="186"/>
        <v>2.4382449071602741</v>
      </c>
      <c r="AJ212" s="84">
        <f t="shared" si="187"/>
        <v>0.13715728020292936</v>
      </c>
      <c r="AK212" s="84">
        <f t="shared" si="188"/>
        <v>2.4489990128161025</v>
      </c>
      <c r="AL212" s="84">
        <f t="shared" si="189"/>
        <v>0.13685580463911928</v>
      </c>
      <c r="AM212" s="84">
        <f t="shared" si="190"/>
        <v>2.4525273351730581</v>
      </c>
      <c r="AN212" s="84">
        <f t="shared" si="191"/>
        <v>0.13675732557555684</v>
      </c>
      <c r="AO212" s="84">
        <f t="shared" si="192"/>
        <v>2.4536834265698659</v>
      </c>
      <c r="AP212" s="84">
        <f t="shared" si="193"/>
        <v>0.13672510410119809</v>
      </c>
      <c r="AQ212" s="84">
        <f t="shared" si="194"/>
        <v>2.4540620691928776</v>
      </c>
      <c r="AR212" s="84">
        <f t="shared" si="195"/>
        <v>0.13671455588610251</v>
      </c>
      <c r="AS212" s="84">
        <f t="shared" si="196"/>
        <v>2.4541860646410552</v>
      </c>
      <c r="AT212" s="84">
        <f t="shared" si="197"/>
        <v>0.13671110215514873</v>
      </c>
      <c r="AU212" s="84">
        <f t="shared" si="198"/>
        <v>2.4542266680019189</v>
      </c>
      <c r="AV212" s="84">
        <f t="shared" si="199"/>
        <v>0.13670997125855175</v>
      </c>
      <c r="AW212" s="84">
        <f t="shared" si="200"/>
        <v>2.4542399637161925</v>
      </c>
      <c r="AX212" s="84">
        <f t="shared" si="201"/>
        <v>0.13670960094855664</v>
      </c>
      <c r="AY212" s="142">
        <v>0.59340000000000004</v>
      </c>
      <c r="AZ212" s="46">
        <f t="shared" si="202"/>
        <v>1.2679801897119847</v>
      </c>
      <c r="BA212" s="85">
        <f t="shared" si="203"/>
        <v>1.3026266857760258</v>
      </c>
      <c r="BB212" s="85">
        <f t="shared" si="204"/>
        <v>1.1868000000000001</v>
      </c>
      <c r="BC212" s="85">
        <f t="shared" si="205"/>
        <v>1.1508280621437685</v>
      </c>
      <c r="BD212" s="85">
        <f t="shared" si="206"/>
        <v>1.2626480183075008</v>
      </c>
      <c r="BE212" s="85">
        <f t="shared" si="207"/>
        <v>1.1417656432610723</v>
      </c>
      <c r="BF212" s="85">
        <f t="shared" si="208"/>
        <v>1.2676490574188211</v>
      </c>
      <c r="BG212" s="85">
        <f t="shared" si="209"/>
        <v>1.1412062606000022</v>
      </c>
      <c r="BH212" s="85">
        <f t="shared" si="210"/>
        <v>1.2679596997865454</v>
      </c>
      <c r="BI212" s="85">
        <f t="shared" si="211"/>
        <v>1.1411716599132851</v>
      </c>
      <c r="BJ212" s="85">
        <f t="shared" si="212"/>
        <v>1.2679789221109921</v>
      </c>
      <c r="BK212" s="85">
        <f t="shared" si="213"/>
        <v>1.1411695194053546</v>
      </c>
      <c r="BL212" s="85">
        <f t="shared" si="214"/>
        <v>1.2679801112935016</v>
      </c>
      <c r="BM212" s="85">
        <f t="shared" si="215"/>
        <v>1.1411693869856991</v>
      </c>
      <c r="BN212" s="85">
        <f t="shared" si="216"/>
        <v>1.2679801848607941</v>
      </c>
      <c r="BO212" s="85">
        <f t="shared" si="217"/>
        <v>1.1411693787937303</v>
      </c>
      <c r="BP212" s="85">
        <f t="shared" si="218"/>
        <v>1.2679801894119391</v>
      </c>
      <c r="BQ212" s="85">
        <f t="shared" si="219"/>
        <v>1.141169378286945</v>
      </c>
      <c r="BR212" s="85">
        <f t="shared" si="220"/>
        <v>1.2679801896934895</v>
      </c>
      <c r="BS212" s="85">
        <f t="shared" si="221"/>
        <v>1.1411693782555934</v>
      </c>
      <c r="BT212" s="85">
        <f t="shared" si="222"/>
        <v>1.2679801897109071</v>
      </c>
      <c r="BU212" s="85">
        <f t="shared" si="223"/>
        <v>1.1411693782536538</v>
      </c>
      <c r="BV212" s="85">
        <f t="shared" si="224"/>
        <v>1.2679801897119847</v>
      </c>
      <c r="BW212" s="85">
        <f t="shared" si="225"/>
        <v>1.1411693782535339</v>
      </c>
    </row>
    <row r="213" spans="25:75" x14ac:dyDescent="0.4">
      <c r="Y213" s="142">
        <v>0.6119</v>
      </c>
      <c r="Z213" s="46">
        <f t="shared" si="177"/>
        <v>0.14231133160817858</v>
      </c>
      <c r="AA213" s="84">
        <f t="shared" si="178"/>
        <v>1.2933505304316755</v>
      </c>
      <c r="AB213" s="84">
        <f t="shared" si="179"/>
        <v>0.19349977002570312</v>
      </c>
      <c r="AC213" s="84">
        <f t="shared" si="180"/>
        <v>1.9910783471789404</v>
      </c>
      <c r="AD213" s="84">
        <f t="shared" si="181"/>
        <v>0.15595323977514761</v>
      </c>
      <c r="AE213" s="84">
        <f t="shared" si="182"/>
        <v>2.2572516247018823</v>
      </c>
      <c r="AF213" s="84">
        <f t="shared" si="183"/>
        <v>0.14646996872214399</v>
      </c>
      <c r="AG213" s="84">
        <f t="shared" si="184"/>
        <v>2.34751383356953</v>
      </c>
      <c r="AH213" s="84">
        <f t="shared" si="185"/>
        <v>0.14362647304221521</v>
      </c>
      <c r="AI213" s="84">
        <f t="shared" si="186"/>
        <v>2.3770327136332243</v>
      </c>
      <c r="AJ213" s="84">
        <f t="shared" si="187"/>
        <v>0.14273188343530183</v>
      </c>
      <c r="AK213" s="84">
        <f t="shared" si="188"/>
        <v>2.3865759050096198</v>
      </c>
      <c r="AL213" s="84">
        <f t="shared" si="189"/>
        <v>0.14244622688459996</v>
      </c>
      <c r="AM213" s="84">
        <f t="shared" si="190"/>
        <v>2.3896497781967474</v>
      </c>
      <c r="AN213" s="84">
        <f t="shared" si="191"/>
        <v>0.1423545811253614</v>
      </c>
      <c r="AO213" s="84">
        <f t="shared" si="192"/>
        <v>2.3906387046119102</v>
      </c>
      <c r="AP213" s="84">
        <f t="shared" si="193"/>
        <v>0.14232513444085593</v>
      </c>
      <c r="AQ213" s="84">
        <f t="shared" si="194"/>
        <v>2.390956740926633</v>
      </c>
      <c r="AR213" s="84">
        <f t="shared" si="195"/>
        <v>0.14231566834182394</v>
      </c>
      <c r="AS213" s="84">
        <f t="shared" si="196"/>
        <v>2.3910590081123981</v>
      </c>
      <c r="AT213" s="84">
        <f t="shared" si="197"/>
        <v>0.14231262484133544</v>
      </c>
      <c r="AU213" s="84">
        <f t="shared" si="198"/>
        <v>2.3910918916710733</v>
      </c>
      <c r="AV213" s="84">
        <f t="shared" si="199"/>
        <v>0.1423116462587776</v>
      </c>
      <c r="AW213" s="84">
        <f t="shared" si="200"/>
        <v>2.3911024650993338</v>
      </c>
      <c r="AX213" s="84">
        <f t="shared" si="201"/>
        <v>0.14231133160817858</v>
      </c>
      <c r="AY213" s="142">
        <v>0.6119</v>
      </c>
      <c r="AZ213" s="46">
        <f t="shared" si="202"/>
        <v>1.3051486541081392</v>
      </c>
      <c r="BA213" s="85">
        <f t="shared" si="203"/>
        <v>1.2933505304316755</v>
      </c>
      <c r="BB213" s="85">
        <f t="shared" si="204"/>
        <v>1.2238</v>
      </c>
      <c r="BC213" s="85">
        <f t="shared" si="205"/>
        <v>1.1462667645426723</v>
      </c>
      <c r="BD213" s="85">
        <f t="shared" si="206"/>
        <v>1.2999472254424995</v>
      </c>
      <c r="BE213" s="85">
        <f t="shared" si="207"/>
        <v>1.1376973440085367</v>
      </c>
      <c r="BF213" s="85">
        <f t="shared" si="208"/>
        <v>1.3048338045528585</v>
      </c>
      <c r="BG213" s="85">
        <f t="shared" si="209"/>
        <v>1.1371815995189203</v>
      </c>
      <c r="BH213" s="85">
        <f t="shared" si="210"/>
        <v>1.3051296607997334</v>
      </c>
      <c r="BI213" s="85">
        <f t="shared" si="211"/>
        <v>1.1371504980225255</v>
      </c>
      <c r="BJ213" s="85">
        <f t="shared" si="212"/>
        <v>1.3051475085727264</v>
      </c>
      <c r="BK213" s="85">
        <f t="shared" si="213"/>
        <v>1.1371486222502833</v>
      </c>
      <c r="BL213" s="85">
        <f t="shared" si="214"/>
        <v>1.3051485850188529</v>
      </c>
      <c r="BM213" s="85">
        <f t="shared" si="215"/>
        <v>1.1371485091191678</v>
      </c>
      <c r="BN213" s="85">
        <f t="shared" si="216"/>
        <v>1.305148649941293</v>
      </c>
      <c r="BO213" s="85">
        <f t="shared" si="217"/>
        <v>1.1371485022960286</v>
      </c>
      <c r="BP213" s="85">
        <f t="shared" si="218"/>
        <v>1.3051486538568813</v>
      </c>
      <c r="BQ213" s="85">
        <f t="shared" si="219"/>
        <v>1.1371485018845131</v>
      </c>
      <c r="BR213" s="85">
        <f t="shared" si="220"/>
        <v>1.3051486540930373</v>
      </c>
      <c r="BS213" s="85">
        <f t="shared" si="221"/>
        <v>1.1371485018596938</v>
      </c>
      <c r="BT213" s="85">
        <f t="shared" si="222"/>
        <v>1.3051486541072803</v>
      </c>
      <c r="BU213" s="85">
        <f t="shared" si="223"/>
        <v>1.1371485018581968</v>
      </c>
      <c r="BV213" s="85">
        <f t="shared" si="224"/>
        <v>1.3051486541081392</v>
      </c>
      <c r="BW213" s="85">
        <f t="shared" si="225"/>
        <v>1.1371485018581067</v>
      </c>
    </row>
    <row r="214" spans="25:75" x14ac:dyDescent="0.4">
      <c r="Y214" s="142">
        <v>0.63100000000000001</v>
      </c>
      <c r="Z214" s="46">
        <f t="shared" si="177"/>
        <v>0.14811737747315798</v>
      </c>
      <c r="AA214" s="84">
        <f t="shared" si="178"/>
        <v>1.2843613319773923</v>
      </c>
      <c r="AB214" s="84">
        <f t="shared" si="179"/>
        <v>0.19953972035662473</v>
      </c>
      <c r="AC214" s="84">
        <f t="shared" si="180"/>
        <v>1.9581601415125387</v>
      </c>
      <c r="AD214" s="84">
        <f t="shared" si="181"/>
        <v>0.16160279471163205</v>
      </c>
      <c r="AE214" s="84">
        <f t="shared" si="182"/>
        <v>2.2087865703774412</v>
      </c>
      <c r="AF214" s="84">
        <f t="shared" si="183"/>
        <v>0.15215845633009781</v>
      </c>
      <c r="AG214" s="84">
        <f t="shared" si="184"/>
        <v>2.2919454318372967</v>
      </c>
      <c r="AH214" s="84">
        <f t="shared" si="185"/>
        <v>0.14937256320000614</v>
      </c>
      <c r="AI214" s="84">
        <f t="shared" si="186"/>
        <v>2.3186017779885235</v>
      </c>
      <c r="AJ214" s="84">
        <f t="shared" si="187"/>
        <v>0.1485114327414018</v>
      </c>
      <c r="AK214" s="84">
        <f t="shared" si="188"/>
        <v>2.3270549793416135</v>
      </c>
      <c r="AL214" s="84">
        <f t="shared" si="189"/>
        <v>0.1482414478867875</v>
      </c>
      <c r="AM214" s="84">
        <f t="shared" si="190"/>
        <v>2.3297265909205351</v>
      </c>
      <c r="AN214" s="84">
        <f t="shared" si="191"/>
        <v>0.14815642564083356</v>
      </c>
      <c r="AO214" s="84">
        <f t="shared" si="192"/>
        <v>2.3305700472144109</v>
      </c>
      <c r="AP214" s="84">
        <f t="shared" si="193"/>
        <v>0.14812961357863896</v>
      </c>
      <c r="AQ214" s="84">
        <f t="shared" si="194"/>
        <v>2.3308362458674701</v>
      </c>
      <c r="AR214" s="84">
        <f t="shared" si="195"/>
        <v>0.14812115459109737</v>
      </c>
      <c r="AS214" s="84">
        <f t="shared" si="196"/>
        <v>2.3309202504658195</v>
      </c>
      <c r="AT214" s="84">
        <f t="shared" si="197"/>
        <v>0.1481184854800015</v>
      </c>
      <c r="AU214" s="84">
        <f t="shared" si="198"/>
        <v>2.3309467590010233</v>
      </c>
      <c r="AV214" s="84">
        <f t="shared" si="199"/>
        <v>0.14811764324385115</v>
      </c>
      <c r="AW214" s="84">
        <f t="shared" si="200"/>
        <v>2.3309551239599799</v>
      </c>
      <c r="AX214" s="84">
        <f t="shared" si="201"/>
        <v>0.14811737747315798</v>
      </c>
      <c r="AY214" s="142">
        <v>0.63100000000000001</v>
      </c>
      <c r="AZ214" s="46">
        <f t="shared" si="202"/>
        <v>1.343518680438331</v>
      </c>
      <c r="BA214" s="85">
        <f t="shared" si="203"/>
        <v>1.2843613319773923</v>
      </c>
      <c r="BB214" s="85">
        <f t="shared" si="204"/>
        <v>1.262</v>
      </c>
      <c r="BC214" s="85">
        <f t="shared" si="205"/>
        <v>1.1418384509753532</v>
      </c>
      <c r="BD214" s="85">
        <f t="shared" si="206"/>
        <v>1.3384453216674594</v>
      </c>
      <c r="BE214" s="85">
        <f t="shared" si="207"/>
        <v>1.1337362381244476</v>
      </c>
      <c r="BF214" s="85">
        <f t="shared" si="208"/>
        <v>1.3432193875846588</v>
      </c>
      <c r="BG214" s="85">
        <f t="shared" si="209"/>
        <v>1.1332608635698433</v>
      </c>
      <c r="BH214" s="85">
        <f t="shared" si="210"/>
        <v>1.3435010814958288</v>
      </c>
      <c r="BI214" s="85">
        <f t="shared" si="211"/>
        <v>1.1332329196896362</v>
      </c>
      <c r="BJ214" s="85">
        <f t="shared" si="212"/>
        <v>1.3435176457877733</v>
      </c>
      <c r="BK214" s="85">
        <f t="shared" si="213"/>
        <v>1.1332312768860102</v>
      </c>
      <c r="BL214" s="85">
        <f t="shared" si="214"/>
        <v>1.3435186196114337</v>
      </c>
      <c r="BM214" s="85">
        <f t="shared" si="215"/>
        <v>1.1332311803059603</v>
      </c>
      <c r="BN214" s="85">
        <f t="shared" si="216"/>
        <v>1.3435186768623701</v>
      </c>
      <c r="BO214" s="85">
        <f t="shared" si="217"/>
        <v>1.133231174628039</v>
      </c>
      <c r="BP214" s="85">
        <f t="shared" si="218"/>
        <v>1.3435186802281411</v>
      </c>
      <c r="BQ214" s="85">
        <f t="shared" si="219"/>
        <v>1.1332311742942351</v>
      </c>
      <c r="BR214" s="85">
        <f t="shared" si="220"/>
        <v>1.343518680426014</v>
      </c>
      <c r="BS214" s="85">
        <f t="shared" si="221"/>
        <v>1.1332311742746108</v>
      </c>
      <c r="BT214" s="85">
        <f t="shared" si="222"/>
        <v>1.3435186804376471</v>
      </c>
      <c r="BU214" s="85">
        <f t="shared" si="223"/>
        <v>1.1332311742734571</v>
      </c>
      <c r="BV214" s="85">
        <f t="shared" si="224"/>
        <v>1.343518680438331</v>
      </c>
      <c r="BW214" s="85">
        <f t="shared" si="225"/>
        <v>1.1332311742733894</v>
      </c>
    </row>
    <row r="215" spans="25:75" x14ac:dyDescent="0.4">
      <c r="Y215" s="142">
        <v>0.65059999999999996</v>
      </c>
      <c r="Z215" s="46">
        <f t="shared" si="177"/>
        <v>0.15409676526703817</v>
      </c>
      <c r="AA215" s="84">
        <f t="shared" si="178"/>
        <v>1.2757006682993657</v>
      </c>
      <c r="AB215" s="84">
        <f t="shared" si="179"/>
        <v>0.20573778457055472</v>
      </c>
      <c r="AC215" s="84">
        <f t="shared" si="180"/>
        <v>1.9265236588230588</v>
      </c>
      <c r="AD215" s="84">
        <f t="shared" si="181"/>
        <v>0.16741766369651942</v>
      </c>
      <c r="AE215" s="84">
        <f t="shared" si="182"/>
        <v>2.1625134107550519</v>
      </c>
      <c r="AF215" s="84">
        <f t="shared" si="183"/>
        <v>0.15801890418377834</v>
      </c>
      <c r="AG215" s="84">
        <f t="shared" si="184"/>
        <v>2.2391058942138864</v>
      </c>
      <c r="AH215" s="84">
        <f t="shared" si="185"/>
        <v>0.15529273324748274</v>
      </c>
      <c r="AI215" s="84">
        <f t="shared" si="186"/>
        <v>2.2631615565343051</v>
      </c>
      <c r="AJ215" s="84">
        <f t="shared" si="187"/>
        <v>0.15446520737486616</v>
      </c>
      <c r="AK215" s="84">
        <f t="shared" si="188"/>
        <v>2.270641319878135</v>
      </c>
      <c r="AL215" s="84">
        <f t="shared" si="189"/>
        <v>0.15421058410338939</v>
      </c>
      <c r="AM215" s="84">
        <f t="shared" si="190"/>
        <v>2.2729598544987879</v>
      </c>
      <c r="AN215" s="84">
        <f t="shared" si="191"/>
        <v>0.15413191271774174</v>
      </c>
      <c r="AO215" s="84">
        <f t="shared" si="192"/>
        <v>2.2736778529510864</v>
      </c>
      <c r="AP215" s="84">
        <f t="shared" si="193"/>
        <v>0.15410757435054906</v>
      </c>
      <c r="AQ215" s="84">
        <f t="shared" si="194"/>
        <v>2.2739001351917225</v>
      </c>
      <c r="AR215" s="84">
        <f t="shared" si="195"/>
        <v>0.1541000418706516</v>
      </c>
      <c r="AS215" s="84">
        <f t="shared" si="196"/>
        <v>2.2739689443428901</v>
      </c>
      <c r="AT215" s="84">
        <f t="shared" si="197"/>
        <v>0.15409771035831549</v>
      </c>
      <c r="AU215" s="84">
        <f t="shared" si="198"/>
        <v>2.2739902441322335</v>
      </c>
      <c r="AV215" s="84">
        <f t="shared" si="199"/>
        <v>0.15409698866294685</v>
      </c>
      <c r="AW215" s="84">
        <f t="shared" si="200"/>
        <v>2.2739968373982808</v>
      </c>
      <c r="AX215" s="84">
        <f t="shared" si="201"/>
        <v>0.15409676526703817</v>
      </c>
      <c r="AY215" s="142">
        <v>0.65059999999999996</v>
      </c>
      <c r="AZ215" s="46">
        <f t="shared" si="202"/>
        <v>1.3828888822024779</v>
      </c>
      <c r="BA215" s="85">
        <f t="shared" si="203"/>
        <v>1.2757006682993657</v>
      </c>
      <c r="BB215" s="85">
        <f t="shared" si="204"/>
        <v>1.3011999999999999</v>
      </c>
      <c r="BC215" s="85">
        <f t="shared" si="205"/>
        <v>1.1375647528495478</v>
      </c>
      <c r="BD215" s="85">
        <f t="shared" si="206"/>
        <v>1.3779402385914441</v>
      </c>
      <c r="BE215" s="85">
        <f t="shared" si="207"/>
        <v>1.129902700304277</v>
      </c>
      <c r="BF215" s="85">
        <f t="shared" si="208"/>
        <v>1.3826043624660969</v>
      </c>
      <c r="BG215" s="85">
        <f t="shared" si="209"/>
        <v>1.1294644474290674</v>
      </c>
      <c r="BH215" s="85">
        <f t="shared" si="210"/>
        <v>1.3828725743482382</v>
      </c>
      <c r="BI215" s="85">
        <f t="shared" si="211"/>
        <v>1.1294393354884058</v>
      </c>
      <c r="BJ215" s="85">
        <f t="shared" si="212"/>
        <v>1.3828879476489164</v>
      </c>
      <c r="BK215" s="85">
        <f t="shared" si="213"/>
        <v>1.1294378964238447</v>
      </c>
      <c r="BL215" s="85">
        <f t="shared" si="214"/>
        <v>1.3828888286466274</v>
      </c>
      <c r="BM215" s="85">
        <f t="shared" si="215"/>
        <v>1.1294378139563446</v>
      </c>
      <c r="BN215" s="85">
        <f t="shared" si="216"/>
        <v>1.3828888791334191</v>
      </c>
      <c r="BO215" s="85">
        <f t="shared" si="217"/>
        <v>1.1294378092304336</v>
      </c>
      <c r="BP215" s="85">
        <f t="shared" si="218"/>
        <v>1.3828888820266323</v>
      </c>
      <c r="BQ215" s="85">
        <f t="shared" si="219"/>
        <v>1.1294378089596089</v>
      </c>
      <c r="BR215" s="85">
        <f t="shared" si="220"/>
        <v>1.3828888821924319</v>
      </c>
      <c r="BS215" s="85">
        <f t="shared" si="221"/>
        <v>1.1294378089440891</v>
      </c>
      <c r="BT215" s="85">
        <f t="shared" si="222"/>
        <v>1.3828888822019332</v>
      </c>
      <c r="BU215" s="85">
        <f t="shared" si="223"/>
        <v>1.1294378089431996</v>
      </c>
      <c r="BV215" s="85">
        <f t="shared" si="224"/>
        <v>1.3828888822024779</v>
      </c>
      <c r="BW215" s="85">
        <f t="shared" si="225"/>
        <v>1.1294378089431487</v>
      </c>
    </row>
    <row r="216" spans="25:75" x14ac:dyDescent="0.4">
      <c r="Y216" s="142">
        <v>0.67090000000000005</v>
      </c>
      <c r="Z216" s="46">
        <f t="shared" si="177"/>
        <v>0.16030998064912685</v>
      </c>
      <c r="AA216" s="84">
        <f t="shared" si="178"/>
        <v>1.2672776364988376</v>
      </c>
      <c r="AB216" s="84">
        <f t="shared" si="179"/>
        <v>0.21215720822069659</v>
      </c>
      <c r="AC216" s="84">
        <f t="shared" si="180"/>
        <v>1.8958383505088561</v>
      </c>
      <c r="AD216" s="84">
        <f t="shared" si="181"/>
        <v>0.17345747704101075</v>
      </c>
      <c r="AE216" s="84">
        <f t="shared" si="182"/>
        <v>2.1179274062344069</v>
      </c>
      <c r="AF216" s="84">
        <f t="shared" si="183"/>
        <v>0.16411117020885937</v>
      </c>
      <c r="AG216" s="84">
        <f t="shared" si="184"/>
        <v>2.1883992965417427</v>
      </c>
      <c r="AH216" s="84">
        <f t="shared" si="185"/>
        <v>0.16144715417451327</v>
      </c>
      <c r="AI216" s="84">
        <f t="shared" si="186"/>
        <v>2.2100736853925995</v>
      </c>
      <c r="AJ216" s="84">
        <f t="shared" si="187"/>
        <v>0.16065354033264201</v>
      </c>
      <c r="AK216" s="84">
        <f t="shared" si="188"/>
        <v>2.2166777799952069</v>
      </c>
      <c r="AL216" s="84">
        <f t="shared" si="189"/>
        <v>0.16041404621243352</v>
      </c>
      <c r="AM216" s="84">
        <f t="shared" si="190"/>
        <v>2.2186843333748936</v>
      </c>
      <c r="AN216" s="84">
        <f t="shared" si="191"/>
        <v>0.16034149146665816</v>
      </c>
      <c r="AO216" s="84">
        <f t="shared" si="192"/>
        <v>2.2192934712466803</v>
      </c>
      <c r="AP216" s="84">
        <f t="shared" si="193"/>
        <v>0.16031948518875366</v>
      </c>
      <c r="AQ216" s="84">
        <f t="shared" si="194"/>
        <v>2.2194783416842023</v>
      </c>
      <c r="AR216" s="84">
        <f t="shared" si="195"/>
        <v>0.1603128081804637</v>
      </c>
      <c r="AS216" s="84">
        <f t="shared" si="196"/>
        <v>2.2195344445496996</v>
      </c>
      <c r="AT216" s="84">
        <f t="shared" si="197"/>
        <v>0.16031078206530863</v>
      </c>
      <c r="AU216" s="84">
        <f t="shared" si="198"/>
        <v>2.2195514697493026</v>
      </c>
      <c r="AV216" s="84">
        <f t="shared" si="199"/>
        <v>0.16031016722750596</v>
      </c>
      <c r="AW216" s="84">
        <f t="shared" si="200"/>
        <v>2.2195566362467956</v>
      </c>
      <c r="AX216" s="84">
        <f t="shared" si="201"/>
        <v>0.16030998064912685</v>
      </c>
      <c r="AY216" s="142">
        <v>0.67090000000000005</v>
      </c>
      <c r="AZ216" s="46">
        <f t="shared" si="202"/>
        <v>1.4236604756874407</v>
      </c>
      <c r="BA216" s="85">
        <f t="shared" si="203"/>
        <v>1.2672776364988376</v>
      </c>
      <c r="BB216" s="85">
        <f t="shared" si="204"/>
        <v>1.3418000000000001</v>
      </c>
      <c r="BC216" s="85">
        <f t="shared" si="205"/>
        <v>1.1334018446327538</v>
      </c>
      <c r="BD216" s="85">
        <f t="shared" si="206"/>
        <v>1.4188344194860838</v>
      </c>
      <c r="BE216" s="85">
        <f t="shared" si="207"/>
        <v>1.1261583364476042</v>
      </c>
      <c r="BF216" s="85">
        <f t="shared" si="208"/>
        <v>1.4233901134955302</v>
      </c>
      <c r="BG216" s="85">
        <f t="shared" si="209"/>
        <v>1.1257545307672363</v>
      </c>
      <c r="BH216" s="85">
        <f t="shared" si="210"/>
        <v>1.4236453740626827</v>
      </c>
      <c r="BI216" s="85">
        <f t="shared" si="211"/>
        <v>1.1257319815732603</v>
      </c>
      <c r="BJ216" s="85">
        <f t="shared" si="212"/>
        <v>1.4236596322944213</v>
      </c>
      <c r="BK216" s="85">
        <f t="shared" si="213"/>
        <v>1.1257307222688935</v>
      </c>
      <c r="BL216" s="85">
        <f t="shared" si="214"/>
        <v>1.4236604285862231</v>
      </c>
      <c r="BM216" s="85">
        <f t="shared" si="215"/>
        <v>1.1257306519401769</v>
      </c>
      <c r="BN216" s="85">
        <f t="shared" si="216"/>
        <v>1.4236604730569893</v>
      </c>
      <c r="BO216" s="85">
        <f t="shared" si="217"/>
        <v>1.1257306480125087</v>
      </c>
      <c r="BP216" s="85">
        <f t="shared" si="218"/>
        <v>1.4236604755405613</v>
      </c>
      <c r="BQ216" s="85">
        <f t="shared" si="219"/>
        <v>1.125730647793159</v>
      </c>
      <c r="BR216" s="85">
        <f t="shared" si="220"/>
        <v>1.4236604756792621</v>
      </c>
      <c r="BS216" s="85">
        <f t="shared" si="221"/>
        <v>1.125730647780909</v>
      </c>
      <c r="BT216" s="85">
        <f t="shared" si="222"/>
        <v>1.4236604756870082</v>
      </c>
      <c r="BU216" s="85">
        <f t="shared" si="223"/>
        <v>1.1257306477802249</v>
      </c>
      <c r="BV216" s="85">
        <f t="shared" si="224"/>
        <v>1.4236604756874407</v>
      </c>
      <c r="BW216" s="85">
        <f t="shared" si="225"/>
        <v>1.1257306477801867</v>
      </c>
    </row>
    <row r="217" spans="25:75" x14ac:dyDescent="0.4">
      <c r="Y217" s="142">
        <v>0.69179999999999997</v>
      </c>
      <c r="Z217" s="46">
        <f t="shared" si="177"/>
        <v>0.16672593467337726</v>
      </c>
      <c r="AA217" s="84">
        <f t="shared" si="178"/>
        <v>1.2591339881281047</v>
      </c>
      <c r="AB217" s="84">
        <f t="shared" si="179"/>
        <v>0.21876636853044845</v>
      </c>
      <c r="AC217" s="84">
        <f t="shared" si="180"/>
        <v>1.8662574257075895</v>
      </c>
      <c r="AD217" s="84">
        <f t="shared" si="181"/>
        <v>0.17969283346173945</v>
      </c>
      <c r="AE217" s="84">
        <f t="shared" si="182"/>
        <v>2.075231765804701</v>
      </c>
      <c r="AF217" s="84">
        <f t="shared" si="183"/>
        <v>0.17040535090473244</v>
      </c>
      <c r="AG217" s="84">
        <f t="shared" si="184"/>
        <v>2.1400388438774627</v>
      </c>
      <c r="AH217" s="84">
        <f t="shared" si="185"/>
        <v>0.16780531140541605</v>
      </c>
      <c r="AI217" s="84">
        <f t="shared" si="186"/>
        <v>2.1595494123940275</v>
      </c>
      <c r="AJ217" s="84">
        <f t="shared" si="187"/>
        <v>0.16704556834692044</v>
      </c>
      <c r="AK217" s="84">
        <f t="shared" si="188"/>
        <v>2.1653722228686272</v>
      </c>
      <c r="AL217" s="84">
        <f t="shared" si="189"/>
        <v>0.16682081958316686</v>
      </c>
      <c r="AM217" s="84">
        <f t="shared" si="190"/>
        <v>2.1671055235139174</v>
      </c>
      <c r="AN217" s="84">
        <f t="shared" si="191"/>
        <v>0.16675409268141886</v>
      </c>
      <c r="AO217" s="84">
        <f t="shared" si="192"/>
        <v>2.1676210868340204</v>
      </c>
      <c r="AP217" s="84">
        <f t="shared" si="193"/>
        <v>0.16673426047761067</v>
      </c>
      <c r="AQ217" s="84">
        <f t="shared" si="194"/>
        <v>2.1677744041114955</v>
      </c>
      <c r="AR217" s="84">
        <f t="shared" si="195"/>
        <v>0.16672836417796805</v>
      </c>
      <c r="AS217" s="84">
        <f t="shared" si="196"/>
        <v>2.1678199942322878</v>
      </c>
      <c r="AT217" s="84">
        <f t="shared" si="197"/>
        <v>0.1667266109866867</v>
      </c>
      <c r="AU217" s="84">
        <f t="shared" si="198"/>
        <v>2.167833550546689</v>
      </c>
      <c r="AV217" s="84">
        <f t="shared" si="199"/>
        <v>0.1667260896823895</v>
      </c>
      <c r="AW217" s="84">
        <f t="shared" si="200"/>
        <v>2.167837581519966</v>
      </c>
      <c r="AX217" s="84">
        <f t="shared" si="201"/>
        <v>0.16672593467337726</v>
      </c>
      <c r="AY217" s="142">
        <v>0.69179999999999997</v>
      </c>
      <c r="AZ217" s="46">
        <f t="shared" si="202"/>
        <v>1.4656320747263647</v>
      </c>
      <c r="BA217" s="85">
        <f t="shared" si="203"/>
        <v>1.2591339881281047</v>
      </c>
      <c r="BB217" s="85">
        <f t="shared" si="204"/>
        <v>1.3835999999999999</v>
      </c>
      <c r="BC217" s="85">
        <f t="shared" si="205"/>
        <v>1.1293712776558504</v>
      </c>
      <c r="BD217" s="85">
        <f t="shared" si="206"/>
        <v>1.4609257961209614</v>
      </c>
      <c r="BE217" s="85">
        <f t="shared" si="207"/>
        <v>1.1225233449333751</v>
      </c>
      <c r="BF217" s="85">
        <f t="shared" si="208"/>
        <v>1.4653751958499028</v>
      </c>
      <c r="BG217" s="85">
        <f t="shared" si="209"/>
        <v>1.1221513040358091</v>
      </c>
      <c r="BH217" s="85">
        <f t="shared" si="210"/>
        <v>1.4656180928287301</v>
      </c>
      <c r="BI217" s="85">
        <f t="shared" si="211"/>
        <v>1.1221310590086013</v>
      </c>
      <c r="BJ217" s="85">
        <f t="shared" si="212"/>
        <v>1.4656313138086228</v>
      </c>
      <c r="BK217" s="85">
        <f t="shared" si="213"/>
        <v>1.1221299572562693</v>
      </c>
      <c r="BL217" s="85">
        <f t="shared" si="214"/>
        <v>1.4656320333163371</v>
      </c>
      <c r="BM217" s="85">
        <f t="shared" si="215"/>
        <v>1.1221298972976455</v>
      </c>
      <c r="BN217" s="85">
        <f t="shared" si="216"/>
        <v>1.4656320724728016</v>
      </c>
      <c r="BO217" s="85">
        <f t="shared" si="217"/>
        <v>1.1221298940346276</v>
      </c>
      <c r="BP217" s="85">
        <f t="shared" si="218"/>
        <v>1.4656320746037417</v>
      </c>
      <c r="BQ217" s="85">
        <f t="shared" si="219"/>
        <v>1.1221298938570503</v>
      </c>
      <c r="BR217" s="85">
        <f t="shared" si="220"/>
        <v>1.4656320747197102</v>
      </c>
      <c r="BS217" s="85">
        <f t="shared" si="221"/>
        <v>1.1221298938473865</v>
      </c>
      <c r="BT217" s="85">
        <f t="shared" si="222"/>
        <v>1.4656320747260212</v>
      </c>
      <c r="BU217" s="85">
        <f t="shared" si="223"/>
        <v>1.1221298938468605</v>
      </c>
      <c r="BV217" s="85">
        <f t="shared" si="224"/>
        <v>1.4656320747263647</v>
      </c>
      <c r="BW217" s="85">
        <f t="shared" si="225"/>
        <v>1.1221298938468318</v>
      </c>
    </row>
    <row r="218" spans="25:75" x14ac:dyDescent="0.4">
      <c r="Y218" s="142">
        <v>0.71340000000000003</v>
      </c>
      <c r="Z218" s="46">
        <f t="shared" si="177"/>
        <v>0.17337473308215209</v>
      </c>
      <c r="AA218" s="84">
        <f t="shared" si="178"/>
        <v>1.2512294345579085</v>
      </c>
      <c r="AB218" s="84">
        <f t="shared" si="179"/>
        <v>0.22559688827641217</v>
      </c>
      <c r="AC218" s="84">
        <f t="shared" si="180"/>
        <v>1.8376345946883634</v>
      </c>
      <c r="AD218" s="84">
        <f t="shared" si="181"/>
        <v>0.18615384120581438</v>
      </c>
      <c r="AE218" s="84">
        <f t="shared" si="182"/>
        <v>2.0341952077084393</v>
      </c>
      <c r="AF218" s="84">
        <f t="shared" si="183"/>
        <v>0.17693154415041162</v>
      </c>
      <c r="AG218" s="84">
        <f t="shared" si="184"/>
        <v>2.0937444833947056</v>
      </c>
      <c r="AH218" s="84">
        <f t="shared" si="185"/>
        <v>0.17439729365642662</v>
      </c>
      <c r="AI218" s="84">
        <f t="shared" si="186"/>
        <v>2.1112842837649262</v>
      </c>
      <c r="AJ218" s="84">
        <f t="shared" si="187"/>
        <v>0.17367136742340633</v>
      </c>
      <c r="AK218" s="84">
        <f t="shared" si="188"/>
        <v>2.1164087993070444</v>
      </c>
      <c r="AL218" s="84">
        <f t="shared" si="189"/>
        <v>0.17346098249942898</v>
      </c>
      <c r="AM218" s="84">
        <f t="shared" si="190"/>
        <v>2.1179024856445072</v>
      </c>
      <c r="AN218" s="84">
        <f t="shared" si="191"/>
        <v>0.17339980357345844</v>
      </c>
      <c r="AO218" s="84">
        <f t="shared" si="192"/>
        <v>2.118337565335735</v>
      </c>
      <c r="AP218" s="84">
        <f t="shared" si="193"/>
        <v>0.17338199559790826</v>
      </c>
      <c r="AQ218" s="84">
        <f t="shared" si="194"/>
        <v>2.1184642697361098</v>
      </c>
      <c r="AR218" s="84">
        <f t="shared" si="195"/>
        <v>0.17337681057057747</v>
      </c>
      <c r="AS218" s="84">
        <f t="shared" si="196"/>
        <v>2.118501166594795</v>
      </c>
      <c r="AT218" s="84">
        <f t="shared" si="197"/>
        <v>0.17337530075608373</v>
      </c>
      <c r="AU218" s="84">
        <f t="shared" si="198"/>
        <v>2.1185119109350277</v>
      </c>
      <c r="AV218" s="84">
        <f t="shared" si="199"/>
        <v>0.17337486110654207</v>
      </c>
      <c r="AW218" s="84">
        <f t="shared" si="200"/>
        <v>2.1185150396642305</v>
      </c>
      <c r="AX218" s="84">
        <f t="shared" si="201"/>
        <v>0.17337473308215209</v>
      </c>
      <c r="AY218" s="142">
        <v>0.71340000000000003</v>
      </c>
      <c r="AZ218" s="46">
        <f t="shared" si="202"/>
        <v>1.5090039774334576</v>
      </c>
      <c r="BA218" s="85">
        <f t="shared" si="203"/>
        <v>1.2512294345579085</v>
      </c>
      <c r="BB218" s="85">
        <f t="shared" si="204"/>
        <v>1.4268000000000001</v>
      </c>
      <c r="BC218" s="85">
        <f t="shared" si="205"/>
        <v>1.1254539746098351</v>
      </c>
      <c r="BD218" s="85">
        <f t="shared" si="206"/>
        <v>1.5044151810719331</v>
      </c>
      <c r="BE218" s="85">
        <f t="shared" si="207"/>
        <v>1.1189813247089275</v>
      </c>
      <c r="BF218" s="85">
        <f t="shared" si="208"/>
        <v>1.5087599863120766</v>
      </c>
      <c r="BG218" s="85">
        <f t="shared" si="209"/>
        <v>1.1186386807107476</v>
      </c>
      <c r="BH218" s="85">
        <f t="shared" si="210"/>
        <v>1.5089910385640746</v>
      </c>
      <c r="BI218" s="85">
        <f t="shared" si="211"/>
        <v>1.1186205145221673</v>
      </c>
      <c r="BJ218" s="85">
        <f t="shared" si="212"/>
        <v>1.5090032913808809</v>
      </c>
      <c r="BK218" s="85">
        <f t="shared" si="213"/>
        <v>1.1186195513154331</v>
      </c>
      <c r="BL218" s="85">
        <f t="shared" si="214"/>
        <v>1.5090039410574474</v>
      </c>
      <c r="BM218" s="85">
        <f t="shared" si="215"/>
        <v>1.1186195002441159</v>
      </c>
      <c r="BN218" s="85">
        <f t="shared" si="216"/>
        <v>1.5090039755047364</v>
      </c>
      <c r="BO218" s="85">
        <f t="shared" si="217"/>
        <v>1.1186194975362029</v>
      </c>
      <c r="BP218" s="85">
        <f t="shared" si="218"/>
        <v>1.5090039773312067</v>
      </c>
      <c r="BQ218" s="85">
        <f t="shared" si="219"/>
        <v>1.1186194973926236</v>
      </c>
      <c r="BR218" s="85">
        <f t="shared" si="220"/>
        <v>1.5090039774280504</v>
      </c>
      <c r="BS218" s="85">
        <f t="shared" si="221"/>
        <v>1.1186194973850105</v>
      </c>
      <c r="BT218" s="85">
        <f t="shared" si="222"/>
        <v>1.5090039774331856</v>
      </c>
      <c r="BU218" s="85">
        <f t="shared" si="223"/>
        <v>1.1186194973846069</v>
      </c>
      <c r="BV218" s="85">
        <f t="shared" si="224"/>
        <v>1.5090039774334576</v>
      </c>
      <c r="BW218" s="85">
        <f t="shared" si="225"/>
        <v>1.1186194973845855</v>
      </c>
    </row>
    <row r="219" spans="25:75" x14ac:dyDescent="0.4">
      <c r="Y219" s="142">
        <v>0.73560000000000003</v>
      </c>
      <c r="Z219" s="46">
        <f t="shared" si="177"/>
        <v>0.18022492438455812</v>
      </c>
      <c r="AA219" s="84">
        <f t="shared" si="178"/>
        <v>1.2435981361411972</v>
      </c>
      <c r="AB219" s="84">
        <f t="shared" si="179"/>
        <v>0.23261714468198599</v>
      </c>
      <c r="AC219" s="84">
        <f t="shared" si="180"/>
        <v>1.8100926446932424</v>
      </c>
      <c r="AD219" s="84">
        <f t="shared" si="181"/>
        <v>0.19281079707077342</v>
      </c>
      <c r="AE219" s="84">
        <f t="shared" si="182"/>
        <v>1.9949733896860717</v>
      </c>
      <c r="AF219" s="84">
        <f t="shared" si="183"/>
        <v>0.18365941566703659</v>
      </c>
      <c r="AG219" s="84">
        <f t="shared" si="184"/>
        <v>2.0496739301848792</v>
      </c>
      <c r="AH219" s="84">
        <f t="shared" si="185"/>
        <v>0.18119214366777628</v>
      </c>
      <c r="AI219" s="84">
        <f t="shared" si="186"/>
        <v>2.065431193440884</v>
      </c>
      <c r="AJ219" s="84">
        <f t="shared" si="187"/>
        <v>0.18049965906857549</v>
      </c>
      <c r="AK219" s="84">
        <f t="shared" si="188"/>
        <v>2.0699362333969513</v>
      </c>
      <c r="AL219" s="84">
        <f t="shared" si="189"/>
        <v>0.18030313100951237</v>
      </c>
      <c r="AM219" s="84">
        <f t="shared" si="190"/>
        <v>2.0712214816950327</v>
      </c>
      <c r="AN219" s="84">
        <f t="shared" si="191"/>
        <v>0.18024718087216443</v>
      </c>
      <c r="AO219" s="84">
        <f t="shared" si="192"/>
        <v>2.0715879283216978</v>
      </c>
      <c r="AP219" s="84">
        <f t="shared" si="193"/>
        <v>0.18023123805561334</v>
      </c>
      <c r="AQ219" s="84">
        <f t="shared" si="194"/>
        <v>2.0716923904780291</v>
      </c>
      <c r="AR219" s="84">
        <f t="shared" si="195"/>
        <v>0.18022669404579955</v>
      </c>
      <c r="AS219" s="84">
        <f t="shared" si="196"/>
        <v>2.0717221678073754</v>
      </c>
      <c r="AT219" s="84">
        <f t="shared" si="197"/>
        <v>0.18022539882171176</v>
      </c>
      <c r="AU219" s="84">
        <f t="shared" si="198"/>
        <v>2.0717306558269786</v>
      </c>
      <c r="AV219" s="84">
        <f t="shared" si="199"/>
        <v>0.1802250296235535</v>
      </c>
      <c r="AW219" s="84">
        <f t="shared" si="200"/>
        <v>2.0717330753249179</v>
      </c>
      <c r="AX219" s="84">
        <f t="shared" si="201"/>
        <v>0.18022492438455812</v>
      </c>
      <c r="AY219" s="142">
        <v>0.73560000000000003</v>
      </c>
      <c r="AZ219" s="46">
        <f t="shared" si="202"/>
        <v>1.5535748904497999</v>
      </c>
      <c r="BA219" s="85">
        <f t="shared" si="203"/>
        <v>1.2435981361411972</v>
      </c>
      <c r="BB219" s="85">
        <f t="shared" si="204"/>
        <v>1.4712000000000001</v>
      </c>
      <c r="BC219" s="85">
        <f t="shared" si="205"/>
        <v>1.1216676595086208</v>
      </c>
      <c r="BD219" s="85">
        <f t="shared" si="206"/>
        <v>1.5491006933921827</v>
      </c>
      <c r="BE219" s="85">
        <f t="shared" si="207"/>
        <v>1.1155490812885633</v>
      </c>
      <c r="BF219" s="85">
        <f t="shared" si="208"/>
        <v>1.553343147971278</v>
      </c>
      <c r="BG219" s="85">
        <f t="shared" si="209"/>
        <v>1.1152334888201618</v>
      </c>
      <c r="BH219" s="85">
        <f t="shared" si="210"/>
        <v>1.5535629175203916</v>
      </c>
      <c r="BI219" s="85">
        <f t="shared" si="211"/>
        <v>1.1152171873200816</v>
      </c>
      <c r="BJ219" s="85">
        <f t="shared" si="212"/>
        <v>1.5535742719515131</v>
      </c>
      <c r="BK219" s="85">
        <f t="shared" si="213"/>
        <v>1.1152163452256223</v>
      </c>
      <c r="BL219" s="85">
        <f t="shared" si="214"/>
        <v>1.5535748584996052</v>
      </c>
      <c r="BM219" s="85">
        <f t="shared" si="215"/>
        <v>1.115216301724975</v>
      </c>
      <c r="BN219" s="85">
        <f t="shared" si="216"/>
        <v>1.5535748887993379</v>
      </c>
      <c r="BO219" s="85">
        <f t="shared" si="217"/>
        <v>1.1152162994778321</v>
      </c>
      <c r="BP219" s="85">
        <f t="shared" si="218"/>
        <v>1.5535748903645519</v>
      </c>
      <c r="BQ219" s="85">
        <f t="shared" si="219"/>
        <v>1.1152162993617498</v>
      </c>
      <c r="BR219" s="85">
        <f t="shared" si="220"/>
        <v>1.5535748904454076</v>
      </c>
      <c r="BS219" s="85">
        <f t="shared" si="221"/>
        <v>1.1152162993557533</v>
      </c>
      <c r="BT219" s="85">
        <f t="shared" si="222"/>
        <v>1.5535748904495843</v>
      </c>
      <c r="BU219" s="85">
        <f t="shared" si="223"/>
        <v>1.1152162993554435</v>
      </c>
      <c r="BV219" s="85">
        <f t="shared" si="224"/>
        <v>1.5535748904497999</v>
      </c>
      <c r="BW219" s="85">
        <f t="shared" si="225"/>
        <v>1.1152162993554275</v>
      </c>
    </row>
    <row r="220" spans="25:75" x14ac:dyDescent="0.4">
      <c r="Y220" s="142">
        <v>0.75860000000000005</v>
      </c>
      <c r="Z220" s="46">
        <f t="shared" si="177"/>
        <v>0.18733758295018152</v>
      </c>
      <c r="AA220" s="84">
        <f t="shared" si="178"/>
        <v>1.2361708560535452</v>
      </c>
      <c r="AB220" s="84">
        <f t="shared" si="179"/>
        <v>0.23989038330037327</v>
      </c>
      <c r="AC220" s="84">
        <f t="shared" si="180"/>
        <v>1.7833804408547158</v>
      </c>
      <c r="AD220" s="84">
        <f t="shared" si="181"/>
        <v>0.19972392348426105</v>
      </c>
      <c r="AE220" s="84">
        <f t="shared" si="182"/>
        <v>1.9571896263050625</v>
      </c>
      <c r="AF220" s="84">
        <f t="shared" si="183"/>
        <v>0.19064948479749322</v>
      </c>
      <c r="AG220" s="84">
        <f t="shared" si="184"/>
        <v>2.0073872671429251</v>
      </c>
      <c r="AH220" s="84">
        <f t="shared" si="185"/>
        <v>0.18825065937246716</v>
      </c>
      <c r="AI220" s="84">
        <f t="shared" si="186"/>
        <v>2.0215217584043783</v>
      </c>
      <c r="AJ220" s="84">
        <f t="shared" si="187"/>
        <v>0.18759138010665349</v>
      </c>
      <c r="AK220" s="84">
        <f t="shared" si="188"/>
        <v>2.0254739746921939</v>
      </c>
      <c r="AL220" s="84">
        <f t="shared" si="189"/>
        <v>0.18740827142779237</v>
      </c>
      <c r="AM220" s="84">
        <f t="shared" si="190"/>
        <v>2.0265769280254391</v>
      </c>
      <c r="AN220" s="84">
        <f t="shared" si="191"/>
        <v>0.18735726652720583</v>
      </c>
      <c r="AO220" s="84">
        <f t="shared" si="192"/>
        <v>2.0268845648997651</v>
      </c>
      <c r="AP220" s="84">
        <f t="shared" si="193"/>
        <v>0.18734304761408446</v>
      </c>
      <c r="AQ220" s="84">
        <f t="shared" si="194"/>
        <v>2.0269703583384877</v>
      </c>
      <c r="AR220" s="84">
        <f t="shared" si="195"/>
        <v>0.18733908283623579</v>
      </c>
      <c r="AS220" s="84">
        <f t="shared" si="196"/>
        <v>2.0269942833126469</v>
      </c>
      <c r="AT220" s="84">
        <f t="shared" si="197"/>
        <v>0.1873379772347108</v>
      </c>
      <c r="AU220" s="84">
        <f t="shared" si="198"/>
        <v>2.027000955124354</v>
      </c>
      <c r="AV220" s="84">
        <f t="shared" si="199"/>
        <v>0.18733766892584319</v>
      </c>
      <c r="AW220" s="84">
        <f t="shared" si="200"/>
        <v>2.0270028156457252</v>
      </c>
      <c r="AX220" s="84">
        <f t="shared" si="201"/>
        <v>0.18733758295018152</v>
      </c>
      <c r="AY220" s="142">
        <v>0.75860000000000005</v>
      </c>
      <c r="AZ220" s="46">
        <f t="shared" si="202"/>
        <v>1.5997458461437679</v>
      </c>
      <c r="BA220" s="85">
        <f t="shared" si="203"/>
        <v>1.2361708560535452</v>
      </c>
      <c r="BB220" s="85">
        <f t="shared" si="204"/>
        <v>1.5172000000000001</v>
      </c>
      <c r="BC220" s="85">
        <f t="shared" si="205"/>
        <v>1.1179786864536596</v>
      </c>
      <c r="BD220" s="85">
        <f t="shared" si="206"/>
        <v>1.5953843305801658</v>
      </c>
      <c r="BE220" s="85">
        <f t="shared" si="207"/>
        <v>1.1121968228685708</v>
      </c>
      <c r="BF220" s="85">
        <f t="shared" si="208"/>
        <v>1.599525835522283</v>
      </c>
      <c r="BG220" s="85">
        <f t="shared" si="209"/>
        <v>1.1119063169845622</v>
      </c>
      <c r="BH220" s="85">
        <f t="shared" si="210"/>
        <v>1.599734774581588</v>
      </c>
      <c r="BI220" s="85">
        <f t="shared" si="211"/>
        <v>1.111891700814204</v>
      </c>
      <c r="BJ220" s="85">
        <f t="shared" si="212"/>
        <v>1.5997452890584634</v>
      </c>
      <c r="BK220" s="85">
        <f t="shared" si="213"/>
        <v>1.1118909653830142</v>
      </c>
      <c r="BL220" s="85">
        <f t="shared" si="214"/>
        <v>1.5997458181132103</v>
      </c>
      <c r="BM220" s="85">
        <f t="shared" si="215"/>
        <v>1.1118909283787315</v>
      </c>
      <c r="BN220" s="85">
        <f t="shared" si="216"/>
        <v>1.5997458447333783</v>
      </c>
      <c r="BO220" s="85">
        <f t="shared" si="217"/>
        <v>1.1118909265168071</v>
      </c>
      <c r="BP220" s="85">
        <f t="shared" si="218"/>
        <v>1.5997458460728109</v>
      </c>
      <c r="BQ220" s="85">
        <f t="shared" si="219"/>
        <v>1.1118909264231216</v>
      </c>
      <c r="BR220" s="85">
        <f t="shared" si="220"/>
        <v>1.5997458461402063</v>
      </c>
      <c r="BS220" s="85">
        <f t="shared" si="221"/>
        <v>1.1118909264184078</v>
      </c>
      <c r="BT220" s="85">
        <f t="shared" si="222"/>
        <v>1.5997458461435976</v>
      </c>
      <c r="BU220" s="85">
        <f t="shared" si="223"/>
        <v>1.1118909264181707</v>
      </c>
      <c r="BV220" s="85">
        <f t="shared" si="224"/>
        <v>1.5997458461437679</v>
      </c>
      <c r="BW220" s="85">
        <f t="shared" si="225"/>
        <v>1.1118909264181587</v>
      </c>
    </row>
    <row r="221" spans="25:75" x14ac:dyDescent="0.4">
      <c r="Y221" s="142">
        <v>0.78220000000000001</v>
      </c>
      <c r="Z221" s="46">
        <f t="shared" si="177"/>
        <v>0.19465016625768988</v>
      </c>
      <c r="AA221" s="84">
        <f t="shared" si="178"/>
        <v>1.2290106690060738</v>
      </c>
      <c r="AB221" s="84">
        <f t="shared" si="179"/>
        <v>0.24735335857837062</v>
      </c>
      <c r="AC221" s="84">
        <f t="shared" si="180"/>
        <v>1.7577227206443311</v>
      </c>
      <c r="AD221" s="84">
        <f t="shared" si="181"/>
        <v>0.2068332970119314</v>
      </c>
      <c r="AE221" s="84">
        <f t="shared" si="182"/>
        <v>1.9211426461229295</v>
      </c>
      <c r="AF221" s="84">
        <f t="shared" si="183"/>
        <v>0.19784078736568872</v>
      </c>
      <c r="AG221" s="84">
        <f t="shared" si="184"/>
        <v>1.9672024564031378</v>
      </c>
      <c r="AH221" s="84">
        <f t="shared" si="185"/>
        <v>0.19551096040785781</v>
      </c>
      <c r="AI221" s="84">
        <f t="shared" si="186"/>
        <v>1.9798758574687632</v>
      </c>
      <c r="AJ221" s="84">
        <f t="shared" si="187"/>
        <v>0.19488421234804273</v>
      </c>
      <c r="AK221" s="84">
        <f t="shared" si="188"/>
        <v>1.9833404112748823</v>
      </c>
      <c r="AL221" s="84">
        <f t="shared" si="189"/>
        <v>0.1947139233869615</v>
      </c>
      <c r="AM221" s="84">
        <f t="shared" si="190"/>
        <v>1.9842858546976023</v>
      </c>
      <c r="AN221" s="84">
        <f t="shared" si="191"/>
        <v>0.19466753064288872</v>
      </c>
      <c r="AO221" s="84">
        <f t="shared" si="192"/>
        <v>1.9845437331653391</v>
      </c>
      <c r="AP221" s="84">
        <f t="shared" si="193"/>
        <v>0.19465488234630648</v>
      </c>
      <c r="AQ221" s="84">
        <f t="shared" si="194"/>
        <v>1.9846140626954358</v>
      </c>
      <c r="AR221" s="84">
        <f t="shared" si="195"/>
        <v>0.19465143328586942</v>
      </c>
      <c r="AS221" s="84">
        <f t="shared" si="196"/>
        <v>1.984633242528977</v>
      </c>
      <c r="AT221" s="84">
        <f t="shared" si="197"/>
        <v>0.19465049271130153</v>
      </c>
      <c r="AU221" s="84">
        <f t="shared" si="198"/>
        <v>1.9846384730833391</v>
      </c>
      <c r="AV221" s="84">
        <f t="shared" si="199"/>
        <v>0.19465023620850055</v>
      </c>
      <c r="AW221" s="84">
        <f t="shared" si="200"/>
        <v>1.984639899510017</v>
      </c>
      <c r="AX221" s="84">
        <f t="shared" si="201"/>
        <v>0.19465016625768988</v>
      </c>
      <c r="AY221" s="142">
        <v>0.78220000000000001</v>
      </c>
      <c r="AZ221" s="46">
        <f t="shared" si="202"/>
        <v>1.6471148845856434</v>
      </c>
      <c r="BA221" s="85">
        <f t="shared" si="203"/>
        <v>1.2290106690060738</v>
      </c>
      <c r="BB221" s="85">
        <f t="shared" si="204"/>
        <v>1.5644</v>
      </c>
      <c r="BC221" s="85">
        <f t="shared" si="205"/>
        <v>1.114419024290612</v>
      </c>
      <c r="BD221" s="85">
        <f t="shared" si="206"/>
        <v>1.6428630999461109</v>
      </c>
      <c r="BE221" s="85">
        <f t="shared" si="207"/>
        <v>1.1089542856185113</v>
      </c>
      <c r="BF221" s="85">
        <f t="shared" si="208"/>
        <v>1.646906000771204</v>
      </c>
      <c r="BG221" s="85">
        <f t="shared" si="209"/>
        <v>1.1086868163367902</v>
      </c>
      <c r="BH221" s="85">
        <f t="shared" si="210"/>
        <v>1.6471046457782885</v>
      </c>
      <c r="BI221" s="85">
        <f t="shared" si="211"/>
        <v>1.1086737082721851</v>
      </c>
      <c r="BJ221" s="85">
        <f t="shared" si="212"/>
        <v>1.6471143827685908</v>
      </c>
      <c r="BK221" s="85">
        <f t="shared" si="213"/>
        <v>1.1086730658349486</v>
      </c>
      <c r="BL221" s="85">
        <f t="shared" si="214"/>
        <v>1.6471148599910883</v>
      </c>
      <c r="BM221" s="85">
        <f t="shared" si="215"/>
        <v>1.1086730343484634</v>
      </c>
      <c r="BN221" s="85">
        <f t="shared" si="216"/>
        <v>1.6471148833802463</v>
      </c>
      <c r="BO221" s="85">
        <f t="shared" si="217"/>
        <v>1.1086730328052794</v>
      </c>
      <c r="BP221" s="85">
        <f t="shared" si="218"/>
        <v>1.6471148845265722</v>
      </c>
      <c r="BQ221" s="85">
        <f t="shared" si="219"/>
        <v>1.1086730327296463</v>
      </c>
      <c r="BR221" s="85">
        <f t="shared" si="220"/>
        <v>1.647114884582755</v>
      </c>
      <c r="BS221" s="85">
        <f t="shared" si="221"/>
        <v>1.1086730327259395</v>
      </c>
      <c r="BT221" s="85">
        <f t="shared" si="222"/>
        <v>1.6471148845855086</v>
      </c>
      <c r="BU221" s="85">
        <f t="shared" si="223"/>
        <v>1.1086730327257579</v>
      </c>
      <c r="BV221" s="85">
        <f t="shared" si="224"/>
        <v>1.6471148845856434</v>
      </c>
      <c r="BW221" s="85">
        <f t="shared" si="225"/>
        <v>1.108673032725749</v>
      </c>
    </row>
    <row r="222" spans="25:75" x14ac:dyDescent="0.4">
      <c r="Y222" s="142">
        <v>0.80659999999999998</v>
      </c>
      <c r="Z222" s="46">
        <f t="shared" si="177"/>
        <v>0.2022238976958611</v>
      </c>
      <c r="AA222" s="84">
        <f t="shared" si="178"/>
        <v>1.2220541717480364</v>
      </c>
      <c r="AB222" s="84">
        <f t="shared" si="179"/>
        <v>0.25506931606918143</v>
      </c>
      <c r="AC222" s="84">
        <f t="shared" si="180"/>
        <v>1.7328892964432825</v>
      </c>
      <c r="AD222" s="84">
        <f t="shared" si="181"/>
        <v>0.21419929496737225</v>
      </c>
      <c r="AE222" s="84">
        <f t="shared" si="182"/>
        <v>1.8864895576046892</v>
      </c>
      <c r="AF222" s="84">
        <f t="shared" si="183"/>
        <v>0.20529399392564912</v>
      </c>
      <c r="AG222" s="84">
        <f t="shared" si="184"/>
        <v>1.9287209966220973</v>
      </c>
      <c r="AH222" s="84">
        <f t="shared" si="185"/>
        <v>0.20303398674804082</v>
      </c>
      <c r="AI222" s="84">
        <f t="shared" si="186"/>
        <v>1.9400704950596124</v>
      </c>
      <c r="AJ222" s="84">
        <f t="shared" si="187"/>
        <v>0.20243923673019745</v>
      </c>
      <c r="AK222" s="84">
        <f t="shared" si="188"/>
        <v>1.9431023380919734</v>
      </c>
      <c r="AL222" s="84">
        <f t="shared" si="189"/>
        <v>0.20228124103952094</v>
      </c>
      <c r="AM222" s="84">
        <f t="shared" si="190"/>
        <v>1.9439109550665474</v>
      </c>
      <c r="AN222" s="84">
        <f t="shared" si="191"/>
        <v>0.20223916476584181</v>
      </c>
      <c r="AO222" s="84">
        <f t="shared" si="192"/>
        <v>1.9441265279714437</v>
      </c>
      <c r="AP222" s="84">
        <f t="shared" si="193"/>
        <v>0.20222795189151635</v>
      </c>
      <c r="AQ222" s="84">
        <f t="shared" si="194"/>
        <v>1.9441839920225261</v>
      </c>
      <c r="AR222" s="84">
        <f t="shared" si="195"/>
        <v>0.20222496325379594</v>
      </c>
      <c r="AS222" s="84">
        <f t="shared" si="196"/>
        <v>1.9441993094268644</v>
      </c>
      <c r="AT222" s="84">
        <f t="shared" si="197"/>
        <v>0.20222416663597606</v>
      </c>
      <c r="AU222" s="84">
        <f t="shared" si="198"/>
        <v>1.9442033923444586</v>
      </c>
      <c r="AV222" s="84">
        <f t="shared" si="199"/>
        <v>0.20222395429578455</v>
      </c>
      <c r="AW222" s="84">
        <f t="shared" si="200"/>
        <v>1.9442044806607235</v>
      </c>
      <c r="AX222" s="84">
        <f t="shared" si="201"/>
        <v>0.2022238976958611</v>
      </c>
      <c r="AY222" s="142">
        <v>0.80659999999999998</v>
      </c>
      <c r="AZ222" s="46">
        <f t="shared" si="202"/>
        <v>1.696083002505069</v>
      </c>
      <c r="BA222" s="85">
        <f t="shared" si="203"/>
        <v>1.2220541717480364</v>
      </c>
      <c r="BB222" s="85">
        <f t="shared" si="204"/>
        <v>1.6132</v>
      </c>
      <c r="BC222" s="85">
        <f t="shared" si="205"/>
        <v>1.1109577365473626</v>
      </c>
      <c r="BD222" s="85">
        <f t="shared" si="206"/>
        <v>1.6919388918246496</v>
      </c>
      <c r="BE222" s="85">
        <f t="shared" si="207"/>
        <v>1.105793962736346</v>
      </c>
      <c r="BF222" s="85">
        <f t="shared" si="208"/>
        <v>1.6958847506998229</v>
      </c>
      <c r="BG222" s="85">
        <f t="shared" si="209"/>
        <v>1.1055478070637128</v>
      </c>
      <c r="BH222" s="85">
        <f t="shared" si="210"/>
        <v>1.6960735387443191</v>
      </c>
      <c r="BI222" s="85">
        <f t="shared" si="211"/>
        <v>1.1055360585555447</v>
      </c>
      <c r="BJ222" s="85">
        <f t="shared" si="212"/>
        <v>1.6960825507890782</v>
      </c>
      <c r="BK222" s="85">
        <f t="shared" si="213"/>
        <v>1.1055354977905167</v>
      </c>
      <c r="BL222" s="85">
        <f t="shared" si="214"/>
        <v>1.6960829809442655</v>
      </c>
      <c r="BM222" s="85">
        <f t="shared" si="215"/>
        <v>1.1055354710247105</v>
      </c>
      <c r="BN222" s="85">
        <f t="shared" si="216"/>
        <v>1.6960830014759578</v>
      </c>
      <c r="BO222" s="85">
        <f t="shared" si="217"/>
        <v>1.1055354697471549</v>
      </c>
      <c r="BP222" s="85">
        <f t="shared" si="218"/>
        <v>1.6960830024559537</v>
      </c>
      <c r="BQ222" s="85">
        <f t="shared" si="219"/>
        <v>1.1055354696861761</v>
      </c>
      <c r="BR222" s="85">
        <f t="shared" si="220"/>
        <v>1.6960830025027296</v>
      </c>
      <c r="BS222" s="85">
        <f t="shared" si="221"/>
        <v>1.1055354696832655</v>
      </c>
      <c r="BT222" s="85">
        <f t="shared" si="222"/>
        <v>1.6960830025049622</v>
      </c>
      <c r="BU222" s="85">
        <f t="shared" si="223"/>
        <v>1.1055354696831265</v>
      </c>
      <c r="BV222" s="85">
        <f t="shared" si="224"/>
        <v>1.696083002505069</v>
      </c>
      <c r="BW222" s="85">
        <f t="shared" si="225"/>
        <v>1.1055354696831199</v>
      </c>
    </row>
    <row r="223" spans="25:75" x14ac:dyDescent="0.4">
      <c r="Y223" s="142">
        <v>0.83179999999999998</v>
      </c>
      <c r="Z223" s="46">
        <f t="shared" si="177"/>
        <v>0.21005815302809375</v>
      </c>
      <c r="AA223" s="84">
        <f t="shared" si="178"/>
        <v>1.2153030376183034</v>
      </c>
      <c r="AB223" s="84">
        <f t="shared" si="179"/>
        <v>0.26303825577280576</v>
      </c>
      <c r="AC223" s="84">
        <f t="shared" si="180"/>
        <v>1.7088835640031839</v>
      </c>
      <c r="AD223" s="84">
        <f t="shared" si="181"/>
        <v>0.22182218115553781</v>
      </c>
      <c r="AE223" s="84">
        <f t="shared" si="182"/>
        <v>1.8532184475443356</v>
      </c>
      <c r="AF223" s="84">
        <f t="shared" si="183"/>
        <v>0.21300897394703702</v>
      </c>
      <c r="AG223" s="84">
        <f t="shared" si="184"/>
        <v>1.8919155672899415</v>
      </c>
      <c r="AH223" s="84">
        <f t="shared" si="185"/>
        <v>0.210819283200084</v>
      </c>
      <c r="AI223" s="84">
        <f t="shared" si="186"/>
        <v>1.9020687186071135</v>
      </c>
      <c r="AJ223" s="84">
        <f t="shared" si="187"/>
        <v>0.21025585871489552</v>
      </c>
      <c r="AK223" s="84">
        <f t="shared" si="188"/>
        <v>1.9047178616024449</v>
      </c>
      <c r="AL223" s="84">
        <f t="shared" si="189"/>
        <v>0.21010959252660316</v>
      </c>
      <c r="AM223" s="84">
        <f t="shared" si="190"/>
        <v>1.9054080729494856</v>
      </c>
      <c r="AN223" s="84">
        <f t="shared" si="191"/>
        <v>0.21007153423287972</v>
      </c>
      <c r="AO223" s="84">
        <f t="shared" si="192"/>
        <v>1.9055878339214778</v>
      </c>
      <c r="AP223" s="84">
        <f t="shared" si="193"/>
        <v>0.21006162559652</v>
      </c>
      <c r="AQ223" s="84">
        <f t="shared" si="194"/>
        <v>1.9056346468901202</v>
      </c>
      <c r="AR223" s="84">
        <f t="shared" si="195"/>
        <v>0.21005904544069087</v>
      </c>
      <c r="AS223" s="84">
        <f t="shared" si="196"/>
        <v>1.9056468375125695</v>
      </c>
      <c r="AT223" s="84">
        <f t="shared" si="197"/>
        <v>0.21005837355475693</v>
      </c>
      <c r="AU223" s="84">
        <f t="shared" si="198"/>
        <v>1.9056500120663946</v>
      </c>
      <c r="AV223" s="84">
        <f t="shared" si="199"/>
        <v>0.21005819859033881</v>
      </c>
      <c r="AW223" s="84">
        <f t="shared" si="200"/>
        <v>1.9056508387489206</v>
      </c>
      <c r="AX223" s="84">
        <f t="shared" si="201"/>
        <v>0.21005815302809375</v>
      </c>
      <c r="AY223" s="142">
        <v>0.83179999999999998</v>
      </c>
      <c r="AZ223" s="46">
        <f t="shared" si="202"/>
        <v>1.7466497227987654</v>
      </c>
      <c r="BA223" s="85">
        <f t="shared" si="203"/>
        <v>1.2153030376183034</v>
      </c>
      <c r="BB223" s="85">
        <f t="shared" si="204"/>
        <v>1.6636</v>
      </c>
      <c r="BC223" s="85">
        <f t="shared" si="205"/>
        <v>1.1075961465846693</v>
      </c>
      <c r="BD223" s="85">
        <f t="shared" si="206"/>
        <v>1.7426111372308224</v>
      </c>
      <c r="BE223" s="85">
        <f t="shared" si="207"/>
        <v>1.1027176272184307</v>
      </c>
      <c r="BF223" s="85">
        <f t="shared" si="208"/>
        <v>1.7464616153678842</v>
      </c>
      <c r="BG223" s="85">
        <f t="shared" si="209"/>
        <v>1.1024911611149173</v>
      </c>
      <c r="BH223" s="85">
        <f t="shared" si="210"/>
        <v>1.7466409791859574</v>
      </c>
      <c r="BI223" s="85">
        <f t="shared" si="211"/>
        <v>1.1024806361614194</v>
      </c>
      <c r="BJ223" s="85">
        <f t="shared" si="212"/>
        <v>1.7466493164168373</v>
      </c>
      <c r="BK223" s="85">
        <f t="shared" si="213"/>
        <v>1.1024801469906489</v>
      </c>
      <c r="BL223" s="85">
        <f t="shared" si="214"/>
        <v>1.7466497039112059</v>
      </c>
      <c r="BM223" s="85">
        <f t="shared" si="215"/>
        <v>1.1024801242552857</v>
      </c>
      <c r="BN223" s="85">
        <f t="shared" si="216"/>
        <v>1.7466497219209254</v>
      </c>
      <c r="BO223" s="85">
        <f t="shared" si="217"/>
        <v>1.1024801231986059</v>
      </c>
      <c r="BP223" s="85">
        <f t="shared" si="218"/>
        <v>1.7466497227579696</v>
      </c>
      <c r="BQ223" s="85">
        <f t="shared" si="219"/>
        <v>1.1024801231494943</v>
      </c>
      <c r="BR223" s="85">
        <f t="shared" si="220"/>
        <v>1.7466497227968734</v>
      </c>
      <c r="BS223" s="85">
        <f t="shared" si="221"/>
        <v>1.1024801231472117</v>
      </c>
      <c r="BT223" s="85">
        <f t="shared" si="222"/>
        <v>1.7466497227986817</v>
      </c>
      <c r="BU223" s="85">
        <f t="shared" si="223"/>
        <v>1.1024801231471055</v>
      </c>
      <c r="BV223" s="85">
        <f t="shared" si="224"/>
        <v>1.7466497227987654</v>
      </c>
      <c r="BW223" s="85">
        <f t="shared" si="225"/>
        <v>1.1024801231471006</v>
      </c>
    </row>
    <row r="224" spans="25:75" x14ac:dyDescent="0.4">
      <c r="Y224" s="142">
        <v>0.85770000000000002</v>
      </c>
      <c r="Z224" s="46">
        <f t="shared" si="177"/>
        <v>0.21812111396216369</v>
      </c>
      <c r="AA224" s="84">
        <f t="shared" si="178"/>
        <v>1.2087820173401289</v>
      </c>
      <c r="AB224" s="84">
        <f t="shared" si="179"/>
        <v>0.27122855491264186</v>
      </c>
      <c r="AC224" s="84">
        <f t="shared" si="180"/>
        <v>1.6857896241180053</v>
      </c>
      <c r="AD224" s="84">
        <f t="shared" si="181"/>
        <v>0.22967182274424561</v>
      </c>
      <c r="AE224" s="84">
        <f t="shared" si="182"/>
        <v>1.821427640421164</v>
      </c>
      <c r="AF224" s="84">
        <f t="shared" si="183"/>
        <v>0.22095480172071588</v>
      </c>
      <c r="AG224" s="84">
        <f t="shared" si="184"/>
        <v>1.8568801911352786</v>
      </c>
      <c r="AH224" s="84">
        <f t="shared" si="185"/>
        <v>0.21883534282322867</v>
      </c>
      <c r="AI224" s="84">
        <f t="shared" si="186"/>
        <v>1.8659588064927686</v>
      </c>
      <c r="AJ224" s="84">
        <f t="shared" si="187"/>
        <v>0.21830233417975145</v>
      </c>
      <c r="AK224" s="84">
        <f t="shared" si="188"/>
        <v>1.8682716897605345</v>
      </c>
      <c r="AL224" s="84">
        <f t="shared" si="189"/>
        <v>0.21816716535444822</v>
      </c>
      <c r="AM224" s="84">
        <f t="shared" si="190"/>
        <v>1.8688601540965735</v>
      </c>
      <c r="AN224" s="84">
        <f t="shared" si="191"/>
        <v>0.21813281454876271</v>
      </c>
      <c r="AO224" s="84">
        <f t="shared" si="192"/>
        <v>1.8690098266994091</v>
      </c>
      <c r="AP224" s="84">
        <f t="shared" si="193"/>
        <v>0.21812408020202192</v>
      </c>
      <c r="AQ224" s="84">
        <f t="shared" si="194"/>
        <v>1.8690478918709359</v>
      </c>
      <c r="AR224" s="84">
        <f t="shared" si="195"/>
        <v>0.21812185902490866</v>
      </c>
      <c r="AS224" s="84">
        <f t="shared" si="196"/>
        <v>1.8690575725080865</v>
      </c>
      <c r="AT224" s="84">
        <f t="shared" si="197"/>
        <v>0.21812129415164391</v>
      </c>
      <c r="AU224" s="84">
        <f t="shared" si="198"/>
        <v>1.8690600344495394</v>
      </c>
      <c r="AV224" s="84">
        <f t="shared" si="199"/>
        <v>0.21812115049600345</v>
      </c>
      <c r="AW224" s="84">
        <f t="shared" si="200"/>
        <v>1.869060660559908</v>
      </c>
      <c r="AX224" s="84">
        <f t="shared" si="201"/>
        <v>0.21812111396216369</v>
      </c>
      <c r="AY224" s="142">
        <v>0.85770000000000002</v>
      </c>
      <c r="AZ224" s="46">
        <f t="shared" si="202"/>
        <v>1.7986139907625904</v>
      </c>
      <c r="BA224" s="85">
        <f t="shared" si="203"/>
        <v>1.2087820173401289</v>
      </c>
      <c r="BB224" s="85">
        <f t="shared" si="204"/>
        <v>1.7154</v>
      </c>
      <c r="BC224" s="85">
        <f t="shared" si="205"/>
        <v>1.1043470328616036</v>
      </c>
      <c r="BD224" s="85">
        <f t="shared" si="206"/>
        <v>1.7946783207219552</v>
      </c>
      <c r="BE224" s="85">
        <f t="shared" si="207"/>
        <v>1.0997375698087568</v>
      </c>
      <c r="BF224" s="85">
        <f t="shared" si="208"/>
        <v>1.7984355139701451</v>
      </c>
      <c r="BG224" s="85">
        <f t="shared" si="209"/>
        <v>1.0995292026617558</v>
      </c>
      <c r="BH224" s="85">
        <f t="shared" si="210"/>
        <v>1.798605912866454</v>
      </c>
      <c r="BI224" s="85">
        <f t="shared" si="211"/>
        <v>1.0995197732834006</v>
      </c>
      <c r="BJ224" s="85">
        <f t="shared" si="212"/>
        <v>1.798613625187649</v>
      </c>
      <c r="BK224" s="85">
        <f t="shared" si="213"/>
        <v>1.099519346548284</v>
      </c>
      <c r="BL224" s="85">
        <f t="shared" si="214"/>
        <v>1.7986139742181244</v>
      </c>
      <c r="BM224" s="85">
        <f t="shared" si="215"/>
        <v>1.0995193272359538</v>
      </c>
      <c r="BN224" s="85">
        <f t="shared" si="216"/>
        <v>1.7986139900138569</v>
      </c>
      <c r="BO224" s="85">
        <f t="shared" si="217"/>
        <v>1.0995193263619547</v>
      </c>
      <c r="BP224" s="85">
        <f t="shared" si="218"/>
        <v>1.7986139907287091</v>
      </c>
      <c r="BQ224" s="85">
        <f t="shared" si="219"/>
        <v>1.099519326322401</v>
      </c>
      <c r="BR224" s="85">
        <f t="shared" si="220"/>
        <v>1.7986139907610605</v>
      </c>
      <c r="BS224" s="85">
        <f t="shared" si="221"/>
        <v>1.0995193263206109</v>
      </c>
      <c r="BT224" s="85">
        <f t="shared" si="222"/>
        <v>1.7986139907625247</v>
      </c>
      <c r="BU224" s="85">
        <f t="shared" si="223"/>
        <v>1.0995193263205301</v>
      </c>
      <c r="BV224" s="85">
        <f t="shared" si="224"/>
        <v>1.7986139907625904</v>
      </c>
      <c r="BW224" s="85">
        <f t="shared" si="225"/>
        <v>1.0995193263205263</v>
      </c>
    </row>
    <row r="225" spans="25:75" x14ac:dyDescent="0.4">
      <c r="Y225" s="142">
        <v>0.88439999999999996</v>
      </c>
      <c r="Z225" s="46">
        <f t="shared" si="177"/>
        <v>0.22644316856897886</v>
      </c>
      <c r="AA225" s="84">
        <f t="shared" si="178"/>
        <v>1.2024629789128969</v>
      </c>
      <c r="AB225" s="84">
        <f t="shared" si="179"/>
        <v>0.27967183626529146</v>
      </c>
      <c r="AC225" s="84">
        <f t="shared" si="180"/>
        <v>1.6635032822478912</v>
      </c>
      <c r="AD225" s="84">
        <f t="shared" si="181"/>
        <v>0.23777859689963521</v>
      </c>
      <c r="AE225" s="84">
        <f t="shared" si="182"/>
        <v>1.7909554669769387</v>
      </c>
      <c r="AF225" s="84">
        <f t="shared" si="183"/>
        <v>0.22916178559557654</v>
      </c>
      <c r="AG225" s="84">
        <f t="shared" si="184"/>
        <v>1.8234223049633818</v>
      </c>
      <c r="AH225" s="84">
        <f t="shared" si="185"/>
        <v>0.22711245902395452</v>
      </c>
      <c r="AI225" s="84">
        <f t="shared" si="186"/>
        <v>1.8315338840029365</v>
      </c>
      <c r="AJ225" s="84">
        <f t="shared" si="187"/>
        <v>0.22660897804629379</v>
      </c>
      <c r="AK225" s="84">
        <f t="shared" si="188"/>
        <v>1.8335508575082375</v>
      </c>
      <c r="AL225" s="84">
        <f t="shared" si="189"/>
        <v>0.22648430463759398</v>
      </c>
      <c r="AM225" s="84">
        <f t="shared" si="190"/>
        <v>1.8340517934800835</v>
      </c>
      <c r="AN225" s="84">
        <f t="shared" si="191"/>
        <v>0.22645337260948364</v>
      </c>
      <c r="AO225" s="84">
        <f t="shared" si="192"/>
        <v>1.8341761696056351</v>
      </c>
      <c r="AP225" s="84">
        <f t="shared" si="193"/>
        <v>0.22644569453824315</v>
      </c>
      <c r="AQ225" s="84">
        <f t="shared" si="194"/>
        <v>1.834207048393881</v>
      </c>
      <c r="AR225" s="84">
        <f t="shared" si="195"/>
        <v>0.22644378842898294</v>
      </c>
      <c r="AS225" s="84">
        <f t="shared" si="196"/>
        <v>1.8342147145142658</v>
      </c>
      <c r="AT225" s="84">
        <f t="shared" si="197"/>
        <v>0.22644331521634797</v>
      </c>
      <c r="AU225" s="84">
        <f t="shared" si="198"/>
        <v>1.8342166177346224</v>
      </c>
      <c r="AV225" s="84">
        <f t="shared" si="199"/>
        <v>0.22644319773522964</v>
      </c>
      <c r="AW225" s="84">
        <f t="shared" si="200"/>
        <v>1.8342170902348591</v>
      </c>
      <c r="AX225" s="84">
        <f t="shared" si="201"/>
        <v>0.22644316856897886</v>
      </c>
      <c r="AY225" s="142">
        <v>0.88439999999999996</v>
      </c>
      <c r="AZ225" s="46">
        <f t="shared" si="202"/>
        <v>1.8521760924291546</v>
      </c>
      <c r="BA225" s="85">
        <f t="shared" si="203"/>
        <v>1.2024629789128969</v>
      </c>
      <c r="BB225" s="85">
        <f t="shared" si="204"/>
        <v>1.7687999999999999</v>
      </c>
      <c r="BC225" s="85">
        <f t="shared" si="205"/>
        <v>1.1011967810449936</v>
      </c>
      <c r="BD225" s="85">
        <f t="shared" si="206"/>
        <v>1.8483410977013366</v>
      </c>
      <c r="BE225" s="85">
        <f t="shared" si="207"/>
        <v>1.0968418849173134</v>
      </c>
      <c r="BF225" s="85">
        <f t="shared" si="208"/>
        <v>1.8520067853734363</v>
      </c>
      <c r="BG225" s="85">
        <f t="shared" si="209"/>
        <v>1.0966502046772655</v>
      </c>
      <c r="BH225" s="85">
        <f t="shared" si="210"/>
        <v>1.8521686316909693</v>
      </c>
      <c r="BI225" s="85">
        <f t="shared" si="211"/>
        <v>1.096641759159392</v>
      </c>
      <c r="BJ225" s="85">
        <f t="shared" si="212"/>
        <v>1.8521757636887419</v>
      </c>
      <c r="BK225" s="85">
        <f t="shared" si="213"/>
        <v>1.0966413870290881</v>
      </c>
      <c r="BL225" s="85">
        <f t="shared" si="214"/>
        <v>1.8521760779440124</v>
      </c>
      <c r="BM225" s="85">
        <f t="shared" si="215"/>
        <v>1.0966413706320781</v>
      </c>
      <c r="BN225" s="85">
        <f t="shared" si="216"/>
        <v>1.8521760917909047</v>
      </c>
      <c r="BO225" s="85">
        <f t="shared" si="217"/>
        <v>1.0966413699095838</v>
      </c>
      <c r="BP225" s="85">
        <f t="shared" si="218"/>
        <v>1.8521760924010342</v>
      </c>
      <c r="BQ225" s="85">
        <f t="shared" si="219"/>
        <v>1.0966413698777489</v>
      </c>
      <c r="BR225" s="85">
        <f t="shared" si="220"/>
        <v>1.852176092427918</v>
      </c>
      <c r="BS225" s="85">
        <f t="shared" si="221"/>
        <v>1.0966413698763462</v>
      </c>
      <c r="BT225" s="85">
        <f t="shared" si="222"/>
        <v>1.8521760924291026</v>
      </c>
      <c r="BU225" s="85">
        <f t="shared" si="223"/>
        <v>1.0966413698762845</v>
      </c>
      <c r="BV225" s="85">
        <f t="shared" si="224"/>
        <v>1.8521760924291546</v>
      </c>
      <c r="BW225" s="85">
        <f t="shared" si="225"/>
        <v>1.0966413698762818</v>
      </c>
    </row>
    <row r="226" spans="25:75" x14ac:dyDescent="0.4">
      <c r="Y226" s="142">
        <v>0.91200000000000003</v>
      </c>
      <c r="Z226" s="46">
        <f t="shared" si="177"/>
        <v>0.23505484720936384</v>
      </c>
      <c r="AA226" s="84">
        <f t="shared" si="178"/>
        <v>1.1963228706804883</v>
      </c>
      <c r="AB226" s="84">
        <f t="shared" si="179"/>
        <v>0.28839972260735619</v>
      </c>
      <c r="AC226" s="84">
        <f t="shared" si="180"/>
        <v>1.6419391292048677</v>
      </c>
      <c r="AD226" s="84">
        <f t="shared" si="181"/>
        <v>0.24617305467531506</v>
      </c>
      <c r="AE226" s="84">
        <f t="shared" si="182"/>
        <v>1.7616692983732931</v>
      </c>
      <c r="AF226" s="84">
        <f t="shared" si="183"/>
        <v>0.23766041338185684</v>
      </c>
      <c r="AG226" s="84">
        <f t="shared" si="184"/>
        <v>1.7913836703988322</v>
      </c>
      <c r="AH226" s="84">
        <f t="shared" si="185"/>
        <v>0.23568108862261974</v>
      </c>
      <c r="AI226" s="84">
        <f t="shared" si="186"/>
        <v>1.7986237968428902</v>
      </c>
      <c r="AJ226" s="84">
        <f t="shared" si="187"/>
        <v>0.23520625849597374</v>
      </c>
      <c r="AK226" s="84">
        <f t="shared" si="188"/>
        <v>1.8003801477943147</v>
      </c>
      <c r="AL226" s="84">
        <f t="shared" si="189"/>
        <v>0.23509150341603047</v>
      </c>
      <c r="AM226" s="84">
        <f t="shared" si="190"/>
        <v>1.8008057597325271</v>
      </c>
      <c r="AN226" s="84">
        <f t="shared" si="191"/>
        <v>0.23506372039095175</v>
      </c>
      <c r="AO226" s="84">
        <f t="shared" si="192"/>
        <v>1.8009088705649519</v>
      </c>
      <c r="AP226" s="84">
        <f t="shared" si="193"/>
        <v>0.23505699102134869</v>
      </c>
      <c r="AQ226" s="84">
        <f t="shared" si="194"/>
        <v>1.8009338491397326</v>
      </c>
      <c r="AR226" s="84">
        <f t="shared" si="195"/>
        <v>0.2350553609201127</v>
      </c>
      <c r="AS226" s="84">
        <f t="shared" si="196"/>
        <v>1.8009399001020037</v>
      </c>
      <c r="AT226" s="84">
        <f t="shared" si="197"/>
        <v>0.23505496603955195</v>
      </c>
      <c r="AU226" s="84">
        <f t="shared" si="198"/>
        <v>1.8009413659186291</v>
      </c>
      <c r="AV226" s="84">
        <f t="shared" si="199"/>
        <v>0.2350548703819271</v>
      </c>
      <c r="AW226" s="84">
        <f t="shared" si="200"/>
        <v>1.8009417210053695</v>
      </c>
      <c r="AX226" s="84">
        <f t="shared" si="201"/>
        <v>0.23505484720936384</v>
      </c>
      <c r="AY226" s="142">
        <v>0.91200000000000003</v>
      </c>
      <c r="AZ226" s="46">
        <f t="shared" si="202"/>
        <v>1.90753625150032</v>
      </c>
      <c r="BA226" s="85">
        <f t="shared" si="203"/>
        <v>1.1963228706804883</v>
      </c>
      <c r="BB226" s="85">
        <f t="shared" si="204"/>
        <v>1.8240000000000001</v>
      </c>
      <c r="BC226" s="85">
        <f t="shared" si="205"/>
        <v>1.0981342342610676</v>
      </c>
      <c r="BD226" s="85">
        <f t="shared" si="206"/>
        <v>1.9037999947196638</v>
      </c>
      <c r="BE226" s="85">
        <f t="shared" si="207"/>
        <v>1.0940208130415394</v>
      </c>
      <c r="BF226" s="85">
        <f t="shared" si="208"/>
        <v>1.907375696351238</v>
      </c>
      <c r="BG226" s="85">
        <f t="shared" si="209"/>
        <v>1.0938445546295397</v>
      </c>
      <c r="BH226" s="85">
        <f t="shared" si="210"/>
        <v>1.9075293641954594</v>
      </c>
      <c r="BI226" s="85">
        <f t="shared" si="211"/>
        <v>1.0938369946319617</v>
      </c>
      <c r="BJ226" s="85">
        <f t="shared" si="212"/>
        <v>1.9075359560791343</v>
      </c>
      <c r="BK226" s="85">
        <f t="shared" si="213"/>
        <v>1.0938366703582789</v>
      </c>
      <c r="BL226" s="85">
        <f t="shared" si="214"/>
        <v>1.9075362388286894</v>
      </c>
      <c r="BM226" s="85">
        <f t="shared" si="215"/>
        <v>1.0938366564490667</v>
      </c>
      <c r="BN226" s="85">
        <f t="shared" si="216"/>
        <v>1.9075362509567919</v>
      </c>
      <c r="BO226" s="85">
        <f t="shared" si="217"/>
        <v>1.0938366558524528</v>
      </c>
      <c r="BP226" s="85">
        <f t="shared" si="218"/>
        <v>1.9075362514770078</v>
      </c>
      <c r="BQ226" s="85">
        <f t="shared" si="219"/>
        <v>1.093836655826862</v>
      </c>
      <c r="BR226" s="85">
        <f t="shared" si="220"/>
        <v>1.9075362514993217</v>
      </c>
      <c r="BS226" s="85">
        <f t="shared" si="221"/>
        <v>1.0938366558257642</v>
      </c>
      <c r="BT226" s="85">
        <f t="shared" si="222"/>
        <v>1.9075362515002792</v>
      </c>
      <c r="BU226" s="85">
        <f t="shared" si="223"/>
        <v>1.0938366558257171</v>
      </c>
      <c r="BV226" s="85">
        <f t="shared" si="224"/>
        <v>1.90753625150032</v>
      </c>
      <c r="BW226" s="85">
        <f t="shared" si="225"/>
        <v>1.0938366558257151</v>
      </c>
    </row>
    <row r="227" spans="25:75" x14ac:dyDescent="0.4">
      <c r="Y227" s="142">
        <v>0.94040000000000001</v>
      </c>
      <c r="Z227" s="46">
        <f t="shared" si="177"/>
        <v>0.24392430571606966</v>
      </c>
      <c r="AA227" s="84">
        <f t="shared" si="178"/>
        <v>1.1903835348384364</v>
      </c>
      <c r="AB227" s="84">
        <f t="shared" si="179"/>
        <v>0.29738059116223436</v>
      </c>
      <c r="AC227" s="84">
        <f t="shared" si="180"/>
        <v>1.6211691935368617</v>
      </c>
      <c r="AD227" s="84">
        <f t="shared" si="181"/>
        <v>0.25482492486192648</v>
      </c>
      <c r="AE227" s="84">
        <f t="shared" si="182"/>
        <v>1.7336510620839352</v>
      </c>
      <c r="AF227" s="84">
        <f t="shared" si="183"/>
        <v>0.24641959022303442</v>
      </c>
      <c r="AG227" s="84">
        <f t="shared" si="184"/>
        <v>1.760841598474481</v>
      </c>
      <c r="AH227" s="84">
        <f t="shared" si="185"/>
        <v>0.24450960906065511</v>
      </c>
      <c r="AI227" s="84">
        <f t="shared" si="186"/>
        <v>1.7673009600633491</v>
      </c>
      <c r="AJ227" s="84">
        <f t="shared" si="187"/>
        <v>0.24406236725432801</v>
      </c>
      <c r="AK227" s="84">
        <f t="shared" si="188"/>
        <v>1.7688292008642772</v>
      </c>
      <c r="AL227" s="84">
        <f t="shared" si="189"/>
        <v>0.24395691143479983</v>
      </c>
      <c r="AM227" s="84">
        <f t="shared" si="190"/>
        <v>1.7691904250223043</v>
      </c>
      <c r="AN227" s="84">
        <f t="shared" si="191"/>
        <v>0.243932005232711</v>
      </c>
      <c r="AO227" s="84">
        <f t="shared" si="192"/>
        <v>1.7692757867617173</v>
      </c>
      <c r="AP227" s="84">
        <f t="shared" si="193"/>
        <v>0.24392612070312528</v>
      </c>
      <c r="AQ227" s="84">
        <f t="shared" si="194"/>
        <v>1.7692959577160372</v>
      </c>
      <c r="AR227" s="84">
        <f t="shared" si="195"/>
        <v>0.2439247302526921</v>
      </c>
      <c r="AS227" s="84">
        <f t="shared" si="196"/>
        <v>1.7693007240463376</v>
      </c>
      <c r="AT227" s="84">
        <f t="shared" si="197"/>
        <v>0.24392440169729168</v>
      </c>
      <c r="AU227" s="84">
        <f t="shared" si="198"/>
        <v>1.7693018503111726</v>
      </c>
      <c r="AV227" s="84">
        <f t="shared" si="199"/>
        <v>0.24392432406115522</v>
      </c>
      <c r="AW227" s="84">
        <f t="shared" si="200"/>
        <v>1.7693021164428719</v>
      </c>
      <c r="AX227" s="84">
        <f t="shared" si="201"/>
        <v>0.24392430571606966</v>
      </c>
      <c r="AY227" s="142">
        <v>0.94040000000000001</v>
      </c>
      <c r="AZ227" s="46">
        <f t="shared" si="202"/>
        <v>1.9644935512802433</v>
      </c>
      <c r="BA227" s="85">
        <f t="shared" si="203"/>
        <v>1.1903835348384364</v>
      </c>
      <c r="BB227" s="85">
        <f t="shared" si="204"/>
        <v>1.8808</v>
      </c>
      <c r="BC227" s="85">
        <f t="shared" si="205"/>
        <v>1.0951705805594572</v>
      </c>
      <c r="BD227" s="85">
        <f t="shared" si="206"/>
        <v>1.9608536785517607</v>
      </c>
      <c r="BE227" s="85">
        <f t="shared" si="207"/>
        <v>1.0912851463622448</v>
      </c>
      <c r="BF227" s="85">
        <f t="shared" si="208"/>
        <v>1.9643413089409103</v>
      </c>
      <c r="BG227" s="85">
        <f t="shared" si="209"/>
        <v>1.0911230720583012</v>
      </c>
      <c r="BH227" s="85">
        <f t="shared" si="210"/>
        <v>1.9644871941470909</v>
      </c>
      <c r="BI227" s="85">
        <f t="shared" si="211"/>
        <v>1.0911163051398476</v>
      </c>
      <c r="BJ227" s="85">
        <f t="shared" si="212"/>
        <v>1.9644932858460107</v>
      </c>
      <c r="BK227" s="85">
        <f t="shared" si="213"/>
        <v>1.0911160225968684</v>
      </c>
      <c r="BL227" s="85">
        <f t="shared" si="214"/>
        <v>1.9644935401973991</v>
      </c>
      <c r="BM227" s="85">
        <f t="shared" si="215"/>
        <v>1.0911160107996722</v>
      </c>
      <c r="BN227" s="85">
        <f t="shared" si="216"/>
        <v>1.9644935508174957</v>
      </c>
      <c r="BO227" s="85">
        <f t="shared" si="217"/>
        <v>1.0911160103070963</v>
      </c>
      <c r="BP227" s="85">
        <f t="shared" si="218"/>
        <v>1.9644935512609236</v>
      </c>
      <c r="BQ227" s="85">
        <f t="shared" si="219"/>
        <v>1.0911160102865294</v>
      </c>
      <c r="BR227" s="85">
        <f t="shared" si="220"/>
        <v>1.9644935512794381</v>
      </c>
      <c r="BS227" s="85">
        <f t="shared" si="221"/>
        <v>1.0911160102856707</v>
      </c>
      <c r="BT227" s="85">
        <f t="shared" si="222"/>
        <v>1.9644935512802111</v>
      </c>
      <c r="BU227" s="85">
        <f t="shared" si="223"/>
        <v>1.091116010285635</v>
      </c>
      <c r="BV227" s="85">
        <f t="shared" si="224"/>
        <v>1.9644935512802433</v>
      </c>
      <c r="BW227" s="85">
        <f t="shared" si="225"/>
        <v>1.0911160102856334</v>
      </c>
    </row>
    <row r="228" spans="25:75" x14ac:dyDescent="0.4">
      <c r="Y228" s="142">
        <v>0.9698</v>
      </c>
      <c r="Z228" s="46">
        <f t="shared" si="177"/>
        <v>0.25311340343335459</v>
      </c>
      <c r="AA228" s="84">
        <f t="shared" si="178"/>
        <v>1.1846036035784699</v>
      </c>
      <c r="AB228" s="84">
        <f t="shared" si="179"/>
        <v>0.3066776874831294</v>
      </c>
      <c r="AC228" s="84">
        <f t="shared" si="180"/>
        <v>1.6010440354763098</v>
      </c>
      <c r="AD228" s="84">
        <f t="shared" si="181"/>
        <v>0.26379530757275038</v>
      </c>
      <c r="AE228" s="84">
        <f t="shared" si="182"/>
        <v>1.7066841333648266</v>
      </c>
      <c r="AF228" s="84">
        <f t="shared" si="183"/>
        <v>0.25550072041060207</v>
      </c>
      <c r="AG228" s="84">
        <f t="shared" si="184"/>
        <v>1.7315484390811005</v>
      </c>
      <c r="AH228" s="84">
        <f t="shared" si="185"/>
        <v>0.25365964592454832</v>
      </c>
      <c r="AI228" s="84">
        <f t="shared" si="186"/>
        <v>1.7373049541144241</v>
      </c>
      <c r="AJ228" s="84">
        <f t="shared" si="187"/>
        <v>0.25323904988876689</v>
      </c>
      <c r="AK228" s="84">
        <f t="shared" si="188"/>
        <v>1.7386326793914093</v>
      </c>
      <c r="AL228" s="84">
        <f t="shared" si="189"/>
        <v>0.25314233707877354</v>
      </c>
      <c r="AM228" s="84">
        <f t="shared" si="190"/>
        <v>1.7389386509112443</v>
      </c>
      <c r="AN228" s="84">
        <f t="shared" si="191"/>
        <v>0.25312006551877586</v>
      </c>
      <c r="AO228" s="84">
        <f t="shared" si="192"/>
        <v>1.7390091473612443</v>
      </c>
      <c r="AP228" s="84">
        <f t="shared" si="193"/>
        <v>0.25311493493998749</v>
      </c>
      <c r="AQ228" s="84">
        <f t="shared" si="194"/>
        <v>1.7390253891387557</v>
      </c>
      <c r="AR228" s="84">
        <f t="shared" si="195"/>
        <v>0.25311375294285199</v>
      </c>
      <c r="AS228" s="84">
        <f t="shared" si="196"/>
        <v>1.7390291310654362</v>
      </c>
      <c r="AT228" s="84">
        <f t="shared" si="197"/>
        <v>0.25311348062607542</v>
      </c>
      <c r="AU228" s="84">
        <f t="shared" si="198"/>
        <v>1.7390299931620361</v>
      </c>
      <c r="AV228" s="84">
        <f t="shared" si="199"/>
        <v>0.25311341788756631</v>
      </c>
      <c r="AW228" s="84">
        <f t="shared" si="200"/>
        <v>1.7390301917790039</v>
      </c>
      <c r="AX228" s="84">
        <f t="shared" si="201"/>
        <v>0.25311340343335459</v>
      </c>
      <c r="AY228" s="142">
        <v>0.9698</v>
      </c>
      <c r="AZ228" s="46">
        <f t="shared" si="202"/>
        <v>2.023448772081569</v>
      </c>
      <c r="BA228" s="85">
        <f t="shared" si="203"/>
        <v>1.1846036035784699</v>
      </c>
      <c r="BB228" s="85">
        <f t="shared" si="204"/>
        <v>1.9396</v>
      </c>
      <c r="BC228" s="85">
        <f t="shared" si="205"/>
        <v>1.0922854288128117</v>
      </c>
      <c r="BD228" s="85">
        <f t="shared" si="206"/>
        <v>2.0199035389042121</v>
      </c>
      <c r="BE228" s="85">
        <f t="shared" si="207"/>
        <v>1.0886165136525652</v>
      </c>
      <c r="BF228" s="85">
        <f t="shared" si="208"/>
        <v>2.023304470731853</v>
      </c>
      <c r="BG228" s="85">
        <f t="shared" si="209"/>
        <v>1.0884675598133104</v>
      </c>
      <c r="BH228" s="85">
        <f t="shared" si="210"/>
        <v>2.0234429078658591</v>
      </c>
      <c r="BI228" s="85">
        <f t="shared" si="211"/>
        <v>1.0884615071565691</v>
      </c>
      <c r="BJ228" s="85">
        <f t="shared" si="212"/>
        <v>2.023448533782922</v>
      </c>
      <c r="BK228" s="85">
        <f t="shared" si="213"/>
        <v>1.0884612612014597</v>
      </c>
      <c r="BL228" s="85">
        <f t="shared" si="214"/>
        <v>2.0234487623980759</v>
      </c>
      <c r="BM228" s="85">
        <f t="shared" si="215"/>
        <v>1.0884612512068399</v>
      </c>
      <c r="BN228" s="85">
        <f t="shared" si="216"/>
        <v>2.0234487716880718</v>
      </c>
      <c r="BO228" s="85">
        <f t="shared" si="217"/>
        <v>1.088461250800699</v>
      </c>
      <c r="BP228" s="85">
        <f t="shared" si="218"/>
        <v>2.0234487720655796</v>
      </c>
      <c r="BQ228" s="85">
        <f t="shared" si="219"/>
        <v>1.0884612507841949</v>
      </c>
      <c r="BR228" s="85">
        <f t="shared" si="220"/>
        <v>2.0234487720809202</v>
      </c>
      <c r="BS228" s="85">
        <f t="shared" si="221"/>
        <v>1.0884612507835243</v>
      </c>
      <c r="BT228" s="85">
        <f t="shared" si="222"/>
        <v>2.0234487720815433</v>
      </c>
      <c r="BU228" s="85">
        <f t="shared" si="223"/>
        <v>1.088461250783497</v>
      </c>
      <c r="BV228" s="85">
        <f t="shared" si="224"/>
        <v>2.023448772081569</v>
      </c>
      <c r="BW228" s="85">
        <f t="shared" si="225"/>
        <v>1.0884612507834959</v>
      </c>
    </row>
    <row r="229" spans="25:75" x14ac:dyDescent="0.4">
      <c r="Y229" s="142">
        <v>1</v>
      </c>
      <c r="Z229" s="46">
        <f t="shared" si="177"/>
        <v>0.2625590427533987</v>
      </c>
      <c r="AA229" s="84">
        <f t="shared" si="178"/>
        <v>1.179021963271343</v>
      </c>
      <c r="AB229" s="84">
        <f t="shared" si="179"/>
        <v>0.31622776601683794</v>
      </c>
      <c r="AC229" s="84">
        <f t="shared" si="180"/>
        <v>1.5816938467685313</v>
      </c>
      <c r="AD229" s="84">
        <f t="shared" si="181"/>
        <v>0.27302331478542746</v>
      </c>
      <c r="AE229" s="84">
        <f t="shared" si="182"/>
        <v>1.680928027941029</v>
      </c>
      <c r="AF229" s="84">
        <f t="shared" si="183"/>
        <v>0.26484171305472526</v>
      </c>
      <c r="AG229" s="84">
        <f t="shared" si="184"/>
        <v>1.7036663342634566</v>
      </c>
      <c r="AH229" s="84">
        <f t="shared" si="185"/>
        <v>0.26306839608742638</v>
      </c>
      <c r="AI229" s="84">
        <f t="shared" si="186"/>
        <v>1.708795738142517</v>
      </c>
      <c r="AJ229" s="84">
        <f t="shared" si="187"/>
        <v>0.26267326454025292</v>
      </c>
      <c r="AK229" s="84">
        <f t="shared" si="188"/>
        <v>1.7099488342120037</v>
      </c>
      <c r="AL229" s="84">
        <f t="shared" si="189"/>
        <v>0.26258468335502666</v>
      </c>
      <c r="AM229" s="84">
        <f t="shared" si="190"/>
        <v>1.7102078496440853</v>
      </c>
      <c r="AN229" s="84">
        <f t="shared" si="191"/>
        <v>0.26256479803505478</v>
      </c>
      <c r="AO229" s="84">
        <f t="shared" si="192"/>
        <v>1.7102660210843419</v>
      </c>
      <c r="AP229" s="84">
        <f t="shared" si="193"/>
        <v>0.26256033267640488</v>
      </c>
      <c r="AQ229" s="84">
        <f t="shared" si="194"/>
        <v>1.7102790851072562</v>
      </c>
      <c r="AR229" s="84">
        <f t="shared" si="195"/>
        <v>0.26255932988663139</v>
      </c>
      <c r="AS229" s="84">
        <f t="shared" si="196"/>
        <v>1.7102820189728858</v>
      </c>
      <c r="AT229" s="84">
        <f t="shared" si="197"/>
        <v>0.26255910468572435</v>
      </c>
      <c r="AU229" s="84">
        <f t="shared" si="198"/>
        <v>1.7102826778473026</v>
      </c>
      <c r="AV229" s="84">
        <f t="shared" si="199"/>
        <v>0.26255905411119185</v>
      </c>
      <c r="AW229" s="84">
        <f t="shared" si="200"/>
        <v>1.7102828258143057</v>
      </c>
      <c r="AX229" s="84">
        <f t="shared" si="201"/>
        <v>0.2625590427533987</v>
      </c>
      <c r="AY229" s="142">
        <v>1</v>
      </c>
      <c r="AZ229" s="46">
        <f t="shared" si="202"/>
        <v>2.0840005773589421</v>
      </c>
      <c r="BA229" s="85">
        <f t="shared" si="203"/>
        <v>1.179021963271343</v>
      </c>
      <c r="BB229" s="85">
        <f t="shared" si="204"/>
        <v>2</v>
      </c>
      <c r="BC229" s="85">
        <f t="shared" si="205"/>
        <v>1.0894984055582007</v>
      </c>
      <c r="BD229" s="85">
        <f t="shared" si="206"/>
        <v>2.0805475403938809</v>
      </c>
      <c r="BE229" s="85">
        <f t="shared" si="207"/>
        <v>1.0860335092044737</v>
      </c>
      <c r="BF229" s="85">
        <f t="shared" si="208"/>
        <v>2.0838638012874968</v>
      </c>
      <c r="BG229" s="85">
        <f t="shared" si="209"/>
        <v>1.0858965954038449</v>
      </c>
      <c r="BH229" s="85">
        <f t="shared" si="210"/>
        <v>2.0839951677185087</v>
      </c>
      <c r="BI229" s="85">
        <f t="shared" si="211"/>
        <v>1.0858911808351126</v>
      </c>
      <c r="BJ229" s="85">
        <f t="shared" si="212"/>
        <v>2.0840003634145443</v>
      </c>
      <c r="BK229" s="85">
        <f t="shared" si="213"/>
        <v>1.0858909666966179</v>
      </c>
      <c r="BL229" s="85">
        <f t="shared" si="214"/>
        <v>2.0840005688977339</v>
      </c>
      <c r="BM229" s="85">
        <f t="shared" si="215"/>
        <v>1.0858909582277341</v>
      </c>
      <c r="BN229" s="85">
        <f t="shared" si="216"/>
        <v>2.0840005770243137</v>
      </c>
      <c r="BO229" s="85">
        <f t="shared" si="217"/>
        <v>1.0858909578928011</v>
      </c>
      <c r="BP229" s="85">
        <f t="shared" si="218"/>
        <v>2.0840005773457091</v>
      </c>
      <c r="BQ229" s="85">
        <f t="shared" si="219"/>
        <v>1.085890957879555</v>
      </c>
      <c r="BR229" s="85">
        <f t="shared" si="220"/>
        <v>2.0840005773584198</v>
      </c>
      <c r="BS229" s="85">
        <f t="shared" si="221"/>
        <v>1.0858909578790312</v>
      </c>
      <c r="BT229" s="85">
        <f t="shared" si="222"/>
        <v>2.0840005773589221</v>
      </c>
      <c r="BU229" s="85">
        <f t="shared" si="223"/>
        <v>1.0858909578790106</v>
      </c>
      <c r="BV229" s="85">
        <f t="shared" si="224"/>
        <v>2.0840005773589421</v>
      </c>
      <c r="BW229" s="85">
        <f t="shared" si="225"/>
        <v>1.0858909578790097</v>
      </c>
    </row>
    <row r="230" spans="25:75" x14ac:dyDescent="0.4">
      <c r="Y230" s="142">
        <v>1.0311999999999999</v>
      </c>
      <c r="Z230" s="46">
        <f t="shared" si="177"/>
        <v>0.27232320827193512</v>
      </c>
      <c r="AA230" s="84">
        <f t="shared" si="178"/>
        <v>1.1736002464351194</v>
      </c>
      <c r="AB230" s="84">
        <f t="shared" si="179"/>
        <v>0.32609407231656323</v>
      </c>
      <c r="AC230" s="84">
        <f t="shared" si="180"/>
        <v>1.5629799753206255</v>
      </c>
      <c r="AD230" s="84">
        <f t="shared" si="181"/>
        <v>0.28257015730914309</v>
      </c>
      <c r="AE230" s="84">
        <f t="shared" si="182"/>
        <v>1.6561832421906622</v>
      </c>
      <c r="AF230" s="84">
        <f t="shared" si="183"/>
        <v>0.27450408223615463</v>
      </c>
      <c r="AG230" s="84">
        <f t="shared" si="184"/>
        <v>1.6769684749608431</v>
      </c>
      <c r="AH230" s="84">
        <f t="shared" si="185"/>
        <v>0.27279760372914552</v>
      </c>
      <c r="AI230" s="84">
        <f t="shared" si="186"/>
        <v>1.681535642116966</v>
      </c>
      <c r="AJ230" s="84">
        <f t="shared" si="187"/>
        <v>0.27242688324852837</v>
      </c>
      <c r="AK230" s="84">
        <f t="shared" si="188"/>
        <v>1.6825359743171671</v>
      </c>
      <c r="AL230" s="84">
        <f t="shared" si="189"/>
        <v>0.27234588708998247</v>
      </c>
      <c r="AM230" s="84">
        <f t="shared" si="190"/>
        <v>1.6827549203065755</v>
      </c>
      <c r="AN230" s="84">
        <f t="shared" si="191"/>
        <v>0.27232816882966882</v>
      </c>
      <c r="AO230" s="84">
        <f t="shared" si="192"/>
        <v>1.6828028343821546</v>
      </c>
      <c r="AP230" s="84">
        <f t="shared" si="193"/>
        <v>0.27232429183199591</v>
      </c>
      <c r="AQ230" s="84">
        <f t="shared" si="194"/>
        <v>1.6828133195323129</v>
      </c>
      <c r="AR230" s="84">
        <f t="shared" si="195"/>
        <v>0.27232344344153386</v>
      </c>
      <c r="AS230" s="84">
        <f t="shared" si="196"/>
        <v>1.6828156140055954</v>
      </c>
      <c r="AT230" s="84">
        <f t="shared" si="197"/>
        <v>0.27232325778866945</v>
      </c>
      <c r="AU230" s="84">
        <f t="shared" si="198"/>
        <v>1.6828161161060997</v>
      </c>
      <c r="AV230" s="84">
        <f t="shared" si="199"/>
        <v>0.27232321716222962</v>
      </c>
      <c r="AW230" s="84">
        <f t="shared" si="200"/>
        <v>1.682816225980915</v>
      </c>
      <c r="AX230" s="84">
        <f t="shared" si="201"/>
        <v>0.27232320827193512</v>
      </c>
      <c r="AY230" s="142">
        <v>1.0311999999999999</v>
      </c>
      <c r="AZ230" s="46">
        <f t="shared" si="202"/>
        <v>2.1465497392081963</v>
      </c>
      <c r="BA230" s="85">
        <f t="shared" si="203"/>
        <v>1.1736002464351194</v>
      </c>
      <c r="BB230" s="85">
        <f t="shared" si="204"/>
        <v>2.0623999999999998</v>
      </c>
      <c r="BC230" s="85">
        <f t="shared" si="205"/>
        <v>1.0867905386272045</v>
      </c>
      <c r="BD230" s="85">
        <f t="shared" si="206"/>
        <v>2.1431870260948092</v>
      </c>
      <c r="BE230" s="85">
        <f t="shared" si="207"/>
        <v>1.0835189843436379</v>
      </c>
      <c r="BF230" s="85">
        <f t="shared" si="208"/>
        <v>2.1464201342076725</v>
      </c>
      <c r="BG230" s="85">
        <f t="shared" si="209"/>
        <v>1.0833931813881619</v>
      </c>
      <c r="BH230" s="85">
        <f t="shared" si="210"/>
        <v>2.1465447510886246</v>
      </c>
      <c r="BI230" s="85">
        <f t="shared" si="211"/>
        <v>1.0833883400255004</v>
      </c>
      <c r="BJ230" s="85">
        <f t="shared" si="212"/>
        <v>2.1465495472404821</v>
      </c>
      <c r="BK230" s="85">
        <f t="shared" si="213"/>
        <v>1.0833881537063563</v>
      </c>
      <c r="BL230" s="85">
        <f t="shared" si="214"/>
        <v>2.1465497318203375</v>
      </c>
      <c r="BM230" s="85">
        <f t="shared" si="215"/>
        <v>1.0833881465358826</v>
      </c>
      <c r="BN230" s="85">
        <f t="shared" si="216"/>
        <v>2.1465497389238757</v>
      </c>
      <c r="BO230" s="85">
        <f t="shared" si="217"/>
        <v>1.0833881462599275</v>
      </c>
      <c r="BP230" s="85">
        <f t="shared" si="218"/>
        <v>2.1465497391972552</v>
      </c>
      <c r="BQ230" s="85">
        <f t="shared" si="219"/>
        <v>1.0833881462493073</v>
      </c>
      <c r="BR230" s="85">
        <f t="shared" si="220"/>
        <v>2.1465497392077757</v>
      </c>
      <c r="BS230" s="85">
        <f t="shared" si="221"/>
        <v>1.0833881462488988</v>
      </c>
      <c r="BT230" s="85">
        <f t="shared" si="222"/>
        <v>2.1465497392081807</v>
      </c>
      <c r="BU230" s="85">
        <f t="shared" si="223"/>
        <v>1.083388146248883</v>
      </c>
      <c r="BV230" s="85">
        <f t="shared" si="224"/>
        <v>2.1465497392081963</v>
      </c>
      <c r="BW230" s="85">
        <f t="shared" si="225"/>
        <v>1.0833881462488824</v>
      </c>
    </row>
    <row r="231" spans="25:75" x14ac:dyDescent="0.4">
      <c r="Y231" s="142">
        <v>1.0632999999999999</v>
      </c>
      <c r="Z231" s="46">
        <f t="shared" si="177"/>
        <v>0.28237409404780545</v>
      </c>
      <c r="AA231" s="84">
        <f t="shared" si="178"/>
        <v>1.1683553385664447</v>
      </c>
      <c r="AB231" s="84">
        <f t="shared" si="179"/>
        <v>0.33624498360570371</v>
      </c>
      <c r="AC231" s="84">
        <f t="shared" si="180"/>
        <v>1.544955178999621</v>
      </c>
      <c r="AD231" s="84">
        <f t="shared" si="181"/>
        <v>0.29240537075878481</v>
      </c>
      <c r="AE231" s="84">
        <f t="shared" si="182"/>
        <v>1.6325056252679433</v>
      </c>
      <c r="AF231" s="84">
        <f t="shared" si="183"/>
        <v>0.28445655385004509</v>
      </c>
      <c r="AG231" s="84">
        <f t="shared" si="184"/>
        <v>1.6515051658574058</v>
      </c>
      <c r="AH231" s="84">
        <f t="shared" si="185"/>
        <v>0.2828155726431919</v>
      </c>
      <c r="AI231" s="84">
        <f t="shared" si="186"/>
        <v>1.6555708338827935</v>
      </c>
      <c r="AJ231" s="84">
        <f t="shared" si="187"/>
        <v>0.28246809701675041</v>
      </c>
      <c r="AK231" s="84">
        <f t="shared" si="188"/>
        <v>1.6564382603162668</v>
      </c>
      <c r="AL231" s="84">
        <f t="shared" si="189"/>
        <v>0.28239412734771407</v>
      </c>
      <c r="AM231" s="84">
        <f t="shared" si="190"/>
        <v>1.656623212433123</v>
      </c>
      <c r="AN231" s="84">
        <f t="shared" si="191"/>
        <v>0.28237836309634262</v>
      </c>
      <c r="AO231" s="84">
        <f t="shared" si="192"/>
        <v>1.6566626425035997</v>
      </c>
      <c r="AP231" s="84">
        <f t="shared" si="193"/>
        <v>0.28237500264602394</v>
      </c>
      <c r="AQ231" s="84">
        <f t="shared" si="194"/>
        <v>1.6566710483867761</v>
      </c>
      <c r="AR231" s="84">
        <f t="shared" si="195"/>
        <v>0.28237428626533467</v>
      </c>
      <c r="AS231" s="84">
        <f t="shared" si="196"/>
        <v>1.656672840380534</v>
      </c>
      <c r="AT231" s="84">
        <f t="shared" si="197"/>
        <v>0.28237413354565372</v>
      </c>
      <c r="AU231" s="84">
        <f t="shared" si="198"/>
        <v>1.6566732224031455</v>
      </c>
      <c r="AV231" s="84">
        <f t="shared" si="199"/>
        <v>0.28237410098844551</v>
      </c>
      <c r="AW231" s="84">
        <f t="shared" si="200"/>
        <v>1.6566733038438506</v>
      </c>
      <c r="AX231" s="84">
        <f t="shared" si="201"/>
        <v>0.28237409404780545</v>
      </c>
      <c r="AY231" s="142">
        <v>1.0632999999999999</v>
      </c>
      <c r="AZ231" s="46">
        <f t="shared" si="202"/>
        <v>2.2108955536064001</v>
      </c>
      <c r="BA231" s="85">
        <f t="shared" si="203"/>
        <v>1.1683553385664447</v>
      </c>
      <c r="BB231" s="85">
        <f t="shared" si="204"/>
        <v>2.1265999999999998</v>
      </c>
      <c r="BC231" s="85">
        <f t="shared" si="205"/>
        <v>1.0841704148315023</v>
      </c>
      <c r="BD231" s="85">
        <f t="shared" si="206"/>
        <v>2.2076209521555841</v>
      </c>
      <c r="BE231" s="85">
        <f t="shared" si="207"/>
        <v>1.0810813115634921</v>
      </c>
      <c r="BF231" s="85">
        <f t="shared" si="208"/>
        <v>2.21077275229286</v>
      </c>
      <c r="BG231" s="85">
        <f t="shared" si="209"/>
        <v>1.0809657175285878</v>
      </c>
      <c r="BH231" s="85">
        <f t="shared" si="210"/>
        <v>2.2108909546127813</v>
      </c>
      <c r="BI231" s="85">
        <f t="shared" si="211"/>
        <v>1.0809613888041805</v>
      </c>
      <c r="BJ231" s="85">
        <f t="shared" si="212"/>
        <v>2.2108953813796184</v>
      </c>
      <c r="BK231" s="85">
        <f t="shared" si="213"/>
        <v>1.0809612266991488</v>
      </c>
      <c r="BL231" s="85">
        <f t="shared" si="214"/>
        <v>2.2108955471567264</v>
      </c>
      <c r="BM231" s="85">
        <f t="shared" si="215"/>
        <v>1.0809612206285224</v>
      </c>
      <c r="BN231" s="85">
        <f t="shared" si="216"/>
        <v>2.210895553364868</v>
      </c>
      <c r="BO231" s="85">
        <f t="shared" si="217"/>
        <v>1.0809612204011851</v>
      </c>
      <c r="BP231" s="85">
        <f t="shared" si="218"/>
        <v>2.2108955535973553</v>
      </c>
      <c r="BQ231" s="85">
        <f t="shared" si="219"/>
        <v>1.0809612203926717</v>
      </c>
      <c r="BR231" s="85">
        <f t="shared" si="220"/>
        <v>2.2108955536060617</v>
      </c>
      <c r="BS231" s="85">
        <f t="shared" si="221"/>
        <v>1.0809612203923529</v>
      </c>
      <c r="BT231" s="85">
        <f t="shared" si="222"/>
        <v>2.2108955536063877</v>
      </c>
      <c r="BU231" s="85">
        <f t="shared" si="223"/>
        <v>1.0809612203923409</v>
      </c>
      <c r="BV231" s="85">
        <f t="shared" si="224"/>
        <v>2.2108955536064001</v>
      </c>
      <c r="BW231" s="85">
        <f t="shared" si="225"/>
        <v>1.0809612203923404</v>
      </c>
    </row>
    <row r="232" spans="25:75" x14ac:dyDescent="0.4">
      <c r="Y232" s="142">
        <v>1.0965</v>
      </c>
      <c r="Z232" s="46">
        <f t="shared" si="177"/>
        <v>0.29277386241272352</v>
      </c>
      <c r="AA232" s="84">
        <f t="shared" si="178"/>
        <v>1.1632546654518805</v>
      </c>
      <c r="AB232" s="84">
        <f t="shared" si="179"/>
        <v>0.34674374543746278</v>
      </c>
      <c r="AC232" s="84">
        <f t="shared" si="180"/>
        <v>1.5275020235840298</v>
      </c>
      <c r="AD232" s="84">
        <f t="shared" si="181"/>
        <v>0.30259039647884711</v>
      </c>
      <c r="AE232" s="84">
        <f t="shared" si="182"/>
        <v>1.609727759730784</v>
      </c>
      <c r="AF232" s="84">
        <f t="shared" si="183"/>
        <v>0.29476086394277379</v>
      </c>
      <c r="AG232" s="84">
        <f t="shared" si="184"/>
        <v>1.6270870991604622</v>
      </c>
      <c r="AH232" s="84">
        <f t="shared" si="185"/>
        <v>0.29318425041330587</v>
      </c>
      <c r="AI232" s="84">
        <f t="shared" si="186"/>
        <v>1.6307035343958889</v>
      </c>
      <c r="AJ232" s="84">
        <f t="shared" si="187"/>
        <v>0.29285897045447012</v>
      </c>
      <c r="AK232" s="84">
        <f t="shared" si="188"/>
        <v>1.6314548785405276</v>
      </c>
      <c r="AL232" s="84">
        <f t="shared" si="189"/>
        <v>0.29279152659952778</v>
      </c>
      <c r="AM232" s="84">
        <f t="shared" si="190"/>
        <v>1.6316108878982569</v>
      </c>
      <c r="AN232" s="84">
        <f t="shared" si="191"/>
        <v>0.29277752837534782</v>
      </c>
      <c r="AO232" s="84">
        <f t="shared" si="192"/>
        <v>1.6316432779200682</v>
      </c>
      <c r="AP232" s="84">
        <f t="shared" si="193"/>
        <v>0.29277462237324514</v>
      </c>
      <c r="AQ232" s="84">
        <f t="shared" si="194"/>
        <v>1.6316500024388874</v>
      </c>
      <c r="AR232" s="84">
        <f t="shared" si="195"/>
        <v>0.29277401906662809</v>
      </c>
      <c r="AS232" s="84">
        <f t="shared" si="196"/>
        <v>1.6316513985146319</v>
      </c>
      <c r="AT232" s="84">
        <f t="shared" si="197"/>
        <v>0.29277389381475305</v>
      </c>
      <c r="AU232" s="84">
        <f t="shared" si="198"/>
        <v>1.6316516883532781</v>
      </c>
      <c r="AV232" s="84">
        <f t="shared" si="199"/>
        <v>0.29277386781128878</v>
      </c>
      <c r="AW232" s="84">
        <f t="shared" si="200"/>
        <v>1.6316517485265336</v>
      </c>
      <c r="AX232" s="84">
        <f t="shared" si="201"/>
        <v>0.29277386241272352</v>
      </c>
      <c r="AY232" s="142">
        <v>1.0965</v>
      </c>
      <c r="AZ232" s="46">
        <f t="shared" si="202"/>
        <v>2.2774387130646918</v>
      </c>
      <c r="BA232" s="85">
        <f t="shared" si="203"/>
        <v>1.1632546654518805</v>
      </c>
      <c r="BB232" s="85">
        <f t="shared" si="204"/>
        <v>2.1930000000000001</v>
      </c>
      <c r="BC232" s="85">
        <f t="shared" si="205"/>
        <v>1.0816218889663256</v>
      </c>
      <c r="BD232" s="85">
        <f t="shared" si="206"/>
        <v>2.2742505028239979</v>
      </c>
      <c r="BE232" s="85">
        <f t="shared" si="207"/>
        <v>1.0787058422605806</v>
      </c>
      <c r="BF232" s="85">
        <f t="shared" si="208"/>
        <v>2.2773223990507394</v>
      </c>
      <c r="BG232" s="85">
        <f t="shared" si="209"/>
        <v>1.0785996753817495</v>
      </c>
      <c r="BH232" s="85">
        <f t="shared" si="210"/>
        <v>2.2774344750449589</v>
      </c>
      <c r="BI232" s="85">
        <f t="shared" si="211"/>
        <v>1.0785958073723778</v>
      </c>
      <c r="BJ232" s="85">
        <f t="shared" si="212"/>
        <v>2.2774385586553043</v>
      </c>
      <c r="BK232" s="85">
        <f t="shared" si="213"/>
        <v>1.0785956664444516</v>
      </c>
      <c r="BL232" s="85">
        <f t="shared" si="214"/>
        <v>2.2774387074388995</v>
      </c>
      <c r="BM232" s="85">
        <f t="shared" si="215"/>
        <v>1.0785956613098469</v>
      </c>
      <c r="BN232" s="85">
        <f t="shared" si="216"/>
        <v>2.2774387128597202</v>
      </c>
      <c r="BO232" s="85">
        <f t="shared" si="217"/>
        <v>1.0785956611227714</v>
      </c>
      <c r="BP232" s="85">
        <f t="shared" si="218"/>
        <v>2.2774387130572245</v>
      </c>
      <c r="BQ232" s="85">
        <f t="shared" si="219"/>
        <v>1.0785956611159553</v>
      </c>
      <c r="BR232" s="85">
        <f t="shared" si="220"/>
        <v>2.2774387130644205</v>
      </c>
      <c r="BS232" s="85">
        <f t="shared" si="221"/>
        <v>1.078595661115707</v>
      </c>
      <c r="BT232" s="85">
        <f t="shared" si="222"/>
        <v>2.2774387130646825</v>
      </c>
      <c r="BU232" s="85">
        <f t="shared" si="223"/>
        <v>1.0785956611156979</v>
      </c>
      <c r="BV232" s="85">
        <f t="shared" si="224"/>
        <v>2.2774387130646918</v>
      </c>
      <c r="BW232" s="85">
        <f t="shared" si="225"/>
        <v>1.0785956611156977</v>
      </c>
    </row>
    <row r="233" spans="25:75" x14ac:dyDescent="0.4">
      <c r="Y233" s="142">
        <v>1.1307</v>
      </c>
      <c r="Z233" s="46">
        <f t="shared" si="177"/>
        <v>0.30349078261388762</v>
      </c>
      <c r="AA233" s="84">
        <f t="shared" si="178"/>
        <v>1.1583142906315906</v>
      </c>
      <c r="AB233" s="84">
        <f t="shared" si="179"/>
        <v>0.35755873503523866</v>
      </c>
      <c r="AC233" s="84">
        <f t="shared" si="180"/>
        <v>1.510670084339127</v>
      </c>
      <c r="AD233" s="84">
        <f t="shared" si="181"/>
        <v>0.31309474964493794</v>
      </c>
      <c r="AE233" s="84">
        <f t="shared" si="182"/>
        <v>1.5879019968958725</v>
      </c>
      <c r="AF233" s="84">
        <f t="shared" si="183"/>
        <v>0.30538573871353236</v>
      </c>
      <c r="AG233" s="84">
        <f t="shared" si="184"/>
        <v>1.6037618357858081</v>
      </c>
      <c r="AH233" s="84">
        <f t="shared" si="185"/>
        <v>0.30387198452616915</v>
      </c>
      <c r="AI233" s="84">
        <f t="shared" si="186"/>
        <v>1.606977884090969</v>
      </c>
      <c r="AJ233" s="84">
        <f t="shared" si="187"/>
        <v>0.30356776241085159</v>
      </c>
      <c r="AK233" s="84">
        <f t="shared" si="188"/>
        <v>1.6076283854197007</v>
      </c>
      <c r="AL233" s="84">
        <f t="shared" si="189"/>
        <v>0.30350633925655096</v>
      </c>
      <c r="AM233" s="84">
        <f t="shared" si="190"/>
        <v>1.6077598934280108</v>
      </c>
      <c r="AN233" s="84">
        <f t="shared" si="191"/>
        <v>0.30349392623064736</v>
      </c>
      <c r="AO233" s="84">
        <f t="shared" si="192"/>
        <v>1.6077864768834345</v>
      </c>
      <c r="AP233" s="84">
        <f t="shared" si="193"/>
        <v>0.30349141720636935</v>
      </c>
      <c r="AQ233" s="84">
        <f t="shared" si="194"/>
        <v>1.6077918504373585</v>
      </c>
      <c r="AR233" s="84">
        <f t="shared" si="195"/>
        <v>0.3034909100421932</v>
      </c>
      <c r="AS233" s="84">
        <f t="shared" si="196"/>
        <v>1.6077929366377663</v>
      </c>
      <c r="AT233" s="84">
        <f t="shared" si="197"/>
        <v>0.30349080752525881</v>
      </c>
      <c r="AU233" s="84">
        <f t="shared" si="198"/>
        <v>1.6077931562001526</v>
      </c>
      <c r="AV233" s="84">
        <f t="shared" si="199"/>
        <v>0.30349078680270253</v>
      </c>
      <c r="AW233" s="84">
        <f t="shared" si="200"/>
        <v>1.6077932005820483</v>
      </c>
      <c r="AX233" s="84">
        <f t="shared" si="201"/>
        <v>0.30349078261388762</v>
      </c>
      <c r="AY233" s="142">
        <v>1.1307</v>
      </c>
      <c r="AZ233" s="46">
        <f t="shared" si="202"/>
        <v>2.3459785791066077</v>
      </c>
      <c r="BA233" s="85">
        <f t="shared" si="203"/>
        <v>1.1583142906315906</v>
      </c>
      <c r="BB233" s="85">
        <f t="shared" si="204"/>
        <v>2.2614000000000001</v>
      </c>
      <c r="BC233" s="85">
        <f t="shared" si="205"/>
        <v>1.0791530916581631</v>
      </c>
      <c r="BD233" s="85">
        <f t="shared" si="206"/>
        <v>2.3428747153348732</v>
      </c>
      <c r="BE233" s="85">
        <f t="shared" si="207"/>
        <v>1.0764005004684574</v>
      </c>
      <c r="BF233" s="85">
        <f t="shared" si="208"/>
        <v>2.3458684238569698</v>
      </c>
      <c r="BG233" s="85">
        <f t="shared" si="209"/>
        <v>1.0763030010328549</v>
      </c>
      <c r="BH233" s="85">
        <f t="shared" si="210"/>
        <v>2.3459746744516141</v>
      </c>
      <c r="BI233" s="85">
        <f t="shared" si="211"/>
        <v>1.0762995452240809</v>
      </c>
      <c r="BJ233" s="85">
        <f t="shared" si="212"/>
        <v>2.3459784407048807</v>
      </c>
      <c r="BK233" s="85">
        <f t="shared" si="213"/>
        <v>1.0762994227321481</v>
      </c>
      <c r="BL233" s="85">
        <f t="shared" si="214"/>
        <v>2.3459785742009225</v>
      </c>
      <c r="BM233" s="85">
        <f t="shared" si="215"/>
        <v>1.0762994183903898</v>
      </c>
      <c r="BN233" s="85">
        <f t="shared" si="216"/>
        <v>2.345978578932725</v>
      </c>
      <c r="BO233" s="85">
        <f t="shared" si="217"/>
        <v>1.0762994182364951</v>
      </c>
      <c r="BP233" s="85">
        <f t="shared" si="218"/>
        <v>2.3459785791004442</v>
      </c>
      <c r="BQ233" s="85">
        <f t="shared" si="219"/>
        <v>1.0762994182310401</v>
      </c>
      <c r="BR233" s="85">
        <f t="shared" si="220"/>
        <v>2.3459785791063896</v>
      </c>
      <c r="BS233" s="85">
        <f t="shared" si="221"/>
        <v>1.076299418230847</v>
      </c>
      <c r="BT233" s="85">
        <f t="shared" si="222"/>
        <v>2.3459785791066001</v>
      </c>
      <c r="BU233" s="85">
        <f t="shared" si="223"/>
        <v>1.0762994182308401</v>
      </c>
      <c r="BV233" s="85">
        <f t="shared" si="224"/>
        <v>2.3459785791066077</v>
      </c>
      <c r="BW233" s="85">
        <f t="shared" si="225"/>
        <v>1.0762994182308399</v>
      </c>
    </row>
    <row r="234" spans="25:75" x14ac:dyDescent="0.4">
      <c r="Y234" s="142">
        <v>1.1658999999999999</v>
      </c>
      <c r="Z234" s="46">
        <f t="shared" si="177"/>
        <v>0.31452446928553895</v>
      </c>
      <c r="AA234" s="84">
        <f t="shared" si="178"/>
        <v>1.1535327091736498</v>
      </c>
      <c r="AB234" s="84">
        <f t="shared" si="179"/>
        <v>0.3686899523990313</v>
      </c>
      <c r="AC234" s="84">
        <f t="shared" si="180"/>
        <v>1.494448304505134</v>
      </c>
      <c r="AD234" s="84">
        <f t="shared" si="181"/>
        <v>0.32391854341199366</v>
      </c>
      <c r="AE234" s="84">
        <f t="shared" si="182"/>
        <v>1.5670011327135129</v>
      </c>
      <c r="AF234" s="84">
        <f t="shared" si="183"/>
        <v>0.31633089053126495</v>
      </c>
      <c r="AG234" s="84">
        <f t="shared" si="184"/>
        <v>1.5814917505161821</v>
      </c>
      <c r="AH234" s="84">
        <f t="shared" si="185"/>
        <v>0.31487834473276594</v>
      </c>
      <c r="AI234" s="84">
        <f t="shared" si="186"/>
        <v>1.5843514704262249</v>
      </c>
      <c r="AJ234" s="84">
        <f t="shared" si="187"/>
        <v>0.31459404210641295</v>
      </c>
      <c r="AK234" s="84">
        <f t="shared" si="188"/>
        <v>1.5849145189856708</v>
      </c>
      <c r="AL234" s="84">
        <f t="shared" si="189"/>
        <v>0.31453815661397255</v>
      </c>
      <c r="AM234" s="84">
        <f t="shared" si="190"/>
        <v>1.5850253264296104</v>
      </c>
      <c r="AN234" s="84">
        <f t="shared" si="191"/>
        <v>0.31452716190690611</v>
      </c>
      <c r="AO234" s="84">
        <f t="shared" si="192"/>
        <v>1.585047131265525</v>
      </c>
      <c r="AP234" s="84">
        <f t="shared" si="193"/>
        <v>0.31452499848961479</v>
      </c>
      <c r="AQ234" s="84">
        <f t="shared" si="194"/>
        <v>1.5850514219738789</v>
      </c>
      <c r="AR234" s="84">
        <f t="shared" si="195"/>
        <v>0.3145245727823055</v>
      </c>
      <c r="AS234" s="84">
        <f t="shared" si="196"/>
        <v>1.5850522662872191</v>
      </c>
      <c r="AT234" s="84">
        <f t="shared" si="197"/>
        <v>0.31452448901304009</v>
      </c>
      <c r="AU234" s="84">
        <f t="shared" si="198"/>
        <v>1.5850524324286734</v>
      </c>
      <c r="AV234" s="84">
        <f t="shared" si="199"/>
        <v>0.31452447252918242</v>
      </c>
      <c r="AW234" s="84">
        <f t="shared" si="200"/>
        <v>1.5850524651214875</v>
      </c>
      <c r="AX234" s="84">
        <f t="shared" si="201"/>
        <v>0.31452446928553895</v>
      </c>
      <c r="AY234" s="142">
        <v>1.1658999999999999</v>
      </c>
      <c r="AZ234" s="46">
        <f t="shared" si="202"/>
        <v>2.4165150191918991</v>
      </c>
      <c r="BA234" s="85">
        <f t="shared" si="203"/>
        <v>1.1535327091736498</v>
      </c>
      <c r="BB234" s="85">
        <f t="shared" si="204"/>
        <v>2.3317999999999999</v>
      </c>
      <c r="BC234" s="85">
        <f t="shared" si="205"/>
        <v>1.0767633591460346</v>
      </c>
      <c r="BD234" s="85">
        <f t="shared" si="206"/>
        <v>2.413493427679124</v>
      </c>
      <c r="BE234" s="85">
        <f t="shared" si="207"/>
        <v>1.0741650250226407</v>
      </c>
      <c r="BF234" s="85">
        <f t="shared" si="208"/>
        <v>2.4164107050258452</v>
      </c>
      <c r="BG234" s="85">
        <f t="shared" si="209"/>
        <v>1.0740754872809297</v>
      </c>
      <c r="BH234" s="85">
        <f t="shared" si="210"/>
        <v>2.4165114220849535</v>
      </c>
      <c r="BI234" s="85">
        <f t="shared" si="211"/>
        <v>1.0740723999106365</v>
      </c>
      <c r="BJ234" s="85">
        <f t="shared" si="212"/>
        <v>2.4165148951563298</v>
      </c>
      <c r="BK234" s="85">
        <f t="shared" si="213"/>
        <v>1.0740722934520568</v>
      </c>
      <c r="BL234" s="85">
        <f t="shared" si="214"/>
        <v>2.4165150149149062</v>
      </c>
      <c r="BM234" s="85">
        <f t="shared" si="215"/>
        <v>1.0740722897811534</v>
      </c>
      <c r="BN234" s="85">
        <f t="shared" si="216"/>
        <v>2.4165150190444202</v>
      </c>
      <c r="BO234" s="85">
        <f t="shared" si="217"/>
        <v>1.0740722896545734</v>
      </c>
      <c r="BP234" s="85">
        <f t="shared" si="218"/>
        <v>2.4165150191868139</v>
      </c>
      <c r="BQ234" s="85">
        <f t="shared" si="219"/>
        <v>1.0740722896502086</v>
      </c>
      <c r="BR234" s="85">
        <f t="shared" si="220"/>
        <v>2.4165150191917242</v>
      </c>
      <c r="BS234" s="85">
        <f t="shared" si="221"/>
        <v>1.0740722896500583</v>
      </c>
      <c r="BT234" s="85">
        <f t="shared" si="222"/>
        <v>2.4165150191918929</v>
      </c>
      <c r="BU234" s="85">
        <f t="shared" si="223"/>
        <v>1.074072289650053</v>
      </c>
      <c r="BV234" s="85">
        <f t="shared" si="224"/>
        <v>2.4165150191918991</v>
      </c>
      <c r="BW234" s="85">
        <f t="shared" si="225"/>
        <v>1.0740722896500527</v>
      </c>
    </row>
    <row r="235" spans="25:75" x14ac:dyDescent="0.4">
      <c r="Y235" s="142">
        <v>1.2022999999999999</v>
      </c>
      <c r="Z235" s="46">
        <f t="shared" si="177"/>
        <v>0.32593729876583188</v>
      </c>
      <c r="AA235" s="84">
        <f t="shared" si="178"/>
        <v>1.148883035346524</v>
      </c>
      <c r="AB235" s="84">
        <f t="shared" si="179"/>
        <v>0.38020064308204421</v>
      </c>
      <c r="AC235" s="84">
        <f t="shared" si="180"/>
        <v>1.4787399867106714</v>
      </c>
      <c r="AD235" s="84">
        <f t="shared" si="181"/>
        <v>0.33512347213419846</v>
      </c>
      <c r="AE235" s="84">
        <f t="shared" si="182"/>
        <v>1.5468890334721364</v>
      </c>
      <c r="AF235" s="84">
        <f t="shared" si="183"/>
        <v>0.32765830110002669</v>
      </c>
      <c r="AG235" s="84">
        <f t="shared" si="184"/>
        <v>1.5601241669095764</v>
      </c>
      <c r="AH235" s="84">
        <f t="shared" si="185"/>
        <v>0.32626551522006592</v>
      </c>
      <c r="AI235" s="84">
        <f t="shared" si="186"/>
        <v>1.5626655365613926</v>
      </c>
      <c r="AJ235" s="84">
        <f t="shared" si="187"/>
        <v>0.32600010376414407</v>
      </c>
      <c r="AK235" s="84">
        <f t="shared" si="188"/>
        <v>1.5631524712663354</v>
      </c>
      <c r="AL235" s="84">
        <f t="shared" si="189"/>
        <v>0.32594932396772586</v>
      </c>
      <c r="AM235" s="84">
        <f t="shared" si="190"/>
        <v>1.5632457310735335</v>
      </c>
      <c r="AN235" s="84">
        <f t="shared" si="191"/>
        <v>0.32593960111229497</v>
      </c>
      <c r="AO235" s="84">
        <f t="shared" si="192"/>
        <v>1.5632635911785351</v>
      </c>
      <c r="AP235" s="84">
        <f t="shared" si="193"/>
        <v>0.32593773919592978</v>
      </c>
      <c r="AQ235" s="84">
        <f t="shared" si="194"/>
        <v>1.5632670115000795</v>
      </c>
      <c r="AR235" s="84">
        <f t="shared" si="195"/>
        <v>0.325937382630969</v>
      </c>
      <c r="AS235" s="84">
        <f t="shared" si="196"/>
        <v>1.5632676665110994</v>
      </c>
      <c r="AT235" s="84">
        <f t="shared" si="197"/>
        <v>0.3259373143468855</v>
      </c>
      <c r="AU235" s="84">
        <f t="shared" si="198"/>
        <v>1.563267791949364</v>
      </c>
      <c r="AV235" s="84">
        <f t="shared" si="199"/>
        <v>0.32593730127010739</v>
      </c>
      <c r="AW235" s="84">
        <f t="shared" si="200"/>
        <v>1.563267815971489</v>
      </c>
      <c r="AX235" s="84">
        <f t="shared" si="201"/>
        <v>0.32593729876583188</v>
      </c>
      <c r="AY235" s="142">
        <v>1.2022999999999999</v>
      </c>
      <c r="AZ235" s="46">
        <f t="shared" si="202"/>
        <v>2.4894486514830203</v>
      </c>
      <c r="BA235" s="85">
        <f t="shared" si="203"/>
        <v>1.148883035346524</v>
      </c>
      <c r="BB235" s="85">
        <f t="shared" si="204"/>
        <v>2.4045999999999998</v>
      </c>
      <c r="BC235" s="85">
        <f t="shared" si="205"/>
        <v>1.0744393248308304</v>
      </c>
      <c r="BD235" s="85">
        <f t="shared" si="206"/>
        <v>2.4865076712618315</v>
      </c>
      <c r="BE235" s="85">
        <f t="shared" si="207"/>
        <v>1.0719872302539404</v>
      </c>
      <c r="BF235" s="85">
        <f t="shared" si="208"/>
        <v>2.4893499016008684</v>
      </c>
      <c r="BG235" s="85">
        <f t="shared" si="209"/>
        <v>1.0719050383951942</v>
      </c>
      <c r="BH235" s="85">
        <f t="shared" si="210"/>
        <v>2.4894453393337495</v>
      </c>
      <c r="BI235" s="85">
        <f t="shared" si="211"/>
        <v>1.0719022817755064</v>
      </c>
      <c r="BJ235" s="85">
        <f t="shared" si="212"/>
        <v>2.4894485403949549</v>
      </c>
      <c r="BK235" s="85">
        <f t="shared" si="213"/>
        <v>1.071902189319845</v>
      </c>
      <c r="BL235" s="85">
        <f t="shared" si="214"/>
        <v>2.4894486477571798</v>
      </c>
      <c r="BM235" s="85">
        <f t="shared" si="215"/>
        <v>1.0719021862189257</v>
      </c>
      <c r="BN235" s="85">
        <f t="shared" si="216"/>
        <v>2.489448651358058</v>
      </c>
      <c r="BO235" s="85">
        <f t="shared" si="217"/>
        <v>1.0719021861149225</v>
      </c>
      <c r="BP235" s="85">
        <f t="shared" si="218"/>
        <v>2.4894486514788294</v>
      </c>
      <c r="BQ235" s="85">
        <f t="shared" si="219"/>
        <v>1.0719021861114342</v>
      </c>
      <c r="BR235" s="85">
        <f t="shared" si="220"/>
        <v>2.48944865148288</v>
      </c>
      <c r="BS235" s="85">
        <f t="shared" si="221"/>
        <v>1.0719021861113172</v>
      </c>
      <c r="BT235" s="85">
        <f t="shared" si="222"/>
        <v>2.4894486514830163</v>
      </c>
      <c r="BU235" s="85">
        <f t="shared" si="223"/>
        <v>1.0719021861113134</v>
      </c>
      <c r="BV235" s="85">
        <f t="shared" si="224"/>
        <v>2.4894486514830203</v>
      </c>
      <c r="BW235" s="85">
        <f t="shared" si="225"/>
        <v>1.0719021861113132</v>
      </c>
    </row>
    <row r="236" spans="25:75" x14ac:dyDescent="0.4">
      <c r="Y236" s="142">
        <v>1.2397</v>
      </c>
      <c r="Z236" s="46">
        <f t="shared" si="177"/>
        <v>0.33766629241522589</v>
      </c>
      <c r="AA236" s="84">
        <f t="shared" si="178"/>
        <v>1.1443903768783263</v>
      </c>
      <c r="AB236" s="84">
        <f t="shared" si="179"/>
        <v>0.39202756153107399</v>
      </c>
      <c r="AC236" s="84">
        <f t="shared" si="180"/>
        <v>1.4636243758419836</v>
      </c>
      <c r="AD236" s="84">
        <f t="shared" si="181"/>
        <v>0.34664814689311696</v>
      </c>
      <c r="AE236" s="84">
        <f t="shared" si="182"/>
        <v>1.5276558332158814</v>
      </c>
      <c r="AF236" s="84">
        <f t="shared" si="183"/>
        <v>0.33930553047572914</v>
      </c>
      <c r="AG236" s="84">
        <f t="shared" si="184"/>
        <v>1.5397475858691889</v>
      </c>
      <c r="AH236" s="84">
        <f t="shared" si="185"/>
        <v>0.33797060867885614</v>
      </c>
      <c r="AI236" s="84">
        <f t="shared" si="186"/>
        <v>1.5420065375548213</v>
      </c>
      <c r="AJ236" s="84">
        <f t="shared" si="187"/>
        <v>0.33772296411035374</v>
      </c>
      <c r="AK236" s="84">
        <f t="shared" si="188"/>
        <v>1.5424277093782004</v>
      </c>
      <c r="AL236" s="84">
        <f t="shared" si="189"/>
        <v>0.33767685202777625</v>
      </c>
      <c r="AM236" s="84">
        <f t="shared" si="190"/>
        <v>1.5425062059403292</v>
      </c>
      <c r="AN236" s="84">
        <f t="shared" si="191"/>
        <v>0.33766825990376309</v>
      </c>
      <c r="AO236" s="84">
        <f t="shared" si="192"/>
        <v>1.5425208348500796</v>
      </c>
      <c r="AP236" s="84">
        <f t="shared" si="193"/>
        <v>0.33766665871624585</v>
      </c>
      <c r="AQ236" s="84">
        <f t="shared" si="194"/>
        <v>1.5425235611127279</v>
      </c>
      <c r="AR236" s="84">
        <f t="shared" si="195"/>
        <v>0.33766636031937558</v>
      </c>
      <c r="AS236" s="84">
        <f t="shared" si="196"/>
        <v>1.5425240691813618</v>
      </c>
      <c r="AT236" s="84">
        <f t="shared" si="197"/>
        <v>0.33766630470996761</v>
      </c>
      <c r="AU236" s="84">
        <f t="shared" si="198"/>
        <v>1.5425241638654237</v>
      </c>
      <c r="AV236" s="84">
        <f t="shared" si="199"/>
        <v>0.33766629434655854</v>
      </c>
      <c r="AW236" s="84">
        <f t="shared" si="200"/>
        <v>1.542524181510817</v>
      </c>
      <c r="AX236" s="84">
        <f t="shared" si="201"/>
        <v>0.33766629241522589</v>
      </c>
      <c r="AY236" s="142">
        <v>1.2397</v>
      </c>
      <c r="AZ236" s="46">
        <f t="shared" si="202"/>
        <v>2.5643786211540647</v>
      </c>
      <c r="BA236" s="85">
        <f t="shared" si="203"/>
        <v>1.1443903768783263</v>
      </c>
      <c r="BB236" s="85">
        <f t="shared" si="204"/>
        <v>2.4794</v>
      </c>
      <c r="BC236" s="85">
        <f t="shared" si="205"/>
        <v>1.0721935953351416</v>
      </c>
      <c r="BD236" s="85">
        <f t="shared" si="206"/>
        <v>2.5615161071743628</v>
      </c>
      <c r="BE236" s="85">
        <f t="shared" si="207"/>
        <v>1.0698792405185098</v>
      </c>
      <c r="BF236" s="85">
        <f t="shared" si="208"/>
        <v>2.5642851367940587</v>
      </c>
      <c r="BG236" s="85">
        <f t="shared" si="209"/>
        <v>1.0698037817923738</v>
      </c>
      <c r="BH236" s="85">
        <f t="shared" si="210"/>
        <v>2.5643755712649354</v>
      </c>
      <c r="BI236" s="85">
        <f t="shared" si="211"/>
        <v>1.069801320113889</v>
      </c>
      <c r="BJ236" s="85">
        <f t="shared" si="212"/>
        <v>2.5643785216560131</v>
      </c>
      <c r="BK236" s="85">
        <f t="shared" si="213"/>
        <v>1.0698012398054657</v>
      </c>
      <c r="BL236" s="85">
        <f t="shared" si="214"/>
        <v>2.5643786179080941</v>
      </c>
      <c r="BM236" s="85">
        <f t="shared" si="215"/>
        <v>1.0698012371855272</v>
      </c>
      <c r="BN236" s="85">
        <f t="shared" si="216"/>
        <v>2.5643786210481703</v>
      </c>
      <c r="BO236" s="85">
        <f t="shared" si="217"/>
        <v>1.0698012371000556</v>
      </c>
      <c r="BP236" s="85">
        <f t="shared" si="218"/>
        <v>2.5643786211506105</v>
      </c>
      <c r="BQ236" s="85">
        <f t="shared" si="219"/>
        <v>1.0698012370972672</v>
      </c>
      <c r="BR236" s="85">
        <f t="shared" si="220"/>
        <v>2.5643786211539523</v>
      </c>
      <c r="BS236" s="85">
        <f t="shared" si="221"/>
        <v>1.0698012370971763</v>
      </c>
      <c r="BT236" s="85">
        <f t="shared" si="222"/>
        <v>2.5643786211540611</v>
      </c>
      <c r="BU236" s="85">
        <f t="shared" si="223"/>
        <v>1.0698012370971735</v>
      </c>
      <c r="BV236" s="85">
        <f t="shared" si="224"/>
        <v>2.5643786211540647</v>
      </c>
      <c r="BW236" s="85">
        <f t="shared" si="225"/>
        <v>1.0698012370971732</v>
      </c>
    </row>
    <row r="237" spans="25:75" x14ac:dyDescent="0.4">
      <c r="Y237" s="142">
        <v>1.2784</v>
      </c>
      <c r="Z237" s="46">
        <f t="shared" si="177"/>
        <v>0.34980531546215343</v>
      </c>
      <c r="AA237" s="84">
        <f t="shared" si="178"/>
        <v>1.1400185618556271</v>
      </c>
      <c r="AB237" s="84">
        <f t="shared" si="179"/>
        <v>0.40426557607592556</v>
      </c>
      <c r="AC237" s="84">
        <f t="shared" si="180"/>
        <v>1.448974325330588</v>
      </c>
      <c r="AD237" s="84">
        <f t="shared" si="181"/>
        <v>0.3585852143299999</v>
      </c>
      <c r="AE237" s="84">
        <f t="shared" si="182"/>
        <v>1.5091290086098099</v>
      </c>
      <c r="AF237" s="84">
        <f t="shared" si="183"/>
        <v>0.3513658422793311</v>
      </c>
      <c r="AG237" s="84">
        <f t="shared" si="184"/>
        <v>1.5201724840082842</v>
      </c>
      <c r="AH237" s="84">
        <f t="shared" si="185"/>
        <v>0.35008724625921239</v>
      </c>
      <c r="AI237" s="84">
        <f t="shared" si="186"/>
        <v>1.5221792712106623</v>
      </c>
      <c r="AJ237" s="84">
        <f t="shared" si="187"/>
        <v>0.34985639883998337</v>
      </c>
      <c r="AK237" s="84">
        <f t="shared" si="188"/>
        <v>1.522543267963556</v>
      </c>
      <c r="AL237" s="84">
        <f t="shared" si="189"/>
        <v>0.34981457598739751</v>
      </c>
      <c r="AM237" s="84">
        <f t="shared" si="190"/>
        <v>1.5226092687257844</v>
      </c>
      <c r="AN237" s="84">
        <f t="shared" si="191"/>
        <v>0.34980699417394961</v>
      </c>
      <c r="AO237" s="84">
        <f t="shared" si="192"/>
        <v>1.5226212354189459</v>
      </c>
      <c r="AP237" s="84">
        <f t="shared" si="193"/>
        <v>0.34980561955723849</v>
      </c>
      <c r="AQ237" s="84">
        <f t="shared" si="194"/>
        <v>1.5226234050935359</v>
      </c>
      <c r="AR237" s="84">
        <f t="shared" si="195"/>
        <v>0.3498053703279701</v>
      </c>
      <c r="AS237" s="84">
        <f t="shared" si="196"/>
        <v>1.5226237984752675</v>
      </c>
      <c r="AT237" s="84">
        <f t="shared" si="197"/>
        <v>0.34980532514049456</v>
      </c>
      <c r="AU237" s="84">
        <f t="shared" si="198"/>
        <v>1.5226238697989269</v>
      </c>
      <c r="AV237" s="84">
        <f t="shared" si="199"/>
        <v>0.34980531694759914</v>
      </c>
      <c r="AW237" s="84">
        <f t="shared" si="200"/>
        <v>1.5226238827305494</v>
      </c>
      <c r="AX237" s="84">
        <f t="shared" si="201"/>
        <v>0.34980531546215343</v>
      </c>
      <c r="AY237" s="142">
        <v>1.2784</v>
      </c>
      <c r="AZ237" s="46">
        <f t="shared" si="202"/>
        <v>2.6419058578948227</v>
      </c>
      <c r="BA237" s="85">
        <f t="shared" si="203"/>
        <v>1.1400185618556271</v>
      </c>
      <c r="BB237" s="85">
        <f t="shared" si="204"/>
        <v>2.5568</v>
      </c>
      <c r="BC237" s="85">
        <f t="shared" si="205"/>
        <v>1.0700081352278881</v>
      </c>
      <c r="BD237" s="85">
        <f t="shared" si="206"/>
        <v>2.6391202504622364</v>
      </c>
      <c r="BE237" s="85">
        <f t="shared" si="207"/>
        <v>1.0678244199173643</v>
      </c>
      <c r="BF237" s="85">
        <f t="shared" si="208"/>
        <v>2.6418173904605835</v>
      </c>
      <c r="BG237" s="85">
        <f t="shared" si="209"/>
        <v>1.0677551751776904</v>
      </c>
      <c r="BH237" s="85">
        <f t="shared" si="210"/>
        <v>2.6419030510108663</v>
      </c>
      <c r="BI237" s="85">
        <f t="shared" si="211"/>
        <v>1.0677529782970592</v>
      </c>
      <c r="BJ237" s="85">
        <f t="shared" si="212"/>
        <v>2.6419057688411018</v>
      </c>
      <c r="BK237" s="85">
        <f t="shared" si="213"/>
        <v>1.0677529085969599</v>
      </c>
      <c r="BL237" s="85">
        <f t="shared" si="214"/>
        <v>2.6419058550694272</v>
      </c>
      <c r="BM237" s="85">
        <f t="shared" si="215"/>
        <v>1.0677529063855942</v>
      </c>
      <c r="BN237" s="85">
        <f t="shared" si="216"/>
        <v>2.6419058578051824</v>
      </c>
      <c r="BO237" s="85">
        <f t="shared" si="217"/>
        <v>1.0677529063154345</v>
      </c>
      <c r="BP237" s="85">
        <f t="shared" si="218"/>
        <v>2.6419058578919792</v>
      </c>
      <c r="BQ237" s="85">
        <f t="shared" si="219"/>
        <v>1.0677529063132085</v>
      </c>
      <c r="BR237" s="85">
        <f t="shared" si="220"/>
        <v>2.641905857894733</v>
      </c>
      <c r="BS237" s="85">
        <f t="shared" si="221"/>
        <v>1.0677529063131379</v>
      </c>
      <c r="BT237" s="85">
        <f t="shared" si="222"/>
        <v>2.6419058578948205</v>
      </c>
      <c r="BU237" s="85">
        <f t="shared" si="223"/>
        <v>1.0677529063131357</v>
      </c>
      <c r="BV237" s="85">
        <f t="shared" si="224"/>
        <v>2.6419058578948227</v>
      </c>
      <c r="BW237" s="85">
        <f t="shared" si="225"/>
        <v>1.0677529063131357</v>
      </c>
    </row>
    <row r="238" spans="25:75" x14ac:dyDescent="0.4">
      <c r="Y238" s="142">
        <v>1.3183</v>
      </c>
      <c r="Z238" s="46">
        <f t="shared" si="177"/>
        <v>0.36232284596517134</v>
      </c>
      <c r="AA238" s="84">
        <f t="shared" si="178"/>
        <v>1.1357801353647494</v>
      </c>
      <c r="AB238" s="84">
        <f t="shared" si="179"/>
        <v>0.41688306393999741</v>
      </c>
      <c r="AC238" s="84">
        <f t="shared" si="180"/>
        <v>1.4348268441638417</v>
      </c>
      <c r="AD238" s="84">
        <f t="shared" si="181"/>
        <v>0.37090410485724479</v>
      </c>
      <c r="AE238" s="84">
        <f t="shared" si="182"/>
        <v>1.4913457003177994</v>
      </c>
      <c r="AF238" s="84">
        <f t="shared" si="183"/>
        <v>0.3638079818933575</v>
      </c>
      <c r="AG238" s="84">
        <f t="shared" si="184"/>
        <v>1.5014320939112056</v>
      </c>
      <c r="AH238" s="84">
        <f t="shared" si="185"/>
        <v>0.36258391917867477</v>
      </c>
      <c r="AI238" s="84">
        <f t="shared" si="186"/>
        <v>1.5032147254615933</v>
      </c>
      <c r="AJ238" s="84">
        <f t="shared" si="187"/>
        <v>0.36236886498146004</v>
      </c>
      <c r="AK238" s="84">
        <f t="shared" si="188"/>
        <v>1.5035292457464222</v>
      </c>
      <c r="AL238" s="84">
        <f t="shared" si="189"/>
        <v>0.36233096138896731</v>
      </c>
      <c r="AM238" s="84">
        <f t="shared" si="190"/>
        <v>1.5035847218078418</v>
      </c>
      <c r="AN238" s="84">
        <f t="shared" si="191"/>
        <v>0.36232427706989029</v>
      </c>
      <c r="AO238" s="84">
        <f t="shared" si="192"/>
        <v>1.5035945063303633</v>
      </c>
      <c r="AP238" s="84">
        <f t="shared" si="193"/>
        <v>0.36232309816966102</v>
      </c>
      <c r="AQ238" s="84">
        <f t="shared" si="194"/>
        <v>1.5035962320474843</v>
      </c>
      <c r="AR238" s="84">
        <f t="shared" si="195"/>
        <v>0.36232289024570513</v>
      </c>
      <c r="AS238" s="84">
        <f t="shared" si="196"/>
        <v>1.503596536415396</v>
      </c>
      <c r="AT238" s="84">
        <f t="shared" si="197"/>
        <v>0.36232285357381067</v>
      </c>
      <c r="AU238" s="84">
        <f t="shared" si="198"/>
        <v>1.5035965900973103</v>
      </c>
      <c r="AV238" s="84">
        <f t="shared" si="199"/>
        <v>0.362322847105924</v>
      </c>
      <c r="AW238" s="84">
        <f t="shared" si="200"/>
        <v>1.5035965995652854</v>
      </c>
      <c r="AX238" s="84">
        <f t="shared" si="201"/>
        <v>0.36232284596517134</v>
      </c>
      <c r="AY238" s="142">
        <v>1.3183</v>
      </c>
      <c r="AZ238" s="46">
        <f t="shared" si="202"/>
        <v>2.7218298980744891</v>
      </c>
      <c r="BA238" s="85">
        <f t="shared" si="203"/>
        <v>1.1357801353647494</v>
      </c>
      <c r="BB238" s="85">
        <f t="shared" si="204"/>
        <v>2.6366000000000001</v>
      </c>
      <c r="BC238" s="85">
        <f t="shared" si="205"/>
        <v>1.0678892513393532</v>
      </c>
      <c r="BD238" s="85">
        <f t="shared" si="206"/>
        <v>2.7191193751818905</v>
      </c>
      <c r="BE238" s="85">
        <f t="shared" si="207"/>
        <v>1.0658289598010111</v>
      </c>
      <c r="BF238" s="85">
        <f t="shared" si="208"/>
        <v>2.7217461915634495</v>
      </c>
      <c r="BG238" s="85">
        <f t="shared" si="209"/>
        <v>1.0657654268414039</v>
      </c>
      <c r="BH238" s="85">
        <f t="shared" si="210"/>
        <v>2.7218273154250014</v>
      </c>
      <c r="BI238" s="85">
        <f t="shared" si="211"/>
        <v>1.0657634667077178</v>
      </c>
      <c r="BJ238" s="85">
        <f t="shared" si="212"/>
        <v>2.7218298183926497</v>
      </c>
      <c r="BK238" s="85">
        <f t="shared" si="213"/>
        <v>1.0657634062322872</v>
      </c>
      <c r="BL238" s="85">
        <f t="shared" si="214"/>
        <v>2.7218298956160876</v>
      </c>
      <c r="BM238" s="85">
        <f t="shared" si="215"/>
        <v>1.0657634043664554</v>
      </c>
      <c r="BN238" s="85">
        <f t="shared" si="216"/>
        <v>2.7218298979986408</v>
      </c>
      <c r="BO238" s="85">
        <f t="shared" si="217"/>
        <v>1.0657634043088895</v>
      </c>
      <c r="BP238" s="85">
        <f t="shared" si="218"/>
        <v>2.7218298980721487</v>
      </c>
      <c r="BQ238" s="85">
        <f t="shared" si="219"/>
        <v>1.0657634043071136</v>
      </c>
      <c r="BR238" s="85">
        <f t="shared" si="220"/>
        <v>2.7218298980744171</v>
      </c>
      <c r="BS238" s="85">
        <f t="shared" si="221"/>
        <v>1.0657634043070587</v>
      </c>
      <c r="BT238" s="85">
        <f t="shared" si="222"/>
        <v>2.7218298980744864</v>
      </c>
      <c r="BU238" s="85">
        <f t="shared" si="223"/>
        <v>1.065763404307057</v>
      </c>
      <c r="BV238" s="85">
        <f t="shared" si="224"/>
        <v>2.7218298980744891</v>
      </c>
      <c r="BW238" s="85">
        <f t="shared" si="225"/>
        <v>1.065763404307057</v>
      </c>
    </row>
    <row r="239" spans="25:75" x14ac:dyDescent="0.4">
      <c r="Y239" s="142">
        <v>1.3593999999999999</v>
      </c>
      <c r="Z239" s="46">
        <f t="shared" si="177"/>
        <v>0.37521876476700455</v>
      </c>
      <c r="AA239" s="84">
        <f t="shared" si="178"/>
        <v>1.1316745379835749</v>
      </c>
      <c r="AB239" s="84">
        <f t="shared" si="179"/>
        <v>0.42988002512328943</v>
      </c>
      <c r="AC239" s="84">
        <f t="shared" si="180"/>
        <v>1.4211747667033325</v>
      </c>
      <c r="AD239" s="84">
        <f t="shared" si="181"/>
        <v>0.38360503066985363</v>
      </c>
      <c r="AE239" s="84">
        <f t="shared" si="182"/>
        <v>1.4742869357560551</v>
      </c>
      <c r="AF239" s="84">
        <f t="shared" si="183"/>
        <v>0.37663183773457459</v>
      </c>
      <c r="AG239" s="84">
        <f t="shared" si="184"/>
        <v>1.4835004872181707</v>
      </c>
      <c r="AH239" s="84">
        <f t="shared" si="185"/>
        <v>0.37546044561342595</v>
      </c>
      <c r="AI239" s="84">
        <f t="shared" si="186"/>
        <v>1.4850841192291575</v>
      </c>
      <c r="AJ239" s="84">
        <f t="shared" si="187"/>
        <v>0.37526020450612541</v>
      </c>
      <c r="AK239" s="84">
        <f t="shared" si="188"/>
        <v>1.4853558875333532</v>
      </c>
      <c r="AL239" s="84">
        <f t="shared" si="189"/>
        <v>0.37522587317328987</v>
      </c>
      <c r="AM239" s="84">
        <f t="shared" si="190"/>
        <v>1.4854025133394571</v>
      </c>
      <c r="AN239" s="84">
        <f t="shared" si="191"/>
        <v>0.3752199840806219</v>
      </c>
      <c r="AO239" s="84">
        <f t="shared" si="192"/>
        <v>1.4854105123052015</v>
      </c>
      <c r="AP239" s="84">
        <f t="shared" si="193"/>
        <v>0.37521897379564845</v>
      </c>
      <c r="AQ239" s="84">
        <f t="shared" si="194"/>
        <v>1.4854118845698592</v>
      </c>
      <c r="AR239" s="84">
        <f t="shared" si="195"/>
        <v>0.37521880047676603</v>
      </c>
      <c r="AS239" s="84">
        <f t="shared" si="196"/>
        <v>1.4854121199887609</v>
      </c>
      <c r="AT239" s="84">
        <f t="shared" si="197"/>
        <v>0.37521877074306442</v>
      </c>
      <c r="AU239" s="84">
        <f t="shared" si="198"/>
        <v>1.4854121603760477</v>
      </c>
      <c r="AV239" s="84">
        <f t="shared" si="199"/>
        <v>0.37521876564210038</v>
      </c>
      <c r="AW239" s="84">
        <f t="shared" si="200"/>
        <v>1.4854121673046878</v>
      </c>
      <c r="AX239" s="84">
        <f t="shared" si="201"/>
        <v>0.37521876476700455</v>
      </c>
      <c r="AY239" s="142">
        <v>1.3593999999999999</v>
      </c>
      <c r="AZ239" s="46">
        <f t="shared" si="202"/>
        <v>2.8041506671097456</v>
      </c>
      <c r="BA239" s="85">
        <f t="shared" si="203"/>
        <v>1.1316745379835749</v>
      </c>
      <c r="BB239" s="85">
        <f t="shared" si="204"/>
        <v>2.7187999999999999</v>
      </c>
      <c r="BC239" s="85">
        <f t="shared" si="205"/>
        <v>1.0658366926743803</v>
      </c>
      <c r="BD239" s="85">
        <f t="shared" si="206"/>
        <v>2.8015133731582522</v>
      </c>
      <c r="BE239" s="85">
        <f t="shared" si="207"/>
        <v>1.0638928950822617</v>
      </c>
      <c r="BF239" s="85">
        <f t="shared" si="208"/>
        <v>2.8040714736465575</v>
      </c>
      <c r="BG239" s="85">
        <f t="shared" si="209"/>
        <v>1.0638346068224616</v>
      </c>
      <c r="BH239" s="85">
        <f t="shared" si="210"/>
        <v>2.8041482911362112</v>
      </c>
      <c r="BI239" s="85">
        <f t="shared" si="211"/>
        <v>1.0638328581224095</v>
      </c>
      <c r="BJ239" s="85">
        <f t="shared" si="212"/>
        <v>2.804150595827315</v>
      </c>
      <c r="BK239" s="85">
        <f t="shared" si="213"/>
        <v>1.0638328056591</v>
      </c>
      <c r="BL239" s="85">
        <f t="shared" si="214"/>
        <v>2.8041506649711776</v>
      </c>
      <c r="BM239" s="85">
        <f t="shared" si="215"/>
        <v>1.0638328040851308</v>
      </c>
      <c r="BN239" s="85">
        <f t="shared" si="216"/>
        <v>2.8041506670455854</v>
      </c>
      <c r="BO239" s="85">
        <f t="shared" si="217"/>
        <v>1.0638328040379097</v>
      </c>
      <c r="BP239" s="85">
        <f t="shared" si="218"/>
        <v>2.8041506671078205</v>
      </c>
      <c r="BQ239" s="85">
        <f t="shared" si="219"/>
        <v>1.0638328040364931</v>
      </c>
      <c r="BR239" s="85">
        <f t="shared" si="220"/>
        <v>2.8041506671096874</v>
      </c>
      <c r="BS239" s="85">
        <f t="shared" si="221"/>
        <v>1.0638328040364504</v>
      </c>
      <c r="BT239" s="85">
        <f t="shared" si="222"/>
        <v>2.8041506671097438</v>
      </c>
      <c r="BU239" s="85">
        <f t="shared" si="223"/>
        <v>1.0638328040364491</v>
      </c>
      <c r="BV239" s="85">
        <f t="shared" si="224"/>
        <v>2.8041506671097456</v>
      </c>
      <c r="BW239" s="85">
        <f t="shared" si="225"/>
        <v>1.0638328040364491</v>
      </c>
    </row>
    <row r="240" spans="25:75" x14ac:dyDescent="0.4">
      <c r="Y240" s="142">
        <v>1.4016999999999999</v>
      </c>
      <c r="Z240" s="46">
        <f t="shared" si="177"/>
        <v>0.38849299823967448</v>
      </c>
      <c r="AA240" s="84">
        <f t="shared" si="178"/>
        <v>1.1277005993917537</v>
      </c>
      <c r="AB240" s="84">
        <f t="shared" si="179"/>
        <v>0.44325645962580168</v>
      </c>
      <c r="AC240" s="84">
        <f t="shared" si="180"/>
        <v>1.4080089513257101</v>
      </c>
      <c r="AD240" s="84">
        <f t="shared" si="181"/>
        <v>0.39668818999731131</v>
      </c>
      <c r="AE240" s="84">
        <f t="shared" si="182"/>
        <v>1.4579315829904438</v>
      </c>
      <c r="AF240" s="84">
        <f t="shared" si="183"/>
        <v>0.3898373147538326</v>
      </c>
      <c r="AG240" s="84">
        <f t="shared" si="184"/>
        <v>1.4663498457760202</v>
      </c>
      <c r="AH240" s="84">
        <f t="shared" si="185"/>
        <v>0.38871668291938488</v>
      </c>
      <c r="AI240" s="84">
        <f t="shared" si="186"/>
        <v>1.4677569962722496</v>
      </c>
      <c r="AJ240" s="84">
        <f t="shared" si="187"/>
        <v>0.38853030532528782</v>
      </c>
      <c r="AK240" s="84">
        <f t="shared" si="188"/>
        <v>1.4679918661927336</v>
      </c>
      <c r="AL240" s="84">
        <f t="shared" si="189"/>
        <v>0.3884992228191998</v>
      </c>
      <c r="AM240" s="84">
        <f t="shared" si="190"/>
        <v>1.4680310592405403</v>
      </c>
      <c r="AN240" s="84">
        <f t="shared" si="191"/>
        <v>0.38849403676739713</v>
      </c>
      <c r="AO240" s="84">
        <f t="shared" si="192"/>
        <v>1.4680375991708452</v>
      </c>
      <c r="AP240" s="84">
        <f t="shared" si="193"/>
        <v>0.38849317141941309</v>
      </c>
      <c r="AQ240" s="84">
        <f t="shared" si="194"/>
        <v>1.4680386904460161</v>
      </c>
      <c r="AR240" s="84">
        <f t="shared" si="195"/>
        <v>0.38849302702504745</v>
      </c>
      <c r="AS240" s="84">
        <f t="shared" si="196"/>
        <v>1.468038872539724</v>
      </c>
      <c r="AT240" s="84">
        <f t="shared" si="197"/>
        <v>0.38849300293095185</v>
      </c>
      <c r="AU240" s="84">
        <f t="shared" si="198"/>
        <v>1.4680389029244638</v>
      </c>
      <c r="AV240" s="84">
        <f t="shared" si="199"/>
        <v>0.38849299891053424</v>
      </c>
      <c r="AW240" s="84">
        <f t="shared" si="200"/>
        <v>1.4680389079945588</v>
      </c>
      <c r="AX240" s="84">
        <f t="shared" si="201"/>
        <v>0.38849299823967448</v>
      </c>
      <c r="AY240" s="142">
        <v>1.4016999999999999</v>
      </c>
      <c r="AZ240" s="46">
        <f t="shared" si="202"/>
        <v>2.8888681184848863</v>
      </c>
      <c r="BA240" s="85">
        <f t="shared" si="203"/>
        <v>1.1277005993917537</v>
      </c>
      <c r="BB240" s="85">
        <f t="shared" si="204"/>
        <v>2.8033999999999999</v>
      </c>
      <c r="BC240" s="85">
        <f t="shared" si="205"/>
        <v>1.0638498965621832</v>
      </c>
      <c r="BD240" s="85">
        <f t="shared" si="206"/>
        <v>2.8863021760579612</v>
      </c>
      <c r="BE240" s="85">
        <f t="shared" si="207"/>
        <v>1.0620159599007366</v>
      </c>
      <c r="BF240" s="85">
        <f t="shared" si="208"/>
        <v>2.8887931989675044</v>
      </c>
      <c r="BG240" s="85">
        <f t="shared" si="209"/>
        <v>1.0619624831834864</v>
      </c>
      <c r="BH240" s="85">
        <f t="shared" si="210"/>
        <v>2.8888659328139368</v>
      </c>
      <c r="BI240" s="85">
        <f t="shared" si="211"/>
        <v>1.0619609231354095</v>
      </c>
      <c r="BJ240" s="85">
        <f t="shared" si="212"/>
        <v>2.8888680547225629</v>
      </c>
      <c r="BK240" s="85">
        <f t="shared" si="213"/>
        <v>1.0619608776243599</v>
      </c>
      <c r="BL240" s="85">
        <f t="shared" si="214"/>
        <v>2.8888681166247565</v>
      </c>
      <c r="BM240" s="85">
        <f t="shared" si="215"/>
        <v>1.0619608762966724</v>
      </c>
      <c r="BN240" s="85">
        <f t="shared" si="216"/>
        <v>2.8888681184306213</v>
      </c>
      <c r="BO240" s="85">
        <f t="shared" si="217"/>
        <v>1.06196087625794</v>
      </c>
      <c r="BP240" s="85">
        <f t="shared" si="218"/>
        <v>2.8888681184833027</v>
      </c>
      <c r="BQ240" s="85">
        <f t="shared" si="219"/>
        <v>1.06196087625681</v>
      </c>
      <c r="BR240" s="85">
        <f t="shared" si="220"/>
        <v>2.8888681184848406</v>
      </c>
      <c r="BS240" s="85">
        <f t="shared" si="221"/>
        <v>1.0619608762567769</v>
      </c>
      <c r="BT240" s="85">
        <f t="shared" si="222"/>
        <v>2.888868118484885</v>
      </c>
      <c r="BU240" s="85">
        <f t="shared" si="223"/>
        <v>1.061960876256776</v>
      </c>
      <c r="BV240" s="85">
        <f t="shared" si="224"/>
        <v>2.8888681184848863</v>
      </c>
      <c r="BW240" s="85">
        <f t="shared" si="225"/>
        <v>1.061960876256776</v>
      </c>
    </row>
    <row r="241" spans="25:75" x14ac:dyDescent="0.4">
      <c r="Y241" s="142">
        <v>1.4454</v>
      </c>
      <c r="Z241" s="46">
        <f t="shared" si="177"/>
        <v>0.40220829121969714</v>
      </c>
      <c r="AA241" s="84">
        <f t="shared" si="178"/>
        <v>1.1238394952100217</v>
      </c>
      <c r="AB241" s="84">
        <f t="shared" si="179"/>
        <v>0.45707561300073751</v>
      </c>
      <c r="AC241" s="84">
        <f t="shared" si="180"/>
        <v>1.3952621846282112</v>
      </c>
      <c r="AD241" s="84">
        <f t="shared" si="181"/>
        <v>0.41021570547678671</v>
      </c>
      <c r="AE241" s="84">
        <f t="shared" si="182"/>
        <v>1.4421873483717562</v>
      </c>
      <c r="AF241" s="84">
        <f t="shared" si="183"/>
        <v>0.40348682184292511</v>
      </c>
      <c r="AG241" s="84">
        <f t="shared" si="184"/>
        <v>1.4498783791062984</v>
      </c>
      <c r="AH241" s="84">
        <f t="shared" si="185"/>
        <v>0.40241522994423695</v>
      </c>
      <c r="AI241" s="84">
        <f t="shared" si="186"/>
        <v>1.4511284786611185</v>
      </c>
      <c r="AJ241" s="84">
        <f t="shared" si="187"/>
        <v>0.40224185884163549</v>
      </c>
      <c r="AK241" s="84">
        <f t="shared" si="188"/>
        <v>1.4513313968438819</v>
      </c>
      <c r="AL241" s="84">
        <f t="shared" si="189"/>
        <v>0.40221373809663885</v>
      </c>
      <c r="AM241" s="84">
        <f t="shared" si="190"/>
        <v>1.4513643276756223</v>
      </c>
      <c r="AN241" s="84">
        <f t="shared" si="191"/>
        <v>0.40220917504247899</v>
      </c>
      <c r="AO241" s="84">
        <f t="shared" si="192"/>
        <v>1.451369671708012</v>
      </c>
      <c r="AP241" s="84">
        <f t="shared" si="193"/>
        <v>0.40220843456233824</v>
      </c>
      <c r="AQ241" s="84">
        <f t="shared" si="194"/>
        <v>1.4513705389353742</v>
      </c>
      <c r="AR241" s="84">
        <f t="shared" si="195"/>
        <v>0.40220831439791349</v>
      </c>
      <c r="AS241" s="84">
        <f t="shared" si="196"/>
        <v>1.4513706796685402</v>
      </c>
      <c r="AT241" s="84">
        <f t="shared" si="197"/>
        <v>0.40220829489770871</v>
      </c>
      <c r="AU241" s="84">
        <f t="shared" si="198"/>
        <v>1.4513707025066354</v>
      </c>
      <c r="AV241" s="84">
        <f t="shared" si="199"/>
        <v>0.40220829173322731</v>
      </c>
      <c r="AW241" s="84">
        <f t="shared" si="200"/>
        <v>1.4513707062127879</v>
      </c>
      <c r="AX241" s="84">
        <f t="shared" si="201"/>
        <v>0.40220829121969714</v>
      </c>
      <c r="AY241" s="142">
        <v>1.4454</v>
      </c>
      <c r="AZ241" s="46">
        <f t="shared" si="202"/>
        <v>2.9763827400006639</v>
      </c>
      <c r="BA241" s="85">
        <f t="shared" si="203"/>
        <v>1.1238394952100217</v>
      </c>
      <c r="BB241" s="85">
        <f t="shared" si="204"/>
        <v>2.8908</v>
      </c>
      <c r="BC241" s="85">
        <f t="shared" si="205"/>
        <v>1.0619194686631437</v>
      </c>
      <c r="BD241" s="85">
        <f t="shared" si="206"/>
        <v>2.973886571031453</v>
      </c>
      <c r="BE241" s="85">
        <f t="shared" si="207"/>
        <v>1.0601895182383927</v>
      </c>
      <c r="BF241" s="85">
        <f t="shared" si="208"/>
        <v>2.9763118823881132</v>
      </c>
      <c r="BG241" s="85">
        <f t="shared" si="209"/>
        <v>1.0601404715228548</v>
      </c>
      <c r="BH241" s="85">
        <f t="shared" si="210"/>
        <v>2.9763807301671616</v>
      </c>
      <c r="BI241" s="85">
        <f t="shared" si="211"/>
        <v>1.0601390803910495</v>
      </c>
      <c r="BJ241" s="85">
        <f t="shared" si="212"/>
        <v>2.9763826829942097</v>
      </c>
      <c r="BK241" s="85">
        <f t="shared" si="213"/>
        <v>1.0601390409333469</v>
      </c>
      <c r="BL241" s="85">
        <f t="shared" si="214"/>
        <v>2.9763827383837467</v>
      </c>
      <c r="BM241" s="85">
        <f t="shared" si="215"/>
        <v>1.0601390398141786</v>
      </c>
      <c r="BN241" s="85">
        <f t="shared" si="216"/>
        <v>2.9763827399548015</v>
      </c>
      <c r="BO241" s="85">
        <f t="shared" si="217"/>
        <v>1.0601390397824346</v>
      </c>
      <c r="BP241" s="85">
        <f t="shared" si="218"/>
        <v>2.9763827399993628</v>
      </c>
      <c r="BQ241" s="85">
        <f t="shared" si="219"/>
        <v>1.0601390397815342</v>
      </c>
      <c r="BR241" s="85">
        <f t="shared" si="220"/>
        <v>2.9763827400006266</v>
      </c>
      <c r="BS241" s="85">
        <f t="shared" si="221"/>
        <v>1.0601390397815087</v>
      </c>
      <c r="BT241" s="85">
        <f t="shared" si="222"/>
        <v>2.9763827400006626</v>
      </c>
      <c r="BU241" s="85">
        <f t="shared" si="223"/>
        <v>1.060139039781508</v>
      </c>
      <c r="BV241" s="85">
        <f t="shared" si="224"/>
        <v>2.9763827400006639</v>
      </c>
      <c r="BW241" s="85">
        <f t="shared" si="225"/>
        <v>1.060139039781508</v>
      </c>
    </row>
    <row r="242" spans="25:75" x14ac:dyDescent="0.4">
      <c r="Y242" s="142">
        <v>1.4904999999999999</v>
      </c>
      <c r="Z242" s="46">
        <f t="shared" si="177"/>
        <v>0.41636467905571678</v>
      </c>
      <c r="AA242" s="84">
        <f t="shared" si="178"/>
        <v>1.1200921631415719</v>
      </c>
      <c r="AB242" s="84">
        <f t="shared" si="179"/>
        <v>0.47133748524809688</v>
      </c>
      <c r="AC242" s="84">
        <f t="shared" si="180"/>
        <v>1.3829330782166984</v>
      </c>
      <c r="AD242" s="84">
        <f t="shared" si="181"/>
        <v>0.42418790130189854</v>
      </c>
      <c r="AE242" s="84">
        <f t="shared" si="182"/>
        <v>1.4270445241524623</v>
      </c>
      <c r="AF242" s="84">
        <f t="shared" si="183"/>
        <v>0.4175803923258794</v>
      </c>
      <c r="AG242" s="84">
        <f t="shared" si="184"/>
        <v>1.4340714456453125</v>
      </c>
      <c r="AH242" s="84">
        <f t="shared" si="185"/>
        <v>0.41655606819444485</v>
      </c>
      <c r="AI242" s="84">
        <f t="shared" si="186"/>
        <v>1.4351819961160288</v>
      </c>
      <c r="AJ242" s="84">
        <f t="shared" si="187"/>
        <v>0.41639487049781942</v>
      </c>
      <c r="AK242" s="84">
        <f t="shared" si="188"/>
        <v>1.4353572919797464</v>
      </c>
      <c r="AL242" s="84">
        <f t="shared" si="189"/>
        <v>0.41636944319564251</v>
      </c>
      <c r="AM242" s="84">
        <f t="shared" si="190"/>
        <v>1.4353849562949088</v>
      </c>
      <c r="AN242" s="84">
        <f t="shared" si="191"/>
        <v>0.41636543081173455</v>
      </c>
      <c r="AO242" s="84">
        <f t="shared" si="192"/>
        <v>1.4353893220035552</v>
      </c>
      <c r="AP242" s="84">
        <f t="shared" si="193"/>
        <v>0.41636479762758177</v>
      </c>
      <c r="AQ242" s="84">
        <f t="shared" si="194"/>
        <v>1.4353900109531594</v>
      </c>
      <c r="AR242" s="84">
        <f t="shared" si="195"/>
        <v>0.4163646977054718</v>
      </c>
      <c r="AS242" s="84">
        <f t="shared" si="196"/>
        <v>1.4353901196757586</v>
      </c>
      <c r="AT242" s="84">
        <f t="shared" si="197"/>
        <v>0.41636468193684822</v>
      </c>
      <c r="AU242" s="84">
        <f t="shared" si="198"/>
        <v>1.4353901368331852</v>
      </c>
      <c r="AV242" s="84">
        <f t="shared" si="199"/>
        <v>0.41636467944841449</v>
      </c>
      <c r="AW242" s="84">
        <f t="shared" si="200"/>
        <v>1.4353901395407849</v>
      </c>
      <c r="AX242" s="84">
        <f t="shared" si="201"/>
        <v>0.41636467905571678</v>
      </c>
      <c r="AY242" s="142">
        <v>1.4904999999999999</v>
      </c>
      <c r="AZ242" s="46">
        <f t="shared" si="202"/>
        <v>3.0666944455879346</v>
      </c>
      <c r="BA242" s="85">
        <f t="shared" si="203"/>
        <v>1.1200921631415719</v>
      </c>
      <c r="BB242" s="85">
        <f t="shared" si="204"/>
        <v>2.9809999999999999</v>
      </c>
      <c r="BC242" s="85">
        <f t="shared" si="205"/>
        <v>1.0600458906426324</v>
      </c>
      <c r="BD242" s="85">
        <f t="shared" si="206"/>
        <v>3.0642664199936975</v>
      </c>
      <c r="BE242" s="85">
        <f t="shared" si="207"/>
        <v>1.0584142419324483</v>
      </c>
      <c r="BF242" s="85">
        <f t="shared" si="208"/>
        <v>3.0666274430768525</v>
      </c>
      <c r="BG242" s="85">
        <f t="shared" si="209"/>
        <v>1.0583692683005999</v>
      </c>
      <c r="BH242" s="85">
        <f t="shared" si="210"/>
        <v>3.0666925979867035</v>
      </c>
      <c r="BI242" s="85">
        <f t="shared" si="211"/>
        <v>1.0583680281879071</v>
      </c>
      <c r="BJ242" s="85">
        <f t="shared" si="212"/>
        <v>3.0666943946411753</v>
      </c>
      <c r="BK242" s="85">
        <f t="shared" si="213"/>
        <v>1.0583679939923969</v>
      </c>
      <c r="BL242" s="85">
        <f t="shared" si="214"/>
        <v>3.0666944441831023</v>
      </c>
      <c r="BM242" s="85">
        <f t="shared" si="215"/>
        <v>1.058367993049472</v>
      </c>
      <c r="BN242" s="85">
        <f t="shared" si="216"/>
        <v>3.0666944455491971</v>
      </c>
      <c r="BO242" s="85">
        <f t="shared" si="217"/>
        <v>1.0583679930234713</v>
      </c>
      <c r="BP242" s="85">
        <f t="shared" si="218"/>
        <v>3.0666944455868661</v>
      </c>
      <c r="BQ242" s="85">
        <f t="shared" si="219"/>
        <v>1.0583679930227543</v>
      </c>
      <c r="BR242" s="85">
        <f t="shared" si="220"/>
        <v>3.0666944455879053</v>
      </c>
      <c r="BS242" s="85">
        <f t="shared" si="221"/>
        <v>1.0583679930227345</v>
      </c>
      <c r="BT242" s="85">
        <f t="shared" si="222"/>
        <v>3.0666944455879341</v>
      </c>
      <c r="BU242" s="85">
        <f t="shared" si="223"/>
        <v>1.0583679930227341</v>
      </c>
      <c r="BV242" s="85">
        <f t="shared" si="224"/>
        <v>3.0666944455879346</v>
      </c>
      <c r="BW242" s="85">
        <f t="shared" si="225"/>
        <v>1.0583679930227341</v>
      </c>
    </row>
    <row r="243" spans="25:75" x14ac:dyDescent="0.4">
      <c r="Y243" s="142">
        <v>1.5369999999999999</v>
      </c>
      <c r="Z243" s="46">
        <f t="shared" si="177"/>
        <v>0.43096223578020049</v>
      </c>
      <c r="AA243" s="84">
        <f t="shared" si="178"/>
        <v>1.1164588141894822</v>
      </c>
      <c r="AB243" s="84">
        <f t="shared" si="179"/>
        <v>0.48604207636787983</v>
      </c>
      <c r="AC243" s="84">
        <f t="shared" si="180"/>
        <v>1.3710178885535986</v>
      </c>
      <c r="AD243" s="84">
        <f t="shared" si="181"/>
        <v>0.43860508276806204</v>
      </c>
      <c r="AE243" s="84">
        <f t="shared" si="182"/>
        <v>1.4124906501530874</v>
      </c>
      <c r="AF243" s="84">
        <f t="shared" si="183"/>
        <v>0.43211807227943921</v>
      </c>
      <c r="AG243" s="84">
        <f t="shared" si="184"/>
        <v>1.4189117755017491</v>
      </c>
      <c r="AH243" s="84">
        <f t="shared" si="185"/>
        <v>0.43113921277287082</v>
      </c>
      <c r="AI243" s="84">
        <f t="shared" si="186"/>
        <v>1.4198984801618775</v>
      </c>
      <c r="AJ243" s="84">
        <f t="shared" si="187"/>
        <v>0.4309893848072896</v>
      </c>
      <c r="AK243" s="84">
        <f t="shared" si="188"/>
        <v>1.4200499282613865</v>
      </c>
      <c r="AL243" s="84">
        <f t="shared" si="189"/>
        <v>0.43096640171973838</v>
      </c>
      <c r="AM243" s="84">
        <f t="shared" si="190"/>
        <v>1.4200731697481703</v>
      </c>
      <c r="AN243" s="84">
        <f t="shared" si="191"/>
        <v>0.43096287502085895</v>
      </c>
      <c r="AO243" s="84">
        <f t="shared" si="192"/>
        <v>1.4200767363303672</v>
      </c>
      <c r="AP243" s="84">
        <f t="shared" si="193"/>
        <v>0.43096233382986437</v>
      </c>
      <c r="AQ243" s="84">
        <f t="shared" si="194"/>
        <v>1.4200772836471494</v>
      </c>
      <c r="AR243" s="84">
        <f t="shared" si="195"/>
        <v>0.43096225078053207</v>
      </c>
      <c r="AS243" s="84">
        <f t="shared" si="196"/>
        <v>1.4200773676366534</v>
      </c>
      <c r="AT243" s="84">
        <f t="shared" si="197"/>
        <v>0.43096223803604816</v>
      </c>
      <c r="AU243" s="84">
        <f t="shared" si="198"/>
        <v>1.4200773805254161</v>
      </c>
      <c r="AV243" s="84">
        <f t="shared" si="199"/>
        <v>0.43096223608032025</v>
      </c>
      <c r="AW243" s="84">
        <f t="shared" si="200"/>
        <v>1.4200773825032844</v>
      </c>
      <c r="AX243" s="84">
        <f t="shared" si="201"/>
        <v>0.43096223578020049</v>
      </c>
      <c r="AY243" s="142">
        <v>1.5369999999999999</v>
      </c>
      <c r="AZ243" s="46">
        <f t="shared" si="202"/>
        <v>3.1598031762268075</v>
      </c>
      <c r="BA243" s="85">
        <f t="shared" si="203"/>
        <v>1.1164588141894822</v>
      </c>
      <c r="BB243" s="85">
        <f t="shared" si="204"/>
        <v>3.0739999999999998</v>
      </c>
      <c r="BC243" s="85">
        <f t="shared" si="205"/>
        <v>1.0582292778148252</v>
      </c>
      <c r="BD243" s="85">
        <f t="shared" si="206"/>
        <v>3.1574416252740654</v>
      </c>
      <c r="BE243" s="85">
        <f t="shared" si="207"/>
        <v>1.0566904542489899</v>
      </c>
      <c r="BF243" s="85">
        <f t="shared" si="208"/>
        <v>3.1597398280921953</v>
      </c>
      <c r="BG243" s="85">
        <f t="shared" si="209"/>
        <v>1.0566492210561227</v>
      </c>
      <c r="BH243" s="85">
        <f t="shared" si="210"/>
        <v>3.1598014781119677</v>
      </c>
      <c r="BI243" s="85">
        <f t="shared" si="211"/>
        <v>1.0566481157887118</v>
      </c>
      <c r="BJ243" s="85">
        <f t="shared" si="212"/>
        <v>3.159803130707866</v>
      </c>
      <c r="BK243" s="85">
        <f t="shared" si="213"/>
        <v>1.0566480861614089</v>
      </c>
      <c r="BL243" s="85">
        <f t="shared" si="214"/>
        <v>3.1598031750066466</v>
      </c>
      <c r="BM243" s="85">
        <f t="shared" si="215"/>
        <v>1.0566480853672326</v>
      </c>
      <c r="BN243" s="85">
        <f t="shared" si="216"/>
        <v>3.1598031761941003</v>
      </c>
      <c r="BO243" s="85">
        <f t="shared" si="217"/>
        <v>1.0566480853459441</v>
      </c>
      <c r="BP243" s="85">
        <f t="shared" si="218"/>
        <v>3.1598031762259309</v>
      </c>
      <c r="BQ243" s="85">
        <f t="shared" si="219"/>
        <v>1.0566480853453735</v>
      </c>
      <c r="BR243" s="85">
        <f t="shared" si="220"/>
        <v>3.1598031762267844</v>
      </c>
      <c r="BS243" s="85">
        <f t="shared" si="221"/>
        <v>1.0566480853453584</v>
      </c>
      <c r="BT243" s="85">
        <f t="shared" si="222"/>
        <v>3.1598031762268066</v>
      </c>
      <c r="BU243" s="85">
        <f t="shared" si="223"/>
        <v>1.0566480853453579</v>
      </c>
      <c r="BV243" s="85">
        <f t="shared" si="224"/>
        <v>3.1598031762268075</v>
      </c>
      <c r="BW243" s="85">
        <f t="shared" si="225"/>
        <v>1.0566480853453579</v>
      </c>
    </row>
    <row r="244" spans="25:75" x14ac:dyDescent="0.4">
      <c r="Y244" s="142">
        <v>1.5849</v>
      </c>
      <c r="Z244" s="46">
        <f t="shared" si="177"/>
        <v>0.4460010716915776</v>
      </c>
      <c r="AA244" s="84">
        <f t="shared" si="178"/>
        <v>1.1129390336931959</v>
      </c>
      <c r="AB244" s="84">
        <f t="shared" si="179"/>
        <v>0.50118938636008636</v>
      </c>
      <c r="AC244" s="84">
        <f t="shared" si="180"/>
        <v>1.3595109170294757</v>
      </c>
      <c r="AD244" s="84">
        <f t="shared" si="181"/>
        <v>0.45346753794747768</v>
      </c>
      <c r="AE244" s="84">
        <f t="shared" si="182"/>
        <v>1.3985110970445729</v>
      </c>
      <c r="AF244" s="84">
        <f t="shared" si="183"/>
        <v>0.44709992217094752</v>
      </c>
      <c r="AG244" s="84">
        <f t="shared" si="184"/>
        <v>1.4043801083373531</v>
      </c>
      <c r="AH244" s="84">
        <f t="shared" si="185"/>
        <v>0.44616471177809985</v>
      </c>
      <c r="AI244" s="84">
        <f t="shared" si="186"/>
        <v>1.4052570090992478</v>
      </c>
      <c r="AJ244" s="84">
        <f t="shared" si="187"/>
        <v>0.44602548342791043</v>
      </c>
      <c r="AK244" s="84">
        <f t="shared" si="188"/>
        <v>1.4053878892704388</v>
      </c>
      <c r="AL244" s="84">
        <f t="shared" si="189"/>
        <v>0.44600471433944922</v>
      </c>
      <c r="AM244" s="84">
        <f t="shared" si="190"/>
        <v>1.4054074204448614</v>
      </c>
      <c r="AN244" s="84">
        <f t="shared" si="191"/>
        <v>0.44600161522882581</v>
      </c>
      <c r="AO244" s="84">
        <f t="shared" si="192"/>
        <v>1.4054103350020528</v>
      </c>
      <c r="AP244" s="84">
        <f t="shared" si="193"/>
        <v>0.44600115276677593</v>
      </c>
      <c r="AQ244" s="84">
        <f t="shared" si="194"/>
        <v>1.4054107699279528</v>
      </c>
      <c r="AR244" s="84">
        <f t="shared" si="195"/>
        <v>0.44600108375582487</v>
      </c>
      <c r="AS244" s="84">
        <f t="shared" si="196"/>
        <v>1.4054108348299006</v>
      </c>
      <c r="AT244" s="84">
        <f t="shared" si="197"/>
        <v>0.44600107345764767</v>
      </c>
      <c r="AU244" s="84">
        <f t="shared" si="198"/>
        <v>1.4054108445149127</v>
      </c>
      <c r="AV244" s="84">
        <f t="shared" si="199"/>
        <v>0.44600107192089933</v>
      </c>
      <c r="AW244" s="84">
        <f t="shared" si="200"/>
        <v>1.4054108459601613</v>
      </c>
      <c r="AX244" s="84">
        <f t="shared" si="201"/>
        <v>0.4460010716915776</v>
      </c>
      <c r="AY244" s="142">
        <v>1.5849</v>
      </c>
      <c r="AZ244" s="46">
        <f t="shared" si="202"/>
        <v>3.2557088965815937</v>
      </c>
      <c r="BA244" s="85">
        <f t="shared" si="203"/>
        <v>1.1129390336931959</v>
      </c>
      <c r="BB244" s="85">
        <f t="shared" si="204"/>
        <v>3.1698</v>
      </c>
      <c r="BC244" s="85">
        <f t="shared" si="205"/>
        <v>1.0564694302483826</v>
      </c>
      <c r="BD244" s="85">
        <f t="shared" si="206"/>
        <v>3.2534121248618848</v>
      </c>
      <c r="BE244" s="85">
        <f t="shared" si="207"/>
        <v>1.0550181757278267</v>
      </c>
      <c r="BF244" s="85">
        <f t="shared" si="208"/>
        <v>3.2556490088207823</v>
      </c>
      <c r="BG244" s="85">
        <f t="shared" si="209"/>
        <v>1.054980373964058</v>
      </c>
      <c r="BH244" s="85">
        <f t="shared" si="210"/>
        <v>3.2557073360538551</v>
      </c>
      <c r="BI244" s="85">
        <f t="shared" si="211"/>
        <v>1.0549793889697832</v>
      </c>
      <c r="BJ244" s="85">
        <f t="shared" si="212"/>
        <v>3.2557088559187792</v>
      </c>
      <c r="BK244" s="85">
        <f t="shared" si="213"/>
        <v>1.054979363303715</v>
      </c>
      <c r="BL244" s="85">
        <f t="shared" si="214"/>
        <v>3.2557088955220403</v>
      </c>
      <c r="BM244" s="85">
        <f t="shared" si="215"/>
        <v>1.0549793626349324</v>
      </c>
      <c r="BN244" s="85">
        <f t="shared" si="216"/>
        <v>3.2557088965539851</v>
      </c>
      <c r="BO244" s="85">
        <f t="shared" si="217"/>
        <v>1.0549793626175059</v>
      </c>
      <c r="BP244" s="85">
        <f t="shared" si="218"/>
        <v>3.2557088965808747</v>
      </c>
      <c r="BQ244" s="85">
        <f t="shared" si="219"/>
        <v>1.0549793626170518</v>
      </c>
      <c r="BR244" s="85">
        <f t="shared" si="220"/>
        <v>3.2557088965815755</v>
      </c>
      <c r="BS244" s="85">
        <f t="shared" si="221"/>
        <v>1.0549793626170398</v>
      </c>
      <c r="BT244" s="85">
        <f t="shared" si="222"/>
        <v>3.2557088965815937</v>
      </c>
      <c r="BU244" s="85">
        <f t="shared" si="223"/>
        <v>1.0549793626170396</v>
      </c>
      <c r="BV244" s="85">
        <f t="shared" si="224"/>
        <v>3.2557088965815937</v>
      </c>
      <c r="BW244" s="85">
        <f t="shared" si="225"/>
        <v>1.0549793626170396</v>
      </c>
    </row>
    <row r="245" spans="25:75" x14ac:dyDescent="0.4">
      <c r="Y245" s="142">
        <v>1.6343000000000001</v>
      </c>
      <c r="Z245" s="46">
        <f t="shared" si="177"/>
        <v>0.46151273200614473</v>
      </c>
      <c r="AA245" s="84">
        <f t="shared" si="178"/>
        <v>1.109525171278144</v>
      </c>
      <c r="AB245" s="84">
        <f t="shared" si="179"/>
        <v>0.51681103800131822</v>
      </c>
      <c r="AC245" s="84">
        <f t="shared" si="180"/>
        <v>1.3483830523325</v>
      </c>
      <c r="AD245" s="84">
        <f t="shared" si="181"/>
        <v>0.46880660058248319</v>
      </c>
      <c r="AE245" s="84">
        <f t="shared" si="182"/>
        <v>1.3850632815925812</v>
      </c>
      <c r="AF245" s="84">
        <f t="shared" si="183"/>
        <v>0.46255731382278542</v>
      </c>
      <c r="AG245" s="84">
        <f t="shared" si="184"/>
        <v>1.3904284887559559</v>
      </c>
      <c r="AH245" s="84">
        <f t="shared" si="185"/>
        <v>0.46166402283535496</v>
      </c>
      <c r="AI245" s="84">
        <f t="shared" si="186"/>
        <v>1.3912079223990512</v>
      </c>
      <c r="AJ245" s="84">
        <f t="shared" si="187"/>
        <v>0.46153467952162824</v>
      </c>
      <c r="AK245" s="84">
        <f t="shared" si="188"/>
        <v>1.391321043633831</v>
      </c>
      <c r="AL245" s="84">
        <f t="shared" si="189"/>
        <v>0.46151591662202907</v>
      </c>
      <c r="AM245" s="84">
        <f t="shared" si="190"/>
        <v>1.3913374588691729</v>
      </c>
      <c r="AN245" s="84">
        <f t="shared" si="191"/>
        <v>0.46151319409246494</v>
      </c>
      <c r="AO245" s="84">
        <f t="shared" si="192"/>
        <v>1.3913398408655264</v>
      </c>
      <c r="AP245" s="84">
        <f t="shared" si="193"/>
        <v>0.46151279903326237</v>
      </c>
      <c r="AQ245" s="84">
        <f t="shared" si="194"/>
        <v>1.3913401865133013</v>
      </c>
      <c r="AR245" s="84">
        <f t="shared" si="195"/>
        <v>0.46151274170692214</v>
      </c>
      <c r="AS245" s="84">
        <f t="shared" si="196"/>
        <v>1.3913402366696888</v>
      </c>
      <c r="AT245" s="84">
        <f t="shared" si="197"/>
        <v>0.46151273338839172</v>
      </c>
      <c r="AU245" s="84">
        <f t="shared" si="198"/>
        <v>1.3913402439478004</v>
      </c>
      <c r="AV245" s="84">
        <f t="shared" si="199"/>
        <v>0.4615127321813034</v>
      </c>
      <c r="AW245" s="84">
        <f t="shared" si="200"/>
        <v>1.3913402450039152</v>
      </c>
      <c r="AX245" s="84">
        <f t="shared" si="201"/>
        <v>0.46151273200614473</v>
      </c>
      <c r="AY245" s="142">
        <v>1.6343000000000001</v>
      </c>
      <c r="AZ245" s="46">
        <f t="shared" si="202"/>
        <v>3.3546117941956903</v>
      </c>
      <c r="BA245" s="85">
        <f t="shared" si="203"/>
        <v>1.109525171278144</v>
      </c>
      <c r="BB245" s="85">
        <f t="shared" si="204"/>
        <v>3.2686000000000002</v>
      </c>
      <c r="BC245" s="85">
        <f t="shared" si="205"/>
        <v>1.0547625282997664</v>
      </c>
      <c r="BD245" s="85">
        <f t="shared" si="206"/>
        <v>3.3523782146938474</v>
      </c>
      <c r="BE245" s="85">
        <f t="shared" si="207"/>
        <v>1.0533939754219139</v>
      </c>
      <c r="BF245" s="85">
        <f t="shared" si="208"/>
        <v>3.3545551863651673</v>
      </c>
      <c r="BG245" s="85">
        <f t="shared" si="209"/>
        <v>1.0533593248749828</v>
      </c>
      <c r="BH245" s="85">
        <f t="shared" si="210"/>
        <v>3.3546103604227153</v>
      </c>
      <c r="BI245" s="85">
        <f t="shared" si="211"/>
        <v>1.0533584472617445</v>
      </c>
      <c r="BJ245" s="85">
        <f t="shared" si="212"/>
        <v>3.3546117578814134</v>
      </c>
      <c r="BK245" s="85">
        <f t="shared" si="213"/>
        <v>1.0533584250337695</v>
      </c>
      <c r="BL245" s="85">
        <f t="shared" si="214"/>
        <v>3.354611793275931</v>
      </c>
      <c r="BM245" s="85">
        <f t="shared" si="215"/>
        <v>1.0533584244707848</v>
      </c>
      <c r="BN245" s="85">
        <f t="shared" si="216"/>
        <v>3.3546117941723952</v>
      </c>
      <c r="BO245" s="85">
        <f t="shared" si="217"/>
        <v>1.0533584244565255</v>
      </c>
      <c r="BP245" s="85">
        <f t="shared" si="218"/>
        <v>3.3546117941951001</v>
      </c>
      <c r="BQ245" s="85">
        <f t="shared" si="219"/>
        <v>1.0533584244561645</v>
      </c>
      <c r="BR245" s="85">
        <f t="shared" si="220"/>
        <v>3.3546117941956748</v>
      </c>
      <c r="BS245" s="85">
        <f t="shared" si="221"/>
        <v>1.0533584244561554</v>
      </c>
      <c r="BT245" s="85">
        <f t="shared" si="222"/>
        <v>3.3546117941956894</v>
      </c>
      <c r="BU245" s="85">
        <f t="shared" si="223"/>
        <v>1.0533584244561549</v>
      </c>
      <c r="BV245" s="85">
        <f t="shared" si="224"/>
        <v>3.3546117941956903</v>
      </c>
      <c r="BW245" s="85">
        <f t="shared" si="225"/>
        <v>1.0533584244561549</v>
      </c>
    </row>
    <row r="246" spans="25:75" x14ac:dyDescent="0.4">
      <c r="Y246" s="142">
        <v>1.6853</v>
      </c>
      <c r="Z246" s="46">
        <f t="shared" si="177"/>
        <v>0.47752880674354725</v>
      </c>
      <c r="AA246" s="84">
        <f t="shared" si="178"/>
        <v>1.1062107199859494</v>
      </c>
      <c r="AB246" s="84">
        <f t="shared" si="179"/>
        <v>0.53293865406817698</v>
      </c>
      <c r="AC246" s="84">
        <f t="shared" si="180"/>
        <v>1.3376093111871727</v>
      </c>
      <c r="AD246" s="84">
        <f t="shared" si="181"/>
        <v>0.48465367535867765</v>
      </c>
      <c r="AE246" s="84">
        <f t="shared" si="182"/>
        <v>1.3721104221650307</v>
      </c>
      <c r="AF246" s="84">
        <f t="shared" si="183"/>
        <v>0.47852168200651013</v>
      </c>
      <c r="AG246" s="84">
        <f t="shared" si="184"/>
        <v>1.3770154483717592</v>
      </c>
      <c r="AH246" s="84">
        <f t="shared" si="185"/>
        <v>0.47766865769471117</v>
      </c>
      <c r="AI246" s="84">
        <f t="shared" si="186"/>
        <v>1.3777082856091059</v>
      </c>
      <c r="AJ246" s="84">
        <f t="shared" si="187"/>
        <v>0.47754853493192595</v>
      </c>
      <c r="AK246" s="84">
        <f t="shared" si="188"/>
        <v>1.377806060039162</v>
      </c>
      <c r="AL246" s="84">
        <f t="shared" si="189"/>
        <v>0.47753159028870934</v>
      </c>
      <c r="AM246" s="84">
        <f t="shared" si="190"/>
        <v>1.3778198563684481</v>
      </c>
      <c r="AN246" s="84">
        <f t="shared" si="191"/>
        <v>0.47752919948285544</v>
      </c>
      <c r="AO246" s="84">
        <f t="shared" si="192"/>
        <v>1.3778218030456162</v>
      </c>
      <c r="AP246" s="84">
        <f t="shared" si="193"/>
        <v>0.47752886214042262</v>
      </c>
      <c r="AQ246" s="84">
        <f t="shared" si="194"/>
        <v>1.3778220777231933</v>
      </c>
      <c r="AR246" s="84">
        <f t="shared" si="195"/>
        <v>0.47752881454121532</v>
      </c>
      <c r="AS246" s="84">
        <f t="shared" si="196"/>
        <v>1.3778221164803868</v>
      </c>
      <c r="AT246" s="84">
        <f t="shared" si="197"/>
        <v>0.47752880782493584</v>
      </c>
      <c r="AU246" s="84">
        <f t="shared" si="198"/>
        <v>1.3778221219490532</v>
      </c>
      <c r="AV246" s="84">
        <f t="shared" si="199"/>
        <v>0.47752880687726429</v>
      </c>
      <c r="AW246" s="84">
        <f t="shared" si="200"/>
        <v>1.3778221227206855</v>
      </c>
      <c r="AX246" s="84">
        <f t="shared" si="201"/>
        <v>0.47752880674354725</v>
      </c>
      <c r="AY246" s="142">
        <v>1.6853</v>
      </c>
      <c r="AZ246" s="46">
        <f t="shared" si="202"/>
        <v>3.4567120285840081</v>
      </c>
      <c r="BA246" s="85">
        <f t="shared" si="203"/>
        <v>1.1062107199859494</v>
      </c>
      <c r="BB246" s="85">
        <f t="shared" si="204"/>
        <v>3.3706</v>
      </c>
      <c r="BC246" s="85">
        <f t="shared" si="205"/>
        <v>1.0531053224945945</v>
      </c>
      <c r="BD246" s="85">
        <f t="shared" si="206"/>
        <v>3.4545401450917339</v>
      </c>
      <c r="BE246" s="85">
        <f t="shared" si="207"/>
        <v>1.0518149427947647</v>
      </c>
      <c r="BF246" s="85">
        <f t="shared" si="208"/>
        <v>3.4566585320585501</v>
      </c>
      <c r="BG246" s="85">
        <f t="shared" si="209"/>
        <v>1.0517831884000257</v>
      </c>
      <c r="BH246" s="85">
        <f t="shared" si="210"/>
        <v>3.4567107116675486</v>
      </c>
      <c r="BI246" s="85">
        <f t="shared" si="211"/>
        <v>1.0517824067243957</v>
      </c>
      <c r="BJ246" s="85">
        <f t="shared" si="212"/>
        <v>3.4567119961661312</v>
      </c>
      <c r="BK246" s="85">
        <f t="shared" si="213"/>
        <v>1.0517823874822869</v>
      </c>
      <c r="BL246" s="85">
        <f t="shared" si="214"/>
        <v>3.456712027785994</v>
      </c>
      <c r="BM246" s="85">
        <f t="shared" si="215"/>
        <v>1.0517823870086138</v>
      </c>
      <c r="BN246" s="85">
        <f t="shared" si="216"/>
        <v>3.4567120285643633</v>
      </c>
      <c r="BO246" s="85">
        <f t="shared" si="217"/>
        <v>1.0517823869969536</v>
      </c>
      <c r="BP246" s="85">
        <f t="shared" si="218"/>
        <v>3.4567120285835244</v>
      </c>
      <c r="BQ246" s="85">
        <f t="shared" si="219"/>
        <v>1.0517823869966665</v>
      </c>
      <c r="BR246" s="85">
        <f t="shared" si="220"/>
        <v>3.4567120285839961</v>
      </c>
      <c r="BS246" s="85">
        <f t="shared" si="221"/>
        <v>1.0517823869966594</v>
      </c>
      <c r="BT246" s="85">
        <f t="shared" si="222"/>
        <v>3.4567120285840081</v>
      </c>
      <c r="BU246" s="85">
        <f t="shared" si="223"/>
        <v>1.0517823869966592</v>
      </c>
      <c r="BV246" s="85">
        <f t="shared" si="224"/>
        <v>3.4567120285840081</v>
      </c>
      <c r="BW246" s="85">
        <f t="shared" si="225"/>
        <v>1.0517823869966592</v>
      </c>
    </row>
    <row r="247" spans="25:75" x14ac:dyDescent="0.4">
      <c r="Y247" s="142">
        <v>1.7378</v>
      </c>
      <c r="Z247" s="46">
        <f t="shared" si="177"/>
        <v>0.49401810735953616</v>
      </c>
      <c r="AA247" s="84">
        <f t="shared" si="178"/>
        <v>1.1030020049801954</v>
      </c>
      <c r="AB247" s="84">
        <f t="shared" si="179"/>
        <v>0.54954061178406088</v>
      </c>
      <c r="AC247" s="84">
        <f t="shared" si="180"/>
        <v>1.327206618165619</v>
      </c>
      <c r="AD247" s="84">
        <f t="shared" si="181"/>
        <v>0.50097802292061577</v>
      </c>
      <c r="AE247" s="84">
        <f t="shared" si="182"/>
        <v>1.3596664645184231</v>
      </c>
      <c r="AF247" s="84">
        <f t="shared" si="183"/>
        <v>0.49496187798072783</v>
      </c>
      <c r="AG247" s="84">
        <f t="shared" si="184"/>
        <v>1.3641523206520709</v>
      </c>
      <c r="AH247" s="84">
        <f t="shared" si="185"/>
        <v>0.4941473955829962</v>
      </c>
      <c r="AI247" s="84">
        <f t="shared" si="186"/>
        <v>1.3647684357291405</v>
      </c>
      <c r="AJ247" s="84">
        <f t="shared" si="187"/>
        <v>0.49403584331480971</v>
      </c>
      <c r="AK247" s="84">
        <f t="shared" si="188"/>
        <v>1.3648529853955012</v>
      </c>
      <c r="AL247" s="84">
        <f t="shared" si="189"/>
        <v>0.49402054085619757</v>
      </c>
      <c r="AM247" s="84">
        <f t="shared" si="190"/>
        <v>1.3648645868304976</v>
      </c>
      <c r="AN247" s="84">
        <f t="shared" si="191"/>
        <v>0.49401844124887156</v>
      </c>
      <c r="AO247" s="84">
        <f t="shared" si="192"/>
        <v>1.3648661786896166</v>
      </c>
      <c r="AP247" s="84">
        <f t="shared" si="193"/>
        <v>0.4940181531590932</v>
      </c>
      <c r="AQ247" s="84">
        <f t="shared" si="194"/>
        <v>1.3648663971117287</v>
      </c>
      <c r="AR247" s="84">
        <f t="shared" si="195"/>
        <v>0.49401811362976894</v>
      </c>
      <c r="AS247" s="84">
        <f t="shared" si="196"/>
        <v>1.3648664270818462</v>
      </c>
      <c r="AT247" s="84">
        <f t="shared" si="197"/>
        <v>0.49401810820587522</v>
      </c>
      <c r="AU247" s="84">
        <f t="shared" si="198"/>
        <v>1.3648664311941034</v>
      </c>
      <c r="AV247" s="84">
        <f t="shared" si="199"/>
        <v>0.49401810746165237</v>
      </c>
      <c r="AW247" s="84">
        <f t="shared" si="200"/>
        <v>1.3648664317583541</v>
      </c>
      <c r="AX247" s="84">
        <f t="shared" si="201"/>
        <v>0.49401810735953616</v>
      </c>
      <c r="AY247" s="142">
        <v>1.7378</v>
      </c>
      <c r="AZ247" s="46">
        <f t="shared" si="202"/>
        <v>3.561809374679203</v>
      </c>
      <c r="BA247" s="85">
        <f t="shared" si="203"/>
        <v>1.1030020049801954</v>
      </c>
      <c r="BB247" s="85">
        <f t="shared" si="204"/>
        <v>3.4756</v>
      </c>
      <c r="BC247" s="85">
        <f t="shared" si="205"/>
        <v>1.0515009782483959</v>
      </c>
      <c r="BD247" s="85">
        <f t="shared" si="206"/>
        <v>3.5596975441473933</v>
      </c>
      <c r="BE247" s="85">
        <f t="shared" si="207"/>
        <v>1.0502842721270966</v>
      </c>
      <c r="BF247" s="85">
        <f t="shared" si="208"/>
        <v>3.5617588204542261</v>
      </c>
      <c r="BG247" s="85">
        <f t="shared" si="209"/>
        <v>1.0502551713979436</v>
      </c>
      <c r="BH247" s="85">
        <f t="shared" si="210"/>
        <v>3.5618081651580593</v>
      </c>
      <c r="BI247" s="85">
        <f t="shared" si="211"/>
        <v>1.0502544751710738</v>
      </c>
      <c r="BJ247" s="85">
        <f t="shared" si="212"/>
        <v>3.5618093457415259</v>
      </c>
      <c r="BK247" s="85">
        <f t="shared" si="213"/>
        <v>1.0502544585139211</v>
      </c>
      <c r="BL247" s="85">
        <f t="shared" si="214"/>
        <v>3.5618093739868719</v>
      </c>
      <c r="BM247" s="85">
        <f t="shared" si="215"/>
        <v>1.0502544581154005</v>
      </c>
      <c r="BN247" s="85">
        <f t="shared" si="216"/>
        <v>3.5618093746626394</v>
      </c>
      <c r="BO247" s="85">
        <f t="shared" si="217"/>
        <v>1.0502544581058659</v>
      </c>
      <c r="BP247" s="85">
        <f t="shared" si="218"/>
        <v>3.5618093746788069</v>
      </c>
      <c r="BQ247" s="85">
        <f t="shared" si="219"/>
        <v>1.0502544581056379</v>
      </c>
      <c r="BR247" s="85">
        <f t="shared" si="220"/>
        <v>3.5618093746791937</v>
      </c>
      <c r="BS247" s="85">
        <f t="shared" si="221"/>
        <v>1.0502544581056323</v>
      </c>
      <c r="BT247" s="85">
        <f t="shared" si="222"/>
        <v>3.561809374679203</v>
      </c>
      <c r="BU247" s="85">
        <f t="shared" si="223"/>
        <v>1.0502544581056321</v>
      </c>
      <c r="BV247" s="85">
        <f t="shared" si="224"/>
        <v>3.561809374679203</v>
      </c>
      <c r="BW247" s="85">
        <f t="shared" si="225"/>
        <v>1.0502544581056321</v>
      </c>
    </row>
    <row r="248" spans="25:75" x14ac:dyDescent="0.4">
      <c r="Y248" s="142">
        <v>1.792</v>
      </c>
      <c r="Z248" s="46">
        <f t="shared" si="177"/>
        <v>0.51104369346998946</v>
      </c>
      <c r="AA248" s="84">
        <f t="shared" si="178"/>
        <v>1.0998866380760832</v>
      </c>
      <c r="AB248" s="84">
        <f t="shared" si="179"/>
        <v>0.56668015670217353</v>
      </c>
      <c r="AC248" s="84">
        <f t="shared" si="180"/>
        <v>1.3171313967161398</v>
      </c>
      <c r="AD248" s="84">
        <f t="shared" si="181"/>
        <v>0.51784217397450305</v>
      </c>
      <c r="AE248" s="84">
        <f t="shared" si="182"/>
        <v>1.3476732381166534</v>
      </c>
      <c r="AF248" s="84">
        <f t="shared" si="183"/>
        <v>0.51194070974964156</v>
      </c>
      <c r="AG248" s="84">
        <f t="shared" si="184"/>
        <v>1.3517761196112361</v>
      </c>
      <c r="AH248" s="84">
        <f t="shared" si="185"/>
        <v>0.51116320367684531</v>
      </c>
      <c r="AI248" s="84">
        <f t="shared" si="186"/>
        <v>1.3523240555011959</v>
      </c>
      <c r="AJ248" s="84">
        <f t="shared" si="187"/>
        <v>0.51105963639917584</v>
      </c>
      <c r="AK248" s="84">
        <f t="shared" si="188"/>
        <v>1.3523971746783787</v>
      </c>
      <c r="AL248" s="84">
        <f t="shared" si="189"/>
        <v>0.51104582064818582</v>
      </c>
      <c r="AM248" s="84">
        <f t="shared" si="190"/>
        <v>1.352406931033636</v>
      </c>
      <c r="AN248" s="84">
        <f t="shared" si="191"/>
        <v>0.51104397728526862</v>
      </c>
      <c r="AO248" s="84">
        <f t="shared" si="192"/>
        <v>1.3524082328144922</v>
      </c>
      <c r="AP248" s="84">
        <f t="shared" si="193"/>
        <v>0.51104373132868164</v>
      </c>
      <c r="AQ248" s="84">
        <f t="shared" si="194"/>
        <v>1.3524084065095054</v>
      </c>
      <c r="AR248" s="84">
        <f t="shared" si="195"/>
        <v>0.5110436985110246</v>
      </c>
      <c r="AS248" s="84">
        <f t="shared" si="196"/>
        <v>1.3524084296854109</v>
      </c>
      <c r="AT248" s="84">
        <f t="shared" si="197"/>
        <v>0.51104369413220674</v>
      </c>
      <c r="AU248" s="84">
        <f t="shared" si="198"/>
        <v>1.3524084327777426</v>
      </c>
      <c r="AV248" s="84">
        <f t="shared" si="199"/>
        <v>0.51104369354794654</v>
      </c>
      <c r="AW248" s="84">
        <f t="shared" si="200"/>
        <v>1.3524084331903485</v>
      </c>
      <c r="AX248" s="84">
        <f t="shared" si="201"/>
        <v>0.51104369346998946</v>
      </c>
      <c r="AY248" s="142">
        <v>1.792</v>
      </c>
      <c r="AZ248" s="46">
        <f t="shared" si="202"/>
        <v>3.6703041777082341</v>
      </c>
      <c r="BA248" s="85">
        <f t="shared" si="203"/>
        <v>1.0998866380760832</v>
      </c>
      <c r="BB248" s="85">
        <f t="shared" si="204"/>
        <v>3.5840000000000001</v>
      </c>
      <c r="BC248" s="85">
        <f t="shared" si="205"/>
        <v>1.0499433035714436</v>
      </c>
      <c r="BD248" s="85">
        <f t="shared" si="206"/>
        <v>3.6682509612663989</v>
      </c>
      <c r="BE248" s="85">
        <f t="shared" si="207"/>
        <v>1.0487962252010785</v>
      </c>
      <c r="BF248" s="85">
        <f t="shared" si="208"/>
        <v>3.6702564134898874</v>
      </c>
      <c r="BG248" s="85">
        <f t="shared" si="209"/>
        <v>1.0487695626229634</v>
      </c>
      <c r="BH248" s="85">
        <f t="shared" si="210"/>
        <v>3.6703030671495025</v>
      </c>
      <c r="BI248" s="85">
        <f t="shared" si="211"/>
        <v>1.0487689427072417</v>
      </c>
      <c r="BJ248" s="85">
        <f t="shared" si="212"/>
        <v>3.6703041518871147</v>
      </c>
      <c r="BK248" s="85">
        <f t="shared" si="213"/>
        <v>1.0487689282938568</v>
      </c>
      <c r="BL248" s="85">
        <f t="shared" si="214"/>
        <v>3.6703041771078784</v>
      </c>
      <c r="BM248" s="85">
        <f t="shared" si="215"/>
        <v>1.0487689279587376</v>
      </c>
      <c r="BN248" s="85">
        <f t="shared" si="216"/>
        <v>3.6703041776942755</v>
      </c>
      <c r="BO248" s="85">
        <f t="shared" si="217"/>
        <v>1.0487689279509458</v>
      </c>
      <c r="BP248" s="85">
        <f t="shared" si="218"/>
        <v>3.6703041777079095</v>
      </c>
      <c r="BQ248" s="85">
        <f t="shared" si="219"/>
        <v>1.0487689279507646</v>
      </c>
      <c r="BR248" s="85">
        <f t="shared" si="220"/>
        <v>3.670304177708227</v>
      </c>
      <c r="BS248" s="85">
        <f t="shared" si="221"/>
        <v>1.0487689279507604</v>
      </c>
      <c r="BT248" s="85">
        <f t="shared" si="222"/>
        <v>3.6703041777082341</v>
      </c>
      <c r="BU248" s="85">
        <f t="shared" si="223"/>
        <v>1.0487689279507604</v>
      </c>
      <c r="BV248" s="85">
        <f t="shared" si="224"/>
        <v>3.6703041777082341</v>
      </c>
      <c r="BW248" s="85">
        <f t="shared" si="225"/>
        <v>1.0487689279507604</v>
      </c>
    </row>
    <row r="249" spans="25:75" x14ac:dyDescent="0.4">
      <c r="Y249" s="142">
        <v>1.8478000000000001</v>
      </c>
      <c r="Z249" s="46">
        <f t="shared" si="177"/>
        <v>0.52857441912622305</v>
      </c>
      <c r="AA249" s="84">
        <f t="shared" si="178"/>
        <v>1.0968702435446391</v>
      </c>
      <c r="AB249" s="84">
        <f t="shared" si="179"/>
        <v>0.58432566604591318</v>
      </c>
      <c r="AC249" s="84">
        <f t="shared" si="180"/>
        <v>1.307398659408026</v>
      </c>
      <c r="AD249" s="84">
        <f t="shared" si="181"/>
        <v>0.53521536483209931</v>
      </c>
      <c r="AE249" s="84">
        <f t="shared" si="182"/>
        <v>1.3361429460404337</v>
      </c>
      <c r="AF249" s="84">
        <f t="shared" si="183"/>
        <v>0.52942705204018781</v>
      </c>
      <c r="AG249" s="84">
        <f t="shared" si="184"/>
        <v>1.3398968294643021</v>
      </c>
      <c r="AH249" s="84">
        <f t="shared" si="185"/>
        <v>0.52868490483335551</v>
      </c>
      <c r="AI249" s="84">
        <f t="shared" si="186"/>
        <v>1.3403843354780518</v>
      </c>
      <c r="AJ249" s="84">
        <f t="shared" si="187"/>
        <v>0.52858875311661868</v>
      </c>
      <c r="AK249" s="84">
        <f t="shared" si="188"/>
        <v>1.3404476007069288</v>
      </c>
      <c r="AL249" s="84">
        <f t="shared" si="189"/>
        <v>0.52857627904339788</v>
      </c>
      <c r="AM249" s="84">
        <f t="shared" si="190"/>
        <v>1.3404558100698274</v>
      </c>
      <c r="AN249" s="84">
        <f t="shared" si="191"/>
        <v>0.52857466045921719</v>
      </c>
      <c r="AO249" s="84">
        <f t="shared" si="192"/>
        <v>1.3404568753124608</v>
      </c>
      <c r="AP249" s="84">
        <f t="shared" si="193"/>
        <v>0.52857445043367091</v>
      </c>
      <c r="AQ249" s="84">
        <f t="shared" si="194"/>
        <v>1.3404570135375691</v>
      </c>
      <c r="AR249" s="84">
        <f t="shared" si="195"/>
        <v>0.52857442318092729</v>
      </c>
      <c r="AS249" s="84">
        <f t="shared" si="196"/>
        <v>1.3404570314735549</v>
      </c>
      <c r="AT249" s="84">
        <f t="shared" si="197"/>
        <v>0.52857441964463214</v>
      </c>
      <c r="AU249" s="84">
        <f t="shared" si="198"/>
        <v>1.3404570338009147</v>
      </c>
      <c r="AV249" s="84">
        <f t="shared" si="199"/>
        <v>0.52857441918576531</v>
      </c>
      <c r="AW249" s="84">
        <f t="shared" si="200"/>
        <v>1.3404570341029112</v>
      </c>
      <c r="AX249" s="84">
        <f t="shared" si="201"/>
        <v>0.52857441912622305</v>
      </c>
      <c r="AY249" s="142">
        <v>1.8478000000000001</v>
      </c>
      <c r="AZ249" s="46">
        <f t="shared" si="202"/>
        <v>3.7819962387676593</v>
      </c>
      <c r="BA249" s="85">
        <f t="shared" si="203"/>
        <v>1.0968702435446391</v>
      </c>
      <c r="BB249" s="85">
        <f t="shared" si="204"/>
        <v>3.6956000000000002</v>
      </c>
      <c r="BC249" s="85">
        <f t="shared" si="205"/>
        <v>1.0484351120251172</v>
      </c>
      <c r="BD249" s="85">
        <f t="shared" si="206"/>
        <v>3.7800000655732289</v>
      </c>
      <c r="BE249" s="85">
        <f t="shared" si="207"/>
        <v>1.0473536499721905</v>
      </c>
      <c r="BF249" s="85">
        <f t="shared" si="208"/>
        <v>3.7819511123432288</v>
      </c>
      <c r="BG249" s="85">
        <f t="shared" si="209"/>
        <v>1.0473292209980758</v>
      </c>
      <c r="BH249" s="85">
        <f t="shared" si="210"/>
        <v>3.7819952191270541</v>
      </c>
      <c r="BI249" s="85">
        <f t="shared" si="211"/>
        <v>1.0473286690302392</v>
      </c>
      <c r="BJ249" s="85">
        <f t="shared" si="212"/>
        <v>3.7819962157289351</v>
      </c>
      <c r="BK249" s="85">
        <f t="shared" si="213"/>
        <v>1.0473286565585609</v>
      </c>
      <c r="BL249" s="85">
        <f t="shared" si="214"/>
        <v>3.7819962382471002</v>
      </c>
      <c r="BM249" s="85">
        <f t="shared" si="215"/>
        <v>1.0473286562767641</v>
      </c>
      <c r="BN249" s="85">
        <f t="shared" si="216"/>
        <v>3.7819962387558967</v>
      </c>
      <c r="BO249" s="85">
        <f t="shared" si="217"/>
        <v>1.047328656270397</v>
      </c>
      <c r="BP249" s="85">
        <f t="shared" si="218"/>
        <v>3.7819962387673933</v>
      </c>
      <c r="BQ249" s="85">
        <f t="shared" si="219"/>
        <v>1.0473286562702531</v>
      </c>
      <c r="BR249" s="85">
        <f t="shared" si="220"/>
        <v>3.7819962387676536</v>
      </c>
      <c r="BS249" s="85">
        <f t="shared" si="221"/>
        <v>1.0473286562702497</v>
      </c>
      <c r="BT249" s="85">
        <f t="shared" si="222"/>
        <v>3.7819962387676593</v>
      </c>
      <c r="BU249" s="85">
        <f t="shared" si="223"/>
        <v>1.0473286562702497</v>
      </c>
      <c r="BV249" s="85">
        <f t="shared" si="224"/>
        <v>3.7819962387676593</v>
      </c>
      <c r="BW249" s="85">
        <f t="shared" si="225"/>
        <v>1.0473286562702497</v>
      </c>
    </row>
    <row r="250" spans="25:75" x14ac:dyDescent="0.4">
      <c r="Y250" s="142">
        <v>1.9055</v>
      </c>
      <c r="Z250" s="46">
        <f t="shared" si="177"/>
        <v>0.54670482892465055</v>
      </c>
      <c r="AA250" s="84">
        <f t="shared" si="178"/>
        <v>1.0939369315492549</v>
      </c>
      <c r="AB250" s="84">
        <f t="shared" si="179"/>
        <v>0.6025720081450846</v>
      </c>
      <c r="AC250" s="84">
        <f t="shared" si="180"/>
        <v>1.2979542244577709</v>
      </c>
      <c r="AD250" s="84">
        <f t="shared" si="181"/>
        <v>0.55319138384855926</v>
      </c>
      <c r="AE250" s="84">
        <f t="shared" si="182"/>
        <v>1.3250061824169932</v>
      </c>
      <c r="AF250" s="84">
        <f t="shared" si="183"/>
        <v>0.5475151527598815</v>
      </c>
      <c r="AG250" s="84">
        <f t="shared" si="184"/>
        <v>1.3284405922313991</v>
      </c>
      <c r="AH250" s="84">
        <f t="shared" si="185"/>
        <v>0.54680695085006248</v>
      </c>
      <c r="AI250" s="84">
        <f t="shared" si="186"/>
        <v>1.3288742956799284</v>
      </c>
      <c r="AJ250" s="84">
        <f t="shared" si="187"/>
        <v>0.54671771313436346</v>
      </c>
      <c r="AK250" s="84">
        <f t="shared" si="188"/>
        <v>1.3289290278770693</v>
      </c>
      <c r="AL250" s="84">
        <f t="shared" si="189"/>
        <v>0.54670645468145473</v>
      </c>
      <c r="AM250" s="84">
        <f t="shared" si="190"/>
        <v>1.3289359343484775</v>
      </c>
      <c r="AN250" s="84">
        <f t="shared" si="191"/>
        <v>0.5467050340646642</v>
      </c>
      <c r="AO250" s="84">
        <f t="shared" si="192"/>
        <v>1.3289368058435316</v>
      </c>
      <c r="AP250" s="84">
        <f t="shared" si="193"/>
        <v>0.54670485480451836</v>
      </c>
      <c r="AQ250" s="84">
        <f t="shared" si="194"/>
        <v>1.3289369158132345</v>
      </c>
      <c r="AR250" s="84">
        <f t="shared" si="195"/>
        <v>0.54670483218456889</v>
      </c>
      <c r="AS250" s="84">
        <f t="shared" si="196"/>
        <v>1.3289369296897715</v>
      </c>
      <c r="AT250" s="84">
        <f t="shared" si="197"/>
        <v>0.54670482933026876</v>
      </c>
      <c r="AU250" s="84">
        <f t="shared" si="198"/>
        <v>1.3289369314407837</v>
      </c>
      <c r="AV250" s="84">
        <f t="shared" si="199"/>
        <v>0.54670482897009864</v>
      </c>
      <c r="AW250" s="84">
        <f t="shared" si="200"/>
        <v>1.3289369316617352</v>
      </c>
      <c r="AX250" s="84">
        <f t="shared" si="201"/>
        <v>0.54670482892465055</v>
      </c>
      <c r="AY250" s="142">
        <v>1.9055</v>
      </c>
      <c r="AZ250" s="46">
        <f t="shared" si="202"/>
        <v>3.8974860179555075</v>
      </c>
      <c r="BA250" s="85">
        <f t="shared" si="203"/>
        <v>1.0939369315492549</v>
      </c>
      <c r="BB250" s="85">
        <f t="shared" si="204"/>
        <v>3.8109999999999999</v>
      </c>
      <c r="BC250" s="85">
        <f t="shared" si="205"/>
        <v>1.0469684597218603</v>
      </c>
      <c r="BD250" s="85">
        <f t="shared" si="206"/>
        <v>3.895545593457173</v>
      </c>
      <c r="BE250" s="85">
        <f t="shared" si="207"/>
        <v>1.0459490963988822</v>
      </c>
      <c r="BF250" s="85">
        <f t="shared" si="208"/>
        <v>3.8974433957857664</v>
      </c>
      <c r="BG250" s="85">
        <f t="shared" si="209"/>
        <v>1.0459267221670367</v>
      </c>
      <c r="BH250" s="85">
        <f t="shared" si="210"/>
        <v>3.8974850821840326</v>
      </c>
      <c r="BI250" s="85">
        <f t="shared" si="211"/>
        <v>1.0459262309478039</v>
      </c>
      <c r="BJ250" s="85">
        <f t="shared" si="212"/>
        <v>3.8974859974108194</v>
      </c>
      <c r="BK250" s="85">
        <f t="shared" si="213"/>
        <v>1.0459262201631812</v>
      </c>
      <c r="BL250" s="85">
        <f t="shared" si="214"/>
        <v>3.8974860175044532</v>
      </c>
      <c r="BM250" s="85">
        <f t="shared" si="215"/>
        <v>1.0459262199264068</v>
      </c>
      <c r="BN250" s="85">
        <f t="shared" si="216"/>
        <v>3.8974860179456043</v>
      </c>
      <c r="BO250" s="85">
        <f t="shared" si="217"/>
        <v>1.0459262199212085</v>
      </c>
      <c r="BP250" s="85">
        <f t="shared" si="218"/>
        <v>3.8974860179552904</v>
      </c>
      <c r="BQ250" s="85">
        <f t="shared" si="219"/>
        <v>1.0459262199210944</v>
      </c>
      <c r="BR250" s="85">
        <f t="shared" si="220"/>
        <v>3.8974860179555026</v>
      </c>
      <c r="BS250" s="85">
        <f t="shared" si="221"/>
        <v>1.0459262199210917</v>
      </c>
      <c r="BT250" s="85">
        <f t="shared" si="222"/>
        <v>3.8974860179555075</v>
      </c>
      <c r="BU250" s="85">
        <f t="shared" si="223"/>
        <v>1.0459262199210917</v>
      </c>
      <c r="BV250" s="85">
        <f t="shared" si="224"/>
        <v>3.8974860179555075</v>
      </c>
      <c r="BW250" s="85">
        <f t="shared" si="225"/>
        <v>1.0459262199210917</v>
      </c>
    </row>
    <row r="251" spans="25:75" x14ac:dyDescent="0.4">
      <c r="Y251" s="142">
        <v>1.9649000000000001</v>
      </c>
      <c r="Z251" s="46">
        <f t="shared" si="177"/>
        <v>0.5653723880820446</v>
      </c>
      <c r="AA251" s="84">
        <f t="shared" si="178"/>
        <v>1.0910971624910513</v>
      </c>
      <c r="AB251" s="84">
        <f t="shared" si="179"/>
        <v>0.62135593744648487</v>
      </c>
      <c r="AC251" s="84">
        <f t="shared" si="180"/>
        <v>1.288829074129795</v>
      </c>
      <c r="AD251" s="84">
        <f t="shared" si="181"/>
        <v>0.57170830820392116</v>
      </c>
      <c r="AE251" s="84">
        <f t="shared" si="182"/>
        <v>1.3142945760977565</v>
      </c>
      <c r="AF251" s="84">
        <f t="shared" si="183"/>
        <v>0.56614256473092683</v>
      </c>
      <c r="AG251" s="84">
        <f t="shared" si="184"/>
        <v>1.3174377926898497</v>
      </c>
      <c r="AH251" s="84">
        <f t="shared" si="185"/>
        <v>0.56546679415803891</v>
      </c>
      <c r="AI251" s="84">
        <f t="shared" si="186"/>
        <v>1.3178237999107969</v>
      </c>
      <c r="AJ251" s="84">
        <f t="shared" si="187"/>
        <v>0.56538397191278555</v>
      </c>
      <c r="AK251" s="84">
        <f t="shared" si="188"/>
        <v>1.3178711747097283</v>
      </c>
      <c r="AL251" s="84">
        <f t="shared" si="189"/>
        <v>0.56537380961725048</v>
      </c>
      <c r="AM251" s="84">
        <f t="shared" si="190"/>
        <v>1.3178769885930537</v>
      </c>
      <c r="AN251" s="84">
        <f t="shared" si="191"/>
        <v>0.565372562527796</v>
      </c>
      <c r="AO251" s="84">
        <f t="shared" si="192"/>
        <v>1.3178777020720494</v>
      </c>
      <c r="AP251" s="84">
        <f t="shared" si="193"/>
        <v>0.56537240948571099</v>
      </c>
      <c r="AQ251" s="84">
        <f t="shared" si="194"/>
        <v>1.3178777896299976</v>
      </c>
      <c r="AR251" s="84">
        <f t="shared" si="195"/>
        <v>0.56537239070443646</v>
      </c>
      <c r="AS251" s="84">
        <f t="shared" si="196"/>
        <v>1.3178778003750837</v>
      </c>
      <c r="AT251" s="84">
        <f t="shared" si="197"/>
        <v>0.56537238839960402</v>
      </c>
      <c r="AU251" s="84">
        <f t="shared" si="198"/>
        <v>1.3178778016937174</v>
      </c>
      <c r="AV251" s="84">
        <f t="shared" si="199"/>
        <v>0.56537238811675572</v>
      </c>
      <c r="AW251" s="84">
        <f t="shared" si="200"/>
        <v>1.3178778018555399</v>
      </c>
      <c r="AX251" s="84">
        <f t="shared" si="201"/>
        <v>0.5653723880820446</v>
      </c>
      <c r="AY251" s="142">
        <v>1.9649000000000001</v>
      </c>
      <c r="AZ251" s="46">
        <f t="shared" si="202"/>
        <v>4.016373172207909</v>
      </c>
      <c r="BA251" s="85">
        <f t="shared" si="203"/>
        <v>1.0910971624910513</v>
      </c>
      <c r="BB251" s="85">
        <f t="shared" si="204"/>
        <v>3.9298000000000002</v>
      </c>
      <c r="BC251" s="85">
        <f t="shared" si="205"/>
        <v>1.0455485775357534</v>
      </c>
      <c r="BD251" s="85">
        <f t="shared" si="206"/>
        <v>4.0144869800772733</v>
      </c>
      <c r="BE251" s="85">
        <f t="shared" si="207"/>
        <v>1.0445877146664844</v>
      </c>
      <c r="BF251" s="85">
        <f t="shared" si="208"/>
        <v>4.0163329164128143</v>
      </c>
      <c r="BG251" s="85">
        <f t="shared" si="209"/>
        <v>1.0445672218228046</v>
      </c>
      <c r="BH251" s="85">
        <f t="shared" si="210"/>
        <v>4.0163723134363982</v>
      </c>
      <c r="BI251" s="85">
        <f t="shared" si="211"/>
        <v>1.0445667846581814</v>
      </c>
      <c r="BJ251" s="85">
        <f t="shared" si="212"/>
        <v>4.0163731538880247</v>
      </c>
      <c r="BK251" s="85">
        <f t="shared" si="213"/>
        <v>1.0445667753322982</v>
      </c>
      <c r="BL251" s="85">
        <f t="shared" si="214"/>
        <v>4.0163731718170972</v>
      </c>
      <c r="BM251" s="85">
        <f t="shared" si="215"/>
        <v>1.0445667751333523</v>
      </c>
      <c r="BN251" s="85">
        <f t="shared" si="216"/>
        <v>4.0163731721995717</v>
      </c>
      <c r="BO251" s="85">
        <f t="shared" si="217"/>
        <v>1.0445667751291083</v>
      </c>
      <c r="BP251" s="85">
        <f t="shared" si="218"/>
        <v>4.0163731722077305</v>
      </c>
      <c r="BQ251" s="85">
        <f t="shared" si="219"/>
        <v>1.0445667751290177</v>
      </c>
      <c r="BR251" s="85">
        <f t="shared" si="220"/>
        <v>4.0163731722079046</v>
      </c>
      <c r="BS251" s="85">
        <f t="shared" si="221"/>
        <v>1.044566775129016</v>
      </c>
      <c r="BT251" s="85">
        <f t="shared" si="222"/>
        <v>4.0163731722079081</v>
      </c>
      <c r="BU251" s="85">
        <f t="shared" si="223"/>
        <v>1.0445667751290157</v>
      </c>
      <c r="BV251" s="85">
        <f t="shared" si="224"/>
        <v>4.016373172207909</v>
      </c>
      <c r="BW251" s="85">
        <f t="shared" si="225"/>
        <v>1.0445667751290157</v>
      </c>
    </row>
    <row r="252" spans="25:75" x14ac:dyDescent="0.4">
      <c r="Y252" s="142">
        <v>2.0261</v>
      </c>
      <c r="Z252" s="46">
        <f t="shared" si="177"/>
        <v>0.58460882850202145</v>
      </c>
      <c r="AA252" s="84">
        <f t="shared" si="178"/>
        <v>1.0883454958228376</v>
      </c>
      <c r="AB252" s="84">
        <f t="shared" si="179"/>
        <v>0.64070907672671529</v>
      </c>
      <c r="AC252" s="84">
        <f t="shared" si="180"/>
        <v>1.2800031417835198</v>
      </c>
      <c r="AD252" s="84">
        <f t="shared" si="181"/>
        <v>0.59079763870756408</v>
      </c>
      <c r="AE252" s="84">
        <f t="shared" si="182"/>
        <v>1.3039797031858069</v>
      </c>
      <c r="AF252" s="84">
        <f t="shared" si="183"/>
        <v>0.58534087563818293</v>
      </c>
      <c r="AG252" s="84">
        <f t="shared" si="184"/>
        <v>1.3068571809830418</v>
      </c>
      <c r="AH252" s="84">
        <f t="shared" si="185"/>
        <v>0.58469610987541876</v>
      </c>
      <c r="AI252" s="84">
        <f t="shared" si="186"/>
        <v>1.3072008517505054</v>
      </c>
      <c r="AJ252" s="84">
        <f t="shared" si="187"/>
        <v>0.58461924480546723</v>
      </c>
      <c r="AK252" s="84">
        <f t="shared" si="188"/>
        <v>1.3072418744296725</v>
      </c>
      <c r="AL252" s="84">
        <f t="shared" si="189"/>
        <v>0.58461007173798174</v>
      </c>
      <c r="AM252" s="84">
        <f t="shared" si="190"/>
        <v>1.3072467708164655</v>
      </c>
      <c r="AN252" s="84">
        <f t="shared" si="191"/>
        <v>0.58460897688742308</v>
      </c>
      <c r="AO252" s="84">
        <f t="shared" si="192"/>
        <v>1.3072473552348465</v>
      </c>
      <c r="AP252" s="84">
        <f t="shared" si="193"/>
        <v>0.58460884620967934</v>
      </c>
      <c r="AQ252" s="84">
        <f t="shared" si="194"/>
        <v>1.3072474249892441</v>
      </c>
      <c r="AR252" s="84">
        <f t="shared" si="195"/>
        <v>0.58460883061238766</v>
      </c>
      <c r="AS252" s="84">
        <f t="shared" si="196"/>
        <v>1.3072474333149156</v>
      </c>
      <c r="AT252" s="84">
        <f t="shared" si="197"/>
        <v>0.58460882875074283</v>
      </c>
      <c r="AU252" s="84">
        <f t="shared" si="198"/>
        <v>1.3072474343086422</v>
      </c>
      <c r="AV252" s="84">
        <f t="shared" si="199"/>
        <v>0.58460882852854257</v>
      </c>
      <c r="AW252" s="84">
        <f t="shared" si="200"/>
        <v>1.3072474344272504</v>
      </c>
      <c r="AX252" s="84">
        <f t="shared" si="201"/>
        <v>0.58460882850202145</v>
      </c>
      <c r="AY252" s="142">
        <v>2.0261</v>
      </c>
      <c r="AZ252" s="46">
        <f t="shared" si="202"/>
        <v>4.1388578460091292</v>
      </c>
      <c r="BA252" s="85">
        <f t="shared" si="203"/>
        <v>1.0883454958228376</v>
      </c>
      <c r="BB252" s="85">
        <f t="shared" si="204"/>
        <v>4.0522</v>
      </c>
      <c r="BC252" s="85">
        <f t="shared" si="205"/>
        <v>1.0441727456690197</v>
      </c>
      <c r="BD252" s="85">
        <f t="shared" si="206"/>
        <v>4.1370244506135858</v>
      </c>
      <c r="BE252" s="85">
        <f t="shared" si="207"/>
        <v>1.0432670394233354</v>
      </c>
      <c r="BF252" s="85">
        <f t="shared" si="208"/>
        <v>4.1388198279599671</v>
      </c>
      <c r="BG252" s="85">
        <f t="shared" si="209"/>
        <v>1.0432482706279651</v>
      </c>
      <c r="BH252" s="85">
        <f t="shared" si="210"/>
        <v>4.1388570579824044</v>
      </c>
      <c r="BI252" s="85">
        <f t="shared" si="211"/>
        <v>1.0432478815992881</v>
      </c>
      <c r="BJ252" s="85">
        <f t="shared" si="212"/>
        <v>4.1388578296752891</v>
      </c>
      <c r="BK252" s="85">
        <f t="shared" si="213"/>
        <v>1.0432478735356909</v>
      </c>
      <c r="BL252" s="85">
        <f t="shared" si="214"/>
        <v>4.1388578456705689</v>
      </c>
      <c r="BM252" s="85">
        <f t="shared" si="215"/>
        <v>1.0432478733685524</v>
      </c>
      <c r="BN252" s="85">
        <f t="shared" si="216"/>
        <v>4.1388578460021117</v>
      </c>
      <c r="BO252" s="85">
        <f t="shared" si="217"/>
        <v>1.0432478733650881</v>
      </c>
      <c r="BP252" s="85">
        <f t="shared" si="218"/>
        <v>4.1388578460089835</v>
      </c>
      <c r="BQ252" s="85">
        <f t="shared" si="219"/>
        <v>1.0432478733650163</v>
      </c>
      <c r="BR252" s="85">
        <f t="shared" si="220"/>
        <v>4.1388578460091257</v>
      </c>
      <c r="BS252" s="85">
        <f t="shared" si="221"/>
        <v>1.0432478733650148</v>
      </c>
      <c r="BT252" s="85">
        <f t="shared" si="222"/>
        <v>4.1388578460091292</v>
      </c>
      <c r="BU252" s="85">
        <f t="shared" si="223"/>
        <v>1.0432478733650148</v>
      </c>
      <c r="BV252" s="85">
        <f t="shared" si="224"/>
        <v>4.1388578460091292</v>
      </c>
      <c r="BW252" s="85">
        <f t="shared" si="225"/>
        <v>1.0432478733650148</v>
      </c>
    </row>
    <row r="253" spans="25:75" x14ac:dyDescent="0.4">
      <c r="Y253" s="142">
        <v>2.0893000000000002</v>
      </c>
      <c r="Z253" s="46">
        <f t="shared" ref="Z253:Z274" si="226">AX253</f>
        <v>0.60447734189357172</v>
      </c>
      <c r="AA253" s="84">
        <f t="shared" ref="AA253:AA274" si="227">(1+0.0712/Y253*(2.514+0.8*EXP(-0.55*Y253/(0.0712))))</f>
        <v>1.0856730989215235</v>
      </c>
      <c r="AB253" s="84">
        <f t="shared" ref="AB253:AB274" si="228">Y253/SQRT($Z$1)</f>
        <v>0.66069467153897954</v>
      </c>
      <c r="AC253" s="84">
        <f t="shared" ref="AC253:AC274" si="229">(1+0.0712/AB253*(2.514+0.8*EXP(-0.55*AB253/(0.0712))))</f>
        <v>1.2714458017344461</v>
      </c>
      <c r="AD253" s="84">
        <f t="shared" ref="AD253:AD274" si="230">$Y253/SQRT(($Z$1*AC253)/($AA253))</f>
        <v>0.61052213833940738</v>
      </c>
      <c r="AE253" s="84">
        <f t="shared" ref="AE253:AE274" si="231">(1+0.0712/AD253*(2.514+0.8*EXP(-0.55*AD253/(0.0712))))</f>
        <v>1.2940214211545995</v>
      </c>
      <c r="AF253" s="84">
        <f t="shared" ref="AF253:AF274" si="232">$Y253/SQRT(($Z$1*AE253)/($AA253))</f>
        <v>0.60517309237447736</v>
      </c>
      <c r="AG253" s="84">
        <f t="shared" ref="AG253:AG274" si="233">(1+0.0712/AF253*(2.514+0.8*EXP(-0.55*AF253/(0.0712))))</f>
        <v>1.2966557743456877</v>
      </c>
      <c r="AH253" s="84">
        <f t="shared" ref="AH253:AH274" si="234">$Y253/SQRT(($Z$1*AG253)/($AA253))</f>
        <v>0.60455802928015789</v>
      </c>
      <c r="AI253" s="84">
        <f t="shared" ref="AI253:AI274" si="235">(1+0.0712/AH253*(2.514+0.8*EXP(-0.55*AH253/(0.0712))))</f>
        <v>1.2969617702738325</v>
      </c>
      <c r="AJ253" s="84">
        <f t="shared" ref="AJ253:AJ274" si="236">$Y253/SQRT(($Z$1*AI253)/($AA253))</f>
        <v>0.6044867075140673</v>
      </c>
      <c r="AK253" s="84">
        <f t="shared" ref="AK253:AK274" si="237">(1+0.0712/AJ253*(2.514+0.8*EXP(-0.55*AJ253/(0.0712))))</f>
        <v>1.296997294667066</v>
      </c>
      <c r="AL253" s="84">
        <f t="shared" ref="AL253:AL274" si="238">$Y253/SQRT(($Z$1*AK253)/($AA253))</f>
        <v>0.60447842909643523</v>
      </c>
      <c r="AM253" s="84">
        <f t="shared" ref="AM253:AM274" si="239">(1+0.0712/AL253*(2.514+0.8*EXP(-0.55*AL253/(0.0712))))</f>
        <v>1.2970014185936687</v>
      </c>
      <c r="AN253" s="84">
        <f t="shared" ref="AN253:AN274" si="240">$Y253/SQRT(($Z$1*AM253)/($AA253))</f>
        <v>0.60447746810031733</v>
      </c>
      <c r="AO253" s="84">
        <f t="shared" ref="AO253:AO274" si="241">(1+0.0712/AN253*(2.514+0.8*EXP(-0.55*AN253/(0.0712))))</f>
        <v>1.2970018973252506</v>
      </c>
      <c r="AP253" s="84">
        <f t="shared" ref="AP253:AP274" si="242">$Y253/SQRT(($Z$1*AO253)/($AA253))</f>
        <v>0.6044773565420839</v>
      </c>
      <c r="AQ253" s="84">
        <f t="shared" ref="AQ253:AQ274" si="243">(1+0.0712/AP253*(2.514+0.8*EXP(-0.55*AP253/(0.0712))))</f>
        <v>1.2970019528994059</v>
      </c>
      <c r="AR253" s="84">
        <f t="shared" ref="AR253:AR274" si="244">$Y253/SQRT(($Z$1*AQ253)/($AA253))</f>
        <v>0.60447734359171057</v>
      </c>
      <c r="AS253" s="84">
        <f t="shared" ref="AS253:AS274" si="245">(1+0.0712/AR253*(2.514+0.8*EXP(-0.55*AR253/(0.0712))))</f>
        <v>1.2970019593508006</v>
      </c>
      <c r="AT253" s="84">
        <f t="shared" ref="AT253:AT274" si="246">$Y253/SQRT(($Z$1*AS253)/($AA253))</f>
        <v>0.60447734208835047</v>
      </c>
      <c r="AU253" s="84">
        <f t="shared" ref="AU253:AU274" si="247">(1+0.0712/AT253*(2.514+0.8*EXP(-0.55*AT253/(0.0712))))</f>
        <v>1.2970019600997187</v>
      </c>
      <c r="AV253" s="84">
        <f t="shared" ref="AV253:AV274" si="248">$Y253/SQRT(($Z$1*AU253)/($AA253))</f>
        <v>0.60447734191383107</v>
      </c>
      <c r="AW253" s="84">
        <f t="shared" ref="AW253:AW274" si="249">(1+0.0712/AV253*(2.514+0.8*EXP(-0.55*AV253/(0.0712))))</f>
        <v>1.297001960186658</v>
      </c>
      <c r="AX253" s="84">
        <f t="shared" ref="AX253:AX274" si="250">$Y253/SQRT(($Z$1*AW253)/($AA253))</f>
        <v>0.60447734189357172</v>
      </c>
      <c r="AY253" s="142">
        <v>2.0893000000000002</v>
      </c>
      <c r="AZ253" s="46">
        <f t="shared" si="202"/>
        <v>4.2653402912913876</v>
      </c>
      <c r="BA253" s="85">
        <f t="shared" si="203"/>
        <v>1.0856730989215235</v>
      </c>
      <c r="BB253" s="85">
        <f t="shared" si="204"/>
        <v>4.1786000000000003</v>
      </c>
      <c r="BC253" s="85">
        <f t="shared" si="205"/>
        <v>1.0428365481261668</v>
      </c>
      <c r="BD253" s="85">
        <f t="shared" si="206"/>
        <v>4.2635584056469469</v>
      </c>
      <c r="BE253" s="85">
        <f t="shared" si="207"/>
        <v>1.0419829595304535</v>
      </c>
      <c r="BF253" s="85">
        <f t="shared" si="208"/>
        <v>4.2653043938004469</v>
      </c>
      <c r="BG253" s="85">
        <f t="shared" si="209"/>
        <v>1.0419657739457397</v>
      </c>
      <c r="BH253" s="85">
        <f t="shared" si="210"/>
        <v>4.265339568395226</v>
      </c>
      <c r="BI253" s="85">
        <f t="shared" si="211"/>
        <v>1.0419654278703407</v>
      </c>
      <c r="BJ253" s="85">
        <f t="shared" si="212"/>
        <v>4.2653402767339719</v>
      </c>
      <c r="BK253" s="85">
        <f t="shared" si="213"/>
        <v>1.0419654209012044</v>
      </c>
      <c r="BL253" s="85">
        <f t="shared" si="214"/>
        <v>4.2653402909982354</v>
      </c>
      <c r="BM253" s="85">
        <f t="shared" si="215"/>
        <v>1.0419654207608624</v>
      </c>
      <c r="BN253" s="85">
        <f t="shared" si="216"/>
        <v>4.2653402912854839</v>
      </c>
      <c r="BO253" s="85">
        <f t="shared" si="217"/>
        <v>1.0419654207580362</v>
      </c>
      <c r="BP253" s="85">
        <f t="shared" si="218"/>
        <v>4.2653402912912695</v>
      </c>
      <c r="BQ253" s="85">
        <f t="shared" si="219"/>
        <v>1.0419654207579794</v>
      </c>
      <c r="BR253" s="85">
        <f t="shared" si="220"/>
        <v>4.2653402912913849</v>
      </c>
      <c r="BS253" s="85">
        <f t="shared" si="221"/>
        <v>1.0419654207579783</v>
      </c>
      <c r="BT253" s="85">
        <f t="shared" si="222"/>
        <v>4.2653402912913876</v>
      </c>
      <c r="BU253" s="85">
        <f t="shared" si="223"/>
        <v>1.0419654207579783</v>
      </c>
      <c r="BV253" s="85">
        <f t="shared" si="224"/>
        <v>4.2653402912913876</v>
      </c>
      <c r="BW253" s="85">
        <f t="shared" si="225"/>
        <v>1.0419654207579783</v>
      </c>
    </row>
    <row r="254" spans="25:75" x14ac:dyDescent="0.4">
      <c r="Y254" s="142">
        <v>2.1543999999999999</v>
      </c>
      <c r="Z254" s="46">
        <f t="shared" si="226"/>
        <v>0.62494682137410207</v>
      </c>
      <c r="AA254" s="84">
        <f t="shared" si="227"/>
        <v>1.0830842941759833</v>
      </c>
      <c r="AB254" s="84">
        <f t="shared" si="228"/>
        <v>0.68128109910667556</v>
      </c>
      <c r="AC254" s="84">
        <f t="shared" si="229"/>
        <v>1.2631687938537353</v>
      </c>
      <c r="AD254" s="84">
        <f t="shared" si="230"/>
        <v>0.63085097043379068</v>
      </c>
      <c r="AE254" s="84">
        <f t="shared" si="231"/>
        <v>1.2844293029313345</v>
      </c>
      <c r="AF254" s="84">
        <f t="shared" si="232"/>
        <v>0.62560810564601654</v>
      </c>
      <c r="AG254" s="84">
        <f t="shared" si="233"/>
        <v>1.2868417274715813</v>
      </c>
      <c r="AH254" s="84">
        <f t="shared" si="234"/>
        <v>0.6250214210862558</v>
      </c>
      <c r="AI254" s="84">
        <f t="shared" si="235"/>
        <v>1.2871142724976024</v>
      </c>
      <c r="AJ254" s="84">
        <f t="shared" si="236"/>
        <v>0.62495524378493217</v>
      </c>
      <c r="AK254" s="84">
        <f t="shared" si="237"/>
        <v>1.28714504829779</v>
      </c>
      <c r="AL254" s="84">
        <f t="shared" si="238"/>
        <v>0.6249477723609832</v>
      </c>
      <c r="AM254" s="84">
        <f t="shared" si="239"/>
        <v>1.2871485233101645</v>
      </c>
      <c r="AN254" s="84">
        <f t="shared" si="240"/>
        <v>0.62494692875099234</v>
      </c>
      <c r="AO254" s="84">
        <f t="shared" si="241"/>
        <v>1.2871489156845397</v>
      </c>
      <c r="AP254" s="84">
        <f t="shared" si="242"/>
        <v>0.62494683349659841</v>
      </c>
      <c r="AQ254" s="84">
        <f t="shared" si="243"/>
        <v>1.2871489599887105</v>
      </c>
      <c r="AR254" s="84">
        <f t="shared" si="244"/>
        <v>0.62494682274114111</v>
      </c>
      <c r="AS254" s="84">
        <f t="shared" si="245"/>
        <v>1.2871489649912271</v>
      </c>
      <c r="AT254" s="84">
        <f t="shared" si="246"/>
        <v>0.62494682152671033</v>
      </c>
      <c r="AU254" s="84">
        <f t="shared" si="247"/>
        <v>1.2871489655560762</v>
      </c>
      <c r="AV254" s="84">
        <f t="shared" si="248"/>
        <v>0.62494682138958535</v>
      </c>
      <c r="AW254" s="84">
        <f t="shared" si="249"/>
        <v>1.2871489656198549</v>
      </c>
      <c r="AX254" s="84">
        <f t="shared" si="250"/>
        <v>0.62494682137410207</v>
      </c>
      <c r="AY254" s="142">
        <v>2.1543999999999999</v>
      </c>
      <c r="AZ254" s="46">
        <f t="shared" si="202"/>
        <v>4.3956203561030618</v>
      </c>
      <c r="BA254" s="85">
        <f t="shared" si="203"/>
        <v>1.0830842941759833</v>
      </c>
      <c r="BB254" s="85">
        <f t="shared" si="204"/>
        <v>4.3087999999999997</v>
      </c>
      <c r="BC254" s="85">
        <f t="shared" si="205"/>
        <v>1.0415421463052359</v>
      </c>
      <c r="BD254" s="85">
        <f t="shared" si="206"/>
        <v>4.3938885901037299</v>
      </c>
      <c r="BE254" s="85">
        <f t="shared" si="207"/>
        <v>1.0407376737778813</v>
      </c>
      <c r="BF254" s="85">
        <f t="shared" si="208"/>
        <v>4.395586462648394</v>
      </c>
      <c r="BG254" s="85">
        <f t="shared" si="209"/>
        <v>1.0407219381352248</v>
      </c>
      <c r="BH254" s="85">
        <f t="shared" si="210"/>
        <v>4.3956196930021791</v>
      </c>
      <c r="BI254" s="85">
        <f t="shared" si="211"/>
        <v>1.0407216302822928</v>
      </c>
      <c r="BJ254" s="85">
        <f t="shared" si="212"/>
        <v>4.3956203431300676</v>
      </c>
      <c r="BK254" s="85">
        <f t="shared" si="213"/>
        <v>1.0407216242594188</v>
      </c>
      <c r="BL254" s="85">
        <f t="shared" si="214"/>
        <v>4.395620355849255</v>
      </c>
      <c r="BM254" s="85">
        <f t="shared" si="215"/>
        <v>1.0407216241415864</v>
      </c>
      <c r="BN254" s="85">
        <f t="shared" si="216"/>
        <v>4.395620356098096</v>
      </c>
      <c r="BO254" s="85">
        <f t="shared" si="217"/>
        <v>1.0407216241392812</v>
      </c>
      <c r="BP254" s="85">
        <f t="shared" si="218"/>
        <v>4.3956203561029641</v>
      </c>
      <c r="BQ254" s="85">
        <f t="shared" si="219"/>
        <v>1.0407216241392361</v>
      </c>
      <c r="BR254" s="85">
        <f t="shared" si="220"/>
        <v>4.3956203561030591</v>
      </c>
      <c r="BS254" s="85">
        <f t="shared" si="221"/>
        <v>1.0407216241392352</v>
      </c>
      <c r="BT254" s="85">
        <f t="shared" si="222"/>
        <v>4.3956203561030618</v>
      </c>
      <c r="BU254" s="85">
        <f t="shared" si="223"/>
        <v>1.0407216241392352</v>
      </c>
      <c r="BV254" s="85">
        <f t="shared" si="224"/>
        <v>4.3956203561030618</v>
      </c>
      <c r="BW254" s="85">
        <f t="shared" si="225"/>
        <v>1.0407216241392352</v>
      </c>
    </row>
    <row r="255" spans="25:75" x14ac:dyDescent="0.4">
      <c r="Y255" s="142">
        <v>2.2216</v>
      </c>
      <c r="Z255" s="46">
        <f t="shared" si="226"/>
        <v>0.64608048323569389</v>
      </c>
      <c r="AA255" s="84">
        <f t="shared" si="227"/>
        <v>1.0805711208169633</v>
      </c>
      <c r="AB255" s="84">
        <f t="shared" si="228"/>
        <v>0.70253160498300715</v>
      </c>
      <c r="AC255" s="84">
        <f t="shared" si="229"/>
        <v>1.255144743961468</v>
      </c>
      <c r="AD255" s="84">
        <f t="shared" si="230"/>
        <v>0.65184695193700937</v>
      </c>
      <c r="AE255" s="84">
        <f t="shared" si="231"/>
        <v>1.2751677652734328</v>
      </c>
      <c r="AF255" s="84">
        <f t="shared" si="232"/>
        <v>0.6467089660592793</v>
      </c>
      <c r="AG255" s="84">
        <f t="shared" si="233"/>
        <v>1.2773771169120571</v>
      </c>
      <c r="AH255" s="84">
        <f t="shared" si="234"/>
        <v>0.64614945006113145</v>
      </c>
      <c r="AI255" s="84">
        <f t="shared" si="235"/>
        <v>1.2776198882629495</v>
      </c>
      <c r="AJ255" s="84">
        <f t="shared" si="236"/>
        <v>0.64608805698604521</v>
      </c>
      <c r="AK255" s="84">
        <f t="shared" si="237"/>
        <v>1.2776465527091281</v>
      </c>
      <c r="AL255" s="84">
        <f t="shared" si="238"/>
        <v>0.64608131503144461</v>
      </c>
      <c r="AM255" s="84">
        <f t="shared" si="239"/>
        <v>1.2776494812144699</v>
      </c>
      <c r="AN255" s="84">
        <f t="shared" si="240"/>
        <v>0.64608057458827362</v>
      </c>
      <c r="AO255" s="84">
        <f t="shared" si="241"/>
        <v>1.2776498028448711</v>
      </c>
      <c r="AP255" s="84">
        <f t="shared" si="242"/>
        <v>0.64608049326741124</v>
      </c>
      <c r="AQ255" s="84">
        <f t="shared" si="243"/>
        <v>1.2776498381687105</v>
      </c>
      <c r="AR255" s="84">
        <f t="shared" si="244"/>
        <v>0.64608048433615206</v>
      </c>
      <c r="AS255" s="84">
        <f t="shared" si="245"/>
        <v>1.2776498420482367</v>
      </c>
      <c r="AT255" s="84">
        <f t="shared" si="246"/>
        <v>0.64608048335525503</v>
      </c>
      <c r="AU255" s="84">
        <f t="shared" si="247"/>
        <v>1.277649842474315</v>
      </c>
      <c r="AV255" s="84">
        <f t="shared" si="248"/>
        <v>0.64608048324752554</v>
      </c>
      <c r="AW255" s="84">
        <f t="shared" si="249"/>
        <v>1.27764984252111</v>
      </c>
      <c r="AX255" s="84">
        <f t="shared" si="250"/>
        <v>0.64608048323569389</v>
      </c>
      <c r="AY255" s="142">
        <v>2.2216</v>
      </c>
      <c r="AZ255" s="46">
        <f t="shared" si="202"/>
        <v>4.530098269078076</v>
      </c>
      <c r="BA255" s="85">
        <f t="shared" si="203"/>
        <v>1.0805711208169633</v>
      </c>
      <c r="BB255" s="85">
        <f t="shared" si="204"/>
        <v>4.4432</v>
      </c>
      <c r="BC255" s="85">
        <f t="shared" si="205"/>
        <v>1.040285559956788</v>
      </c>
      <c r="BD255" s="85">
        <f t="shared" si="206"/>
        <v>4.5284153677976713</v>
      </c>
      <c r="BE255" s="85">
        <f t="shared" si="207"/>
        <v>1.0395274694262537</v>
      </c>
      <c r="BF255" s="85">
        <f t="shared" si="208"/>
        <v>4.5300662732598882</v>
      </c>
      <c r="BG255" s="85">
        <f t="shared" si="209"/>
        <v>1.0395130643135584</v>
      </c>
      <c r="BH255" s="85">
        <f t="shared" si="210"/>
        <v>4.5300976609794628</v>
      </c>
      <c r="BI255" s="85">
        <f t="shared" si="211"/>
        <v>1.0395127905391115</v>
      </c>
      <c r="BJ255" s="85">
        <f t="shared" si="212"/>
        <v>4.5300982575208959</v>
      </c>
      <c r="BK255" s="85">
        <f t="shared" si="213"/>
        <v>1.0395127853359094</v>
      </c>
      <c r="BL255" s="85">
        <f t="shared" si="214"/>
        <v>4.5300982688584268</v>
      </c>
      <c r="BM255" s="85">
        <f t="shared" si="215"/>
        <v>1.0395127852370203</v>
      </c>
      <c r="BN255" s="85">
        <f t="shared" si="216"/>
        <v>4.5300982690739016</v>
      </c>
      <c r="BO255" s="85">
        <f t="shared" si="217"/>
        <v>1.0395127852351407</v>
      </c>
      <c r="BP255" s="85">
        <f t="shared" si="218"/>
        <v>4.530098269077997</v>
      </c>
      <c r="BQ255" s="85">
        <f t="shared" si="219"/>
        <v>1.0395127852351052</v>
      </c>
      <c r="BR255" s="85">
        <f t="shared" si="220"/>
        <v>4.5300982690780742</v>
      </c>
      <c r="BS255" s="85">
        <f t="shared" si="221"/>
        <v>1.0395127852351043</v>
      </c>
      <c r="BT255" s="85">
        <f t="shared" si="222"/>
        <v>4.530098269078076</v>
      </c>
      <c r="BU255" s="85">
        <f t="shared" si="223"/>
        <v>1.0395127852351043</v>
      </c>
      <c r="BV255" s="85">
        <f t="shared" si="224"/>
        <v>4.530098269078076</v>
      </c>
      <c r="BW255" s="85">
        <f t="shared" si="225"/>
        <v>1.0395127852351043</v>
      </c>
    </row>
    <row r="256" spans="25:75" x14ac:dyDescent="0.4">
      <c r="Y256" s="142">
        <v>2.2909000000000002</v>
      </c>
      <c r="Z256" s="46">
        <f t="shared" si="226"/>
        <v>0.66787866174965327</v>
      </c>
      <c r="AA256" s="84">
        <f t="shared" si="227"/>
        <v>1.0781338343773357</v>
      </c>
      <c r="AB256" s="84">
        <f t="shared" si="228"/>
        <v>0.72444618916797399</v>
      </c>
      <c r="AC256" s="84">
        <f t="shared" si="229"/>
        <v>1.2473727474863652</v>
      </c>
      <c r="AD256" s="84">
        <f t="shared" si="230"/>
        <v>0.67351045892170291</v>
      </c>
      <c r="AE256" s="84">
        <f t="shared" si="231"/>
        <v>1.2662322172172529</v>
      </c>
      <c r="AF256" s="84">
        <f t="shared" si="232"/>
        <v>0.66847595495076051</v>
      </c>
      <c r="AG256" s="84">
        <f t="shared" si="233"/>
        <v>1.2682558872252838</v>
      </c>
      <c r="AH256" s="84">
        <f t="shared" si="234"/>
        <v>0.66794242113535807</v>
      </c>
      <c r="AI256" s="84">
        <f t="shared" si="235"/>
        <v>1.2684721770548999</v>
      </c>
      <c r="AJ256" s="84">
        <f t="shared" si="236"/>
        <v>0.66788547258180153</v>
      </c>
      <c r="AK256" s="84">
        <f t="shared" si="237"/>
        <v>1.2684952843901214</v>
      </c>
      <c r="AL256" s="84">
        <f t="shared" si="238"/>
        <v>0.66787938934129665</v>
      </c>
      <c r="AM256" s="84">
        <f t="shared" si="239"/>
        <v>1.2684977529526087</v>
      </c>
      <c r="AN256" s="84">
        <f t="shared" si="240"/>
        <v>0.66787873947699661</v>
      </c>
      <c r="AO256" s="84">
        <f t="shared" si="241"/>
        <v>1.2684980166685005</v>
      </c>
      <c r="AP256" s="84">
        <f t="shared" si="242"/>
        <v>0.66787867005227375</v>
      </c>
      <c r="AQ256" s="84">
        <f t="shared" si="243"/>
        <v>1.2684980448411864</v>
      </c>
      <c r="AR256" s="84">
        <f t="shared" si="244"/>
        <v>0.66787866263565365</v>
      </c>
      <c r="AS256" s="84">
        <f t="shared" si="245"/>
        <v>1.2684980478508656</v>
      </c>
      <c r="AT256" s="84">
        <f t="shared" si="246"/>
        <v>0.66787866184333844</v>
      </c>
      <c r="AU256" s="84">
        <f t="shared" si="247"/>
        <v>1.2684980481723886</v>
      </c>
      <c r="AV256" s="84">
        <f t="shared" si="248"/>
        <v>0.6678786617586957</v>
      </c>
      <c r="AW256" s="84">
        <f t="shared" si="249"/>
        <v>1.268498048206737</v>
      </c>
      <c r="AX256" s="84">
        <f t="shared" si="250"/>
        <v>0.66787866174965327</v>
      </c>
      <c r="AY256" s="142">
        <v>2.2909000000000002</v>
      </c>
      <c r="AZ256" s="46">
        <f t="shared" si="202"/>
        <v>4.6687740061207501</v>
      </c>
      <c r="BA256" s="85">
        <f t="shared" si="203"/>
        <v>1.0781338343773357</v>
      </c>
      <c r="BB256" s="85">
        <f t="shared" si="204"/>
        <v>4.5818000000000003</v>
      </c>
      <c r="BC256" s="85">
        <f t="shared" si="205"/>
        <v>1.03906691693221</v>
      </c>
      <c r="BD256" s="85">
        <f t="shared" si="206"/>
        <v>4.6671386920761497</v>
      </c>
      <c r="BE256" s="85">
        <f t="shared" si="207"/>
        <v>1.0383525778447296</v>
      </c>
      <c r="BF256" s="85">
        <f t="shared" si="208"/>
        <v>4.6687438050535066</v>
      </c>
      <c r="BG256" s="85">
        <f t="shared" si="209"/>
        <v>1.0383393922378545</v>
      </c>
      <c r="BH256" s="85">
        <f t="shared" si="210"/>
        <v>4.6687734485522698</v>
      </c>
      <c r="BI256" s="85">
        <f t="shared" si="211"/>
        <v>1.0383391488090956</v>
      </c>
      <c r="BJ256" s="85">
        <f t="shared" si="212"/>
        <v>4.6687739958270509</v>
      </c>
      <c r="BK256" s="85">
        <f t="shared" si="213"/>
        <v>1.0383391443149717</v>
      </c>
      <c r="BL256" s="85">
        <f t="shared" si="214"/>
        <v>4.6687740059307092</v>
      </c>
      <c r="BM256" s="85">
        <f t="shared" si="215"/>
        <v>1.0383391442320022</v>
      </c>
      <c r="BN256" s="85">
        <f t="shared" si="216"/>
        <v>4.6687740061172409</v>
      </c>
      <c r="BO256" s="85">
        <f t="shared" si="217"/>
        <v>1.0383391442304704</v>
      </c>
      <c r="BP256" s="85">
        <f t="shared" si="218"/>
        <v>4.6687740061206844</v>
      </c>
      <c r="BQ256" s="85">
        <f t="shared" si="219"/>
        <v>1.0383391442304422</v>
      </c>
      <c r="BR256" s="85">
        <f t="shared" si="220"/>
        <v>4.6687740061207474</v>
      </c>
      <c r="BS256" s="85">
        <f t="shared" si="221"/>
        <v>1.0383391442304415</v>
      </c>
      <c r="BT256" s="85">
        <f t="shared" si="222"/>
        <v>4.6687740061207501</v>
      </c>
      <c r="BU256" s="85">
        <f t="shared" si="223"/>
        <v>1.0383391442304415</v>
      </c>
      <c r="BV256" s="85">
        <f t="shared" si="224"/>
        <v>4.6687740061207501</v>
      </c>
      <c r="BW256" s="85">
        <f t="shared" si="225"/>
        <v>1.0383391442304415</v>
      </c>
    </row>
    <row r="257" spans="25:75" x14ac:dyDescent="0.4">
      <c r="Y257" s="142">
        <v>2.3622999999999998</v>
      </c>
      <c r="Z257" s="46">
        <f t="shared" si="226"/>
        <v>0.69034167445215433</v>
      </c>
      <c r="AA257" s="84">
        <f t="shared" si="227"/>
        <v>1.0757722561388865</v>
      </c>
      <c r="AB257" s="84">
        <f t="shared" si="228"/>
        <v>0.74702485166157617</v>
      </c>
      <c r="AC257" s="84">
        <f t="shared" si="229"/>
        <v>1.239850658264428</v>
      </c>
      <c r="AD257" s="84">
        <f t="shared" si="230"/>
        <v>0.69584182821756491</v>
      </c>
      <c r="AE257" s="84">
        <f t="shared" si="231"/>
        <v>1.2576167768078037</v>
      </c>
      <c r="AF257" s="84">
        <f t="shared" si="232"/>
        <v>0.69090933203152682</v>
      </c>
      <c r="AG257" s="84">
        <f t="shared" si="233"/>
        <v>1.2594707629117183</v>
      </c>
      <c r="AH257" s="84">
        <f t="shared" si="234"/>
        <v>0.690400623103262</v>
      </c>
      <c r="AI257" s="84">
        <f t="shared" si="235"/>
        <v>1.2596635116070702</v>
      </c>
      <c r="AJ257" s="84">
        <f t="shared" si="236"/>
        <v>0.69034779990518447</v>
      </c>
      <c r="AK257" s="84">
        <f t="shared" si="237"/>
        <v>1.2596835428329238</v>
      </c>
      <c r="AL257" s="84">
        <f t="shared" si="238"/>
        <v>0.69034231099975618</v>
      </c>
      <c r="AM257" s="84">
        <f t="shared" si="239"/>
        <v>1.259685624475017</v>
      </c>
      <c r="AN257" s="84">
        <f t="shared" si="240"/>
        <v>0.69034174060100784</v>
      </c>
      <c r="AO257" s="84">
        <f t="shared" si="241"/>
        <v>1.259685840798054</v>
      </c>
      <c r="AP257" s="84">
        <f t="shared" si="242"/>
        <v>0.69034168132558238</v>
      </c>
      <c r="AQ257" s="84">
        <f t="shared" si="243"/>
        <v>1.2596858632782084</v>
      </c>
      <c r="AR257" s="84">
        <f t="shared" si="244"/>
        <v>0.69034167516571832</v>
      </c>
      <c r="AS257" s="84">
        <f t="shared" si="245"/>
        <v>1.2596858656143319</v>
      </c>
      <c r="AT257" s="84">
        <f t="shared" si="246"/>
        <v>0.69034167452558903</v>
      </c>
      <c r="AU257" s="84">
        <f t="shared" si="247"/>
        <v>1.2596858658571004</v>
      </c>
      <c r="AV257" s="84">
        <f t="shared" si="248"/>
        <v>0.69034167445906724</v>
      </c>
      <c r="AW257" s="84">
        <f t="shared" si="249"/>
        <v>1.2596858658823287</v>
      </c>
      <c r="AX257" s="84">
        <f t="shared" si="250"/>
        <v>0.69034167445215433</v>
      </c>
      <c r="AY257" s="142">
        <v>2.3622999999999998</v>
      </c>
      <c r="AZ257" s="46">
        <f t="shared" si="202"/>
        <v>4.8116475570756148</v>
      </c>
      <c r="BA257" s="85">
        <f t="shared" si="203"/>
        <v>1.0757722561388865</v>
      </c>
      <c r="BB257" s="85">
        <f t="shared" si="204"/>
        <v>4.7245999999999997</v>
      </c>
      <c r="BC257" s="85">
        <f t="shared" si="205"/>
        <v>1.0378861279261737</v>
      </c>
      <c r="BD257" s="85">
        <f t="shared" si="206"/>
        <v>4.8100585390517159</v>
      </c>
      <c r="BE257" s="85">
        <f t="shared" si="207"/>
        <v>1.0372130190405726</v>
      </c>
      <c r="BF257" s="85">
        <f t="shared" si="208"/>
        <v>4.8116190516808448</v>
      </c>
      <c r="BG257" s="85">
        <f t="shared" si="209"/>
        <v>1.037200950049749</v>
      </c>
      <c r="BH257" s="85">
        <f t="shared" si="210"/>
        <v>4.8116470458787139</v>
      </c>
      <c r="BI257" s="85">
        <f t="shared" si="211"/>
        <v>1.0372007336143483</v>
      </c>
      <c r="BJ257" s="85">
        <f t="shared" si="212"/>
        <v>4.8116475479081995</v>
      </c>
      <c r="BK257" s="85">
        <f t="shared" si="213"/>
        <v>1.0372007297329615</v>
      </c>
      <c r="BL257" s="85">
        <f t="shared" si="214"/>
        <v>4.8116475569112138</v>
      </c>
      <c r="BM257" s="85">
        <f t="shared" si="215"/>
        <v>1.0372007296633556</v>
      </c>
      <c r="BN257" s="85">
        <f t="shared" si="216"/>
        <v>4.8116475570726669</v>
      </c>
      <c r="BO257" s="85">
        <f t="shared" si="217"/>
        <v>1.0372007296621075</v>
      </c>
      <c r="BP257" s="85">
        <f t="shared" si="218"/>
        <v>4.8116475570755615</v>
      </c>
      <c r="BQ257" s="85">
        <f t="shared" si="219"/>
        <v>1.0372007296620851</v>
      </c>
      <c r="BR257" s="85">
        <f t="shared" si="220"/>
        <v>4.8116475570756139</v>
      </c>
      <c r="BS257" s="85">
        <f t="shared" si="221"/>
        <v>1.0372007296620847</v>
      </c>
      <c r="BT257" s="85">
        <f t="shared" si="222"/>
        <v>4.8116475570756148</v>
      </c>
      <c r="BU257" s="85">
        <f t="shared" si="223"/>
        <v>1.0372007296620847</v>
      </c>
      <c r="BV257" s="85">
        <f t="shared" si="224"/>
        <v>4.8116475570756148</v>
      </c>
      <c r="BW257" s="85">
        <f t="shared" si="225"/>
        <v>1.0372007296620847</v>
      </c>
    </row>
    <row r="258" spans="25:75" x14ac:dyDescent="0.4">
      <c r="Y258" s="142">
        <v>2.4359000000000002</v>
      </c>
      <c r="Z258" s="46">
        <f t="shared" si="226"/>
        <v>0.7135012884349855</v>
      </c>
      <c r="AA258" s="84">
        <f t="shared" si="227"/>
        <v>1.0734828196491477</v>
      </c>
      <c r="AB258" s="84">
        <f t="shared" si="228"/>
        <v>0.77029921524041556</v>
      </c>
      <c r="AC258" s="84">
        <f t="shared" si="229"/>
        <v>1.232565701643384</v>
      </c>
      <c r="AD258" s="84">
        <f t="shared" si="230"/>
        <v>0.71887265723569338</v>
      </c>
      <c r="AE258" s="84">
        <f t="shared" si="231"/>
        <v>1.2493036071738264</v>
      </c>
      <c r="AF258" s="84">
        <f t="shared" si="232"/>
        <v>0.71404076658075233</v>
      </c>
      <c r="AG258" s="84">
        <f t="shared" si="233"/>
        <v>1.251002393698639</v>
      </c>
      <c r="AH258" s="84">
        <f t="shared" si="234"/>
        <v>0.71355578952765919</v>
      </c>
      <c r="AI258" s="84">
        <f t="shared" si="235"/>
        <v>1.2511741958882632</v>
      </c>
      <c r="AJ258" s="84">
        <f t="shared" si="236"/>
        <v>0.71350679768621139</v>
      </c>
      <c r="AK258" s="84">
        <f t="shared" si="237"/>
        <v>1.2511915643935243</v>
      </c>
      <c r="AL258" s="84">
        <f t="shared" si="238"/>
        <v>0.71350184537118244</v>
      </c>
      <c r="AM258" s="84">
        <f t="shared" si="239"/>
        <v>1.2511933202152303</v>
      </c>
      <c r="AN258" s="84">
        <f t="shared" si="240"/>
        <v>0.71350134473613003</v>
      </c>
      <c r="AO258" s="84">
        <f t="shared" si="241"/>
        <v>1.2511934977145889</v>
      </c>
      <c r="AP258" s="84">
        <f t="shared" si="242"/>
        <v>0.71350129412603824</v>
      </c>
      <c r="AQ258" s="84">
        <f t="shared" si="243"/>
        <v>1.25119351565833</v>
      </c>
      <c r="AR258" s="84">
        <f t="shared" si="244"/>
        <v>0.71350128900977028</v>
      </c>
      <c r="AS258" s="84">
        <f t="shared" si="245"/>
        <v>1.2511935174722963</v>
      </c>
      <c r="AT258" s="84">
        <f t="shared" si="246"/>
        <v>0.71350128849255712</v>
      </c>
      <c r="AU258" s="84">
        <f t="shared" si="247"/>
        <v>1.2511935176556737</v>
      </c>
      <c r="AV258" s="84">
        <f t="shared" si="248"/>
        <v>0.71350128844027116</v>
      </c>
      <c r="AW258" s="84">
        <f t="shared" si="249"/>
        <v>1.2511935176742115</v>
      </c>
      <c r="AX258" s="84">
        <f t="shared" si="250"/>
        <v>0.7135012884349855</v>
      </c>
      <c r="AY258" s="142">
        <v>2.4359000000000002</v>
      </c>
      <c r="AZ258" s="46">
        <f t="shared" si="202"/>
        <v>4.9589190181438152</v>
      </c>
      <c r="BA258" s="85">
        <f t="shared" si="203"/>
        <v>1.0734828196491477</v>
      </c>
      <c r="BB258" s="85">
        <f t="shared" si="204"/>
        <v>4.8718000000000004</v>
      </c>
      <c r="BC258" s="85">
        <f t="shared" si="205"/>
        <v>1.0367414097458845</v>
      </c>
      <c r="BD258" s="85">
        <f t="shared" si="206"/>
        <v>4.957375058441734</v>
      </c>
      <c r="BE258" s="85">
        <f t="shared" si="207"/>
        <v>1.0361071732297504</v>
      </c>
      <c r="BF258" s="85">
        <f t="shared" si="208"/>
        <v>4.9588921154386298</v>
      </c>
      <c r="BG258" s="85">
        <f t="shared" si="209"/>
        <v>1.036096127085065</v>
      </c>
      <c r="BH258" s="85">
        <f t="shared" si="210"/>
        <v>4.9589185495176489</v>
      </c>
      <c r="BI258" s="85">
        <f t="shared" si="211"/>
        <v>1.0360959346705565</v>
      </c>
      <c r="BJ258" s="85">
        <f t="shared" si="212"/>
        <v>4.9589190099807192</v>
      </c>
      <c r="BK258" s="85">
        <f t="shared" si="213"/>
        <v>1.0360959313188491</v>
      </c>
      <c r="BL258" s="85">
        <f t="shared" si="214"/>
        <v>4.9589190180016205</v>
      </c>
      <c r="BM258" s="85">
        <f t="shared" si="215"/>
        <v>1.0360959312604652</v>
      </c>
      <c r="BN258" s="85">
        <f t="shared" si="216"/>
        <v>4.9589190181413381</v>
      </c>
      <c r="BO258" s="85">
        <f t="shared" si="217"/>
        <v>1.0360959312594482</v>
      </c>
      <c r="BP258" s="85">
        <f t="shared" si="218"/>
        <v>4.9589190181437717</v>
      </c>
      <c r="BQ258" s="85">
        <f t="shared" si="219"/>
        <v>1.0360959312594304</v>
      </c>
      <c r="BR258" s="85">
        <f t="shared" si="220"/>
        <v>4.9589190181438143</v>
      </c>
      <c r="BS258" s="85">
        <f t="shared" si="221"/>
        <v>1.0360959312594302</v>
      </c>
      <c r="BT258" s="85">
        <f t="shared" si="222"/>
        <v>4.9589190181438152</v>
      </c>
      <c r="BU258" s="85">
        <f t="shared" si="223"/>
        <v>1.0360959312594302</v>
      </c>
      <c r="BV258" s="85">
        <f t="shared" si="224"/>
        <v>4.9589190181438152</v>
      </c>
      <c r="BW258" s="85">
        <f t="shared" si="225"/>
        <v>1.0360959312594302</v>
      </c>
    </row>
    <row r="259" spans="25:75" x14ac:dyDescent="0.4">
      <c r="Y259" s="142">
        <v>2.5118999999999998</v>
      </c>
      <c r="Z259" s="46">
        <f t="shared" si="226"/>
        <v>0.73742074796925272</v>
      </c>
      <c r="AA259" s="84">
        <f t="shared" si="227"/>
        <v>1.0712595247474535</v>
      </c>
      <c r="AB259" s="84">
        <f t="shared" si="228"/>
        <v>0.79433252545769506</v>
      </c>
      <c r="AC259" s="84">
        <f t="shared" si="229"/>
        <v>1.2254975482030583</v>
      </c>
      <c r="AD259" s="84">
        <f t="shared" si="230"/>
        <v>0.742665878254965</v>
      </c>
      <c r="AE259" s="84">
        <f t="shared" si="231"/>
        <v>1.2412666175732192</v>
      </c>
      <c r="AF259" s="84">
        <f t="shared" si="232"/>
        <v>0.73793338066142411</v>
      </c>
      <c r="AG259" s="84">
        <f t="shared" si="233"/>
        <v>1.2428231712656839</v>
      </c>
      <c r="AH259" s="84">
        <f t="shared" si="234"/>
        <v>0.73747112954353267</v>
      </c>
      <c r="AI259" s="84">
        <f t="shared" si="235"/>
        <v>1.2429762983621024</v>
      </c>
      <c r="AJ259" s="84">
        <f t="shared" si="236"/>
        <v>0.73742570217251358</v>
      </c>
      <c r="AK259" s="84">
        <f t="shared" si="237"/>
        <v>1.2429913573473237</v>
      </c>
      <c r="AL259" s="84">
        <f t="shared" si="238"/>
        <v>0.73742123515980273</v>
      </c>
      <c r="AM259" s="84">
        <f t="shared" si="239"/>
        <v>1.2429928382454403</v>
      </c>
      <c r="AN259" s="84">
        <f t="shared" si="240"/>
        <v>0.73742079587889542</v>
      </c>
      <c r="AO259" s="84">
        <f t="shared" si="241"/>
        <v>1.2429929838762483</v>
      </c>
      <c r="AP259" s="84">
        <f t="shared" si="242"/>
        <v>0.73742075268026486</v>
      </c>
      <c r="AQ259" s="84">
        <f t="shared" si="243"/>
        <v>1.2429929981975074</v>
      </c>
      <c r="AR259" s="84">
        <f t="shared" si="244"/>
        <v>0.73742074843213401</v>
      </c>
      <c r="AS259" s="84">
        <f t="shared" si="245"/>
        <v>1.2429929996058526</v>
      </c>
      <c r="AT259" s="84">
        <f t="shared" si="246"/>
        <v>0.73742074801437507</v>
      </c>
      <c r="AU259" s="84">
        <f t="shared" si="247"/>
        <v>1.2429929997443485</v>
      </c>
      <c r="AV259" s="84">
        <f t="shared" si="248"/>
        <v>0.73742074797329282</v>
      </c>
      <c r="AW259" s="84">
        <f t="shared" si="249"/>
        <v>1.2429929997579683</v>
      </c>
      <c r="AX259" s="84">
        <f t="shared" si="250"/>
        <v>0.73742074796925272</v>
      </c>
      <c r="AY259" s="142">
        <v>2.5118999999999998</v>
      </c>
      <c r="AZ259" s="46">
        <f t="shared" si="202"/>
        <v>5.1109885631048959</v>
      </c>
      <c r="BA259" s="85">
        <f t="shared" si="203"/>
        <v>1.0712595247474535</v>
      </c>
      <c r="BB259" s="85">
        <f t="shared" si="204"/>
        <v>5.0237999999999996</v>
      </c>
      <c r="BC259" s="85">
        <f t="shared" si="205"/>
        <v>1.0356297623313031</v>
      </c>
      <c r="BD259" s="85">
        <f t="shared" si="206"/>
        <v>5.1094885271705044</v>
      </c>
      <c r="BE259" s="85">
        <f t="shared" si="207"/>
        <v>1.0350322344493301</v>
      </c>
      <c r="BF259" s="85">
        <f t="shared" si="208"/>
        <v>5.1109631775471858</v>
      </c>
      <c r="BG259" s="85">
        <f t="shared" si="209"/>
        <v>1.0350221267072213</v>
      </c>
      <c r="BH259" s="85">
        <f t="shared" si="210"/>
        <v>5.1109881336183021</v>
      </c>
      <c r="BI259" s="85">
        <f t="shared" si="211"/>
        <v>1.0350219557002336</v>
      </c>
      <c r="BJ259" s="85">
        <f t="shared" si="212"/>
        <v>5.1109885558386443</v>
      </c>
      <c r="BK259" s="85">
        <f t="shared" si="213"/>
        <v>1.035021952807059</v>
      </c>
      <c r="BL259" s="85">
        <f t="shared" si="214"/>
        <v>5.1109885629819622</v>
      </c>
      <c r="BM259" s="85">
        <f t="shared" si="215"/>
        <v>1.035021952758111</v>
      </c>
      <c r="BN259" s="85">
        <f t="shared" si="216"/>
        <v>5.1109885631028167</v>
      </c>
      <c r="BO259" s="85">
        <f t="shared" si="217"/>
        <v>1.0350219527572828</v>
      </c>
      <c r="BP259" s="85">
        <f t="shared" si="218"/>
        <v>5.1109885631048613</v>
      </c>
      <c r="BQ259" s="85">
        <f t="shared" si="219"/>
        <v>1.0350219527572688</v>
      </c>
      <c r="BR259" s="85">
        <f t="shared" si="220"/>
        <v>5.1109885631048959</v>
      </c>
      <c r="BS259" s="85">
        <f t="shared" si="221"/>
        <v>1.0350219527572686</v>
      </c>
      <c r="BT259" s="85">
        <f t="shared" si="222"/>
        <v>5.1109885631048959</v>
      </c>
      <c r="BU259" s="85">
        <f t="shared" si="223"/>
        <v>1.0350219527572686</v>
      </c>
      <c r="BV259" s="85">
        <f t="shared" si="224"/>
        <v>5.1109885631048959</v>
      </c>
      <c r="BW259" s="85">
        <f t="shared" si="225"/>
        <v>1.0350219527572686</v>
      </c>
    </row>
    <row r="260" spans="25:75" x14ac:dyDescent="0.4">
      <c r="Y260" s="142">
        <v>2.5901999999999998</v>
      </c>
      <c r="Z260" s="46">
        <f t="shared" si="226"/>
        <v>0.76206887424758218</v>
      </c>
      <c r="AA260" s="84">
        <f t="shared" si="227"/>
        <v>1.0691053973115596</v>
      </c>
      <c r="AB260" s="84">
        <f t="shared" si="228"/>
        <v>0.8190931595368135</v>
      </c>
      <c r="AC260" s="84">
        <f t="shared" si="229"/>
        <v>1.2186547166175836</v>
      </c>
      <c r="AD260" s="84">
        <f t="shared" si="230"/>
        <v>0.76719051205678612</v>
      </c>
      <c r="AE260" s="84">
        <f t="shared" si="231"/>
        <v>1.2335127727656789</v>
      </c>
      <c r="AF260" s="84">
        <f t="shared" si="232"/>
        <v>0.76255598605512098</v>
      </c>
      <c r="AG260" s="84">
        <f t="shared" si="233"/>
        <v>1.2349392393931145</v>
      </c>
      <c r="AH260" s="84">
        <f t="shared" si="234"/>
        <v>0.76211544820191734</v>
      </c>
      <c r="AI260" s="84">
        <f t="shared" si="235"/>
        <v>1.2350757496796392</v>
      </c>
      <c r="AJ260" s="84">
        <f t="shared" si="236"/>
        <v>0.7620733295411305</v>
      </c>
      <c r="AK260" s="84">
        <f t="shared" si="237"/>
        <v>1.2350888094593626</v>
      </c>
      <c r="AL260" s="84">
        <f t="shared" si="238"/>
        <v>0.76206930046401056</v>
      </c>
      <c r="AM260" s="84">
        <f t="shared" si="239"/>
        <v>1.2350900588365636</v>
      </c>
      <c r="AN260" s="84">
        <f t="shared" si="240"/>
        <v>0.76206891502157126</v>
      </c>
      <c r="AO260" s="84">
        <f t="shared" si="241"/>
        <v>1.2350901783591774</v>
      </c>
      <c r="AP260" s="84">
        <f t="shared" si="242"/>
        <v>0.76206887814795965</v>
      </c>
      <c r="AQ260" s="84">
        <f t="shared" si="243"/>
        <v>1.2350901897933955</v>
      </c>
      <c r="AR260" s="84">
        <f t="shared" si="244"/>
        <v>0.76206887462041906</v>
      </c>
      <c r="AS260" s="84">
        <f t="shared" si="245"/>
        <v>1.2350901908872582</v>
      </c>
      <c r="AT260" s="84">
        <f t="shared" si="246"/>
        <v>0.76206887428295433</v>
      </c>
      <c r="AU260" s="84">
        <f t="shared" si="247"/>
        <v>1.2350901909919034</v>
      </c>
      <c r="AV260" s="84">
        <f t="shared" si="248"/>
        <v>0.76206887425067049</v>
      </c>
      <c r="AW260" s="84">
        <f t="shared" si="249"/>
        <v>1.2350901910019143</v>
      </c>
      <c r="AX260" s="84">
        <f t="shared" si="250"/>
        <v>0.76206887424758218</v>
      </c>
      <c r="AY260" s="142">
        <v>2.5901999999999998</v>
      </c>
      <c r="AZ260" s="46">
        <f t="shared" si="202"/>
        <v>5.2676560844486771</v>
      </c>
      <c r="BA260" s="85">
        <f t="shared" si="203"/>
        <v>1.0691053973115596</v>
      </c>
      <c r="BB260" s="85">
        <f t="shared" si="204"/>
        <v>5.1803999999999997</v>
      </c>
      <c r="BC260" s="85">
        <f t="shared" si="205"/>
        <v>1.0345526986333102</v>
      </c>
      <c r="BD260" s="85">
        <f t="shared" si="206"/>
        <v>5.26619876366696</v>
      </c>
      <c r="BE260" s="85">
        <f t="shared" si="207"/>
        <v>1.0339897539065466</v>
      </c>
      <c r="BF260" s="85">
        <f t="shared" si="208"/>
        <v>5.267632131557864</v>
      </c>
      <c r="BG260" s="85">
        <f t="shared" si="209"/>
        <v>1.0339805050029307</v>
      </c>
      <c r="BH260" s="85">
        <f t="shared" si="210"/>
        <v>5.2676556908574277</v>
      </c>
      <c r="BI260" s="85">
        <f t="shared" si="211"/>
        <v>1.033980353026996</v>
      </c>
      <c r="BJ260" s="85">
        <f t="shared" si="212"/>
        <v>5.2676560779812576</v>
      </c>
      <c r="BK260" s="85">
        <f t="shared" si="213"/>
        <v>1.0339803505297556</v>
      </c>
      <c r="BL260" s="85">
        <f t="shared" si="214"/>
        <v>5.2676560843424056</v>
      </c>
      <c r="BM260" s="85">
        <f t="shared" si="215"/>
        <v>1.0339803504887213</v>
      </c>
      <c r="BN260" s="85">
        <f t="shared" si="216"/>
        <v>5.2676560844469309</v>
      </c>
      <c r="BO260" s="85">
        <f t="shared" si="217"/>
        <v>1.0339803504880469</v>
      </c>
      <c r="BP260" s="85">
        <f t="shared" si="218"/>
        <v>5.2676560844486486</v>
      </c>
      <c r="BQ260" s="85">
        <f t="shared" si="219"/>
        <v>1.0339803504880358</v>
      </c>
      <c r="BR260" s="85">
        <f t="shared" si="220"/>
        <v>5.2676560844486771</v>
      </c>
      <c r="BS260" s="85">
        <f t="shared" si="221"/>
        <v>1.0339803504880358</v>
      </c>
      <c r="BT260" s="85">
        <f t="shared" si="222"/>
        <v>5.2676560844486771</v>
      </c>
      <c r="BU260" s="85">
        <f t="shared" si="223"/>
        <v>1.0339803504880358</v>
      </c>
      <c r="BV260" s="85">
        <f t="shared" si="224"/>
        <v>5.2676560844486771</v>
      </c>
      <c r="BW260" s="85">
        <f t="shared" si="225"/>
        <v>1.0339803504880358</v>
      </c>
    </row>
    <row r="261" spans="25:75" x14ac:dyDescent="0.4">
      <c r="Y261" s="142">
        <v>2.6709999999999998</v>
      </c>
      <c r="Z261" s="46">
        <f t="shared" si="226"/>
        <v>0.78750890094485615</v>
      </c>
      <c r="AA261" s="84">
        <f t="shared" si="227"/>
        <v>1.0670149008095686</v>
      </c>
      <c r="AB261" s="84">
        <f t="shared" si="228"/>
        <v>0.84464436303097401</v>
      </c>
      <c r="AC261" s="84">
        <f t="shared" si="229"/>
        <v>1.2120186428901256</v>
      </c>
      <c r="AD261" s="84">
        <f t="shared" si="230"/>
        <v>0.79250950595130776</v>
      </c>
      <c r="AE261" s="84">
        <f t="shared" si="231"/>
        <v>1.2260184683491175</v>
      </c>
      <c r="AF261" s="84">
        <f t="shared" si="232"/>
        <v>0.78797170719860321</v>
      </c>
      <c r="AG261" s="84">
        <f t="shared" si="233"/>
        <v>1.2273257299187985</v>
      </c>
      <c r="AH261" s="84">
        <f t="shared" si="234"/>
        <v>0.78755194920545435</v>
      </c>
      <c r="AI261" s="84">
        <f t="shared" si="235"/>
        <v>1.2274474262661332</v>
      </c>
      <c r="AJ261" s="84">
        <f t="shared" si="236"/>
        <v>0.78751290697471976</v>
      </c>
      <c r="AK261" s="84">
        <f t="shared" si="237"/>
        <v>1.2274587520823976</v>
      </c>
      <c r="AL261" s="84">
        <f t="shared" si="238"/>
        <v>0.78750927375810464</v>
      </c>
      <c r="AM261" s="84">
        <f t="shared" si="239"/>
        <v>1.2274598061052528</v>
      </c>
      <c r="AN261" s="84">
        <f t="shared" si="240"/>
        <v>0.78750893563992452</v>
      </c>
      <c r="AO261" s="84">
        <f t="shared" si="241"/>
        <v>1.2274599041963243</v>
      </c>
      <c r="AP261" s="84">
        <f t="shared" si="242"/>
        <v>0.78750890417348052</v>
      </c>
      <c r="AQ261" s="84">
        <f t="shared" si="243"/>
        <v>1.2274599133250221</v>
      </c>
      <c r="AR261" s="84">
        <f t="shared" si="244"/>
        <v>0.78750890124510342</v>
      </c>
      <c r="AS261" s="84">
        <f t="shared" si="245"/>
        <v>1.2274599141745708</v>
      </c>
      <c r="AT261" s="84">
        <f t="shared" si="246"/>
        <v>0.78750890097257853</v>
      </c>
      <c r="AU261" s="84">
        <f t="shared" si="247"/>
        <v>1.2274599142536327</v>
      </c>
      <c r="AV261" s="84">
        <f t="shared" si="248"/>
        <v>0.78750890094721637</v>
      </c>
      <c r="AW261" s="84">
        <f t="shared" si="249"/>
        <v>1.2274599142609903</v>
      </c>
      <c r="AX261" s="84">
        <f t="shared" si="250"/>
        <v>0.78750890094485615</v>
      </c>
      <c r="AY261" s="142">
        <v>2.6709999999999998</v>
      </c>
      <c r="AZ261" s="46">
        <f t="shared" ref="AZ261:AZ304" si="251">BV261</f>
        <v>5.4293217434245697</v>
      </c>
      <c r="BA261" s="85">
        <f t="shared" ref="BA261:BA304" si="252">(1+0.0712/$AY261*(2.514+0.8*EXP(-0.55*$AY261/0.0712)))</f>
        <v>1.0670149008095686</v>
      </c>
      <c r="BB261" s="85">
        <f t="shared" ref="BB261:BB304" si="253">AY261*SQRT($AZ$1/(1*1))</f>
        <v>5.3419999999999996</v>
      </c>
      <c r="BC261" s="85">
        <f t="shared" ref="BC261:BC304" si="254">(1+0.0712/BB261*(2.514+0.8*EXP(-0.55*BB261/0.0712)))</f>
        <v>1.0335074503931112</v>
      </c>
      <c r="BD261" s="85">
        <f t="shared" ref="BD261:BD304" si="255">$AY261*SQRT(($AZ$1*$BA261)/(1*1*BC261))</f>
        <v>5.4279060252753082</v>
      </c>
      <c r="BE261" s="85">
        <f t="shared" ref="BE261:BE304" si="256">(1+0.0712/BD261*(2.514+0.8*EXP(-0.55*BD261/0.0712)))</f>
        <v>1.0329771368860281</v>
      </c>
      <c r="BF261" s="85">
        <f t="shared" ref="BF261:BF304" si="257">$AY261*SQRT(($AZ$1*$BA261)/(1*1*BE261))</f>
        <v>5.4292991454276285</v>
      </c>
      <c r="BG261" s="85">
        <f t="shared" ref="BG261:BG304" si="258">(1+0.0712/BF261*(2.514+0.8*EXP(-0.55*BF261/0.0712)))</f>
        <v>1.0329686751835632</v>
      </c>
      <c r="BH261" s="85">
        <f t="shared" ref="BH261:BH304" si="259">$AY261*SQRT(($AZ$1*$BA261)/(1*1*BG261))</f>
        <v>5.4293213828008335</v>
      </c>
      <c r="BI261" s="85">
        <f t="shared" ref="BI261:BI304" si="260">(1+0.0712/BH261*(2.514+0.8*EXP(-0.55*BH261/0.0712)))</f>
        <v>1.032968540150714</v>
      </c>
      <c r="BJ261" s="85">
        <f t="shared" ref="BJ261:BJ304" si="261">$AY261*SQRT(($AZ$1*$BA261)/(1*1*BI261))</f>
        <v>5.4293217376696816</v>
      </c>
      <c r="BK261" s="85">
        <f t="shared" ref="BK261:BK304" si="262">(1+0.0712/BJ261*(2.514+0.8*EXP(-0.55*BJ261/0.0712)))</f>
        <v>1.0329685379958395</v>
      </c>
      <c r="BL261" s="85">
        <f t="shared" ref="BL261:BL304" si="263">$AY261*SQRT(($AZ$1*$BA261)/(1*1*BK261))</f>
        <v>5.4293217433327321</v>
      </c>
      <c r="BM261" s="85">
        <f t="shared" ref="BM261:BM304" si="264">(1+0.0712/BL261*(2.514+0.8*EXP(-0.55*BL261/0.0712)))</f>
        <v>1.0329685379614517</v>
      </c>
      <c r="BN261" s="85">
        <f t="shared" ref="BN261:BN304" si="265">$AY261*SQRT(($AZ$1*$BA261)/(1*1*BM261))</f>
        <v>5.4293217434231043</v>
      </c>
      <c r="BO261" s="85">
        <f t="shared" ref="BO261:BO304" si="266">(1+0.0712/BN261*(2.514+0.8*EXP(-0.55*BN261/0.0712)))</f>
        <v>1.0329685379609028</v>
      </c>
      <c r="BP261" s="85">
        <f t="shared" ref="BP261:BP304" si="267">$AY261*SQRT(($AZ$1*$BA261)/(1*1*BO261))</f>
        <v>5.4293217434245467</v>
      </c>
      <c r="BQ261" s="85">
        <f t="shared" ref="BQ261:BQ304" si="268">(1+0.0712/BP261*(2.514+0.8*EXP(-0.55*BP261/0.0712)))</f>
        <v>1.0329685379608942</v>
      </c>
      <c r="BR261" s="85">
        <f t="shared" ref="BR261:BR304" si="269">$AY261*SQRT(($AZ$1*$BA261)/(1*1*BQ261))</f>
        <v>5.4293217434245689</v>
      </c>
      <c r="BS261" s="85">
        <f t="shared" ref="BS261:BS304" si="270">(1+0.0712/BR261*(2.514+0.8*EXP(-0.55*BR261/0.0712)))</f>
        <v>1.0329685379608939</v>
      </c>
      <c r="BT261" s="85">
        <f t="shared" ref="BT261:BT304" si="271">$AY261*SQRT(($AZ$1*$BA261)/(1*1*BS261))</f>
        <v>5.4293217434245697</v>
      </c>
      <c r="BU261" s="85">
        <f t="shared" ref="BU261:BU304" si="272">(1+0.0712/BT261*(2.514+0.8*EXP(-0.55*BT261/0.0712)))</f>
        <v>1.0329685379608939</v>
      </c>
      <c r="BV261" s="85">
        <f t="shared" ref="BV261:BV304" si="273">$AY261*SQRT(($AZ$1*$BA261)/(1*1*BU261))</f>
        <v>5.4293217434245697</v>
      </c>
      <c r="BW261" s="85">
        <f t="shared" ref="BW261:BW304" si="274">(1+0.0712/BV261*(2.514+0.8*EXP(-0.55*BV261/0.0712)))</f>
        <v>1.0329685379608939</v>
      </c>
    </row>
    <row r="262" spans="25:75" x14ac:dyDescent="0.4">
      <c r="Y262" s="142">
        <v>2.7542</v>
      </c>
      <c r="Z262" s="46">
        <f t="shared" si="226"/>
        <v>0.81370959810677057</v>
      </c>
      <c r="AA262" s="84">
        <f t="shared" si="227"/>
        <v>1.0649904872677338</v>
      </c>
      <c r="AB262" s="84">
        <f t="shared" si="228"/>
        <v>0.87095451316357497</v>
      </c>
      <c r="AC262" s="84">
        <f t="shared" si="229"/>
        <v>1.2055962537200575</v>
      </c>
      <c r="AD262" s="84">
        <f t="shared" si="230"/>
        <v>0.81859180648015439</v>
      </c>
      <c r="AE262" s="84">
        <f t="shared" si="231"/>
        <v>1.2187891159104809</v>
      </c>
      <c r="AF262" s="84">
        <f t="shared" si="232"/>
        <v>0.81414930155288168</v>
      </c>
      <c r="AG262" s="84">
        <f t="shared" si="233"/>
        <v>1.2199873470254445</v>
      </c>
      <c r="AH262" s="84">
        <f t="shared" si="234"/>
        <v>0.81374938811076691</v>
      </c>
      <c r="AI262" s="84">
        <f t="shared" si="235"/>
        <v>1.2200958608662025</v>
      </c>
      <c r="AJ262" s="84">
        <f t="shared" si="236"/>
        <v>0.81371320036608641</v>
      </c>
      <c r="AK262" s="84">
        <f t="shared" si="237"/>
        <v>1.2201056854928316</v>
      </c>
      <c r="AL262" s="84">
        <f t="shared" si="238"/>
        <v>0.81370992423822086</v>
      </c>
      <c r="AM262" s="84">
        <f t="shared" si="239"/>
        <v>1.220106574973858</v>
      </c>
      <c r="AN262" s="84">
        <f t="shared" si="240"/>
        <v>0.81370962763311872</v>
      </c>
      <c r="AO262" s="84">
        <f t="shared" si="241"/>
        <v>1.2201066555036153</v>
      </c>
      <c r="AP262" s="84">
        <f t="shared" si="242"/>
        <v>0.81370960077979426</v>
      </c>
      <c r="AQ262" s="84">
        <f t="shared" si="243"/>
        <v>1.2201066627944293</v>
      </c>
      <c r="AR262" s="84">
        <f t="shared" si="244"/>
        <v>0.81370959834861112</v>
      </c>
      <c r="AS262" s="84">
        <f t="shared" si="245"/>
        <v>1.2201066634545079</v>
      </c>
      <c r="AT262" s="84">
        <f t="shared" si="246"/>
        <v>0.81370959812850241</v>
      </c>
      <c r="AU262" s="84">
        <f t="shared" si="247"/>
        <v>1.2201066635142686</v>
      </c>
      <c r="AV262" s="84">
        <f t="shared" si="248"/>
        <v>0.81370959810857468</v>
      </c>
      <c r="AW262" s="84">
        <f t="shared" si="249"/>
        <v>1.2201066635196789</v>
      </c>
      <c r="AX262" s="84">
        <f t="shared" si="250"/>
        <v>0.81370959810677057</v>
      </c>
      <c r="AY262" s="142">
        <v>2.7542</v>
      </c>
      <c r="AZ262" s="46">
        <f t="shared" si="251"/>
        <v>5.5957854513308938</v>
      </c>
      <c r="BA262" s="85">
        <f t="shared" si="252"/>
        <v>1.0649904872677338</v>
      </c>
      <c r="BB262" s="85">
        <f t="shared" si="253"/>
        <v>5.5084</v>
      </c>
      <c r="BC262" s="85">
        <f t="shared" si="254"/>
        <v>1.0324952436279138</v>
      </c>
      <c r="BD262" s="85">
        <f t="shared" si="255"/>
        <v>5.5944101614493729</v>
      </c>
      <c r="BE262" s="85">
        <f t="shared" si="256"/>
        <v>1.0319956518800593</v>
      </c>
      <c r="BF262" s="85">
        <f t="shared" si="257"/>
        <v>5.5957641317739606</v>
      </c>
      <c r="BG262" s="85">
        <f t="shared" si="258"/>
        <v>1.0319879101021463</v>
      </c>
      <c r="BH262" s="85">
        <f t="shared" si="259"/>
        <v>5.5957851209161253</v>
      </c>
      <c r="BI262" s="85">
        <f t="shared" si="260"/>
        <v>1.0319877901191987</v>
      </c>
      <c r="BJ262" s="85">
        <f t="shared" si="261"/>
        <v>5.5957854462100771</v>
      </c>
      <c r="BK262" s="85">
        <f t="shared" si="262"/>
        <v>1.031987788259686</v>
      </c>
      <c r="BL262" s="85">
        <f t="shared" si="263"/>
        <v>5.5957854512515297</v>
      </c>
      <c r="BM262" s="85">
        <f t="shared" si="264"/>
        <v>1.031987788230867</v>
      </c>
      <c r="BN262" s="85">
        <f t="shared" si="265"/>
        <v>5.5957854513296628</v>
      </c>
      <c r="BO262" s="85">
        <f t="shared" si="266"/>
        <v>1.0319877882304203</v>
      </c>
      <c r="BP262" s="85">
        <f t="shared" si="267"/>
        <v>5.5957854513308742</v>
      </c>
      <c r="BQ262" s="85">
        <f t="shared" si="268"/>
        <v>1.0319877882304134</v>
      </c>
      <c r="BR262" s="85">
        <f t="shared" si="269"/>
        <v>5.595785451330892</v>
      </c>
      <c r="BS262" s="85">
        <f t="shared" si="270"/>
        <v>1.0319877882304132</v>
      </c>
      <c r="BT262" s="85">
        <f t="shared" si="271"/>
        <v>5.5957854513308938</v>
      </c>
      <c r="BU262" s="85">
        <f t="shared" si="272"/>
        <v>1.0319877882304132</v>
      </c>
      <c r="BV262" s="85">
        <f t="shared" si="273"/>
        <v>5.5957854513308938</v>
      </c>
      <c r="BW262" s="85">
        <f t="shared" si="274"/>
        <v>1.0319877882304132</v>
      </c>
    </row>
    <row r="263" spans="25:75" x14ac:dyDescent="0.4">
      <c r="Y263" s="142">
        <v>2.8401000000000001</v>
      </c>
      <c r="Z263" s="46">
        <f t="shared" si="226"/>
        <v>0.84076568180742806</v>
      </c>
      <c r="AA263" s="84">
        <f t="shared" si="227"/>
        <v>1.0630248230755568</v>
      </c>
      <c r="AB263" s="84">
        <f t="shared" si="228"/>
        <v>0.89811847826442137</v>
      </c>
      <c r="AC263" s="84">
        <f t="shared" si="229"/>
        <v>1.1993635397221447</v>
      </c>
      <c r="AD263" s="84">
        <f t="shared" si="230"/>
        <v>0.84553173745329968</v>
      </c>
      <c r="AE263" s="84">
        <f t="shared" si="231"/>
        <v>1.2117954570811906</v>
      </c>
      <c r="AF263" s="84">
        <f t="shared" si="232"/>
        <v>0.84118336346913247</v>
      </c>
      <c r="AG263" s="84">
        <f t="shared" si="233"/>
        <v>1.2128936724763268</v>
      </c>
      <c r="AH263" s="84">
        <f t="shared" si="234"/>
        <v>0.84080245220315009</v>
      </c>
      <c r="AI263" s="84">
        <f t="shared" si="235"/>
        <v>1.212990421095685</v>
      </c>
      <c r="AJ263" s="84">
        <f t="shared" si="236"/>
        <v>0.84076892015825067</v>
      </c>
      <c r="AK263" s="84">
        <f t="shared" si="237"/>
        <v>1.212998942225556</v>
      </c>
      <c r="AL263" s="84">
        <f t="shared" si="238"/>
        <v>0.84076596701728201</v>
      </c>
      <c r="AM263" s="84">
        <f t="shared" si="239"/>
        <v>1.2129996927076943</v>
      </c>
      <c r="AN263" s="84">
        <f t="shared" si="240"/>
        <v>0.8407657069265575</v>
      </c>
      <c r="AO263" s="84">
        <f t="shared" si="241"/>
        <v>1.2129997588048425</v>
      </c>
      <c r="AP263" s="84">
        <f t="shared" si="242"/>
        <v>0.84076568401962104</v>
      </c>
      <c r="AQ263" s="84">
        <f t="shared" si="243"/>
        <v>1.2129997646262101</v>
      </c>
      <c r="AR263" s="84">
        <f t="shared" si="244"/>
        <v>0.84076568200214086</v>
      </c>
      <c r="AS263" s="84">
        <f t="shared" si="245"/>
        <v>1.2129997651389148</v>
      </c>
      <c r="AT263" s="84">
        <f t="shared" si="246"/>
        <v>0.84076568182445555</v>
      </c>
      <c r="AU263" s="84">
        <f t="shared" si="247"/>
        <v>1.21299976518407</v>
      </c>
      <c r="AV263" s="84">
        <f t="shared" si="248"/>
        <v>0.8407656818088064</v>
      </c>
      <c r="AW263" s="84">
        <f t="shared" si="249"/>
        <v>1.2129997651880471</v>
      </c>
      <c r="AX263" s="84">
        <f t="shared" si="250"/>
        <v>0.84076568180742806</v>
      </c>
      <c r="AY263" s="142">
        <v>2.8401000000000001</v>
      </c>
      <c r="AZ263" s="46">
        <f t="shared" si="251"/>
        <v>5.7676474280048335</v>
      </c>
      <c r="BA263" s="85">
        <f t="shared" si="252"/>
        <v>1.0630248230755568</v>
      </c>
      <c r="BB263" s="85">
        <f t="shared" si="253"/>
        <v>5.6802000000000001</v>
      </c>
      <c r="BC263" s="85">
        <f t="shared" si="254"/>
        <v>1.0315124115348051</v>
      </c>
      <c r="BD263" s="85">
        <f t="shared" si="255"/>
        <v>5.7663115262356719</v>
      </c>
      <c r="BE263" s="85">
        <f t="shared" si="256"/>
        <v>1.0310418192263109</v>
      </c>
      <c r="BF263" s="85">
        <f t="shared" si="257"/>
        <v>5.7676273178149531</v>
      </c>
      <c r="BG263" s="85">
        <f t="shared" si="258"/>
        <v>1.0310347375335986</v>
      </c>
      <c r="BH263" s="85">
        <f t="shared" si="259"/>
        <v>5.7676471253406953</v>
      </c>
      <c r="BI263" s="85">
        <f t="shared" si="260"/>
        <v>1.0310346309526395</v>
      </c>
      <c r="BJ263" s="85">
        <f t="shared" si="261"/>
        <v>5.7676474234496657</v>
      </c>
      <c r="BK263" s="85">
        <f t="shared" si="262"/>
        <v>1.0310346293485708</v>
      </c>
      <c r="BL263" s="85">
        <f t="shared" si="263"/>
        <v>5.7676474279362777</v>
      </c>
      <c r="BM263" s="85">
        <f t="shared" si="264"/>
        <v>1.0310346293244292</v>
      </c>
      <c r="BN263" s="85">
        <f t="shared" si="265"/>
        <v>5.7676474280038015</v>
      </c>
      <c r="BO263" s="85">
        <f t="shared" si="266"/>
        <v>1.031034629324066</v>
      </c>
      <c r="BP263" s="85">
        <f t="shared" si="267"/>
        <v>5.7676474280048184</v>
      </c>
      <c r="BQ263" s="85">
        <f t="shared" si="268"/>
        <v>1.0310346293240604</v>
      </c>
      <c r="BR263" s="85">
        <f t="shared" si="269"/>
        <v>5.7676474280048335</v>
      </c>
      <c r="BS263" s="85">
        <f t="shared" si="270"/>
        <v>1.0310346293240604</v>
      </c>
      <c r="BT263" s="85">
        <f t="shared" si="271"/>
        <v>5.7676474280048335</v>
      </c>
      <c r="BU263" s="85">
        <f t="shared" si="272"/>
        <v>1.0310346293240604</v>
      </c>
      <c r="BV263" s="85">
        <f t="shared" si="273"/>
        <v>5.7676474280048335</v>
      </c>
      <c r="BW263" s="85">
        <f t="shared" si="274"/>
        <v>1.0310346293240604</v>
      </c>
    </row>
    <row r="264" spans="25:75" x14ac:dyDescent="0.4">
      <c r="Y264" s="142">
        <v>2.9285999999999999</v>
      </c>
      <c r="Z264" s="46">
        <f t="shared" si="226"/>
        <v>0.86864588352170236</v>
      </c>
      <c r="AA264" s="84">
        <f t="shared" si="227"/>
        <v>1.061120262244255</v>
      </c>
      <c r="AB264" s="84">
        <f t="shared" si="228"/>
        <v>0.92610463555691147</v>
      </c>
      <c r="AC264" s="84">
        <f t="shared" si="229"/>
        <v>1.1933273250691494</v>
      </c>
      <c r="AD264" s="84">
        <f t="shared" si="230"/>
        <v>0.87329820832169425</v>
      </c>
      <c r="AE264" s="84">
        <f t="shared" si="231"/>
        <v>1.2050430883966274</v>
      </c>
      <c r="AF264" s="84">
        <f t="shared" si="232"/>
        <v>0.86904261577619746</v>
      </c>
      <c r="AG264" s="84">
        <f t="shared" si="233"/>
        <v>1.2060497337020375</v>
      </c>
      <c r="AH264" s="84">
        <f t="shared" si="234"/>
        <v>0.86867986112949125</v>
      </c>
      <c r="AI264" s="84">
        <f t="shared" si="235"/>
        <v>1.2061360021688248</v>
      </c>
      <c r="AJ264" s="84">
        <f t="shared" si="236"/>
        <v>0.86864879455836219</v>
      </c>
      <c r="AK264" s="84">
        <f t="shared" si="237"/>
        <v>1.2061433936416024</v>
      </c>
      <c r="AL264" s="84">
        <f t="shared" si="238"/>
        <v>0.86864613293297488</v>
      </c>
      <c r="AM264" s="84">
        <f t="shared" si="239"/>
        <v>1.2061440269300991</v>
      </c>
      <c r="AN264" s="84">
        <f t="shared" si="240"/>
        <v>0.86864590489069138</v>
      </c>
      <c r="AO264" s="84">
        <f t="shared" si="241"/>
        <v>1.2061440811890645</v>
      </c>
      <c r="AP264" s="84">
        <f t="shared" si="242"/>
        <v>0.86864588535246645</v>
      </c>
      <c r="AQ264" s="84">
        <f t="shared" si="243"/>
        <v>1.2061440858378698</v>
      </c>
      <c r="AR264" s="84">
        <f t="shared" si="244"/>
        <v>0.86864588367846851</v>
      </c>
      <c r="AS264" s="84">
        <f t="shared" si="245"/>
        <v>1.2061440862361705</v>
      </c>
      <c r="AT264" s="84">
        <f t="shared" si="246"/>
        <v>0.86864588353504357</v>
      </c>
      <c r="AU264" s="84">
        <f t="shared" si="247"/>
        <v>1.2061440862702961</v>
      </c>
      <c r="AV264" s="84">
        <f t="shared" si="248"/>
        <v>0.86864588352275518</v>
      </c>
      <c r="AW264" s="84">
        <f t="shared" si="249"/>
        <v>1.20614408627322</v>
      </c>
      <c r="AX264" s="84">
        <f t="shared" si="250"/>
        <v>0.86864588352170236</v>
      </c>
      <c r="AY264" s="142">
        <v>2.9285999999999999</v>
      </c>
      <c r="AZ264" s="46">
        <f t="shared" si="251"/>
        <v>5.9447075889949419</v>
      </c>
      <c r="BA264" s="85">
        <f t="shared" si="252"/>
        <v>1.061120262244255</v>
      </c>
      <c r="BB264" s="85">
        <f t="shared" si="253"/>
        <v>5.8571999999999997</v>
      </c>
      <c r="BC264" s="85">
        <f t="shared" si="254"/>
        <v>1.030560131120672</v>
      </c>
      <c r="BD264" s="85">
        <f t="shared" si="255"/>
        <v>5.9434099765548085</v>
      </c>
      <c r="BE264" s="85">
        <f t="shared" si="256"/>
        <v>1.0301168522289552</v>
      </c>
      <c r="BF264" s="85">
        <f t="shared" si="257"/>
        <v>5.9446886202418456</v>
      </c>
      <c r="BG264" s="85">
        <f t="shared" si="258"/>
        <v>1.0301103743921103</v>
      </c>
      <c r="BH264" s="85">
        <f t="shared" si="259"/>
        <v>5.9447073117643248</v>
      </c>
      <c r="BI264" s="85">
        <f t="shared" si="260"/>
        <v>1.0301102797181911</v>
      </c>
      <c r="BJ264" s="85">
        <f t="shared" si="261"/>
        <v>5.9447075849431954</v>
      </c>
      <c r="BK264" s="85">
        <f t="shared" si="262"/>
        <v>1.0301102783345248</v>
      </c>
      <c r="BL264" s="85">
        <f t="shared" si="263"/>
        <v>5.9447075889357244</v>
      </c>
      <c r="BM264" s="85">
        <f t="shared" si="264"/>
        <v>1.0301102783143024</v>
      </c>
      <c r="BN264" s="85">
        <f t="shared" si="265"/>
        <v>5.9447075889940768</v>
      </c>
      <c r="BO264" s="85">
        <f t="shared" si="266"/>
        <v>1.0301102783140068</v>
      </c>
      <c r="BP264" s="85">
        <f t="shared" si="267"/>
        <v>5.9447075889949303</v>
      </c>
      <c r="BQ264" s="85">
        <f t="shared" si="268"/>
        <v>1.0301102783140024</v>
      </c>
      <c r="BR264" s="85">
        <f t="shared" si="269"/>
        <v>5.9447075889949419</v>
      </c>
      <c r="BS264" s="85">
        <f t="shared" si="270"/>
        <v>1.0301102783140024</v>
      </c>
      <c r="BT264" s="85">
        <f t="shared" si="271"/>
        <v>5.9447075889949419</v>
      </c>
      <c r="BU264" s="85">
        <f t="shared" si="272"/>
        <v>1.0301102783140024</v>
      </c>
      <c r="BV264" s="85">
        <f t="shared" si="273"/>
        <v>5.9447075889949419</v>
      </c>
      <c r="BW264" s="85">
        <f t="shared" si="274"/>
        <v>1.0301102783140024</v>
      </c>
    </row>
    <row r="265" spans="25:75" x14ac:dyDescent="0.4">
      <c r="Y265" s="142">
        <v>3.02</v>
      </c>
      <c r="Z265" s="46">
        <f t="shared" si="226"/>
        <v>0.89744492594542424</v>
      </c>
      <c r="AA265" s="84">
        <f t="shared" si="227"/>
        <v>1.0592704635775523</v>
      </c>
      <c r="AB265" s="84">
        <f t="shared" si="228"/>
        <v>0.95500785337085048</v>
      </c>
      <c r="AC265" s="84">
        <f t="shared" si="229"/>
        <v>1.1874669621111091</v>
      </c>
      <c r="AD265" s="84">
        <f t="shared" si="230"/>
        <v>0.90198560497412172</v>
      </c>
      <c r="AE265" s="84">
        <f t="shared" si="231"/>
        <v>1.1985069950477167</v>
      </c>
      <c r="AF265" s="84">
        <f t="shared" si="232"/>
        <v>0.89782167896232667</v>
      </c>
      <c r="AG265" s="84">
        <f t="shared" si="233"/>
        <v>1.1994295860693494</v>
      </c>
      <c r="AH265" s="84">
        <f t="shared" si="234"/>
        <v>0.897476314142437</v>
      </c>
      <c r="AI265" s="84">
        <f t="shared" si="235"/>
        <v>1.1995064950345073</v>
      </c>
      <c r="AJ265" s="84">
        <f t="shared" si="236"/>
        <v>0.89744754185929343</v>
      </c>
      <c r="AK265" s="84">
        <f t="shared" si="237"/>
        <v>1.1995129049980275</v>
      </c>
      <c r="AL265" s="84">
        <f t="shared" si="238"/>
        <v>0.89744514396358677</v>
      </c>
      <c r="AM265" s="84">
        <f t="shared" si="239"/>
        <v>1.199513439226116</v>
      </c>
      <c r="AN265" s="84">
        <f t="shared" si="240"/>
        <v>0.89744494411569786</v>
      </c>
      <c r="AO265" s="84">
        <f t="shared" si="241"/>
        <v>1.1995134837504322</v>
      </c>
      <c r="AP265" s="84">
        <f t="shared" si="242"/>
        <v>0.89744492745972715</v>
      </c>
      <c r="AQ265" s="84">
        <f t="shared" si="243"/>
        <v>1.1995134874612341</v>
      </c>
      <c r="AR265" s="84">
        <f t="shared" si="244"/>
        <v>0.89744492607156423</v>
      </c>
      <c r="AS265" s="84">
        <f t="shared" si="245"/>
        <v>1.1995134877705043</v>
      </c>
      <c r="AT265" s="84">
        <f t="shared" si="246"/>
        <v>0.89744492595587022</v>
      </c>
      <c r="AU265" s="84">
        <f t="shared" si="247"/>
        <v>1.1995134877962799</v>
      </c>
      <c r="AV265" s="84">
        <f t="shared" si="248"/>
        <v>0.89744492594622793</v>
      </c>
      <c r="AW265" s="84">
        <f t="shared" si="249"/>
        <v>1.1995134877984281</v>
      </c>
      <c r="AX265" s="84">
        <f t="shared" si="250"/>
        <v>0.89744492594542424</v>
      </c>
      <c r="AY265" s="142">
        <v>3.02</v>
      </c>
      <c r="AZ265" s="46">
        <f t="shared" si="251"/>
        <v>6.1275661249710414</v>
      </c>
      <c r="BA265" s="85">
        <f t="shared" si="252"/>
        <v>1.0592704635775523</v>
      </c>
      <c r="BB265" s="85">
        <f t="shared" si="253"/>
        <v>6.04</v>
      </c>
      <c r="BC265" s="85">
        <f t="shared" si="254"/>
        <v>1.0296352317880795</v>
      </c>
      <c r="BD265" s="85">
        <f t="shared" si="255"/>
        <v>6.1263058197536591</v>
      </c>
      <c r="BE265" s="85">
        <f t="shared" si="256"/>
        <v>1.0292177382694221</v>
      </c>
      <c r="BF265" s="85">
        <f t="shared" si="257"/>
        <v>6.1275482359858611</v>
      </c>
      <c r="BG265" s="85">
        <f t="shared" si="258"/>
        <v>1.0292118141067887</v>
      </c>
      <c r="BH265" s="85">
        <f t="shared" si="259"/>
        <v>6.1275658711021519</v>
      </c>
      <c r="BI265" s="85">
        <f t="shared" si="260"/>
        <v>1.0292117300352748</v>
      </c>
      <c r="BJ265" s="85">
        <f t="shared" si="261"/>
        <v>6.127566121368309</v>
      </c>
      <c r="BK265" s="85">
        <f t="shared" si="262"/>
        <v>1.0292117288421898</v>
      </c>
      <c r="BL265" s="85">
        <f t="shared" si="263"/>
        <v>6.1275661249199143</v>
      </c>
      <c r="BM265" s="85">
        <f t="shared" si="264"/>
        <v>1.0292117288252585</v>
      </c>
      <c r="BN265" s="85">
        <f t="shared" si="265"/>
        <v>6.1275661249703157</v>
      </c>
      <c r="BO265" s="85">
        <f t="shared" si="266"/>
        <v>1.0292117288250182</v>
      </c>
      <c r="BP265" s="85">
        <f t="shared" si="267"/>
        <v>6.1275661249710307</v>
      </c>
      <c r="BQ265" s="85">
        <f t="shared" si="268"/>
        <v>1.0292117288250147</v>
      </c>
      <c r="BR265" s="85">
        <f t="shared" si="269"/>
        <v>6.1275661249710414</v>
      </c>
      <c r="BS265" s="85">
        <f t="shared" si="270"/>
        <v>1.0292117288250147</v>
      </c>
      <c r="BT265" s="85">
        <f t="shared" si="271"/>
        <v>6.1275661249710414</v>
      </c>
      <c r="BU265" s="85">
        <f t="shared" si="272"/>
        <v>1.0292117288250147</v>
      </c>
      <c r="BV265" s="85">
        <f t="shared" si="273"/>
        <v>6.1275661249710414</v>
      </c>
      <c r="BW265" s="85">
        <f t="shared" si="274"/>
        <v>1.0292117288250147</v>
      </c>
    </row>
    <row r="266" spans="25:75" x14ac:dyDescent="0.4">
      <c r="Y266" s="142">
        <v>3.1141000000000001</v>
      </c>
      <c r="Z266" s="46">
        <f t="shared" si="226"/>
        <v>0.92709998125038684</v>
      </c>
      <c r="AA266" s="84">
        <f t="shared" si="227"/>
        <v>1.0574794643723817</v>
      </c>
      <c r="AB266" s="84">
        <f t="shared" si="228"/>
        <v>0.98476488615303492</v>
      </c>
      <c r="AC266" s="84">
        <f t="shared" si="229"/>
        <v>1.1817947699784439</v>
      </c>
      <c r="AD266" s="84">
        <f t="shared" si="230"/>
        <v>0.93153138976081296</v>
      </c>
      <c r="AE266" s="84">
        <f t="shared" si="231"/>
        <v>1.1921991096554496</v>
      </c>
      <c r="AF266" s="84">
        <f t="shared" si="232"/>
        <v>0.92745773831068645</v>
      </c>
      <c r="AG266" s="84">
        <f t="shared" si="233"/>
        <v>1.1930447733541236</v>
      </c>
      <c r="AH266" s="84">
        <f t="shared" si="234"/>
        <v>0.92712897597305532</v>
      </c>
      <c r="AI266" s="84">
        <f t="shared" si="235"/>
        <v>1.1931133483981982</v>
      </c>
      <c r="AJ266" s="84">
        <f t="shared" si="236"/>
        <v>0.92710233188930247</v>
      </c>
      <c r="AK266" s="84">
        <f t="shared" si="237"/>
        <v>1.1931189081106743</v>
      </c>
      <c r="AL266" s="84">
        <f t="shared" si="238"/>
        <v>0.92710017182446269</v>
      </c>
      <c r="AM266" s="84">
        <f t="shared" si="239"/>
        <v>1.1931193588567022</v>
      </c>
      <c r="AN266" s="84">
        <f t="shared" si="240"/>
        <v>0.92709999670084398</v>
      </c>
      <c r="AO266" s="84">
        <f t="shared" si="241"/>
        <v>1.1931193954002699</v>
      </c>
      <c r="AP266" s="84">
        <f t="shared" si="242"/>
        <v>0.92709998250295977</v>
      </c>
      <c r="AQ266" s="84">
        <f t="shared" si="243"/>
        <v>1.1931193983629853</v>
      </c>
      <c r="AR266" s="84">
        <f t="shared" si="244"/>
        <v>0.92709998135188754</v>
      </c>
      <c r="AS266" s="84">
        <f t="shared" si="245"/>
        <v>1.1931193986031829</v>
      </c>
      <c r="AT266" s="84">
        <f t="shared" si="246"/>
        <v>0.92709998125856619</v>
      </c>
      <c r="AU266" s="84">
        <f t="shared" si="247"/>
        <v>1.1931193986226567</v>
      </c>
      <c r="AV266" s="84">
        <f t="shared" si="248"/>
        <v>0.92709998125100013</v>
      </c>
      <c r="AW266" s="84">
        <f t="shared" si="249"/>
        <v>1.1931193986242354</v>
      </c>
      <c r="AX266" s="84">
        <f t="shared" si="250"/>
        <v>0.92709998125038684</v>
      </c>
      <c r="AY266" s="142">
        <v>3.1141000000000001</v>
      </c>
      <c r="AZ266" s="46">
        <f t="shared" si="251"/>
        <v>6.3158228989785208</v>
      </c>
      <c r="BA266" s="85">
        <f t="shared" si="252"/>
        <v>1.0574794643723817</v>
      </c>
      <c r="BB266" s="85">
        <f t="shared" si="253"/>
        <v>6.2282000000000002</v>
      </c>
      <c r="BC266" s="85">
        <f t="shared" si="254"/>
        <v>1.0287397321858642</v>
      </c>
      <c r="BD266" s="85">
        <f t="shared" si="255"/>
        <v>6.3145988271228601</v>
      </c>
      <c r="BE266" s="85">
        <f t="shared" si="256"/>
        <v>1.0283465038556625</v>
      </c>
      <c r="BF266" s="85">
        <f t="shared" si="257"/>
        <v>6.3158060281067927</v>
      </c>
      <c r="BG266" s="85">
        <f t="shared" si="258"/>
        <v>1.0283410857147011</v>
      </c>
      <c r="BH266" s="85">
        <f t="shared" si="259"/>
        <v>6.3158226664978612</v>
      </c>
      <c r="BI266" s="85">
        <f t="shared" si="260"/>
        <v>1.0283410110529994</v>
      </c>
      <c r="BJ266" s="85">
        <f t="shared" si="261"/>
        <v>6.3158228957749456</v>
      </c>
      <c r="BK266" s="85">
        <f t="shared" si="262"/>
        <v>1.0283410100241637</v>
      </c>
      <c r="BL266" s="85">
        <f t="shared" si="263"/>
        <v>6.3158228989343765</v>
      </c>
      <c r="BM266" s="85">
        <f t="shared" si="264"/>
        <v>1.0283410100099863</v>
      </c>
      <c r="BN266" s="85">
        <f t="shared" si="265"/>
        <v>6.3158228989779142</v>
      </c>
      <c r="BO266" s="85">
        <f t="shared" si="266"/>
        <v>1.0283410100097909</v>
      </c>
      <c r="BP266" s="85">
        <f t="shared" si="267"/>
        <v>6.3158228989785128</v>
      </c>
      <c r="BQ266" s="85">
        <f t="shared" si="268"/>
        <v>1.0283410100097883</v>
      </c>
      <c r="BR266" s="85">
        <f t="shared" si="269"/>
        <v>6.3158228989785208</v>
      </c>
      <c r="BS266" s="85">
        <f t="shared" si="270"/>
        <v>1.0283410100097883</v>
      </c>
      <c r="BT266" s="85">
        <f t="shared" si="271"/>
        <v>6.3158228989785208</v>
      </c>
      <c r="BU266" s="85">
        <f t="shared" si="272"/>
        <v>1.0283410100097883</v>
      </c>
      <c r="BV266" s="85">
        <f t="shared" si="273"/>
        <v>6.3158228989785208</v>
      </c>
      <c r="BW266" s="85">
        <f t="shared" si="274"/>
        <v>1.0283410100097883</v>
      </c>
    </row>
    <row r="267" spans="25:75" x14ac:dyDescent="0.4">
      <c r="Y267" s="142">
        <v>3.2111999999999998</v>
      </c>
      <c r="Z267" s="46">
        <f t="shared" si="226"/>
        <v>0.95770575828483295</v>
      </c>
      <c r="AA267" s="84">
        <f t="shared" si="227"/>
        <v>1.0557414050825114</v>
      </c>
      <c r="AB267" s="84">
        <f t="shared" si="228"/>
        <v>1.0154706022332698</v>
      </c>
      <c r="AC267" s="84">
        <f t="shared" si="229"/>
        <v>1.1762917887060096</v>
      </c>
      <c r="AD267" s="84">
        <f t="shared" si="230"/>
        <v>0.96202996539868013</v>
      </c>
      <c r="AE267" s="84">
        <f t="shared" si="231"/>
        <v>1.1860966360199299</v>
      </c>
      <c r="AF267" s="84">
        <f t="shared" si="232"/>
        <v>0.95804541171968316</v>
      </c>
      <c r="AG267" s="84">
        <f t="shared" si="233"/>
        <v>1.1868717210902118</v>
      </c>
      <c r="AH267" s="84">
        <f t="shared" si="234"/>
        <v>0.95773253546071613</v>
      </c>
      <c r="AI267" s="84">
        <f t="shared" si="235"/>
        <v>1.1869328570753124</v>
      </c>
      <c r="AJ267" s="84">
        <f t="shared" si="236"/>
        <v>0.9577078699222844</v>
      </c>
      <c r="AK267" s="84">
        <f t="shared" si="237"/>
        <v>1.1869376784264032</v>
      </c>
      <c r="AL267" s="84">
        <f t="shared" si="238"/>
        <v>0.95770592481149364</v>
      </c>
      <c r="AM267" s="84">
        <f t="shared" si="239"/>
        <v>1.1869380586461182</v>
      </c>
      <c r="AN267" s="84">
        <f t="shared" si="240"/>
        <v>0.95770577141734625</v>
      </c>
      <c r="AO267" s="84">
        <f t="shared" si="241"/>
        <v>1.1869380886308409</v>
      </c>
      <c r="AP267" s="84">
        <f t="shared" si="242"/>
        <v>0.95770575932044655</v>
      </c>
      <c r="AQ267" s="84">
        <f t="shared" si="243"/>
        <v>1.186938090995483</v>
      </c>
      <c r="AR267" s="84">
        <f t="shared" si="244"/>
        <v>0.9577057583664661</v>
      </c>
      <c r="AS267" s="84">
        <f t="shared" si="245"/>
        <v>1.1869380911819625</v>
      </c>
      <c r="AT267" s="84">
        <f t="shared" si="246"/>
        <v>0.95770575829123372</v>
      </c>
      <c r="AU267" s="84">
        <f t="shared" si="247"/>
        <v>1.1869380911966685</v>
      </c>
      <c r="AV267" s="84">
        <f t="shared" si="248"/>
        <v>0.9577057582853008</v>
      </c>
      <c r="AW267" s="84">
        <f t="shared" si="249"/>
        <v>1.1869380911978282</v>
      </c>
      <c r="AX267" s="84">
        <f t="shared" si="250"/>
        <v>0.95770575828483295</v>
      </c>
      <c r="AY267" s="142">
        <v>3.2111999999999998</v>
      </c>
      <c r="AZ267" s="46">
        <f t="shared" si="251"/>
        <v>6.510078087946396</v>
      </c>
      <c r="BA267" s="85">
        <f t="shared" si="252"/>
        <v>1.0557414050825114</v>
      </c>
      <c r="BB267" s="85">
        <f t="shared" si="253"/>
        <v>6.4223999999999997</v>
      </c>
      <c r="BC267" s="85">
        <f t="shared" si="254"/>
        <v>1.027870702541106</v>
      </c>
      <c r="BD267" s="85">
        <f t="shared" si="255"/>
        <v>6.5088892842184531</v>
      </c>
      <c r="BE267" s="85">
        <f t="shared" si="256"/>
        <v>1.0275003602279729</v>
      </c>
      <c r="BF267" s="85">
        <f t="shared" si="257"/>
        <v>6.5100621791584441</v>
      </c>
      <c r="BG267" s="85">
        <f t="shared" si="258"/>
        <v>1.0274954055850722</v>
      </c>
      <c r="BH267" s="85">
        <f t="shared" si="259"/>
        <v>6.5100778750896859</v>
      </c>
      <c r="BI267" s="85">
        <f t="shared" si="260"/>
        <v>1.0274953392930855</v>
      </c>
      <c r="BJ267" s="85">
        <f t="shared" si="261"/>
        <v>6.510078085098419</v>
      </c>
      <c r="BK267" s="85">
        <f t="shared" si="262"/>
        <v>1.0274953384061127</v>
      </c>
      <c r="BL267" s="85">
        <f t="shared" si="263"/>
        <v>6.5100780879082922</v>
      </c>
      <c r="BM267" s="85">
        <f t="shared" si="264"/>
        <v>1.0274953383942453</v>
      </c>
      <c r="BN267" s="85">
        <f t="shared" si="265"/>
        <v>6.510078087945887</v>
      </c>
      <c r="BO267" s="85">
        <f t="shared" si="266"/>
        <v>1.0274953383940866</v>
      </c>
      <c r="BP267" s="85">
        <f t="shared" si="267"/>
        <v>6.5100780879463889</v>
      </c>
      <c r="BQ267" s="85">
        <f t="shared" si="268"/>
        <v>1.0274953383940844</v>
      </c>
      <c r="BR267" s="85">
        <f t="shared" si="269"/>
        <v>6.510078087946396</v>
      </c>
      <c r="BS267" s="85">
        <f t="shared" si="270"/>
        <v>1.0274953383940844</v>
      </c>
      <c r="BT267" s="85">
        <f t="shared" si="271"/>
        <v>6.510078087946396</v>
      </c>
      <c r="BU267" s="85">
        <f t="shared" si="272"/>
        <v>1.0274953383940844</v>
      </c>
      <c r="BV267" s="85">
        <f t="shared" si="273"/>
        <v>6.510078087946396</v>
      </c>
      <c r="BW267" s="85">
        <f t="shared" si="274"/>
        <v>1.0274953383940844</v>
      </c>
    </row>
    <row r="268" spans="25:75" x14ac:dyDescent="0.4">
      <c r="Y268" s="142">
        <v>3.3113000000000001</v>
      </c>
      <c r="Z268" s="46">
        <f t="shared" si="226"/>
        <v>0.98926241552328587</v>
      </c>
      <c r="AA268" s="84">
        <f t="shared" si="227"/>
        <v>1.0540563524900926</v>
      </c>
      <c r="AB268" s="84">
        <f t="shared" si="228"/>
        <v>1.0471250016115554</v>
      </c>
      <c r="AC268" s="84">
        <f t="shared" si="229"/>
        <v>1.1709578942161394</v>
      </c>
      <c r="AD268" s="84">
        <f t="shared" si="230"/>
        <v>0.99348154652514808</v>
      </c>
      <c r="AE268" s="84">
        <f t="shared" si="231"/>
        <v>1.1801978742248371</v>
      </c>
      <c r="AF268" s="84">
        <f t="shared" si="232"/>
        <v>0.98958483225964267</v>
      </c>
      <c r="AG268" s="84">
        <f t="shared" si="233"/>
        <v>1.1809082613187811</v>
      </c>
      <c r="AH268" s="84">
        <f t="shared" si="234"/>
        <v>0.98928714019056374</v>
      </c>
      <c r="AI268" s="84">
        <f t="shared" si="235"/>
        <v>1.1809627629267001</v>
      </c>
      <c r="AJ268" s="84">
        <f t="shared" si="236"/>
        <v>0.98926431205253151</v>
      </c>
      <c r="AK268" s="84">
        <f t="shared" si="237"/>
        <v>1.1809669436733896</v>
      </c>
      <c r="AL268" s="84">
        <f t="shared" si="238"/>
        <v>0.98926256100133558</v>
      </c>
      <c r="AM268" s="84">
        <f t="shared" si="239"/>
        <v>1.1809672643690232</v>
      </c>
      <c r="AN268" s="84">
        <f t="shared" si="240"/>
        <v>0.98926242668253828</v>
      </c>
      <c r="AO268" s="84">
        <f t="shared" si="241"/>
        <v>1.1809672889688374</v>
      </c>
      <c r="AP268" s="84">
        <f t="shared" si="242"/>
        <v>0.98926241637925894</v>
      </c>
      <c r="AQ268" s="84">
        <f t="shared" si="243"/>
        <v>1.1809672908558317</v>
      </c>
      <c r="AR268" s="84">
        <f t="shared" si="244"/>
        <v>0.98926241558891836</v>
      </c>
      <c r="AS268" s="84">
        <f t="shared" si="245"/>
        <v>1.1809672910005786</v>
      </c>
      <c r="AT268" s="84">
        <f t="shared" si="246"/>
        <v>0.98926241552829319</v>
      </c>
      <c r="AU268" s="84">
        <f t="shared" si="247"/>
        <v>1.180967291011682</v>
      </c>
      <c r="AV268" s="84">
        <f t="shared" si="248"/>
        <v>0.98926241552364269</v>
      </c>
      <c r="AW268" s="84">
        <f t="shared" si="249"/>
        <v>1.1809672910125335</v>
      </c>
      <c r="AX268" s="84">
        <f t="shared" si="250"/>
        <v>0.98926241552328587</v>
      </c>
      <c r="AY268" s="142">
        <v>3.3113000000000001</v>
      </c>
      <c r="AZ268" s="46">
        <f t="shared" si="251"/>
        <v>6.7103316816247194</v>
      </c>
      <c r="BA268" s="85">
        <f t="shared" si="252"/>
        <v>1.0540563524900926</v>
      </c>
      <c r="BB268" s="85">
        <f t="shared" si="253"/>
        <v>6.6226000000000003</v>
      </c>
      <c r="BC268" s="85">
        <f t="shared" si="254"/>
        <v>1.0270281762449793</v>
      </c>
      <c r="BD268" s="85">
        <f t="shared" si="255"/>
        <v>6.7091771702830449</v>
      </c>
      <c r="BE268" s="85">
        <f t="shared" si="256"/>
        <v>1.0266793968108088</v>
      </c>
      <c r="BF268" s="85">
        <f t="shared" si="257"/>
        <v>6.7103166809824879</v>
      </c>
      <c r="BG268" s="85">
        <f t="shared" si="258"/>
        <v>1.0266748662559086</v>
      </c>
      <c r="BH268" s="85">
        <f t="shared" si="259"/>
        <v>6.7103314867528354</v>
      </c>
      <c r="BI268" s="85">
        <f t="shared" si="260"/>
        <v>1.0266748074001062</v>
      </c>
      <c r="BJ268" s="85">
        <f t="shared" si="261"/>
        <v>6.7103316790931631</v>
      </c>
      <c r="BK268" s="85">
        <f t="shared" si="262"/>
        <v>1.0266748066355178</v>
      </c>
      <c r="BL268" s="85">
        <f t="shared" si="263"/>
        <v>6.7103316815918328</v>
      </c>
      <c r="BM268" s="85">
        <f t="shared" si="264"/>
        <v>1.0266748066255851</v>
      </c>
      <c r="BN268" s="85">
        <f t="shared" si="265"/>
        <v>6.7103316816242931</v>
      </c>
      <c r="BO268" s="85">
        <f t="shared" si="266"/>
        <v>1.0266748066254561</v>
      </c>
      <c r="BP268" s="85">
        <f t="shared" si="267"/>
        <v>6.7103316816247149</v>
      </c>
      <c r="BQ268" s="85">
        <f t="shared" si="268"/>
        <v>1.0266748066254545</v>
      </c>
      <c r="BR268" s="85">
        <f t="shared" si="269"/>
        <v>6.7103316816247194</v>
      </c>
      <c r="BS268" s="85">
        <f t="shared" si="270"/>
        <v>1.0266748066254545</v>
      </c>
      <c r="BT268" s="85">
        <f t="shared" si="271"/>
        <v>6.7103316816247194</v>
      </c>
      <c r="BU268" s="85">
        <f t="shared" si="272"/>
        <v>1.0266748066254545</v>
      </c>
      <c r="BV268" s="85">
        <f t="shared" si="273"/>
        <v>6.7103316816247194</v>
      </c>
      <c r="BW268" s="85">
        <f t="shared" si="274"/>
        <v>1.0266748066254545</v>
      </c>
    </row>
    <row r="269" spans="25:75" x14ac:dyDescent="0.4">
      <c r="Y269" s="142">
        <v>3.4144999999999999</v>
      </c>
      <c r="Z269" s="46">
        <f t="shared" si="226"/>
        <v>1.0218016131704142</v>
      </c>
      <c r="AA269" s="84">
        <f t="shared" si="227"/>
        <v>1.0524225508859861</v>
      </c>
      <c r="AB269" s="84">
        <f t="shared" si="228"/>
        <v>1.0797597070644931</v>
      </c>
      <c r="AC269" s="84">
        <f t="shared" si="229"/>
        <v>1.1657872468068182</v>
      </c>
      <c r="AD269" s="84">
        <f t="shared" si="230"/>
        <v>1.0259177402709114</v>
      </c>
      <c r="AE269" s="84">
        <f t="shared" si="231"/>
        <v>1.174494884577431</v>
      </c>
      <c r="AF269" s="84">
        <f t="shared" si="232"/>
        <v>1.022107617456361</v>
      </c>
      <c r="AG269" s="84">
        <f t="shared" si="233"/>
        <v>1.175145953185404</v>
      </c>
      <c r="AH269" s="84">
        <f t="shared" si="234"/>
        <v>1.0218244380013792</v>
      </c>
      <c r="AI269" s="84">
        <f t="shared" si="235"/>
        <v>1.1751945370588939</v>
      </c>
      <c r="AJ269" s="84">
        <f t="shared" si="236"/>
        <v>1.0218033160931519</v>
      </c>
      <c r="AK269" s="84">
        <f t="shared" si="237"/>
        <v>1.1751981619364555</v>
      </c>
      <c r="AL269" s="84">
        <f t="shared" si="238"/>
        <v>1.0218017402249753</v>
      </c>
      <c r="AM269" s="84">
        <f t="shared" si="239"/>
        <v>1.1751984323881823</v>
      </c>
      <c r="AN269" s="84">
        <f t="shared" si="240"/>
        <v>1.0218016226499116</v>
      </c>
      <c r="AO269" s="84">
        <f t="shared" si="241"/>
        <v>1.1751984525665402</v>
      </c>
      <c r="AP269" s="84">
        <f t="shared" si="242"/>
        <v>1.0218016138776576</v>
      </c>
      <c r="AQ269" s="84">
        <f t="shared" si="243"/>
        <v>1.1751984540720439</v>
      </c>
      <c r="AR269" s="84">
        <f t="shared" si="244"/>
        <v>1.0218016132231611</v>
      </c>
      <c r="AS269" s="84">
        <f t="shared" si="245"/>
        <v>1.1751984541843692</v>
      </c>
      <c r="AT269" s="84">
        <f t="shared" si="246"/>
        <v>1.0218016131743293</v>
      </c>
      <c r="AU269" s="84">
        <f t="shared" si="247"/>
        <v>1.1751984541927498</v>
      </c>
      <c r="AV269" s="84">
        <f t="shared" si="248"/>
        <v>1.021801613170686</v>
      </c>
      <c r="AW269" s="84">
        <f t="shared" si="249"/>
        <v>1.1751984541933751</v>
      </c>
      <c r="AX269" s="84">
        <f t="shared" si="250"/>
        <v>1.0218016131704142</v>
      </c>
      <c r="AY269" s="142">
        <v>3.4144999999999999</v>
      </c>
      <c r="AZ269" s="46">
        <f t="shared" si="251"/>
        <v>6.9167837280623061</v>
      </c>
      <c r="BA269" s="85">
        <f t="shared" si="252"/>
        <v>1.0524225508859861</v>
      </c>
      <c r="BB269" s="85">
        <f t="shared" si="253"/>
        <v>6.8289999999999997</v>
      </c>
      <c r="BC269" s="85">
        <f t="shared" si="254"/>
        <v>1.0262112754429638</v>
      </c>
      <c r="BD269" s="85">
        <f t="shared" si="255"/>
        <v>6.9156625603122803</v>
      </c>
      <c r="BE269" s="85">
        <f t="shared" si="256"/>
        <v>1.0258828128814772</v>
      </c>
      <c r="BF269" s="85">
        <f t="shared" si="257"/>
        <v>6.916769584631699</v>
      </c>
      <c r="BG269" s="85">
        <f t="shared" si="258"/>
        <v>1.0258786703546856</v>
      </c>
      <c r="BH269" s="85">
        <f t="shared" si="259"/>
        <v>6.9167835496722141</v>
      </c>
      <c r="BI269" s="85">
        <f t="shared" si="260"/>
        <v>1.0258786181054462</v>
      </c>
      <c r="BJ269" s="85">
        <f t="shared" si="261"/>
        <v>6.9167837258122891</v>
      </c>
      <c r="BK269" s="85">
        <f t="shared" si="262"/>
        <v>1.0258786174464316</v>
      </c>
      <c r="BL269" s="85">
        <f t="shared" si="263"/>
        <v>6.9167837280339279</v>
      </c>
      <c r="BM269" s="85">
        <f t="shared" si="264"/>
        <v>1.0258786174381196</v>
      </c>
      <c r="BN269" s="85">
        <f t="shared" si="265"/>
        <v>6.9167837280619482</v>
      </c>
      <c r="BO269" s="85">
        <f t="shared" si="266"/>
        <v>1.0258786174380146</v>
      </c>
      <c r="BP269" s="85">
        <f t="shared" si="267"/>
        <v>6.9167837280623017</v>
      </c>
      <c r="BQ269" s="85">
        <f t="shared" si="268"/>
        <v>1.0258786174380132</v>
      </c>
      <c r="BR269" s="85">
        <f t="shared" si="269"/>
        <v>6.9167837280623061</v>
      </c>
      <c r="BS269" s="85">
        <f t="shared" si="270"/>
        <v>1.0258786174380132</v>
      </c>
      <c r="BT269" s="85">
        <f t="shared" si="271"/>
        <v>6.9167837280623061</v>
      </c>
      <c r="BU269" s="85">
        <f t="shared" si="272"/>
        <v>1.0258786174380132</v>
      </c>
      <c r="BV269" s="85">
        <f t="shared" si="273"/>
        <v>6.9167837280623061</v>
      </c>
      <c r="BW269" s="85">
        <f t="shared" si="274"/>
        <v>1.0258786174380132</v>
      </c>
    </row>
    <row r="270" spans="25:75" x14ac:dyDescent="0.4">
      <c r="Y270" s="142">
        <v>3.5209999999999999</v>
      </c>
      <c r="Z270" s="46">
        <f t="shared" si="226"/>
        <v>1.055386539225754</v>
      </c>
      <c r="AA270" s="84">
        <f t="shared" si="227"/>
        <v>1.0508369213291928</v>
      </c>
      <c r="AB270" s="84">
        <f t="shared" si="228"/>
        <v>1.1134379641452863</v>
      </c>
      <c r="AC270" s="84">
        <f t="shared" si="229"/>
        <v>1.1607698695356037</v>
      </c>
      <c r="AD270" s="84">
        <f t="shared" si="230"/>
        <v>1.0594015976258981</v>
      </c>
      <c r="AE270" s="84">
        <f t="shared" si="231"/>
        <v>1.1689753004637822</v>
      </c>
      <c r="AF270" s="84">
        <f t="shared" si="232"/>
        <v>1.0556769017708421</v>
      </c>
      <c r="AG270" s="84">
        <f t="shared" si="233"/>
        <v>1.169571927915815</v>
      </c>
      <c r="AH270" s="84">
        <f t="shared" si="234"/>
        <v>1.0554076040258726</v>
      </c>
      <c r="AI270" s="84">
        <f t="shared" si="235"/>
        <v>1.1696152281739556</v>
      </c>
      <c r="AJ270" s="84">
        <f t="shared" si="236"/>
        <v>1.0553880677529326</v>
      </c>
      <c r="AK270" s="84">
        <f t="shared" si="237"/>
        <v>1.1696183702644134</v>
      </c>
      <c r="AL270" s="84">
        <f t="shared" si="238"/>
        <v>1.0553866501422449</v>
      </c>
      <c r="AM270" s="84">
        <f t="shared" si="239"/>
        <v>1.1696185982684821</v>
      </c>
      <c r="AN270" s="84">
        <f t="shared" si="240"/>
        <v>1.0553865472743262</v>
      </c>
      <c r="AO270" s="84">
        <f t="shared" si="241"/>
        <v>1.1696186148134604</v>
      </c>
      <c r="AP270" s="84">
        <f t="shared" si="242"/>
        <v>1.0553865398097786</v>
      </c>
      <c r="AQ270" s="84">
        <f t="shared" si="243"/>
        <v>1.1696186160140367</v>
      </c>
      <c r="AR270" s="84">
        <f t="shared" si="244"/>
        <v>1.0553865392681183</v>
      </c>
      <c r="AS270" s="84">
        <f t="shared" si="245"/>
        <v>1.1696186161011557</v>
      </c>
      <c r="AT270" s="84">
        <f t="shared" si="246"/>
        <v>1.0553865392288131</v>
      </c>
      <c r="AU270" s="84">
        <f t="shared" si="247"/>
        <v>1.1696186161074775</v>
      </c>
      <c r="AV270" s="84">
        <f t="shared" si="248"/>
        <v>1.0553865392259609</v>
      </c>
      <c r="AW270" s="84">
        <f t="shared" si="249"/>
        <v>1.1696186161079363</v>
      </c>
      <c r="AX270" s="84">
        <f t="shared" si="250"/>
        <v>1.055386539225754</v>
      </c>
      <c r="AY270" s="142">
        <v>3.5209999999999999</v>
      </c>
      <c r="AZ270" s="46">
        <f t="shared" si="251"/>
        <v>7.1298343181120973</v>
      </c>
      <c r="BA270" s="85">
        <f t="shared" si="252"/>
        <v>1.0508369213291928</v>
      </c>
      <c r="BB270" s="85">
        <f t="shared" si="253"/>
        <v>7.0419999999999998</v>
      </c>
      <c r="BC270" s="85">
        <f t="shared" si="254"/>
        <v>1.025418460664584</v>
      </c>
      <c r="BD270" s="85">
        <f t="shared" si="255"/>
        <v>7.1287455998388012</v>
      </c>
      <c r="BE270" s="85">
        <f t="shared" si="256"/>
        <v>1.0251091580549665</v>
      </c>
      <c r="BF270" s="85">
        <f t="shared" si="257"/>
        <v>7.1298209844956002</v>
      </c>
      <c r="BG270" s="85">
        <f t="shared" si="258"/>
        <v>1.0251053708626408</v>
      </c>
      <c r="BH270" s="85">
        <f t="shared" si="259"/>
        <v>7.1298341548384458</v>
      </c>
      <c r="BI270" s="85">
        <f t="shared" si="260"/>
        <v>1.0251053244876009</v>
      </c>
      <c r="BJ270" s="85">
        <f t="shared" si="261"/>
        <v>7.1298343161127713</v>
      </c>
      <c r="BK270" s="85">
        <f t="shared" si="262"/>
        <v>1.0251053239197274</v>
      </c>
      <c r="BL270" s="85">
        <f t="shared" si="263"/>
        <v>7.1298343180876156</v>
      </c>
      <c r="BM270" s="85">
        <f t="shared" si="264"/>
        <v>1.0251053239127739</v>
      </c>
      <c r="BN270" s="85">
        <f t="shared" si="265"/>
        <v>7.1298343181117971</v>
      </c>
      <c r="BO270" s="85">
        <f t="shared" si="266"/>
        <v>1.0251053239126886</v>
      </c>
      <c r="BP270" s="85">
        <f t="shared" si="267"/>
        <v>7.1298343181120938</v>
      </c>
      <c r="BQ270" s="85">
        <f t="shared" si="268"/>
        <v>1.0251053239126875</v>
      </c>
      <c r="BR270" s="85">
        <f t="shared" si="269"/>
        <v>7.1298343181120973</v>
      </c>
      <c r="BS270" s="85">
        <f t="shared" si="270"/>
        <v>1.0251053239126875</v>
      </c>
      <c r="BT270" s="85">
        <f t="shared" si="271"/>
        <v>7.1298343181120973</v>
      </c>
      <c r="BU270" s="85">
        <f t="shared" si="272"/>
        <v>1.0251053239126875</v>
      </c>
      <c r="BV270" s="85">
        <f t="shared" si="273"/>
        <v>7.1298343181120973</v>
      </c>
      <c r="BW270" s="85">
        <f t="shared" si="274"/>
        <v>1.0251053239126875</v>
      </c>
    </row>
    <row r="271" spans="25:75" x14ac:dyDescent="0.4">
      <c r="Y271" s="142">
        <v>3.6307999999999998</v>
      </c>
      <c r="Z271" s="46">
        <f t="shared" si="226"/>
        <v>1.0900173064819751</v>
      </c>
      <c r="AA271" s="84">
        <f t="shared" si="227"/>
        <v>1.0492995483089229</v>
      </c>
      <c r="AB271" s="84">
        <f t="shared" si="228"/>
        <v>1.148159772853935</v>
      </c>
      <c r="AC271" s="84">
        <f t="shared" si="229"/>
        <v>1.1559058380644105</v>
      </c>
      <c r="AD271" s="84">
        <f t="shared" si="230"/>
        <v>1.0939332959791908</v>
      </c>
      <c r="AE271" s="84">
        <f t="shared" si="231"/>
        <v>1.1636379296955099</v>
      </c>
      <c r="AF271" s="84">
        <f t="shared" si="232"/>
        <v>1.0902927776807561</v>
      </c>
      <c r="AG271" s="84">
        <f t="shared" si="233"/>
        <v>1.1641846399651947</v>
      </c>
      <c r="AH271" s="84">
        <f t="shared" si="234"/>
        <v>1.0900367425834083</v>
      </c>
      <c r="AI271" s="84">
        <f t="shared" si="235"/>
        <v>1.1642232275002364</v>
      </c>
      <c r="AJ271" s="84">
        <f t="shared" si="236"/>
        <v>1.09001867810121</v>
      </c>
      <c r="AK271" s="84">
        <f t="shared" si="237"/>
        <v>1.164225950718921</v>
      </c>
      <c r="AL271" s="84">
        <f t="shared" si="238"/>
        <v>1.0900174032795296</v>
      </c>
      <c r="AM271" s="84">
        <f t="shared" si="239"/>
        <v>1.1642261429015659</v>
      </c>
      <c r="AN271" s="84">
        <f t="shared" si="240"/>
        <v>1.0900173133131437</v>
      </c>
      <c r="AO271" s="84">
        <f t="shared" si="241"/>
        <v>1.1642261564642469</v>
      </c>
      <c r="AP271" s="84">
        <f t="shared" si="242"/>
        <v>1.0900173069640522</v>
      </c>
      <c r="AQ271" s="84">
        <f t="shared" si="243"/>
        <v>1.1642261574213901</v>
      </c>
      <c r="AR271" s="84">
        <f t="shared" si="244"/>
        <v>1.0900173065159853</v>
      </c>
      <c r="AS271" s="84">
        <f t="shared" si="245"/>
        <v>1.1642261574889374</v>
      </c>
      <c r="AT271" s="84">
        <f t="shared" si="246"/>
        <v>1.0900173064843641</v>
      </c>
      <c r="AU271" s="84">
        <f t="shared" si="247"/>
        <v>1.1642261574937043</v>
      </c>
      <c r="AV271" s="84">
        <f t="shared" si="248"/>
        <v>1.0900173064821326</v>
      </c>
      <c r="AW271" s="84">
        <f t="shared" si="249"/>
        <v>1.1642261574940407</v>
      </c>
      <c r="AX271" s="84">
        <f t="shared" si="250"/>
        <v>1.0900173064819751</v>
      </c>
      <c r="AY271" s="142">
        <v>3.6307999999999998</v>
      </c>
      <c r="AZ271" s="46">
        <f t="shared" si="251"/>
        <v>7.3494834422525468</v>
      </c>
      <c r="BA271" s="85">
        <f t="shared" si="252"/>
        <v>1.0492995483089229</v>
      </c>
      <c r="BB271" s="85">
        <f t="shared" si="253"/>
        <v>7.2615999999999996</v>
      </c>
      <c r="BC271" s="85">
        <f t="shared" si="254"/>
        <v>1.0246497741544562</v>
      </c>
      <c r="BD271" s="85">
        <f t="shared" si="255"/>
        <v>7.3484262699028182</v>
      </c>
      <c r="BE271" s="85">
        <f t="shared" si="256"/>
        <v>1.024358521597083</v>
      </c>
      <c r="BF271" s="85">
        <f t="shared" si="257"/>
        <v>7.3494708728361804</v>
      </c>
      <c r="BG271" s="85">
        <f t="shared" si="258"/>
        <v>1.0243550594453781</v>
      </c>
      <c r="BH271" s="85">
        <f t="shared" si="259"/>
        <v>7.3494832928273635</v>
      </c>
      <c r="BI271" s="85">
        <f t="shared" si="260"/>
        <v>1.0243550182874339</v>
      </c>
      <c r="BJ271" s="85">
        <f t="shared" si="261"/>
        <v>7.3494834404761828</v>
      </c>
      <c r="BK271" s="85">
        <f t="shared" si="262"/>
        <v>1.0243550177981491</v>
      </c>
      <c r="BL271" s="85">
        <f t="shared" si="263"/>
        <v>7.3494834422314295</v>
      </c>
      <c r="BM271" s="85">
        <f t="shared" si="264"/>
        <v>1.0243550177923326</v>
      </c>
      <c r="BN271" s="85">
        <f t="shared" si="265"/>
        <v>7.3494834422522954</v>
      </c>
      <c r="BO271" s="85">
        <f t="shared" si="266"/>
        <v>1.0243550177922633</v>
      </c>
      <c r="BP271" s="85">
        <f t="shared" si="267"/>
        <v>7.3494834422525441</v>
      </c>
      <c r="BQ271" s="85">
        <f t="shared" si="268"/>
        <v>1.0243550177922627</v>
      </c>
      <c r="BR271" s="85">
        <f t="shared" si="269"/>
        <v>7.3494834422525468</v>
      </c>
      <c r="BS271" s="85">
        <f t="shared" si="270"/>
        <v>1.0243550177922627</v>
      </c>
      <c r="BT271" s="85">
        <f t="shared" si="271"/>
        <v>7.3494834422525468</v>
      </c>
      <c r="BU271" s="85">
        <f t="shared" si="272"/>
        <v>1.0243550177922627</v>
      </c>
      <c r="BV271" s="85">
        <f t="shared" si="273"/>
        <v>7.3494834422525468</v>
      </c>
      <c r="BW271" s="85">
        <f t="shared" si="274"/>
        <v>1.0243550177922627</v>
      </c>
    </row>
    <row r="272" spans="25:75" x14ac:dyDescent="0.4">
      <c r="Y272" s="142">
        <v>3.7440000000000002</v>
      </c>
      <c r="Z272" s="46">
        <f t="shared" si="226"/>
        <v>1.1257255464726756</v>
      </c>
      <c r="AA272" s="84">
        <f t="shared" si="227"/>
        <v>1.0478089743589785</v>
      </c>
      <c r="AB272" s="84">
        <f t="shared" si="228"/>
        <v>1.1839567559670412</v>
      </c>
      <c r="AC272" s="84">
        <f t="shared" si="229"/>
        <v>1.1511903836413564</v>
      </c>
      <c r="AD272" s="84">
        <f t="shared" si="230"/>
        <v>1.1295444354450501</v>
      </c>
      <c r="AE272" s="84">
        <f t="shared" si="231"/>
        <v>1.1584763246202328</v>
      </c>
      <c r="AF272" s="84">
        <f t="shared" si="232"/>
        <v>1.1259868423536123</v>
      </c>
      <c r="AG272" s="84">
        <f t="shared" si="233"/>
        <v>1.1589772647751038</v>
      </c>
      <c r="AH272" s="84">
        <f t="shared" si="234"/>
        <v>1.1257434756358151</v>
      </c>
      <c r="AI272" s="84">
        <f t="shared" si="235"/>
        <v>1.1590116488669895</v>
      </c>
      <c r="AJ272" s="84">
        <f t="shared" si="236"/>
        <v>1.1257267769450683</v>
      </c>
      <c r="AK272" s="84">
        <f t="shared" si="237"/>
        <v>1.1590140086893741</v>
      </c>
      <c r="AL272" s="84">
        <f t="shared" si="238"/>
        <v>1.1257256309206978</v>
      </c>
      <c r="AM272" s="84">
        <f t="shared" si="239"/>
        <v>1.1590141706455992</v>
      </c>
      <c r="AN272" s="84">
        <f t="shared" si="240"/>
        <v>1.1257255522683893</v>
      </c>
      <c r="AO272" s="84">
        <f t="shared" si="241"/>
        <v>1.1590141817607598</v>
      </c>
      <c r="AP272" s="84">
        <f t="shared" si="242"/>
        <v>1.125725546870431</v>
      </c>
      <c r="AQ272" s="84">
        <f t="shared" si="243"/>
        <v>1.1590141825236004</v>
      </c>
      <c r="AR272" s="84">
        <f t="shared" si="244"/>
        <v>1.1257255464999658</v>
      </c>
      <c r="AS272" s="84">
        <f t="shared" si="245"/>
        <v>1.1590141825759548</v>
      </c>
      <c r="AT272" s="84">
        <f t="shared" si="246"/>
        <v>1.1257255464745404</v>
      </c>
      <c r="AU272" s="84">
        <f t="shared" si="247"/>
        <v>1.1590141825795479</v>
      </c>
      <c r="AV272" s="84">
        <f t="shared" si="248"/>
        <v>1.1257255464727953</v>
      </c>
      <c r="AW272" s="84">
        <f t="shared" si="249"/>
        <v>1.1590141825797944</v>
      </c>
      <c r="AX272" s="84">
        <f t="shared" si="250"/>
        <v>1.1257255464726756</v>
      </c>
      <c r="AY272" s="142">
        <v>3.7440000000000002</v>
      </c>
      <c r="AZ272" s="46">
        <f t="shared" si="251"/>
        <v>7.5759311405021368</v>
      </c>
      <c r="BA272" s="85">
        <f t="shared" si="252"/>
        <v>1.0478089743589785</v>
      </c>
      <c r="BB272" s="85">
        <f t="shared" si="253"/>
        <v>7.4880000000000004</v>
      </c>
      <c r="BC272" s="85">
        <f t="shared" si="254"/>
        <v>1.0239044871794871</v>
      </c>
      <c r="BD272" s="85">
        <f t="shared" si="255"/>
        <v>7.5749046330204886</v>
      </c>
      <c r="BE272" s="85">
        <f t="shared" si="256"/>
        <v>1.0236302380916742</v>
      </c>
      <c r="BF272" s="85">
        <f t="shared" si="257"/>
        <v>7.5759192921636167</v>
      </c>
      <c r="BG272" s="85">
        <f t="shared" si="258"/>
        <v>1.0236270732431312</v>
      </c>
      <c r="BH272" s="85">
        <f t="shared" si="259"/>
        <v>7.5759310037621201</v>
      </c>
      <c r="BI272" s="85">
        <f t="shared" si="260"/>
        <v>1.0236270367181424</v>
      </c>
      <c r="BJ272" s="85">
        <f t="shared" si="261"/>
        <v>7.5759311389240418</v>
      </c>
      <c r="BK272" s="85">
        <f t="shared" si="262"/>
        <v>1.0236270362966131</v>
      </c>
      <c r="BL272" s="85">
        <f t="shared" si="263"/>
        <v>7.5759311404839238</v>
      </c>
      <c r="BM272" s="85">
        <f t="shared" si="264"/>
        <v>1.0236270362917483</v>
      </c>
      <c r="BN272" s="85">
        <f t="shared" si="265"/>
        <v>7.5759311405019272</v>
      </c>
      <c r="BO272" s="85">
        <f t="shared" si="266"/>
        <v>1.0236270362916922</v>
      </c>
      <c r="BP272" s="85">
        <f t="shared" si="267"/>
        <v>7.575931140502135</v>
      </c>
      <c r="BQ272" s="85">
        <f t="shared" si="268"/>
        <v>1.0236270362916915</v>
      </c>
      <c r="BR272" s="85">
        <f t="shared" si="269"/>
        <v>7.5759311405021368</v>
      </c>
      <c r="BS272" s="85">
        <f t="shared" si="270"/>
        <v>1.0236270362916915</v>
      </c>
      <c r="BT272" s="85">
        <f t="shared" si="271"/>
        <v>7.5759311405021368</v>
      </c>
      <c r="BU272" s="85">
        <f t="shared" si="272"/>
        <v>1.0236270362916915</v>
      </c>
      <c r="BV272" s="85">
        <f t="shared" si="273"/>
        <v>7.5759311405021368</v>
      </c>
      <c r="BW272" s="85">
        <f t="shared" si="274"/>
        <v>1.0236270362916915</v>
      </c>
    </row>
    <row r="273" spans="25:75" x14ac:dyDescent="0.4">
      <c r="Y273" s="142">
        <v>3.8607</v>
      </c>
      <c r="Z273" s="46">
        <f t="shared" si="226"/>
        <v>1.162542882359445</v>
      </c>
      <c r="AA273" s="84">
        <f t="shared" si="227"/>
        <v>1.0463638200326382</v>
      </c>
      <c r="AB273" s="84">
        <f t="shared" si="228"/>
        <v>1.2208605362612062</v>
      </c>
      <c r="AC273" s="84">
        <f t="shared" si="229"/>
        <v>1.1466190147919868</v>
      </c>
      <c r="AD273" s="84">
        <f t="shared" si="230"/>
        <v>1.1662666130569821</v>
      </c>
      <c r="AE273" s="84">
        <f t="shared" si="231"/>
        <v>1.1534844296032565</v>
      </c>
      <c r="AF273" s="84">
        <f t="shared" si="232"/>
        <v>1.1627906867598423</v>
      </c>
      <c r="AG273" s="84">
        <f t="shared" si="233"/>
        <v>1.1539434031246929</v>
      </c>
      <c r="AH273" s="84">
        <f t="shared" si="234"/>
        <v>1.162559417525469</v>
      </c>
      <c r="AI273" s="84">
        <f t="shared" si="235"/>
        <v>1.1539740382621231</v>
      </c>
      <c r="AJ273" s="84">
        <f t="shared" si="236"/>
        <v>1.1625439858941142</v>
      </c>
      <c r="AK273" s="84">
        <f t="shared" si="237"/>
        <v>1.153976082851546</v>
      </c>
      <c r="AL273" s="84">
        <f t="shared" si="238"/>
        <v>1.1625429560087355</v>
      </c>
      <c r="AM273" s="84">
        <f t="shared" si="239"/>
        <v>1.1539762193065046</v>
      </c>
      <c r="AN273" s="84">
        <f t="shared" si="240"/>
        <v>1.1625428872747559</v>
      </c>
      <c r="AO273" s="84">
        <f t="shared" si="241"/>
        <v>1.1539762284134416</v>
      </c>
      <c r="AP273" s="84">
        <f t="shared" si="242"/>
        <v>1.1625428826874844</v>
      </c>
      <c r="AQ273" s="84">
        <f t="shared" si="243"/>
        <v>1.1539762290212341</v>
      </c>
      <c r="AR273" s="84">
        <f t="shared" si="244"/>
        <v>1.1625428823813322</v>
      </c>
      <c r="AS273" s="84">
        <f t="shared" si="245"/>
        <v>1.1539762290617976</v>
      </c>
      <c r="AT273" s="84">
        <f t="shared" si="246"/>
        <v>1.1625428823608999</v>
      </c>
      <c r="AU273" s="84">
        <f t="shared" si="247"/>
        <v>1.1539762290645048</v>
      </c>
      <c r="AV273" s="84">
        <f t="shared" si="248"/>
        <v>1.1625428823595361</v>
      </c>
      <c r="AW273" s="84">
        <f t="shared" si="249"/>
        <v>1.1539762290646856</v>
      </c>
      <c r="AX273" s="84">
        <f t="shared" si="250"/>
        <v>1.162542882359445</v>
      </c>
      <c r="AY273" s="142">
        <v>3.8607</v>
      </c>
      <c r="AZ273" s="46">
        <f t="shared" si="251"/>
        <v>7.8093774508184364</v>
      </c>
      <c r="BA273" s="85">
        <f t="shared" si="252"/>
        <v>1.0463638200326382</v>
      </c>
      <c r="BB273" s="85">
        <f t="shared" si="253"/>
        <v>7.7214</v>
      </c>
      <c r="BC273" s="85">
        <f t="shared" si="254"/>
        <v>1.0231819100163182</v>
      </c>
      <c r="BD273" s="85">
        <f t="shared" si="255"/>
        <v>7.8083807485285899</v>
      </c>
      <c r="BE273" s="85">
        <f t="shared" si="256"/>
        <v>1.0229236772340706</v>
      </c>
      <c r="BF273" s="85">
        <f t="shared" si="257"/>
        <v>7.8093662827819346</v>
      </c>
      <c r="BG273" s="85">
        <f t="shared" si="258"/>
        <v>1.0229207842888164</v>
      </c>
      <c r="BH273" s="85">
        <f t="shared" si="259"/>
        <v>7.8093773256962535</v>
      </c>
      <c r="BI273" s="85">
        <f t="shared" si="260"/>
        <v>1.0229207518774925</v>
      </c>
      <c r="BJ273" s="85">
        <f t="shared" si="261"/>
        <v>7.8093774494166182</v>
      </c>
      <c r="BK273" s="85">
        <f t="shared" si="262"/>
        <v>1.0229207515143697</v>
      </c>
      <c r="BL273" s="85">
        <f t="shared" si="263"/>
        <v>7.8093774508027298</v>
      </c>
      <c r="BM273" s="85">
        <f t="shared" si="264"/>
        <v>1.0229207515103014</v>
      </c>
      <c r="BN273" s="85">
        <f t="shared" si="265"/>
        <v>7.8093774508182596</v>
      </c>
      <c r="BO273" s="85">
        <f t="shared" si="266"/>
        <v>1.0229207515102559</v>
      </c>
      <c r="BP273" s="85">
        <f t="shared" si="267"/>
        <v>7.8093774508184328</v>
      </c>
      <c r="BQ273" s="85">
        <f t="shared" si="268"/>
        <v>1.0229207515102552</v>
      </c>
      <c r="BR273" s="85">
        <f t="shared" si="269"/>
        <v>7.8093774508184364</v>
      </c>
      <c r="BS273" s="85">
        <f t="shared" si="270"/>
        <v>1.0229207515102552</v>
      </c>
      <c r="BT273" s="85">
        <f t="shared" si="271"/>
        <v>7.8093774508184364</v>
      </c>
      <c r="BU273" s="85">
        <f t="shared" si="272"/>
        <v>1.0229207515102552</v>
      </c>
      <c r="BV273" s="85">
        <f t="shared" si="273"/>
        <v>7.8093774508184364</v>
      </c>
      <c r="BW273" s="85">
        <f t="shared" si="274"/>
        <v>1.0229207515102552</v>
      </c>
    </row>
    <row r="274" spans="25:75" x14ac:dyDescent="0.4">
      <c r="Y274" s="142">
        <v>3.9811000000000001</v>
      </c>
      <c r="Z274" s="46">
        <f t="shared" si="226"/>
        <v>1.2005324844109522</v>
      </c>
      <c r="AA274" s="84">
        <f t="shared" si="227"/>
        <v>1.0449616437667988</v>
      </c>
      <c r="AB274" s="84">
        <f t="shared" si="228"/>
        <v>1.2589343592896334</v>
      </c>
      <c r="AC274" s="84">
        <f t="shared" si="229"/>
        <v>1.1421839061687082</v>
      </c>
      <c r="AD274" s="84">
        <f t="shared" si="230"/>
        <v>1.2041629017085735</v>
      </c>
      <c r="AE274" s="84">
        <f t="shared" si="231"/>
        <v>1.1486526430936335</v>
      </c>
      <c r="AF274" s="84">
        <f t="shared" si="232"/>
        <v>1.2007674406218312</v>
      </c>
      <c r="AG274" s="84">
        <f t="shared" si="233"/>
        <v>1.1490731095315339</v>
      </c>
      <c r="AH274" s="84">
        <f t="shared" si="234"/>
        <v>1.2005477293610121</v>
      </c>
      <c r="AI274" s="84">
        <f t="shared" si="235"/>
        <v>1.1491003988298885</v>
      </c>
      <c r="AJ274" s="84">
        <f t="shared" si="236"/>
        <v>1.2005334737312503</v>
      </c>
      <c r="AK274" s="84">
        <f t="shared" si="237"/>
        <v>1.1491021697998667</v>
      </c>
      <c r="AL274" s="84">
        <f t="shared" si="238"/>
        <v>1.2005325486135301</v>
      </c>
      <c r="AM274" s="84">
        <f t="shared" si="239"/>
        <v>1.1491022847282479</v>
      </c>
      <c r="AN274" s="84">
        <f t="shared" si="240"/>
        <v>1.2005324885774185</v>
      </c>
      <c r="AO274" s="84">
        <f t="shared" si="241"/>
        <v>1.1491022921866054</v>
      </c>
      <c r="AP274" s="84">
        <f t="shared" si="242"/>
        <v>1.2005324846813334</v>
      </c>
      <c r="AQ274" s="84">
        <f t="shared" si="243"/>
        <v>1.1491022926706207</v>
      </c>
      <c r="AR274" s="84">
        <f t="shared" si="244"/>
        <v>1.2005324844284944</v>
      </c>
      <c r="AS274" s="84">
        <f t="shared" si="245"/>
        <v>1.1491022927020313</v>
      </c>
      <c r="AT274" s="84">
        <f t="shared" si="246"/>
        <v>1.2005324844120862</v>
      </c>
      <c r="AU274" s="84">
        <f t="shared" si="247"/>
        <v>1.1491022927040697</v>
      </c>
      <c r="AV274" s="84">
        <f t="shared" si="248"/>
        <v>1.2005324844110212</v>
      </c>
      <c r="AW274" s="84">
        <f t="shared" si="249"/>
        <v>1.1491022927042021</v>
      </c>
      <c r="AX274" s="84">
        <f t="shared" si="250"/>
        <v>1.2005324844109522</v>
      </c>
      <c r="AY274" s="142">
        <v>3.9811000000000001</v>
      </c>
      <c r="AZ274" s="46">
        <f t="shared" si="251"/>
        <v>8.0502224456753968</v>
      </c>
      <c r="BA274" s="85">
        <f t="shared" si="252"/>
        <v>1.0449616437667988</v>
      </c>
      <c r="BB274" s="85">
        <f t="shared" si="253"/>
        <v>7.9622000000000002</v>
      </c>
      <c r="BC274" s="85">
        <f t="shared" si="254"/>
        <v>1.0224808218833989</v>
      </c>
      <c r="BD274" s="85">
        <f t="shared" si="255"/>
        <v>8.0492547327246857</v>
      </c>
      <c r="BE274" s="85">
        <f t="shared" si="256"/>
        <v>1.0222376860894062</v>
      </c>
      <c r="BF274" s="85">
        <f t="shared" si="257"/>
        <v>8.0502119198890831</v>
      </c>
      <c r="BG274" s="85">
        <f t="shared" si="258"/>
        <v>1.0222350419816608</v>
      </c>
      <c r="BH274" s="85">
        <f t="shared" si="259"/>
        <v>8.0502223312001089</v>
      </c>
      <c r="BI274" s="85">
        <f t="shared" si="260"/>
        <v>1.0222350132251956</v>
      </c>
      <c r="BJ274" s="85">
        <f t="shared" si="261"/>
        <v>8.0502224444304016</v>
      </c>
      <c r="BK274" s="85">
        <f t="shared" si="262"/>
        <v>1.0222350129124493</v>
      </c>
      <c r="BL274" s="85">
        <f t="shared" si="263"/>
        <v>8.0502224456618574</v>
      </c>
      <c r="BM274" s="85">
        <f t="shared" si="264"/>
        <v>1.0222350129090481</v>
      </c>
      <c r="BN274" s="85">
        <f t="shared" si="265"/>
        <v>8.0502224456752511</v>
      </c>
      <c r="BO274" s="85">
        <f t="shared" si="266"/>
        <v>1.022235012909011</v>
      </c>
      <c r="BP274" s="85">
        <f t="shared" si="267"/>
        <v>8.0502224456753968</v>
      </c>
      <c r="BQ274" s="85">
        <f t="shared" si="268"/>
        <v>1.0222350129090108</v>
      </c>
      <c r="BR274" s="85">
        <f t="shared" si="269"/>
        <v>8.0502224456753968</v>
      </c>
      <c r="BS274" s="85">
        <f t="shared" si="270"/>
        <v>1.0222350129090108</v>
      </c>
      <c r="BT274" s="85">
        <f t="shared" si="271"/>
        <v>8.0502224456753968</v>
      </c>
      <c r="BU274" s="85">
        <f t="shared" si="272"/>
        <v>1.0222350129090108</v>
      </c>
      <c r="BV274" s="85">
        <f t="shared" si="273"/>
        <v>8.0502224456753968</v>
      </c>
      <c r="BW274" s="85">
        <f t="shared" si="274"/>
        <v>1.0222350129090108</v>
      </c>
    </row>
    <row r="275" spans="25:75" x14ac:dyDescent="0.4">
      <c r="Y275" s="142">
        <v>4.1052</v>
      </c>
      <c r="Z275" s="46">
        <f t="shared" ref="Z275:Z303" si="275">AX275</f>
        <v>1.239694413953818</v>
      </c>
      <c r="AA275" s="84">
        <f t="shared" ref="AA275:AA303" si="276">(1+0.0712/Y275*(2.514+0.8*EXP(-0.55*Y275/(0.0712))))</f>
        <v>1.0436024554223913</v>
      </c>
      <c r="AB275" s="84">
        <f t="shared" ref="AB275:AB303" si="277">Y275/SQRT($Z$1)</f>
        <v>1.2981782250523231</v>
      </c>
      <c r="AC275" s="84">
        <f t="shared" ref="AC275:AC303" si="278">(1+0.0712/AB275*(2.514+0.8*EXP(-0.55*AB275/(0.0712))))</f>
        <v>1.1378850075947187</v>
      </c>
      <c r="AD275" s="84">
        <f t="shared" ref="AD275:AD303" si="279">$Y275/SQRT(($Z$1*AC275)/($AA275))</f>
        <v>1.2432334273921533</v>
      </c>
      <c r="AE275" s="84">
        <f t="shared" ref="AE275:AE303" si="280">(1+0.0712/AD275*(2.514+0.8*EXP(-0.55*AD275/(0.0712))))</f>
        <v>1.143979915525281</v>
      </c>
      <c r="AF275" s="84">
        <f t="shared" ref="AF275:AF303" si="281">$Y275/SQRT(($Z$1*AE275)/($AA275))</f>
        <v>1.2399171484621112</v>
      </c>
      <c r="AG275" s="84">
        <f t="shared" ref="AG275:AG303" si="282">(1+0.0712/AF275*(2.514+0.8*EXP(-0.55*AF275/(0.0712))))</f>
        <v>1.1443650842457478</v>
      </c>
      <c r="AH275" s="84">
        <f t="shared" ref="AH275:AH303" si="283">$Y275/SQRT(($Z$1*AG275)/($AA275))</f>
        <v>1.2397084661541378</v>
      </c>
      <c r="AI275" s="84">
        <f t="shared" ref="AI275:AI303" si="284">(1+0.0712/AH275*(2.514+0.8*EXP(-0.55*AH275/(0.0712))))</f>
        <v>1.1443893906065128</v>
      </c>
      <c r="AJ275" s="84">
        <f t="shared" ref="AJ275:AJ303" si="285">$Y275/SQRT(($Z$1*AI275)/($AA275))</f>
        <v>1.2396953006348344</v>
      </c>
      <c r="AK275" s="84">
        <f t="shared" ref="AK275:AK303" si="286">(1+0.0712/AJ275*(2.514+0.8*EXP(-0.55*AJ275/(0.0712))))</f>
        <v>1.1443909243406805</v>
      </c>
      <c r="AL275" s="84">
        <f t="shared" ref="AL275:AL303" si="287">$Y275/SQRT(($Z$1*AK275)/($AA275))</f>
        <v>1.2396944699031165</v>
      </c>
      <c r="AM275" s="84">
        <f t="shared" ref="AM275:AM303" si="288">(1+0.0712/AL275*(2.514+0.8*EXP(-0.55*AL275/(0.0712))))</f>
        <v>1.1443910211189381</v>
      </c>
      <c r="AN275" s="84">
        <f t="shared" ref="AN275:AN303" si="289">$Y275/SQRT(($Z$1*AM275)/($AA275))</f>
        <v>1.2396944174842006</v>
      </c>
      <c r="AO275" s="84">
        <f t="shared" ref="AO275:AO303" si="290">(1+0.0712/AN275*(2.514+0.8*EXP(-0.55*AN275/(0.0712))))</f>
        <v>1.1443910272256208</v>
      </c>
      <c r="AP275" s="84">
        <f t="shared" ref="AP275:AP303" si="291">$Y275/SQRT(($Z$1*AO275)/($AA275))</f>
        <v>1.2396944141765809</v>
      </c>
      <c r="AQ275" s="84">
        <f t="shared" ref="AQ275:AQ303" si="292">(1+0.0712/AP275*(2.514+0.8*EXP(-0.55*AP275/(0.0712))))</f>
        <v>1.144391027610951</v>
      </c>
      <c r="AR275" s="84">
        <f t="shared" ref="AR275:AR303" si="293">$Y275/SQRT(($Z$1*AQ275)/($AA275))</f>
        <v>1.2396944139678707</v>
      </c>
      <c r="AS275" s="84">
        <f t="shared" ref="AS275:AS303" si="294">(1+0.0712/AR275*(2.514+0.8*EXP(-0.55*AR275/(0.0712))))</f>
        <v>1.1443910276352651</v>
      </c>
      <c r="AT275" s="84">
        <f t="shared" ref="AT275:AT303" si="295">$Y275/SQRT(($Z$1*AS275)/($AA275))</f>
        <v>1.2396944139547015</v>
      </c>
      <c r="AU275" s="84">
        <f t="shared" ref="AU275:AU303" si="296">(1+0.0712/AT275*(2.514+0.8*EXP(-0.55*AT275/(0.0712))))</f>
        <v>1.1443910276367992</v>
      </c>
      <c r="AV275" s="84">
        <f t="shared" ref="AV275:AV303" si="297">$Y275/SQRT(($Z$1*AU275)/($AA275))</f>
        <v>1.2396944139538704</v>
      </c>
      <c r="AW275" s="84">
        <f t="shared" ref="AW275:AW303" si="298">(1+0.0712/AV275*(2.514+0.8*EXP(-0.55*AV275/(0.0712))))</f>
        <v>1.1443910276368963</v>
      </c>
      <c r="AX275" s="84">
        <f t="shared" ref="AX275:AX303" si="299">$Y275/SQRT(($Z$1*AW275)/($AA275))</f>
        <v>1.239694413953818</v>
      </c>
      <c r="AY275" s="142">
        <v>4.1052</v>
      </c>
      <c r="AZ275" s="46">
        <f t="shared" si="251"/>
        <v>8.2984661193004108</v>
      </c>
      <c r="BA275" s="85">
        <f t="shared" si="252"/>
        <v>1.0436024554223913</v>
      </c>
      <c r="BB275" s="85">
        <f t="shared" si="253"/>
        <v>8.2103999999999999</v>
      </c>
      <c r="BC275" s="85">
        <f t="shared" si="254"/>
        <v>1.0218012277111956</v>
      </c>
      <c r="BD275" s="85">
        <f t="shared" si="255"/>
        <v>8.2975265734463903</v>
      </c>
      <c r="BE275" s="85">
        <f t="shared" si="256"/>
        <v>1.0215723081349113</v>
      </c>
      <c r="BF275" s="85">
        <f t="shared" si="257"/>
        <v>8.2984561992073225</v>
      </c>
      <c r="BG275" s="85">
        <f t="shared" si="258"/>
        <v>1.0215698915199549</v>
      </c>
      <c r="BH275" s="85">
        <f t="shared" si="259"/>
        <v>8.2984660145717317</v>
      </c>
      <c r="BI275" s="85">
        <f t="shared" si="260"/>
        <v>1.0215698660072463</v>
      </c>
      <c r="BJ275" s="85">
        <f t="shared" si="261"/>
        <v>8.298466118194769</v>
      </c>
      <c r="BK275" s="85">
        <f t="shared" si="262"/>
        <v>1.0215698657379033</v>
      </c>
      <c r="BL275" s="85">
        <f t="shared" si="263"/>
        <v>8.2984661192887383</v>
      </c>
      <c r="BM275" s="85">
        <f t="shared" si="264"/>
        <v>1.0215698657350596</v>
      </c>
      <c r="BN275" s="85">
        <f t="shared" si="265"/>
        <v>8.2984661193002882</v>
      </c>
      <c r="BO275" s="85">
        <f t="shared" si="266"/>
        <v>1.0215698657350296</v>
      </c>
      <c r="BP275" s="85">
        <f t="shared" si="267"/>
        <v>8.298466119300409</v>
      </c>
      <c r="BQ275" s="85">
        <f t="shared" si="268"/>
        <v>1.0215698657350294</v>
      </c>
      <c r="BR275" s="85">
        <f t="shared" si="269"/>
        <v>8.2984661193004108</v>
      </c>
      <c r="BS275" s="85">
        <f t="shared" si="270"/>
        <v>1.0215698657350294</v>
      </c>
      <c r="BT275" s="85">
        <f t="shared" si="271"/>
        <v>8.2984661193004108</v>
      </c>
      <c r="BU275" s="85">
        <f t="shared" si="272"/>
        <v>1.0215698657350294</v>
      </c>
      <c r="BV275" s="85">
        <f t="shared" si="273"/>
        <v>8.2984661193004108</v>
      </c>
      <c r="BW275" s="85">
        <f t="shared" si="274"/>
        <v>1.0215698657350294</v>
      </c>
    </row>
    <row r="276" spans="25:75" x14ac:dyDescent="0.4">
      <c r="Y276" s="142">
        <v>4.2332000000000001</v>
      </c>
      <c r="Z276" s="46">
        <f t="shared" si="275"/>
        <v>1.2800918349497272</v>
      </c>
      <c r="AA276" s="84">
        <f t="shared" si="276"/>
        <v>1.0422840404422187</v>
      </c>
      <c r="AB276" s="84">
        <f t="shared" si="277"/>
        <v>1.3386553791024782</v>
      </c>
      <c r="AC276" s="84">
        <f t="shared" si="278"/>
        <v>1.1337152504389902</v>
      </c>
      <c r="AD276" s="84">
        <f t="shared" si="279"/>
        <v>1.2835412695101545</v>
      </c>
      <c r="AE276" s="84">
        <f t="shared" si="280"/>
        <v>1.1394576237356238</v>
      </c>
      <c r="AF276" s="84">
        <f t="shared" si="281"/>
        <v>1.2803029381518425</v>
      </c>
      <c r="AG276" s="84">
        <f t="shared" si="282"/>
        <v>1.1398104162654414</v>
      </c>
      <c r="AH276" s="84">
        <f t="shared" si="283"/>
        <v>1.2801047840279682</v>
      </c>
      <c r="AI276" s="84">
        <f t="shared" si="284"/>
        <v>1.1398320617064595</v>
      </c>
      <c r="AJ276" s="84">
        <f t="shared" si="285"/>
        <v>1.2800926293583996</v>
      </c>
      <c r="AK276" s="84">
        <f t="shared" si="286"/>
        <v>1.1398333896447141</v>
      </c>
      <c r="AL276" s="84">
        <f t="shared" si="287"/>
        <v>1.2800918836860573</v>
      </c>
      <c r="AM276" s="84">
        <f t="shared" si="288"/>
        <v>1.1398334711127303</v>
      </c>
      <c r="AN276" s="84">
        <f t="shared" si="289"/>
        <v>1.2800918379396606</v>
      </c>
      <c r="AO276" s="84">
        <f t="shared" si="290"/>
        <v>1.1398334761107303</v>
      </c>
      <c r="AP276" s="84">
        <f t="shared" si="291"/>
        <v>1.2800918351331547</v>
      </c>
      <c r="AQ276" s="84">
        <f t="shared" si="292"/>
        <v>1.1398334764173539</v>
      </c>
      <c r="AR276" s="84">
        <f t="shared" si="293"/>
        <v>1.2800918349609778</v>
      </c>
      <c r="AS276" s="84">
        <f t="shared" si="294"/>
        <v>1.1398334764361648</v>
      </c>
      <c r="AT276" s="84">
        <f t="shared" si="295"/>
        <v>1.2800918349504149</v>
      </c>
      <c r="AU276" s="84">
        <f t="shared" si="296"/>
        <v>1.1398334764373188</v>
      </c>
      <c r="AV276" s="84">
        <f t="shared" si="297"/>
        <v>1.280091834949767</v>
      </c>
      <c r="AW276" s="84">
        <f t="shared" si="298"/>
        <v>1.1398334764373896</v>
      </c>
      <c r="AX276" s="84">
        <f t="shared" si="299"/>
        <v>1.2800918349497272</v>
      </c>
      <c r="AY276" s="142">
        <v>4.2332000000000001</v>
      </c>
      <c r="AZ276" s="46">
        <f t="shared" si="251"/>
        <v>8.5545085376789949</v>
      </c>
      <c r="BA276" s="85">
        <f t="shared" si="252"/>
        <v>1.0422840404422187</v>
      </c>
      <c r="BB276" s="85">
        <f t="shared" si="253"/>
        <v>8.4664000000000001</v>
      </c>
      <c r="BC276" s="85">
        <f t="shared" si="254"/>
        <v>1.0211420202211092</v>
      </c>
      <c r="BD276" s="85">
        <f t="shared" si="255"/>
        <v>8.5535963767024761</v>
      </c>
      <c r="BE276" s="85">
        <f t="shared" si="256"/>
        <v>1.0209264959575992</v>
      </c>
      <c r="BF276" s="85">
        <f t="shared" si="257"/>
        <v>8.5544991891394595</v>
      </c>
      <c r="BG276" s="85">
        <f t="shared" si="258"/>
        <v>1.020924287447154</v>
      </c>
      <c r="BH276" s="85">
        <f t="shared" si="259"/>
        <v>8.5545084418778004</v>
      </c>
      <c r="BI276" s="85">
        <f t="shared" si="260"/>
        <v>1.0209242648149994</v>
      </c>
      <c r="BJ276" s="85">
        <f t="shared" si="261"/>
        <v>8.5545085366972504</v>
      </c>
      <c r="BK276" s="85">
        <f t="shared" si="262"/>
        <v>1.0209242645830718</v>
      </c>
      <c r="BL276" s="85">
        <f t="shared" si="263"/>
        <v>8.5545085376689336</v>
      </c>
      <c r="BM276" s="85">
        <f t="shared" si="264"/>
        <v>1.0209242645806951</v>
      </c>
      <c r="BN276" s="85">
        <f t="shared" si="265"/>
        <v>8.5545085376788901</v>
      </c>
      <c r="BO276" s="85">
        <f t="shared" si="266"/>
        <v>1.0209242645806706</v>
      </c>
      <c r="BP276" s="85">
        <f t="shared" si="267"/>
        <v>8.5545085376789931</v>
      </c>
      <c r="BQ276" s="85">
        <f t="shared" si="268"/>
        <v>1.0209242645806704</v>
      </c>
      <c r="BR276" s="85">
        <f t="shared" si="269"/>
        <v>8.5545085376789949</v>
      </c>
      <c r="BS276" s="85">
        <f t="shared" si="270"/>
        <v>1.0209242645806704</v>
      </c>
      <c r="BT276" s="85">
        <f t="shared" si="271"/>
        <v>8.5545085376789949</v>
      </c>
      <c r="BU276" s="85">
        <f t="shared" si="272"/>
        <v>1.0209242645806704</v>
      </c>
      <c r="BV276" s="85">
        <f t="shared" si="273"/>
        <v>8.5545085376789949</v>
      </c>
      <c r="BW276" s="85">
        <f t="shared" si="274"/>
        <v>1.0209242645806704</v>
      </c>
    </row>
    <row r="277" spans="25:75" x14ac:dyDescent="0.4">
      <c r="Y277" s="142">
        <v>4.3651999999999997</v>
      </c>
      <c r="Z277" s="46">
        <f t="shared" si="275"/>
        <v>1.3217563539963728</v>
      </c>
      <c r="AA277" s="84">
        <f t="shared" si="276"/>
        <v>1.0410054063960414</v>
      </c>
      <c r="AB277" s="84">
        <f t="shared" si="277"/>
        <v>1.3803974442167009</v>
      </c>
      <c r="AC277" s="84">
        <f t="shared" si="278"/>
        <v>1.1296714457638795</v>
      </c>
      <c r="AD277" s="84">
        <f t="shared" si="279"/>
        <v>1.3251180304540153</v>
      </c>
      <c r="AE277" s="84">
        <f t="shared" si="280"/>
        <v>1.1350814326778367</v>
      </c>
      <c r="AF277" s="84">
        <f t="shared" si="281"/>
        <v>1.3219563922565771</v>
      </c>
      <c r="AG277" s="84">
        <f t="shared" si="282"/>
        <v>1.1354045364546443</v>
      </c>
      <c r="AH277" s="84">
        <f t="shared" si="283"/>
        <v>1.321768283313502</v>
      </c>
      <c r="AI277" s="84">
        <f t="shared" si="284"/>
        <v>1.1354238090059454</v>
      </c>
      <c r="AJ277" s="84">
        <f t="shared" si="285"/>
        <v>1.3217570654955626</v>
      </c>
      <c r="AK277" s="84">
        <f t="shared" si="286"/>
        <v>1.1354249584919367</v>
      </c>
      <c r="AL277" s="84">
        <f t="shared" si="287"/>
        <v>1.3217563964325816</v>
      </c>
      <c r="AM277" s="84">
        <f t="shared" si="288"/>
        <v>1.1354250270512098</v>
      </c>
      <c r="AN277" s="84">
        <f t="shared" si="289"/>
        <v>1.3217563565274106</v>
      </c>
      <c r="AO277" s="84">
        <f t="shared" si="290"/>
        <v>1.1354250311403182</v>
      </c>
      <c r="AP277" s="84">
        <f t="shared" si="291"/>
        <v>1.3217563541473307</v>
      </c>
      <c r="AQ277" s="84">
        <f t="shared" si="292"/>
        <v>1.1354250313842065</v>
      </c>
      <c r="AR277" s="84">
        <f t="shared" si="293"/>
        <v>1.3217563540053745</v>
      </c>
      <c r="AS277" s="84">
        <f t="shared" si="294"/>
        <v>1.1354250313987528</v>
      </c>
      <c r="AT277" s="84">
        <f t="shared" si="295"/>
        <v>1.3217563539969079</v>
      </c>
      <c r="AU277" s="84">
        <f t="shared" si="296"/>
        <v>1.1354250313996204</v>
      </c>
      <c r="AV277" s="84">
        <f t="shared" si="297"/>
        <v>1.321756353996403</v>
      </c>
      <c r="AW277" s="84">
        <f t="shared" si="298"/>
        <v>1.1354250313996723</v>
      </c>
      <c r="AX277" s="84">
        <f t="shared" si="299"/>
        <v>1.3217563539963728</v>
      </c>
      <c r="AY277" s="142">
        <v>4.3651999999999997</v>
      </c>
      <c r="AZ277" s="46">
        <f t="shared" si="251"/>
        <v>8.8185497279033598</v>
      </c>
      <c r="BA277" s="85">
        <f t="shared" si="252"/>
        <v>1.0410054063960414</v>
      </c>
      <c r="BB277" s="85">
        <f t="shared" si="253"/>
        <v>8.7303999999999995</v>
      </c>
      <c r="BC277" s="85">
        <f t="shared" si="254"/>
        <v>1.0205027031980207</v>
      </c>
      <c r="BD277" s="85">
        <f t="shared" si="255"/>
        <v>8.8176641847046966</v>
      </c>
      <c r="BE277" s="85">
        <f t="shared" si="256"/>
        <v>1.0202997977979804</v>
      </c>
      <c r="BF277" s="85">
        <f t="shared" si="257"/>
        <v>8.8185409185529657</v>
      </c>
      <c r="BG277" s="85">
        <f t="shared" si="258"/>
        <v>1.0202977796047208</v>
      </c>
      <c r="BH277" s="85">
        <f t="shared" si="259"/>
        <v>8.8185496402768564</v>
      </c>
      <c r="BI277" s="85">
        <f t="shared" si="260"/>
        <v>1.0202977595298064</v>
      </c>
      <c r="BJ277" s="85">
        <f t="shared" si="261"/>
        <v>8.8185497270317406</v>
      </c>
      <c r="BK277" s="85">
        <f t="shared" si="262"/>
        <v>1.0202977593301217</v>
      </c>
      <c r="BL277" s="85">
        <f t="shared" si="263"/>
        <v>8.8185497278946894</v>
      </c>
      <c r="BM277" s="85">
        <f t="shared" si="264"/>
        <v>1.0202977593281353</v>
      </c>
      <c r="BN277" s="85">
        <f t="shared" si="265"/>
        <v>8.8185497279032727</v>
      </c>
      <c r="BO277" s="85">
        <f t="shared" si="266"/>
        <v>1.0202977593281155</v>
      </c>
      <c r="BP277" s="85">
        <f t="shared" si="267"/>
        <v>8.8185497279033598</v>
      </c>
      <c r="BQ277" s="85">
        <f t="shared" si="268"/>
        <v>1.0202977593281155</v>
      </c>
      <c r="BR277" s="85">
        <f t="shared" si="269"/>
        <v>8.8185497279033598</v>
      </c>
      <c r="BS277" s="85">
        <f t="shared" si="270"/>
        <v>1.0202977593281155</v>
      </c>
      <c r="BT277" s="85">
        <f t="shared" si="271"/>
        <v>8.8185497279033598</v>
      </c>
      <c r="BU277" s="85">
        <f t="shared" si="272"/>
        <v>1.0202977593281155</v>
      </c>
      <c r="BV277" s="85">
        <f t="shared" si="273"/>
        <v>8.8185497279033598</v>
      </c>
      <c r="BW277" s="85">
        <f t="shared" si="274"/>
        <v>1.0202977593281155</v>
      </c>
    </row>
    <row r="278" spans="25:75" x14ac:dyDescent="0.4">
      <c r="Y278" s="142">
        <v>4.5012999999999996</v>
      </c>
      <c r="Z278" s="46">
        <f t="shared" si="275"/>
        <v>1.3647195719187799</v>
      </c>
      <c r="AA278" s="84">
        <f t="shared" si="276"/>
        <v>1.0397655788327818</v>
      </c>
      <c r="AB278" s="84">
        <f t="shared" si="277"/>
        <v>1.4234360431715924</v>
      </c>
      <c r="AC278" s="84">
        <f t="shared" si="278"/>
        <v>1.1257504728371672</v>
      </c>
      <c r="AD278" s="84">
        <f t="shared" si="279"/>
        <v>1.3679953071202875</v>
      </c>
      <c r="AE278" s="84">
        <f t="shared" si="280"/>
        <v>1.130847134740286</v>
      </c>
      <c r="AF278" s="84">
        <f t="shared" si="281"/>
        <v>1.3649090884178987</v>
      </c>
      <c r="AG278" s="84">
        <f t="shared" si="282"/>
        <v>1.1311430212971816</v>
      </c>
      <c r="AH278" s="84">
        <f t="shared" si="283"/>
        <v>1.3647305589759973</v>
      </c>
      <c r="AI278" s="84">
        <f t="shared" si="284"/>
        <v>1.131160178502747</v>
      </c>
      <c r="AJ278" s="84">
        <f t="shared" si="285"/>
        <v>1.3647202089601569</v>
      </c>
      <c r="AK278" s="84">
        <f t="shared" si="286"/>
        <v>1.1311611733075027</v>
      </c>
      <c r="AL278" s="84">
        <f t="shared" si="287"/>
        <v>1.3647196088553777</v>
      </c>
      <c r="AM278" s="84">
        <f t="shared" si="288"/>
        <v>1.1311612309877894</v>
      </c>
      <c r="AN278" s="84">
        <f t="shared" si="289"/>
        <v>1.3647195740604177</v>
      </c>
      <c r="AO278" s="84">
        <f t="shared" si="290"/>
        <v>1.1311612343321791</v>
      </c>
      <c r="AP278" s="84">
        <f t="shared" si="291"/>
        <v>1.3647195720429537</v>
      </c>
      <c r="AQ278" s="84">
        <f t="shared" si="292"/>
        <v>1.1311612345260917</v>
      </c>
      <c r="AR278" s="84">
        <f t="shared" si="293"/>
        <v>1.3647195719259784</v>
      </c>
      <c r="AS278" s="84">
        <f t="shared" si="294"/>
        <v>1.131161234537335</v>
      </c>
      <c r="AT278" s="84">
        <f t="shared" si="295"/>
        <v>1.3647195719191958</v>
      </c>
      <c r="AU278" s="84">
        <f t="shared" si="296"/>
        <v>1.1311612345379869</v>
      </c>
      <c r="AV278" s="84">
        <f t="shared" si="297"/>
        <v>1.3647195719188026</v>
      </c>
      <c r="AW278" s="84">
        <f t="shared" si="298"/>
        <v>1.1311612345380246</v>
      </c>
      <c r="AX278" s="84">
        <f t="shared" si="299"/>
        <v>1.3647195719187799</v>
      </c>
      <c r="AY278" s="142">
        <v>4.5012999999999996</v>
      </c>
      <c r="AZ278" s="46">
        <f t="shared" si="251"/>
        <v>9.0907897167729441</v>
      </c>
      <c r="BA278" s="85">
        <f t="shared" si="252"/>
        <v>1.0397655788327818</v>
      </c>
      <c r="BB278" s="85">
        <f t="shared" si="253"/>
        <v>9.0025999999999993</v>
      </c>
      <c r="BC278" s="85">
        <f t="shared" si="254"/>
        <v>1.0198827894163909</v>
      </c>
      <c r="BD278" s="85">
        <f t="shared" si="255"/>
        <v>9.0899300393188653</v>
      </c>
      <c r="BE278" s="85">
        <f t="shared" si="256"/>
        <v>1.0196917687183227</v>
      </c>
      <c r="BF278" s="85">
        <f t="shared" si="257"/>
        <v>9.0907814159423186</v>
      </c>
      <c r="BG278" s="85">
        <f t="shared" si="258"/>
        <v>1.0196899245301505</v>
      </c>
      <c r="BH278" s="85">
        <f t="shared" si="259"/>
        <v>9.0907896366295979</v>
      </c>
      <c r="BI278" s="85">
        <f t="shared" si="260"/>
        <v>1.0196899067247984</v>
      </c>
      <c r="BJ278" s="85">
        <f t="shared" si="261"/>
        <v>9.090789715999172</v>
      </c>
      <c r="BK278" s="85">
        <f t="shared" si="262"/>
        <v>1.0196899065528904</v>
      </c>
      <c r="BL278" s="85">
        <f t="shared" si="263"/>
        <v>9.0907897167654745</v>
      </c>
      <c r="BM278" s="85">
        <f t="shared" si="264"/>
        <v>1.0196899065512306</v>
      </c>
      <c r="BN278" s="85">
        <f t="shared" si="265"/>
        <v>9.0907897167728731</v>
      </c>
      <c r="BO278" s="85">
        <f t="shared" si="266"/>
        <v>1.0196899065512146</v>
      </c>
      <c r="BP278" s="85">
        <f t="shared" si="267"/>
        <v>9.0907897167729441</v>
      </c>
      <c r="BQ278" s="85">
        <f t="shared" si="268"/>
        <v>1.0196899065512144</v>
      </c>
      <c r="BR278" s="85">
        <f t="shared" si="269"/>
        <v>9.0907897167729441</v>
      </c>
      <c r="BS278" s="85">
        <f t="shared" si="270"/>
        <v>1.0196899065512144</v>
      </c>
      <c r="BT278" s="85">
        <f t="shared" si="271"/>
        <v>9.0907897167729441</v>
      </c>
      <c r="BU278" s="85">
        <f t="shared" si="272"/>
        <v>1.0196899065512144</v>
      </c>
      <c r="BV278" s="85">
        <f t="shared" si="273"/>
        <v>9.0907897167729441</v>
      </c>
      <c r="BW278" s="85">
        <f t="shared" si="274"/>
        <v>1.0196899065512144</v>
      </c>
    </row>
    <row r="279" spans="25:75" x14ac:dyDescent="0.4">
      <c r="Y279" s="142">
        <v>4.6416000000000004</v>
      </c>
      <c r="Z279" s="46">
        <f t="shared" si="275"/>
        <v>1.4090130845520503</v>
      </c>
      <c r="AA279" s="84">
        <f t="shared" si="276"/>
        <v>1.0385635987590487</v>
      </c>
      <c r="AB279" s="84">
        <f t="shared" si="277"/>
        <v>1.467802798743755</v>
      </c>
      <c r="AC279" s="84">
        <f t="shared" si="278"/>
        <v>1.1219492689272246</v>
      </c>
      <c r="AD279" s="84">
        <f t="shared" si="279"/>
        <v>1.4122046911931905</v>
      </c>
      <c r="AE279" s="84">
        <f t="shared" si="280"/>
        <v>1.1267506355116932</v>
      </c>
      <c r="AF279" s="84">
        <f t="shared" si="281"/>
        <v>1.4091926000536414</v>
      </c>
      <c r="AG279" s="84">
        <f t="shared" si="282"/>
        <v>1.127021577182201</v>
      </c>
      <c r="AH279" s="84">
        <f t="shared" si="283"/>
        <v>1.4090232013682846</v>
      </c>
      <c r="AI279" s="84">
        <f t="shared" si="284"/>
        <v>1.1270368492407468</v>
      </c>
      <c r="AJ279" s="84">
        <f t="shared" si="285"/>
        <v>1.4090136547604091</v>
      </c>
      <c r="AK279" s="84">
        <f t="shared" si="286"/>
        <v>1.1270377100200191</v>
      </c>
      <c r="AL279" s="84">
        <f t="shared" si="287"/>
        <v>1.4090131166905784</v>
      </c>
      <c r="AM279" s="84">
        <f t="shared" si="288"/>
        <v>1.127037758535961</v>
      </c>
      <c r="AN279" s="84">
        <f t="shared" si="289"/>
        <v>1.4090130863634669</v>
      </c>
      <c r="AO279" s="84">
        <f t="shared" si="290"/>
        <v>1.1270377612704554</v>
      </c>
      <c r="AP279" s="84">
        <f t="shared" si="291"/>
        <v>1.409013084654146</v>
      </c>
      <c r="AQ279" s="84">
        <f t="shared" si="292"/>
        <v>1.1270377614245792</v>
      </c>
      <c r="AR279" s="84">
        <f t="shared" si="293"/>
        <v>1.4090130845578037</v>
      </c>
      <c r="AS279" s="84">
        <f t="shared" si="294"/>
        <v>1.1270377614332661</v>
      </c>
      <c r="AT279" s="84">
        <f t="shared" si="295"/>
        <v>1.4090130845523738</v>
      </c>
      <c r="AU279" s="84">
        <f t="shared" si="296"/>
        <v>1.1270377614337557</v>
      </c>
      <c r="AV279" s="84">
        <f t="shared" si="297"/>
        <v>1.4090130845520676</v>
      </c>
      <c r="AW279" s="84">
        <f t="shared" si="298"/>
        <v>1.1270377614337834</v>
      </c>
      <c r="AX279" s="84">
        <f t="shared" si="299"/>
        <v>1.4090130845520503</v>
      </c>
      <c r="AY279" s="142">
        <v>4.6416000000000004</v>
      </c>
      <c r="AZ279" s="46">
        <f t="shared" si="251"/>
        <v>9.3714285308626728</v>
      </c>
      <c r="BA279" s="85">
        <f t="shared" si="252"/>
        <v>1.0385635987590487</v>
      </c>
      <c r="BB279" s="85">
        <f t="shared" si="253"/>
        <v>9.2832000000000008</v>
      </c>
      <c r="BC279" s="85">
        <f t="shared" si="254"/>
        <v>1.0192817993795242</v>
      </c>
      <c r="BD279" s="85">
        <f t="shared" si="255"/>
        <v>9.370593982171485</v>
      </c>
      <c r="BE279" s="85">
        <f t="shared" si="256"/>
        <v>1.0191019694525831</v>
      </c>
      <c r="BF279" s="85">
        <f t="shared" si="257"/>
        <v>9.3714207095009563</v>
      </c>
      <c r="BG279" s="85">
        <f t="shared" si="258"/>
        <v>1.0191002843163928</v>
      </c>
      <c r="BH279" s="85">
        <f t="shared" si="259"/>
        <v>9.3714284575675126</v>
      </c>
      <c r="BI279" s="85">
        <f t="shared" si="260"/>
        <v>1.0191002685247474</v>
      </c>
      <c r="BJ279" s="85">
        <f t="shared" si="261"/>
        <v>9.3714285301758142</v>
      </c>
      <c r="BK279" s="85">
        <f t="shared" si="262"/>
        <v>1.0191002683767618</v>
      </c>
      <c r="BL279" s="85">
        <f t="shared" si="263"/>
        <v>9.3714285308562353</v>
      </c>
      <c r="BM279" s="85">
        <f t="shared" si="264"/>
        <v>1.0191002683753749</v>
      </c>
      <c r="BN279" s="85">
        <f t="shared" si="265"/>
        <v>9.3714285308626124</v>
      </c>
      <c r="BO279" s="85">
        <f t="shared" si="266"/>
        <v>1.0191002683753621</v>
      </c>
      <c r="BP279" s="85">
        <f t="shared" si="267"/>
        <v>9.371428530862671</v>
      </c>
      <c r="BQ279" s="85">
        <f t="shared" si="268"/>
        <v>1.0191002683753618</v>
      </c>
      <c r="BR279" s="85">
        <f t="shared" si="269"/>
        <v>9.3714285308626728</v>
      </c>
      <c r="BS279" s="85">
        <f t="shared" si="270"/>
        <v>1.0191002683753618</v>
      </c>
      <c r="BT279" s="85">
        <f t="shared" si="271"/>
        <v>9.3714285308626728</v>
      </c>
      <c r="BU279" s="85">
        <f t="shared" si="272"/>
        <v>1.0191002683753618</v>
      </c>
      <c r="BV279" s="85">
        <f t="shared" si="273"/>
        <v>9.3714285308626728</v>
      </c>
      <c r="BW279" s="85">
        <f t="shared" si="274"/>
        <v>1.0191002683753618</v>
      </c>
    </row>
    <row r="280" spans="25:75" x14ac:dyDescent="0.4">
      <c r="Y280" s="142">
        <v>4.7862999999999998</v>
      </c>
      <c r="Z280" s="46">
        <f t="shared" si="275"/>
        <v>1.4547000585104328</v>
      </c>
      <c r="AA280" s="84">
        <f t="shared" si="276"/>
        <v>1.0373977393811504</v>
      </c>
      <c r="AB280" s="84">
        <f t="shared" si="277"/>
        <v>1.5135609564863912</v>
      </c>
      <c r="AC280" s="84">
        <f t="shared" si="278"/>
        <v>1.1182623504674538</v>
      </c>
      <c r="AD280" s="84">
        <f t="shared" si="279"/>
        <v>1.4578092890221077</v>
      </c>
      <c r="AE280" s="84">
        <f t="shared" si="280"/>
        <v>1.1227852874966904</v>
      </c>
      <c r="AF280" s="84">
        <f t="shared" si="281"/>
        <v>1.4548700657544018</v>
      </c>
      <c r="AG280" s="84">
        <f t="shared" si="282"/>
        <v>1.1230333578967264</v>
      </c>
      <c r="AH280" s="84">
        <f t="shared" si="283"/>
        <v>1.4547093714484287</v>
      </c>
      <c r="AI280" s="84">
        <f t="shared" si="284"/>
        <v>1.1230469494026205</v>
      </c>
      <c r="AJ280" s="84">
        <f t="shared" si="285"/>
        <v>1.4547005687216914</v>
      </c>
      <c r="AK280" s="84">
        <f t="shared" si="286"/>
        <v>1.1230476940230079</v>
      </c>
      <c r="AL280" s="84">
        <f t="shared" si="287"/>
        <v>1.4547000864626183</v>
      </c>
      <c r="AM280" s="84">
        <f t="shared" si="288"/>
        <v>1.123047734817439</v>
      </c>
      <c r="AN280" s="84">
        <f t="shared" si="289"/>
        <v>1.4547000600418076</v>
      </c>
      <c r="AO280" s="84">
        <f t="shared" si="290"/>
        <v>1.1230477370523837</v>
      </c>
      <c r="AP280" s="84">
        <f t="shared" si="291"/>
        <v>1.4547000585943295</v>
      </c>
      <c r="AQ280" s="84">
        <f t="shared" si="292"/>
        <v>1.1230477371748262</v>
      </c>
      <c r="AR280" s="84">
        <f t="shared" si="293"/>
        <v>1.4547000585150287</v>
      </c>
      <c r="AS280" s="84">
        <f t="shared" si="294"/>
        <v>1.1230477371815344</v>
      </c>
      <c r="AT280" s="84">
        <f t="shared" si="295"/>
        <v>1.454700058510684</v>
      </c>
      <c r="AU280" s="84">
        <f t="shared" si="296"/>
        <v>1.1230477371819019</v>
      </c>
      <c r="AV280" s="84">
        <f t="shared" si="297"/>
        <v>1.4547000585104461</v>
      </c>
      <c r="AW280" s="84">
        <f t="shared" si="298"/>
        <v>1.1230477371819221</v>
      </c>
      <c r="AX280" s="84">
        <f t="shared" si="299"/>
        <v>1.4547000585104328</v>
      </c>
      <c r="AY280" s="142">
        <v>4.7862999999999998</v>
      </c>
      <c r="AZ280" s="46">
        <f t="shared" si="251"/>
        <v>9.6608662218468435</v>
      </c>
      <c r="BA280" s="85">
        <f t="shared" si="252"/>
        <v>1.0373977393811504</v>
      </c>
      <c r="BB280" s="85">
        <f t="shared" si="253"/>
        <v>9.5725999999999996</v>
      </c>
      <c r="BC280" s="85">
        <f t="shared" si="254"/>
        <v>1.0186988696905752</v>
      </c>
      <c r="BD280" s="85">
        <f t="shared" si="255"/>
        <v>9.6600560963848459</v>
      </c>
      <c r="BE280" s="85">
        <f t="shared" si="256"/>
        <v>1.0185295818382449</v>
      </c>
      <c r="BF280" s="85">
        <f t="shared" si="257"/>
        <v>9.6608588527472907</v>
      </c>
      <c r="BG280" s="85">
        <f t="shared" si="258"/>
        <v>1.0185280421470082</v>
      </c>
      <c r="BH280" s="85">
        <f t="shared" si="259"/>
        <v>9.6608661548212051</v>
      </c>
      <c r="BI280" s="85">
        <f t="shared" si="260"/>
        <v>1.0185280281427636</v>
      </c>
      <c r="BJ280" s="85">
        <f t="shared" si="261"/>
        <v>9.6608662212372138</v>
      </c>
      <c r="BK280" s="85">
        <f t="shared" si="262"/>
        <v>1.0185280280153881</v>
      </c>
      <c r="BL280" s="85">
        <f t="shared" si="263"/>
        <v>9.6608662218413013</v>
      </c>
      <c r="BM280" s="85">
        <f t="shared" si="264"/>
        <v>1.0185280280142295</v>
      </c>
      <c r="BN280" s="85">
        <f t="shared" si="265"/>
        <v>9.6608662218467956</v>
      </c>
      <c r="BO280" s="85">
        <f t="shared" si="266"/>
        <v>1.018528028014219</v>
      </c>
      <c r="BP280" s="85">
        <f t="shared" si="267"/>
        <v>9.6608662218468435</v>
      </c>
      <c r="BQ280" s="85">
        <f t="shared" si="268"/>
        <v>1.018528028014219</v>
      </c>
      <c r="BR280" s="85">
        <f t="shared" si="269"/>
        <v>9.6608662218468435</v>
      </c>
      <c r="BS280" s="85">
        <f t="shared" si="270"/>
        <v>1.018528028014219</v>
      </c>
      <c r="BT280" s="85">
        <f t="shared" si="271"/>
        <v>9.6608662218468435</v>
      </c>
      <c r="BU280" s="85">
        <f t="shared" si="272"/>
        <v>1.018528028014219</v>
      </c>
      <c r="BV280" s="85">
        <f t="shared" si="273"/>
        <v>9.6608662218468435</v>
      </c>
      <c r="BW280" s="85">
        <f t="shared" si="274"/>
        <v>1.018528028014219</v>
      </c>
    </row>
    <row r="281" spans="25:75" x14ac:dyDescent="0.4">
      <c r="Y281" s="142">
        <v>4.9355000000000002</v>
      </c>
      <c r="Z281" s="46">
        <f t="shared" si="275"/>
        <v>1.5018120901274263</v>
      </c>
      <c r="AA281" s="84">
        <f t="shared" si="276"/>
        <v>1.0362672069699119</v>
      </c>
      <c r="AB281" s="84">
        <f t="shared" si="277"/>
        <v>1.5607421391761036</v>
      </c>
      <c r="AC281" s="84">
        <f t="shared" si="278"/>
        <v>1.1146871903589681</v>
      </c>
      <c r="AD281" s="84">
        <f t="shared" si="279"/>
        <v>1.5048406996170614</v>
      </c>
      <c r="AE281" s="84">
        <f t="shared" si="280"/>
        <v>1.1189476796609048</v>
      </c>
      <c r="AF281" s="84">
        <f t="shared" si="281"/>
        <v>1.5019730622763678</v>
      </c>
      <c r="AG281" s="84">
        <f t="shared" si="282"/>
        <v>1.1191747877416665</v>
      </c>
      <c r="AH281" s="84">
        <f t="shared" si="283"/>
        <v>1.5018206609133573</v>
      </c>
      <c r="AI281" s="84">
        <f t="shared" si="284"/>
        <v>1.1191868817380699</v>
      </c>
      <c r="AJ281" s="84">
        <f t="shared" si="285"/>
        <v>1.501812546512163</v>
      </c>
      <c r="AK281" s="84">
        <f t="shared" si="286"/>
        <v>1.1191875257351303</v>
      </c>
      <c r="AL281" s="84">
        <f t="shared" si="287"/>
        <v>1.5018121144295218</v>
      </c>
      <c r="AM281" s="84">
        <f t="shared" si="288"/>
        <v>1.119187560027437</v>
      </c>
      <c r="AN281" s="84">
        <f t="shared" si="289"/>
        <v>1.5018120914214916</v>
      </c>
      <c r="AO281" s="84">
        <f t="shared" si="290"/>
        <v>1.1191875618534735</v>
      </c>
      <c r="AP281" s="84">
        <f t="shared" si="291"/>
        <v>1.5018120901963334</v>
      </c>
      <c r="AQ281" s="84">
        <f t="shared" si="292"/>
        <v>1.1191875619507083</v>
      </c>
      <c r="AR281" s="84">
        <f t="shared" si="293"/>
        <v>1.501812090131095</v>
      </c>
      <c r="AS281" s="84">
        <f t="shared" si="294"/>
        <v>1.119187561955886</v>
      </c>
      <c r="AT281" s="84">
        <f t="shared" si="295"/>
        <v>1.5018120901276208</v>
      </c>
      <c r="AU281" s="84">
        <f t="shared" si="296"/>
        <v>1.1191875619561618</v>
      </c>
      <c r="AV281" s="84">
        <f t="shared" si="297"/>
        <v>1.5018120901274361</v>
      </c>
      <c r="AW281" s="84">
        <f t="shared" si="298"/>
        <v>1.1191875619561764</v>
      </c>
      <c r="AX281" s="84">
        <f t="shared" si="299"/>
        <v>1.5018120901274263</v>
      </c>
      <c r="AY281" s="142">
        <v>4.9355000000000002</v>
      </c>
      <c r="AZ281" s="46">
        <f t="shared" si="251"/>
        <v>9.9593028115477011</v>
      </c>
      <c r="BA281" s="85">
        <f t="shared" si="252"/>
        <v>1.0362672069699119</v>
      </c>
      <c r="BB281" s="85">
        <f t="shared" si="253"/>
        <v>9.8710000000000004</v>
      </c>
      <c r="BC281" s="85">
        <f t="shared" si="254"/>
        <v>1.018133603484956</v>
      </c>
      <c r="BD281" s="85">
        <f t="shared" si="255"/>
        <v>9.9585164160362361</v>
      </c>
      <c r="BE281" s="85">
        <f t="shared" si="256"/>
        <v>1.0179742436043748</v>
      </c>
      <c r="BF281" s="85">
        <f t="shared" si="257"/>
        <v>9.9592958689018012</v>
      </c>
      <c r="BG281" s="85">
        <f t="shared" si="258"/>
        <v>1.0179728368708196</v>
      </c>
      <c r="BH281" s="85">
        <f t="shared" si="259"/>
        <v>9.9593027502597007</v>
      </c>
      <c r="BI281" s="85">
        <f t="shared" si="260"/>
        <v>1.0179728244525283</v>
      </c>
      <c r="BJ281" s="85">
        <f t="shared" si="261"/>
        <v>9.9593028110066673</v>
      </c>
      <c r="BK281" s="85">
        <f t="shared" si="262"/>
        <v>1.0179728243429027</v>
      </c>
      <c r="BL281" s="85">
        <f t="shared" si="263"/>
        <v>9.9593028115429245</v>
      </c>
      <c r="BM281" s="85">
        <f t="shared" si="264"/>
        <v>1.017972824341935</v>
      </c>
      <c r="BN281" s="85">
        <f t="shared" si="265"/>
        <v>9.9593028115476585</v>
      </c>
      <c r="BO281" s="85">
        <f t="shared" si="266"/>
        <v>1.0179728243419264</v>
      </c>
      <c r="BP281" s="85">
        <f t="shared" si="267"/>
        <v>9.9593028115477011</v>
      </c>
      <c r="BQ281" s="85">
        <f t="shared" si="268"/>
        <v>1.0179728243419264</v>
      </c>
      <c r="BR281" s="85">
        <f t="shared" si="269"/>
        <v>9.9593028115477011</v>
      </c>
      <c r="BS281" s="85">
        <f t="shared" si="270"/>
        <v>1.0179728243419264</v>
      </c>
      <c r="BT281" s="85">
        <f t="shared" si="271"/>
        <v>9.9593028115477011</v>
      </c>
      <c r="BU281" s="85">
        <f t="shared" si="272"/>
        <v>1.0179728243419264</v>
      </c>
      <c r="BV281" s="85">
        <f t="shared" si="273"/>
        <v>9.9593028115477011</v>
      </c>
      <c r="BW281" s="85">
        <f t="shared" si="274"/>
        <v>1.0179728243419264</v>
      </c>
    </row>
    <row r="282" spans="25:75" x14ac:dyDescent="0.4">
      <c r="Y282" s="142">
        <v>5.0894000000000004</v>
      </c>
      <c r="Z282" s="46">
        <f t="shared" si="275"/>
        <v>1.5504123522934798</v>
      </c>
      <c r="AA282" s="84">
        <f t="shared" si="276"/>
        <v>1.0351705112586946</v>
      </c>
      <c r="AB282" s="84">
        <f t="shared" si="277"/>
        <v>1.6094095923660949</v>
      </c>
      <c r="AC282" s="84">
        <f t="shared" si="278"/>
        <v>1.1112190631905079</v>
      </c>
      <c r="AD282" s="84">
        <f t="shared" si="279"/>
        <v>1.5533620465199247</v>
      </c>
      <c r="AE282" s="84">
        <f t="shared" si="280"/>
        <v>1.1152320868309535</v>
      </c>
      <c r="AF282" s="84">
        <f t="shared" si="281"/>
        <v>1.5505647379688265</v>
      </c>
      <c r="AG282" s="84">
        <f t="shared" si="282"/>
        <v>1.1154399771202881</v>
      </c>
      <c r="AH282" s="84">
        <f t="shared" si="283"/>
        <v>1.5504202378704779</v>
      </c>
      <c r="AI282" s="84">
        <f t="shared" si="284"/>
        <v>1.1154507364533581</v>
      </c>
      <c r="AJ282" s="84">
        <f t="shared" si="285"/>
        <v>1.5504127603874216</v>
      </c>
      <c r="AK282" s="84">
        <f t="shared" si="286"/>
        <v>1.1154512932738661</v>
      </c>
      <c r="AL282" s="84">
        <f t="shared" si="287"/>
        <v>1.5504123734132282</v>
      </c>
      <c r="AM282" s="84">
        <f t="shared" si="288"/>
        <v>1.1154513220905493</v>
      </c>
      <c r="AN282" s="84">
        <f t="shared" si="289"/>
        <v>1.5504123533864727</v>
      </c>
      <c r="AO282" s="84">
        <f t="shared" si="290"/>
        <v>1.1154513235818757</v>
      </c>
      <c r="AP282" s="84">
        <f t="shared" si="291"/>
        <v>1.5504123523500439</v>
      </c>
      <c r="AQ282" s="84">
        <f t="shared" si="292"/>
        <v>1.1154513236590551</v>
      </c>
      <c r="AR282" s="84">
        <f t="shared" si="293"/>
        <v>1.5504123522964066</v>
      </c>
      <c r="AS282" s="84">
        <f t="shared" si="294"/>
        <v>1.1154513236630492</v>
      </c>
      <c r="AT282" s="84">
        <f t="shared" si="295"/>
        <v>1.5504123522936308</v>
      </c>
      <c r="AU282" s="84">
        <f t="shared" si="296"/>
        <v>1.1154513236632559</v>
      </c>
      <c r="AV282" s="84">
        <f t="shared" si="297"/>
        <v>1.5504123522934872</v>
      </c>
      <c r="AW282" s="84">
        <f t="shared" si="298"/>
        <v>1.1154513236632666</v>
      </c>
      <c r="AX282" s="84">
        <f t="shared" si="299"/>
        <v>1.5504123522934798</v>
      </c>
      <c r="AY282" s="142">
        <v>5.0894000000000004</v>
      </c>
      <c r="AZ282" s="46">
        <f t="shared" si="251"/>
        <v>10.26713834458473</v>
      </c>
      <c r="BA282" s="85">
        <f t="shared" si="252"/>
        <v>1.0351705112586946</v>
      </c>
      <c r="BB282" s="85">
        <f t="shared" si="253"/>
        <v>10.178800000000001</v>
      </c>
      <c r="BC282" s="85">
        <f t="shared" si="254"/>
        <v>1.0175852556293472</v>
      </c>
      <c r="BD282" s="85">
        <f t="shared" si="255"/>
        <v>10.266375012906984</v>
      </c>
      <c r="BE282" s="85">
        <f t="shared" si="256"/>
        <v>1.0174352485443949</v>
      </c>
      <c r="BF282" s="85">
        <f t="shared" si="257"/>
        <v>10.267131804177476</v>
      </c>
      <c r="BG282" s="85">
        <f t="shared" si="258"/>
        <v>1.0174339633905518</v>
      </c>
      <c r="BH282" s="85">
        <f t="shared" si="259"/>
        <v>10.267138288549043</v>
      </c>
      <c r="BI282" s="85">
        <f t="shared" si="260"/>
        <v>1.0174339523798599</v>
      </c>
      <c r="BJ282" s="85">
        <f t="shared" si="261"/>
        <v>10.267138344104636</v>
      </c>
      <c r="BK282" s="85">
        <f t="shared" si="262"/>
        <v>1.0174339522855245</v>
      </c>
      <c r="BL282" s="85">
        <f t="shared" si="263"/>
        <v>10.267138344580617</v>
      </c>
      <c r="BM282" s="85">
        <f t="shared" si="264"/>
        <v>1.0174339522847164</v>
      </c>
      <c r="BN282" s="85">
        <f t="shared" si="265"/>
        <v>10.267138344584694</v>
      </c>
      <c r="BO282" s="85">
        <f t="shared" si="266"/>
        <v>1.0174339522847093</v>
      </c>
      <c r="BP282" s="85">
        <f t="shared" si="267"/>
        <v>10.26713834458473</v>
      </c>
      <c r="BQ282" s="85">
        <f t="shared" si="268"/>
        <v>1.0174339522847093</v>
      </c>
      <c r="BR282" s="85">
        <f t="shared" si="269"/>
        <v>10.26713834458473</v>
      </c>
      <c r="BS282" s="85">
        <f t="shared" si="270"/>
        <v>1.0174339522847093</v>
      </c>
      <c r="BT282" s="85">
        <f t="shared" si="271"/>
        <v>10.26713834458473</v>
      </c>
      <c r="BU282" s="85">
        <f t="shared" si="272"/>
        <v>1.0174339522847093</v>
      </c>
      <c r="BV282" s="85">
        <f t="shared" si="273"/>
        <v>10.26713834458473</v>
      </c>
      <c r="BW282" s="85">
        <f t="shared" si="274"/>
        <v>1.0174339522847093</v>
      </c>
    </row>
    <row r="283" spans="25:75" x14ac:dyDescent="0.4">
      <c r="Y283" s="142">
        <v>5.2481</v>
      </c>
      <c r="Z283" s="46">
        <f t="shared" si="275"/>
        <v>1.6005324416829405</v>
      </c>
      <c r="AA283" s="84">
        <f t="shared" si="276"/>
        <v>1.0341069720470266</v>
      </c>
      <c r="AB283" s="84">
        <f t="shared" si="277"/>
        <v>1.6595949388329672</v>
      </c>
      <c r="AC283" s="84">
        <f t="shared" si="278"/>
        <v>1.1078558086470989</v>
      </c>
      <c r="AD283" s="84">
        <f t="shared" si="279"/>
        <v>1.6034049324658202</v>
      </c>
      <c r="AE283" s="84">
        <f t="shared" si="280"/>
        <v>1.1116355789563452</v>
      </c>
      <c r="AF283" s="84">
        <f t="shared" si="281"/>
        <v>1.6006766719811609</v>
      </c>
      <c r="AG283" s="84">
        <f t="shared" si="282"/>
        <v>1.1118258584873919</v>
      </c>
      <c r="AH283" s="84">
        <f t="shared" si="283"/>
        <v>1.6005396950271309</v>
      </c>
      <c r="AI283" s="84">
        <f t="shared" si="284"/>
        <v>1.1118354288984145</v>
      </c>
      <c r="AJ283" s="84">
        <f t="shared" si="285"/>
        <v>1.6005328064826105</v>
      </c>
      <c r="AK283" s="84">
        <f t="shared" si="286"/>
        <v>1.1118359102357993</v>
      </c>
      <c r="AL283" s="84">
        <f t="shared" si="287"/>
        <v>1.6005324600302469</v>
      </c>
      <c r="AM283" s="84">
        <f t="shared" si="288"/>
        <v>1.1118359344442847</v>
      </c>
      <c r="AN283" s="84">
        <f t="shared" si="289"/>
        <v>1.6005324426057033</v>
      </c>
      <c r="AO283" s="84">
        <f t="shared" si="290"/>
        <v>1.1118359356618313</v>
      </c>
      <c r="AP283" s="84">
        <f t="shared" si="291"/>
        <v>1.6005324417293496</v>
      </c>
      <c r="AQ283" s="84">
        <f t="shared" si="292"/>
        <v>1.1118359357230669</v>
      </c>
      <c r="AR283" s="84">
        <f t="shared" si="293"/>
        <v>1.6005324416852742</v>
      </c>
      <c r="AS283" s="84">
        <f t="shared" si="294"/>
        <v>1.1118359357261467</v>
      </c>
      <c r="AT283" s="84">
        <f t="shared" si="295"/>
        <v>1.6005324416830575</v>
      </c>
      <c r="AU283" s="84">
        <f t="shared" si="296"/>
        <v>1.1118359357263015</v>
      </c>
      <c r="AV283" s="84">
        <f t="shared" si="297"/>
        <v>1.6005324416829463</v>
      </c>
      <c r="AW283" s="84">
        <f t="shared" si="298"/>
        <v>1.1118359357263092</v>
      </c>
      <c r="AX283" s="84">
        <f t="shared" si="299"/>
        <v>1.6005324416829405</v>
      </c>
      <c r="AY283" s="142">
        <v>5.2481</v>
      </c>
      <c r="AZ283" s="46">
        <f t="shared" si="251"/>
        <v>10.584572839593754</v>
      </c>
      <c r="BA283" s="85">
        <f t="shared" si="252"/>
        <v>1.0341069720470266</v>
      </c>
      <c r="BB283" s="85">
        <f t="shared" si="253"/>
        <v>10.4962</v>
      </c>
      <c r="BC283" s="85">
        <f t="shared" si="254"/>
        <v>1.0170534860235132</v>
      </c>
      <c r="BD283" s="85">
        <f t="shared" si="255"/>
        <v>10.583831916055836</v>
      </c>
      <c r="BE283" s="85">
        <f t="shared" si="256"/>
        <v>1.0169122867237204</v>
      </c>
      <c r="BF283" s="85">
        <f t="shared" si="257"/>
        <v>10.584566678435548</v>
      </c>
      <c r="BG283" s="85">
        <f t="shared" si="258"/>
        <v>1.016911112701919</v>
      </c>
      <c r="BH283" s="85">
        <f t="shared" si="259"/>
        <v>10.584572788364087</v>
      </c>
      <c r="BI283" s="85">
        <f t="shared" si="260"/>
        <v>1.0169111029400049</v>
      </c>
      <c r="BJ283" s="85">
        <f t="shared" si="261"/>
        <v>10.584572839167784</v>
      </c>
      <c r="BK283" s="85">
        <f t="shared" si="262"/>
        <v>1.0169111028588351</v>
      </c>
      <c r="BL283" s="85">
        <f t="shared" si="263"/>
        <v>10.584572839590214</v>
      </c>
      <c r="BM283" s="85">
        <f t="shared" si="264"/>
        <v>1.0169111028581603</v>
      </c>
      <c r="BN283" s="85">
        <f t="shared" si="265"/>
        <v>10.584572839593726</v>
      </c>
      <c r="BO283" s="85">
        <f t="shared" si="266"/>
        <v>1.0169111028581548</v>
      </c>
      <c r="BP283" s="85">
        <f t="shared" si="267"/>
        <v>10.584572839593754</v>
      </c>
      <c r="BQ283" s="85">
        <f t="shared" si="268"/>
        <v>1.0169111028581546</v>
      </c>
      <c r="BR283" s="85">
        <f t="shared" si="269"/>
        <v>10.584572839593754</v>
      </c>
      <c r="BS283" s="85">
        <f t="shared" si="270"/>
        <v>1.0169111028581546</v>
      </c>
      <c r="BT283" s="85">
        <f t="shared" si="271"/>
        <v>10.584572839593754</v>
      </c>
      <c r="BU283" s="85">
        <f t="shared" si="272"/>
        <v>1.0169111028581546</v>
      </c>
      <c r="BV283" s="85">
        <f t="shared" si="273"/>
        <v>10.584572839593754</v>
      </c>
      <c r="BW283" s="85">
        <f t="shared" si="274"/>
        <v>1.0169111028581546</v>
      </c>
    </row>
    <row r="284" spans="25:75" x14ac:dyDescent="0.4">
      <c r="Y284" s="142">
        <v>5.4116999999999997</v>
      </c>
      <c r="Z284" s="46">
        <f t="shared" si="275"/>
        <v>1.6522039514939262</v>
      </c>
      <c r="AA284" s="84">
        <f t="shared" si="276"/>
        <v>1.0330758911247853</v>
      </c>
      <c r="AB284" s="84">
        <f t="shared" si="277"/>
        <v>1.7113298013533216</v>
      </c>
      <c r="AC284" s="84">
        <f t="shared" si="278"/>
        <v>1.1045952119975722</v>
      </c>
      <c r="AD284" s="84">
        <f t="shared" si="279"/>
        <v>1.6550009536413939</v>
      </c>
      <c r="AE284" s="84">
        <f t="shared" si="280"/>
        <v>1.1081552003516184</v>
      </c>
      <c r="AF284" s="84">
        <f t="shared" si="281"/>
        <v>1.6523404401921056</v>
      </c>
      <c r="AG284" s="84">
        <f t="shared" si="282"/>
        <v>1.108329348290322</v>
      </c>
      <c r="AH284" s="84">
        <f t="shared" si="283"/>
        <v>1.6522106218369463</v>
      </c>
      <c r="AI284" s="84">
        <f t="shared" si="284"/>
        <v>1.1083378600994127</v>
      </c>
      <c r="AJ284" s="84">
        <f t="shared" si="285"/>
        <v>1.6522042775041856</v>
      </c>
      <c r="AK284" s="84">
        <f t="shared" si="286"/>
        <v>1.108338276113003</v>
      </c>
      <c r="AL284" s="84">
        <f t="shared" si="287"/>
        <v>1.6522039674275995</v>
      </c>
      <c r="AM284" s="84">
        <f t="shared" si="288"/>
        <v>1.1083382964455737</v>
      </c>
      <c r="AN284" s="84">
        <f t="shared" si="289"/>
        <v>1.6522039522726806</v>
      </c>
      <c r="AO284" s="84">
        <f t="shared" si="290"/>
        <v>1.1083382974393232</v>
      </c>
      <c r="AP284" s="84">
        <f t="shared" si="291"/>
        <v>1.6522039515319875</v>
      </c>
      <c r="AQ284" s="84">
        <f t="shared" si="292"/>
        <v>1.1083382974878926</v>
      </c>
      <c r="AR284" s="84">
        <f t="shared" si="293"/>
        <v>1.6522039514957862</v>
      </c>
      <c r="AS284" s="84">
        <f t="shared" si="294"/>
        <v>1.1083382974902665</v>
      </c>
      <c r="AT284" s="84">
        <f t="shared" si="295"/>
        <v>1.6522039514940168</v>
      </c>
      <c r="AU284" s="84">
        <f t="shared" si="296"/>
        <v>1.1083382974903824</v>
      </c>
      <c r="AV284" s="84">
        <f t="shared" si="297"/>
        <v>1.6522039514939304</v>
      </c>
      <c r="AW284" s="84">
        <f t="shared" si="298"/>
        <v>1.1083382974903881</v>
      </c>
      <c r="AX284" s="84">
        <f t="shared" si="299"/>
        <v>1.6522039514939262</v>
      </c>
      <c r="AY284" s="142">
        <v>5.4116999999999997</v>
      </c>
      <c r="AZ284" s="46">
        <f t="shared" si="251"/>
        <v>10.911806315979943</v>
      </c>
      <c r="BA284" s="85">
        <f t="shared" si="252"/>
        <v>1.0330758911247853</v>
      </c>
      <c r="BB284" s="85">
        <f t="shared" si="253"/>
        <v>10.823399999999999</v>
      </c>
      <c r="BC284" s="85">
        <f t="shared" si="254"/>
        <v>1.0165379455623926</v>
      </c>
      <c r="BD284" s="85">
        <f t="shared" si="255"/>
        <v>10.911087155899063</v>
      </c>
      <c r="BE284" s="85">
        <f t="shared" si="256"/>
        <v>1.016405038053722</v>
      </c>
      <c r="BF284" s="85">
        <f t="shared" si="257"/>
        <v>10.911800512264305</v>
      </c>
      <c r="BG284" s="85">
        <f t="shared" si="258"/>
        <v>1.0164039655782577</v>
      </c>
      <c r="BH284" s="85">
        <f t="shared" si="259"/>
        <v>10.911806269146227</v>
      </c>
      <c r="BI284" s="85">
        <f t="shared" si="260"/>
        <v>1.0164039569238068</v>
      </c>
      <c r="BJ284" s="85">
        <f t="shared" si="261"/>
        <v>10.911806315602014</v>
      </c>
      <c r="BK284" s="85">
        <f t="shared" si="262"/>
        <v>1.0164039568539689</v>
      </c>
      <c r="BL284" s="85">
        <f t="shared" si="263"/>
        <v>10.911806315976893</v>
      </c>
      <c r="BM284" s="85">
        <f t="shared" si="264"/>
        <v>1.0164039568534053</v>
      </c>
      <c r="BN284" s="85">
        <f t="shared" si="265"/>
        <v>10.91180631597992</v>
      </c>
      <c r="BO284" s="85">
        <f t="shared" si="266"/>
        <v>1.0164039568534007</v>
      </c>
      <c r="BP284" s="85">
        <f t="shared" si="267"/>
        <v>10.911806315979943</v>
      </c>
      <c r="BQ284" s="85">
        <f t="shared" si="268"/>
        <v>1.0164039568534007</v>
      </c>
      <c r="BR284" s="85">
        <f t="shared" si="269"/>
        <v>10.911806315979943</v>
      </c>
      <c r="BS284" s="85">
        <f t="shared" si="270"/>
        <v>1.0164039568534007</v>
      </c>
      <c r="BT284" s="85">
        <f t="shared" si="271"/>
        <v>10.911806315979943</v>
      </c>
      <c r="BU284" s="85">
        <f t="shared" si="272"/>
        <v>1.0164039568534007</v>
      </c>
      <c r="BV284" s="85">
        <f t="shared" si="273"/>
        <v>10.911806315979943</v>
      </c>
      <c r="BW284" s="85">
        <f t="shared" si="274"/>
        <v>1.0164039568534007</v>
      </c>
    </row>
    <row r="285" spans="25:75" x14ac:dyDescent="0.4">
      <c r="Y285" s="142">
        <v>5.5804</v>
      </c>
      <c r="Z285" s="46">
        <f t="shared" si="275"/>
        <v>1.705490059417661</v>
      </c>
      <c r="AA285" s="84">
        <f t="shared" si="276"/>
        <v>1.0320759802164718</v>
      </c>
      <c r="AB285" s="84">
        <f t="shared" si="277"/>
        <v>1.7646774254803623</v>
      </c>
      <c r="AC285" s="84">
        <f t="shared" si="278"/>
        <v>1.1014331944601214</v>
      </c>
      <c r="AD285" s="84">
        <f t="shared" si="279"/>
        <v>1.7082132450444647</v>
      </c>
      <c r="AE285" s="84">
        <f t="shared" si="280"/>
        <v>1.1047860426140432</v>
      </c>
      <c r="AF285" s="84">
        <f t="shared" si="281"/>
        <v>1.7056191990347906</v>
      </c>
      <c r="AG285" s="84">
        <f t="shared" si="282"/>
        <v>1.1049454111056169</v>
      </c>
      <c r="AH285" s="84">
        <f t="shared" si="283"/>
        <v>1.705496192161202</v>
      </c>
      <c r="AI285" s="84">
        <f t="shared" si="284"/>
        <v>1.1049529802281264</v>
      </c>
      <c r="AJ285" s="84">
        <f t="shared" si="285"/>
        <v>1.7054903506765611</v>
      </c>
      <c r="AK285" s="84">
        <f t="shared" si="286"/>
        <v>1.1049533397060334</v>
      </c>
      <c r="AL285" s="84">
        <f t="shared" si="287"/>
        <v>1.7054900732502982</v>
      </c>
      <c r="AM285" s="84">
        <f t="shared" si="288"/>
        <v>1.1049533567785716</v>
      </c>
      <c r="AN285" s="84">
        <f t="shared" si="289"/>
        <v>1.7054900600746088</v>
      </c>
      <c r="AO285" s="84">
        <f t="shared" si="290"/>
        <v>1.1049533575893908</v>
      </c>
      <c r="AP285" s="84">
        <f t="shared" si="291"/>
        <v>1.7054900594488609</v>
      </c>
      <c r="AQ285" s="84">
        <f t="shared" si="292"/>
        <v>1.1049533576278987</v>
      </c>
      <c r="AR285" s="84">
        <f t="shared" si="293"/>
        <v>1.7054900594191427</v>
      </c>
      <c r="AS285" s="84">
        <f t="shared" si="294"/>
        <v>1.1049533576297275</v>
      </c>
      <c r="AT285" s="84">
        <f t="shared" si="295"/>
        <v>1.7054900594177314</v>
      </c>
      <c r="AU285" s="84">
        <f t="shared" si="296"/>
        <v>1.1049533576298143</v>
      </c>
      <c r="AV285" s="84">
        <f t="shared" si="297"/>
        <v>1.7054900594176643</v>
      </c>
      <c r="AW285" s="84">
        <f t="shared" si="298"/>
        <v>1.1049533576298185</v>
      </c>
      <c r="AX285" s="84">
        <f t="shared" si="299"/>
        <v>1.705490059417661</v>
      </c>
      <c r="AY285" s="142">
        <v>5.5804</v>
      </c>
      <c r="AZ285" s="46">
        <f t="shared" si="251"/>
        <v>11.249238812515445</v>
      </c>
      <c r="BA285" s="85">
        <f t="shared" si="252"/>
        <v>1.0320759802164718</v>
      </c>
      <c r="BB285" s="85">
        <f t="shared" si="253"/>
        <v>11.1608</v>
      </c>
      <c r="BC285" s="85">
        <f t="shared" si="254"/>
        <v>1.0160379901082359</v>
      </c>
      <c r="BD285" s="85">
        <f t="shared" si="255"/>
        <v>11.248540794911335</v>
      </c>
      <c r="BE285" s="85">
        <f t="shared" si="256"/>
        <v>1.015912890681872</v>
      </c>
      <c r="BF285" s="85">
        <f t="shared" si="257"/>
        <v>11.249233345766951</v>
      </c>
      <c r="BG285" s="85">
        <f t="shared" si="258"/>
        <v>1.0159119110163499</v>
      </c>
      <c r="BH285" s="85">
        <f t="shared" si="259"/>
        <v>11.249238769703458</v>
      </c>
      <c r="BI285" s="85">
        <f t="shared" si="260"/>
        <v>1.0159119033442578</v>
      </c>
      <c r="BJ285" s="85">
        <f t="shared" si="261"/>
        <v>11.24923881218017</v>
      </c>
      <c r="BK285" s="85">
        <f t="shared" si="262"/>
        <v>1.015911903284175</v>
      </c>
      <c r="BL285" s="85">
        <f t="shared" si="263"/>
        <v>11.249238812512822</v>
      </c>
      <c r="BM285" s="85">
        <f t="shared" si="264"/>
        <v>1.0159119032837045</v>
      </c>
      <c r="BN285" s="85">
        <f t="shared" si="265"/>
        <v>11.249238812515426</v>
      </c>
      <c r="BO285" s="85">
        <f t="shared" si="266"/>
        <v>1.015911903283701</v>
      </c>
      <c r="BP285" s="85">
        <f t="shared" si="267"/>
        <v>11.249238812515445</v>
      </c>
      <c r="BQ285" s="85">
        <f t="shared" si="268"/>
        <v>1.015911903283701</v>
      </c>
      <c r="BR285" s="85">
        <f t="shared" si="269"/>
        <v>11.249238812515445</v>
      </c>
      <c r="BS285" s="85">
        <f t="shared" si="270"/>
        <v>1.015911903283701</v>
      </c>
      <c r="BT285" s="85">
        <f t="shared" si="271"/>
        <v>11.249238812515445</v>
      </c>
      <c r="BU285" s="85">
        <f t="shared" si="272"/>
        <v>1.015911903283701</v>
      </c>
      <c r="BV285" s="85">
        <f t="shared" si="273"/>
        <v>11.249238812515445</v>
      </c>
      <c r="BW285" s="85">
        <f t="shared" si="274"/>
        <v>1.015911903283701</v>
      </c>
    </row>
    <row r="286" spans="25:75" x14ac:dyDescent="0.4">
      <c r="Y286" s="142">
        <v>5.7544000000000004</v>
      </c>
      <c r="Z286" s="46">
        <f t="shared" si="275"/>
        <v>1.7604539490296773</v>
      </c>
      <c r="AA286" s="84">
        <f t="shared" si="276"/>
        <v>1.0311060753510357</v>
      </c>
      <c r="AB286" s="84">
        <f t="shared" si="277"/>
        <v>1.8197010567672922</v>
      </c>
      <c r="AC286" s="84">
        <f t="shared" si="278"/>
        <v>1.0983660717722314</v>
      </c>
      <c r="AD286" s="84">
        <f t="shared" si="279"/>
        <v>1.7631049533903358</v>
      </c>
      <c r="AE286" s="84">
        <f t="shared" si="280"/>
        <v>1.1015236608294716</v>
      </c>
      <c r="AF286" s="84">
        <f t="shared" si="281"/>
        <v>1.7605761124351755</v>
      </c>
      <c r="AG286" s="84">
        <f t="shared" si="282"/>
        <v>1.101669487276032</v>
      </c>
      <c r="AH286" s="84">
        <f t="shared" si="283"/>
        <v>1.7604595860822474</v>
      </c>
      <c r="AI286" s="84">
        <f t="shared" si="284"/>
        <v>1.1016762169040699</v>
      </c>
      <c r="AJ286" s="84">
        <f t="shared" si="285"/>
        <v>1.7604542091592907</v>
      </c>
      <c r="AK286" s="84">
        <f t="shared" si="286"/>
        <v>1.1016765274535403</v>
      </c>
      <c r="AL286" s="84">
        <f t="shared" si="287"/>
        <v>1.7604539610337535</v>
      </c>
      <c r="AM286" s="84">
        <f t="shared" si="288"/>
        <v>1.1016765417843204</v>
      </c>
      <c r="AN286" s="84">
        <f t="shared" si="289"/>
        <v>1.7604539495836238</v>
      </c>
      <c r="AO286" s="84">
        <f t="shared" si="290"/>
        <v>1.1016765424456363</v>
      </c>
      <c r="AP286" s="84">
        <f t="shared" si="291"/>
        <v>1.76045394905524</v>
      </c>
      <c r="AQ286" s="84">
        <f t="shared" si="292"/>
        <v>1.1016765424761537</v>
      </c>
      <c r="AR286" s="84">
        <f t="shared" si="293"/>
        <v>1.7604539490308566</v>
      </c>
      <c r="AS286" s="84">
        <f t="shared" si="294"/>
        <v>1.1016765424775619</v>
      </c>
      <c r="AT286" s="84">
        <f t="shared" si="295"/>
        <v>1.7604539490297317</v>
      </c>
      <c r="AU286" s="84">
        <f t="shared" si="296"/>
        <v>1.1016765424776269</v>
      </c>
      <c r="AV286" s="84">
        <f t="shared" si="297"/>
        <v>1.7604539490296798</v>
      </c>
      <c r="AW286" s="84">
        <f t="shared" si="298"/>
        <v>1.1016765424776298</v>
      </c>
      <c r="AX286" s="84">
        <f t="shared" si="299"/>
        <v>1.7604539490296773</v>
      </c>
      <c r="AY286" s="142">
        <v>5.7544000000000004</v>
      </c>
      <c r="AZ286" s="46">
        <f t="shared" si="251"/>
        <v>11.597270364174406</v>
      </c>
      <c r="BA286" s="85">
        <f t="shared" si="252"/>
        <v>1.0311060753510357</v>
      </c>
      <c r="BB286" s="85">
        <f t="shared" si="253"/>
        <v>11.508800000000001</v>
      </c>
      <c r="BC286" s="85">
        <f t="shared" si="254"/>
        <v>1.015553037675518</v>
      </c>
      <c r="BD286" s="85">
        <f t="shared" si="255"/>
        <v>11.596592889415572</v>
      </c>
      <c r="BE286" s="85">
        <f t="shared" si="256"/>
        <v>1.0154352922196117</v>
      </c>
      <c r="BF286" s="85">
        <f t="shared" si="257"/>
        <v>11.597265215139663</v>
      </c>
      <c r="BG286" s="85">
        <f t="shared" si="258"/>
        <v>1.015434397392786</v>
      </c>
      <c r="BH286" s="85">
        <f t="shared" si="259"/>
        <v>11.597270325042265</v>
      </c>
      <c r="BI286" s="85">
        <f t="shared" si="260"/>
        <v>1.0154343905921972</v>
      </c>
      <c r="BJ286" s="85">
        <f t="shared" si="261"/>
        <v>11.597270363877007</v>
      </c>
      <c r="BK286" s="85">
        <f t="shared" si="262"/>
        <v>1.0154343905405134</v>
      </c>
      <c r="BL286" s="85">
        <f t="shared" si="263"/>
        <v>11.597270364172147</v>
      </c>
      <c r="BM286" s="85">
        <f t="shared" si="264"/>
        <v>1.0154343905401206</v>
      </c>
      <c r="BN286" s="85">
        <f t="shared" si="265"/>
        <v>11.597270364174388</v>
      </c>
      <c r="BO286" s="85">
        <f t="shared" si="266"/>
        <v>1.0154343905401177</v>
      </c>
      <c r="BP286" s="85">
        <f t="shared" si="267"/>
        <v>11.597270364174406</v>
      </c>
      <c r="BQ286" s="85">
        <f t="shared" si="268"/>
        <v>1.0154343905401175</v>
      </c>
      <c r="BR286" s="85">
        <f t="shared" si="269"/>
        <v>11.597270364174406</v>
      </c>
      <c r="BS286" s="85">
        <f t="shared" si="270"/>
        <v>1.0154343905401175</v>
      </c>
      <c r="BT286" s="85">
        <f t="shared" si="271"/>
        <v>11.597270364174406</v>
      </c>
      <c r="BU286" s="85">
        <f t="shared" si="272"/>
        <v>1.0154343905401175</v>
      </c>
      <c r="BV286" s="85">
        <f t="shared" si="273"/>
        <v>11.597270364174406</v>
      </c>
      <c r="BW286" s="85">
        <f t="shared" si="274"/>
        <v>1.0154343905401175</v>
      </c>
    </row>
    <row r="287" spans="25:75" x14ac:dyDescent="0.4">
      <c r="Y287" s="142">
        <v>5.9337999999999997</v>
      </c>
      <c r="Z287" s="46">
        <f t="shared" si="275"/>
        <v>1.8171272176370383</v>
      </c>
      <c r="AA287" s="84">
        <f t="shared" si="276"/>
        <v>1.0301656274225623</v>
      </c>
      <c r="AB287" s="84">
        <f t="shared" si="277"/>
        <v>1.8764323179907128</v>
      </c>
      <c r="AC287" s="84">
        <f t="shared" si="278"/>
        <v>1.0953921050911313</v>
      </c>
      <c r="AD287" s="84">
        <f t="shared" si="279"/>
        <v>1.8197076822453264</v>
      </c>
      <c r="AE287" s="84">
        <f t="shared" si="280"/>
        <v>1.0983657136243021</v>
      </c>
      <c r="AF287" s="84">
        <f t="shared" si="281"/>
        <v>1.8172427629743793</v>
      </c>
      <c r="AG287" s="84">
        <f t="shared" si="282"/>
        <v>1.0984991379572122</v>
      </c>
      <c r="AH287" s="84">
        <f t="shared" si="283"/>
        <v>1.8171323979509031</v>
      </c>
      <c r="AI287" s="84">
        <f t="shared" si="284"/>
        <v>1.0985051204043845</v>
      </c>
      <c r="AJ287" s="84">
        <f t="shared" si="285"/>
        <v>1.8171274499023349</v>
      </c>
      <c r="AK287" s="84">
        <f t="shared" si="286"/>
        <v>1.098505388635358</v>
      </c>
      <c r="AL287" s="84">
        <f t="shared" si="287"/>
        <v>1.817127228050945</v>
      </c>
      <c r="AM287" s="84">
        <f t="shared" si="288"/>
        <v>1.0985054006618333</v>
      </c>
      <c r="AN287" s="84">
        <f t="shared" si="289"/>
        <v>1.8171272181039586</v>
      </c>
      <c r="AO287" s="84">
        <f t="shared" si="290"/>
        <v>1.0985054012010556</v>
      </c>
      <c r="AP287" s="84">
        <f t="shared" si="291"/>
        <v>1.8171272176579731</v>
      </c>
      <c r="AQ287" s="84">
        <f t="shared" si="292"/>
        <v>1.0985054012252322</v>
      </c>
      <c r="AR287" s="84">
        <f t="shared" si="293"/>
        <v>1.8171272176379769</v>
      </c>
      <c r="AS287" s="84">
        <f t="shared" si="294"/>
        <v>1.0985054012263162</v>
      </c>
      <c r="AT287" s="84">
        <f t="shared" si="295"/>
        <v>1.8171272176370801</v>
      </c>
      <c r="AU287" s="84">
        <f t="shared" si="296"/>
        <v>1.0985054012263649</v>
      </c>
      <c r="AV287" s="84">
        <f t="shared" si="297"/>
        <v>1.8171272176370399</v>
      </c>
      <c r="AW287" s="84">
        <f t="shared" si="298"/>
        <v>1.0985054012263669</v>
      </c>
      <c r="AX287" s="84">
        <f t="shared" si="299"/>
        <v>1.8171272176370383</v>
      </c>
      <c r="AY287" s="142">
        <v>5.9337999999999997</v>
      </c>
      <c r="AZ287" s="46">
        <f t="shared" si="251"/>
        <v>11.956100986122824</v>
      </c>
      <c r="BA287" s="85">
        <f t="shared" si="252"/>
        <v>1.0301656274225623</v>
      </c>
      <c r="BB287" s="85">
        <f t="shared" si="253"/>
        <v>11.867599999999999</v>
      </c>
      <c r="BC287" s="85">
        <f t="shared" si="254"/>
        <v>1.0150828137112811</v>
      </c>
      <c r="BD287" s="85">
        <f t="shared" si="255"/>
        <v>11.955443463123396</v>
      </c>
      <c r="BE287" s="85">
        <f t="shared" si="256"/>
        <v>1.0149719916749318</v>
      </c>
      <c r="BF287" s="85">
        <f t="shared" si="257"/>
        <v>11.956096136515667</v>
      </c>
      <c r="BG287" s="85">
        <f t="shared" si="258"/>
        <v>1.0149711743662981</v>
      </c>
      <c r="BH287" s="85">
        <f t="shared" si="259"/>
        <v>11.956100950356136</v>
      </c>
      <c r="BI287" s="85">
        <f t="shared" si="260"/>
        <v>1.0149711683385099</v>
      </c>
      <c r="BJ287" s="85">
        <f t="shared" si="261"/>
        <v>11.956100985859038</v>
      </c>
      <c r="BK287" s="85">
        <f t="shared" si="262"/>
        <v>1.0149711682940539</v>
      </c>
      <c r="BL287" s="85">
        <f t="shared" si="263"/>
        <v>11.956100986120878</v>
      </c>
      <c r="BM287" s="85">
        <f t="shared" si="264"/>
        <v>1.0149711682937261</v>
      </c>
      <c r="BN287" s="85">
        <f t="shared" si="265"/>
        <v>11.956100986122809</v>
      </c>
      <c r="BO287" s="85">
        <f t="shared" si="266"/>
        <v>1.0149711682937237</v>
      </c>
      <c r="BP287" s="85">
        <f t="shared" si="267"/>
        <v>11.956100986122824</v>
      </c>
      <c r="BQ287" s="85">
        <f t="shared" si="268"/>
        <v>1.0149711682937237</v>
      </c>
      <c r="BR287" s="85">
        <f t="shared" si="269"/>
        <v>11.956100986122824</v>
      </c>
      <c r="BS287" s="85">
        <f t="shared" si="270"/>
        <v>1.0149711682937237</v>
      </c>
      <c r="BT287" s="85">
        <f t="shared" si="271"/>
        <v>11.956100986122824</v>
      </c>
      <c r="BU287" s="85">
        <f t="shared" si="272"/>
        <v>1.0149711682937237</v>
      </c>
      <c r="BV287" s="85">
        <f t="shared" si="273"/>
        <v>11.956100986122824</v>
      </c>
      <c r="BW287" s="85">
        <f t="shared" si="274"/>
        <v>1.0149711682937237</v>
      </c>
    </row>
    <row r="288" spans="25:75" x14ac:dyDescent="0.4">
      <c r="Y288" s="142">
        <v>6.1188000000000002</v>
      </c>
      <c r="Z288" s="46">
        <f t="shared" si="275"/>
        <v>1.8755730529172463</v>
      </c>
      <c r="AA288" s="84">
        <f t="shared" si="276"/>
        <v>1.0292535791331634</v>
      </c>
      <c r="AB288" s="84">
        <f t="shared" si="277"/>
        <v>1.9349344547038279</v>
      </c>
      <c r="AC288" s="84">
        <f t="shared" si="278"/>
        <v>1.0925079492696306</v>
      </c>
      <c r="AD288" s="84">
        <f t="shared" si="279"/>
        <v>1.8780845852104482</v>
      </c>
      <c r="AE288" s="84">
        <f t="shared" si="280"/>
        <v>1.0953081825587316</v>
      </c>
      <c r="AF288" s="84">
        <f t="shared" si="281"/>
        <v>1.8756823204129889</v>
      </c>
      <c r="AG288" s="84">
        <f t="shared" si="282"/>
        <v>1.0954302480190368</v>
      </c>
      <c r="AH288" s="84">
        <f t="shared" si="283"/>
        <v>1.875577812433213</v>
      </c>
      <c r="AI288" s="84">
        <f t="shared" si="284"/>
        <v>1.0954355654448553</v>
      </c>
      <c r="AJ288" s="84">
        <f t="shared" si="285"/>
        <v>1.875573260244886</v>
      </c>
      <c r="AK288" s="84">
        <f t="shared" si="286"/>
        <v>1.0954357970762709</v>
      </c>
      <c r="AL288" s="84">
        <f t="shared" si="287"/>
        <v>1.8755730619485946</v>
      </c>
      <c r="AM288" s="84">
        <f t="shared" si="288"/>
        <v>1.0954358071663119</v>
      </c>
      <c r="AN288" s="84">
        <f t="shared" si="289"/>
        <v>1.8755730533106585</v>
      </c>
      <c r="AO288" s="84">
        <f t="shared" si="290"/>
        <v>1.0954358076058417</v>
      </c>
      <c r="AP288" s="84">
        <f t="shared" si="291"/>
        <v>1.8755730529343833</v>
      </c>
      <c r="AQ288" s="84">
        <f t="shared" si="292"/>
        <v>1.0954358076249879</v>
      </c>
      <c r="AR288" s="84">
        <f t="shared" si="293"/>
        <v>1.8755730529179928</v>
      </c>
      <c r="AS288" s="84">
        <f t="shared" si="294"/>
        <v>1.0954358076258219</v>
      </c>
      <c r="AT288" s="84">
        <f t="shared" si="295"/>
        <v>1.8755730529172787</v>
      </c>
      <c r="AU288" s="84">
        <f t="shared" si="296"/>
        <v>1.0954358076258583</v>
      </c>
      <c r="AV288" s="84">
        <f t="shared" si="297"/>
        <v>1.8755730529172474</v>
      </c>
      <c r="AW288" s="84">
        <f t="shared" si="298"/>
        <v>1.0954358076258599</v>
      </c>
      <c r="AX288" s="84">
        <f t="shared" si="299"/>
        <v>1.8755730529172463</v>
      </c>
      <c r="AY288" s="142">
        <v>6.1188000000000002</v>
      </c>
      <c r="AZ288" s="46">
        <f t="shared" si="251"/>
        <v>12.326130710236926</v>
      </c>
      <c r="BA288" s="85">
        <f t="shared" si="252"/>
        <v>1.0292535791331634</v>
      </c>
      <c r="BB288" s="85">
        <f t="shared" si="253"/>
        <v>12.2376</v>
      </c>
      <c r="BC288" s="85">
        <f t="shared" si="254"/>
        <v>1.0146267895665817</v>
      </c>
      <c r="BD288" s="85">
        <f t="shared" si="255"/>
        <v>12.32549256742274</v>
      </c>
      <c r="BE288" s="85">
        <f t="shared" si="256"/>
        <v>1.0145224865473614</v>
      </c>
      <c r="BF288" s="85">
        <f t="shared" si="257"/>
        <v>12.326126142855585</v>
      </c>
      <c r="BG288" s="85">
        <f t="shared" si="258"/>
        <v>1.0145217400767677</v>
      </c>
      <c r="BH288" s="85">
        <f t="shared" si="259"/>
        <v>12.326130677548457</v>
      </c>
      <c r="BI288" s="85">
        <f t="shared" si="260"/>
        <v>1.0145217347343263</v>
      </c>
      <c r="BJ288" s="85">
        <f t="shared" si="261"/>
        <v>12.326130710002976</v>
      </c>
      <c r="BK288" s="85">
        <f t="shared" si="262"/>
        <v>1.0145217346960909</v>
      </c>
      <c r="BL288" s="85">
        <f t="shared" si="263"/>
        <v>12.326130710235253</v>
      </c>
      <c r="BM288" s="85">
        <f t="shared" si="264"/>
        <v>1.0145217346958171</v>
      </c>
      <c r="BN288" s="85">
        <f t="shared" si="265"/>
        <v>12.326130710236916</v>
      </c>
      <c r="BO288" s="85">
        <f t="shared" si="266"/>
        <v>1.0145217346958151</v>
      </c>
      <c r="BP288" s="85">
        <f t="shared" si="267"/>
        <v>12.326130710236926</v>
      </c>
      <c r="BQ288" s="85">
        <f t="shared" si="268"/>
        <v>1.0145217346958151</v>
      </c>
      <c r="BR288" s="85">
        <f t="shared" si="269"/>
        <v>12.326130710236926</v>
      </c>
      <c r="BS288" s="85">
        <f t="shared" si="270"/>
        <v>1.0145217346958151</v>
      </c>
      <c r="BT288" s="85">
        <f t="shared" si="271"/>
        <v>12.326130710236926</v>
      </c>
      <c r="BU288" s="85">
        <f t="shared" si="272"/>
        <v>1.0145217346958151</v>
      </c>
      <c r="BV288" s="85">
        <f t="shared" si="273"/>
        <v>12.326130710236926</v>
      </c>
      <c r="BW288" s="85">
        <f t="shared" si="274"/>
        <v>1.0145217346958151</v>
      </c>
    </row>
    <row r="289" spans="25:75" x14ac:dyDescent="0.4">
      <c r="Y289" s="142">
        <v>6.3095999999999997</v>
      </c>
      <c r="Z289" s="46">
        <f t="shared" si="275"/>
        <v>1.9358546470536839</v>
      </c>
      <c r="AA289" s="84">
        <f t="shared" si="276"/>
        <v>1.0283689615823508</v>
      </c>
      <c r="AB289" s="84">
        <f t="shared" si="277"/>
        <v>1.9952707124598403</v>
      </c>
      <c r="AC289" s="84">
        <f t="shared" si="278"/>
        <v>1.0897105392327169</v>
      </c>
      <c r="AD289" s="84">
        <f t="shared" si="279"/>
        <v>1.9382988241857997</v>
      </c>
      <c r="AE289" s="84">
        <f t="shared" si="280"/>
        <v>1.0923473799142287</v>
      </c>
      <c r="AF289" s="84">
        <f t="shared" si="281"/>
        <v>1.9359579601923405</v>
      </c>
      <c r="AG289" s="84">
        <f t="shared" si="282"/>
        <v>1.092459041937722</v>
      </c>
      <c r="AH289" s="84">
        <f t="shared" si="283"/>
        <v>1.9358590189510374</v>
      </c>
      <c r="AI289" s="84">
        <f t="shared" si="284"/>
        <v>1.092463767502047</v>
      </c>
      <c r="AJ289" s="84">
        <f t="shared" si="285"/>
        <v>1.9358548320679192</v>
      </c>
      <c r="AK289" s="84">
        <f t="shared" si="286"/>
        <v>1.0924639674837662</v>
      </c>
      <c r="AL289" s="84">
        <f t="shared" si="287"/>
        <v>1.9358546548833133</v>
      </c>
      <c r="AM289" s="84">
        <f t="shared" si="288"/>
        <v>1.0924639759468067</v>
      </c>
      <c r="AN289" s="84">
        <f t="shared" si="289"/>
        <v>1.9358546473850267</v>
      </c>
      <c r="AO289" s="84">
        <f t="shared" si="290"/>
        <v>1.0924639763049546</v>
      </c>
      <c r="AP289" s="84">
        <f t="shared" si="291"/>
        <v>1.9358546470677063</v>
      </c>
      <c r="AQ289" s="84">
        <f t="shared" si="292"/>
        <v>1.0924639763201112</v>
      </c>
      <c r="AR289" s="84">
        <f t="shared" si="293"/>
        <v>1.9358546470542772</v>
      </c>
      <c r="AS289" s="84">
        <f t="shared" si="294"/>
        <v>1.0924639763207526</v>
      </c>
      <c r="AT289" s="84">
        <f t="shared" si="295"/>
        <v>1.9358546470537092</v>
      </c>
      <c r="AU289" s="84">
        <f t="shared" si="296"/>
        <v>1.0924639763207797</v>
      </c>
      <c r="AV289" s="84">
        <f t="shared" si="297"/>
        <v>1.935854647053685</v>
      </c>
      <c r="AW289" s="84">
        <f t="shared" si="298"/>
        <v>1.0924639763207808</v>
      </c>
      <c r="AX289" s="84">
        <f t="shared" si="299"/>
        <v>1.9358546470536839</v>
      </c>
      <c r="AY289" s="142">
        <v>6.3095999999999997</v>
      </c>
      <c r="AZ289" s="46">
        <f t="shared" si="251"/>
        <v>12.707759565701972</v>
      </c>
      <c r="BA289" s="85">
        <f t="shared" si="252"/>
        <v>1.0283689615823508</v>
      </c>
      <c r="BB289" s="85">
        <f t="shared" si="253"/>
        <v>12.619199999999999</v>
      </c>
      <c r="BC289" s="85">
        <f t="shared" si="254"/>
        <v>1.0141844807911753</v>
      </c>
      <c r="BD289" s="85">
        <f t="shared" si="255"/>
        <v>12.707140249348264</v>
      </c>
      <c r="BE289" s="85">
        <f t="shared" si="256"/>
        <v>1.0140863165501917</v>
      </c>
      <c r="BF289" s="85">
        <f t="shared" si="257"/>
        <v>12.707755264348359</v>
      </c>
      <c r="BG289" s="85">
        <f t="shared" si="258"/>
        <v>1.0140856348172029</v>
      </c>
      <c r="BH289" s="85">
        <f t="shared" si="259"/>
        <v>12.707759535829101</v>
      </c>
      <c r="BI289" s="85">
        <f t="shared" si="260"/>
        <v>1.0140856300825747</v>
      </c>
      <c r="BJ289" s="85">
        <f t="shared" si="261"/>
        <v>12.707759565494504</v>
      </c>
      <c r="BK289" s="85">
        <f t="shared" si="262"/>
        <v>1.0140856300496928</v>
      </c>
      <c r="BL289" s="85">
        <f t="shared" si="263"/>
        <v>12.707759565700531</v>
      </c>
      <c r="BM289" s="85">
        <f t="shared" si="264"/>
        <v>1.0140856300494643</v>
      </c>
      <c r="BN289" s="85">
        <f t="shared" si="265"/>
        <v>12.707759565701961</v>
      </c>
      <c r="BO289" s="85">
        <f t="shared" si="266"/>
        <v>1.0140856300494627</v>
      </c>
      <c r="BP289" s="85">
        <f t="shared" si="267"/>
        <v>12.707759565701972</v>
      </c>
      <c r="BQ289" s="85">
        <f t="shared" si="268"/>
        <v>1.0140856300494627</v>
      </c>
      <c r="BR289" s="85">
        <f t="shared" si="269"/>
        <v>12.707759565701972</v>
      </c>
      <c r="BS289" s="85">
        <f t="shared" si="270"/>
        <v>1.0140856300494627</v>
      </c>
      <c r="BT289" s="85">
        <f t="shared" si="271"/>
        <v>12.707759565701972</v>
      </c>
      <c r="BU289" s="85">
        <f t="shared" si="272"/>
        <v>1.0140856300494627</v>
      </c>
      <c r="BV289" s="85">
        <f t="shared" si="273"/>
        <v>12.707759565701972</v>
      </c>
      <c r="BW289" s="85">
        <f t="shared" si="274"/>
        <v>1.0140856300494627</v>
      </c>
    </row>
    <row r="290" spans="25:75" x14ac:dyDescent="0.4">
      <c r="Y290" s="142">
        <v>6.5063000000000004</v>
      </c>
      <c r="Z290" s="46">
        <f t="shared" si="275"/>
        <v>1.9980035995273711</v>
      </c>
      <c r="AA290" s="84">
        <f t="shared" si="276"/>
        <v>1.027511304428016</v>
      </c>
      <c r="AB290" s="84">
        <f t="shared" si="277"/>
        <v>2.0574727140353528</v>
      </c>
      <c r="AC290" s="84">
        <f t="shared" si="278"/>
        <v>1.086998386860742</v>
      </c>
      <c r="AD290" s="84">
        <f t="shared" si="279"/>
        <v>2.0003820039980367</v>
      </c>
      <c r="AE290" s="84">
        <f t="shared" si="280"/>
        <v>1.089481314431892</v>
      </c>
      <c r="AF290" s="84">
        <f t="shared" si="281"/>
        <v>1.9981012688308049</v>
      </c>
      <c r="AG290" s="84">
        <f t="shared" si="282"/>
        <v>1.0895834530876354</v>
      </c>
      <c r="AH290" s="84">
        <f t="shared" si="283"/>
        <v>1.9980076146182575</v>
      </c>
      <c r="AI290" s="84">
        <f t="shared" si="284"/>
        <v>1.0895876522087291</v>
      </c>
      <c r="AJ290" s="84">
        <f t="shared" si="285"/>
        <v>1.9980037645911457</v>
      </c>
      <c r="AK290" s="84">
        <f t="shared" si="286"/>
        <v>1.089587824838647</v>
      </c>
      <c r="AL290" s="84">
        <f t="shared" si="287"/>
        <v>1.9980036063132942</v>
      </c>
      <c r="AM290" s="84">
        <f t="shared" si="288"/>
        <v>1.0895878319356223</v>
      </c>
      <c r="AN290" s="84">
        <f t="shared" si="289"/>
        <v>1.9980035998063463</v>
      </c>
      <c r="AO290" s="84">
        <f t="shared" si="290"/>
        <v>1.0895878322273855</v>
      </c>
      <c r="AP290" s="84">
        <f t="shared" si="291"/>
        <v>1.9980035995388399</v>
      </c>
      <c r="AQ290" s="84">
        <f t="shared" si="292"/>
        <v>1.0895878322393802</v>
      </c>
      <c r="AR290" s="84">
        <f t="shared" si="293"/>
        <v>1.9980035995278425</v>
      </c>
      <c r="AS290" s="84">
        <f t="shared" si="294"/>
        <v>1.0895878322398733</v>
      </c>
      <c r="AT290" s="84">
        <f t="shared" si="295"/>
        <v>1.9980035995273904</v>
      </c>
      <c r="AU290" s="84">
        <f t="shared" si="296"/>
        <v>1.0895878322398935</v>
      </c>
      <c r="AV290" s="84">
        <f t="shared" si="297"/>
        <v>1.9980035995273719</v>
      </c>
      <c r="AW290" s="84">
        <f t="shared" si="298"/>
        <v>1.0895878322398942</v>
      </c>
      <c r="AX290" s="84">
        <f t="shared" si="299"/>
        <v>1.9980035995273711</v>
      </c>
      <c r="AY290" s="142">
        <v>6.5063000000000004</v>
      </c>
      <c r="AZ290" s="46">
        <f t="shared" si="251"/>
        <v>13.101187565595671</v>
      </c>
      <c r="BA290" s="85">
        <f t="shared" si="252"/>
        <v>1.027511304428016</v>
      </c>
      <c r="BB290" s="85">
        <f t="shared" si="253"/>
        <v>13.012600000000001</v>
      </c>
      <c r="BC290" s="85">
        <f t="shared" si="254"/>
        <v>1.0137556522140079</v>
      </c>
      <c r="BD290" s="85">
        <f t="shared" si="255"/>
        <v>13.100586529392881</v>
      </c>
      <c r="BE290" s="85">
        <f t="shared" si="256"/>
        <v>1.0136632661139557</v>
      </c>
      <c r="BF290" s="85">
        <f t="shared" si="257"/>
        <v>13.101183514882221</v>
      </c>
      <c r="BG290" s="85">
        <f t="shared" si="258"/>
        <v>1.0136626435158831</v>
      </c>
      <c r="BH290" s="85">
        <f t="shared" si="259"/>
        <v>13.101187538296916</v>
      </c>
      <c r="BI290" s="85">
        <f t="shared" si="260"/>
        <v>1.0136626393200436</v>
      </c>
      <c r="BJ290" s="85">
        <f t="shared" si="261"/>
        <v>13.101187565411696</v>
      </c>
      <c r="BK290" s="85">
        <f t="shared" si="262"/>
        <v>1.0136626392917667</v>
      </c>
      <c r="BL290" s="85">
        <f t="shared" si="263"/>
        <v>13.101187565594433</v>
      </c>
      <c r="BM290" s="85">
        <f t="shared" si="264"/>
        <v>1.0136626392915762</v>
      </c>
      <c r="BN290" s="85">
        <f t="shared" si="265"/>
        <v>13.101187565595662</v>
      </c>
      <c r="BO290" s="85">
        <f t="shared" si="266"/>
        <v>1.0136626392915749</v>
      </c>
      <c r="BP290" s="85">
        <f t="shared" si="267"/>
        <v>13.101187565595671</v>
      </c>
      <c r="BQ290" s="85">
        <f t="shared" si="268"/>
        <v>1.0136626392915749</v>
      </c>
      <c r="BR290" s="85">
        <f t="shared" si="269"/>
        <v>13.101187565595671</v>
      </c>
      <c r="BS290" s="85">
        <f t="shared" si="270"/>
        <v>1.0136626392915749</v>
      </c>
      <c r="BT290" s="85">
        <f t="shared" si="271"/>
        <v>13.101187565595671</v>
      </c>
      <c r="BU290" s="85">
        <f t="shared" si="272"/>
        <v>1.0136626392915749</v>
      </c>
      <c r="BV290" s="85">
        <f t="shared" si="273"/>
        <v>13.101187565595671</v>
      </c>
      <c r="BW290" s="85">
        <f t="shared" si="274"/>
        <v>1.0136626392915749</v>
      </c>
    </row>
    <row r="291" spans="25:75" x14ac:dyDescent="0.4">
      <c r="Y291" s="142">
        <v>6.7091000000000003</v>
      </c>
      <c r="Z291" s="46">
        <f t="shared" si="275"/>
        <v>2.0620831051956983</v>
      </c>
      <c r="AA291" s="84">
        <f t="shared" si="276"/>
        <v>1.0266797036860384</v>
      </c>
      <c r="AB291" s="84">
        <f t="shared" si="277"/>
        <v>2.1216037049835674</v>
      </c>
      <c r="AC291" s="84">
        <f t="shared" si="278"/>
        <v>1.0843686329943349</v>
      </c>
      <c r="AD291" s="84">
        <f t="shared" si="279"/>
        <v>2.0643972895984724</v>
      </c>
      <c r="AE291" s="84">
        <f t="shared" si="280"/>
        <v>1.0867065693515137</v>
      </c>
      <c r="AF291" s="84">
        <f t="shared" si="281"/>
        <v>2.0621754257109046</v>
      </c>
      <c r="AG291" s="84">
        <f t="shared" si="282"/>
        <v>1.0867999902651149</v>
      </c>
      <c r="AH291" s="84">
        <f t="shared" si="283"/>
        <v>2.0620867918986963</v>
      </c>
      <c r="AI291" s="84">
        <f t="shared" si="284"/>
        <v>1.0868037211549966</v>
      </c>
      <c r="AJ291" s="84">
        <f t="shared" si="285"/>
        <v>2.0620832524254684</v>
      </c>
      <c r="AK291" s="84">
        <f t="shared" si="286"/>
        <v>1.086803870149774</v>
      </c>
      <c r="AL291" s="84">
        <f t="shared" si="287"/>
        <v>2.0620831110753803</v>
      </c>
      <c r="AM291" s="84">
        <f t="shared" si="288"/>
        <v>1.0868038760999426</v>
      </c>
      <c r="AN291" s="84">
        <f t="shared" si="289"/>
        <v>2.062083105430506</v>
      </c>
      <c r="AO291" s="84">
        <f t="shared" si="290"/>
        <v>1.0868038763375649</v>
      </c>
      <c r="AP291" s="84">
        <f t="shared" si="291"/>
        <v>2.0620831052050761</v>
      </c>
      <c r="AQ291" s="84">
        <f t="shared" si="292"/>
        <v>1.0868038763470547</v>
      </c>
      <c r="AR291" s="84">
        <f t="shared" si="293"/>
        <v>2.0620831051960731</v>
      </c>
      <c r="AS291" s="84">
        <f t="shared" si="294"/>
        <v>1.0868038763474335</v>
      </c>
      <c r="AT291" s="84">
        <f t="shared" si="295"/>
        <v>2.0620831051957138</v>
      </c>
      <c r="AU291" s="84">
        <f t="shared" si="296"/>
        <v>1.0868038763474486</v>
      </c>
      <c r="AV291" s="84">
        <f t="shared" si="297"/>
        <v>2.0620831051956992</v>
      </c>
      <c r="AW291" s="84">
        <f t="shared" si="298"/>
        <v>1.0868038763474492</v>
      </c>
      <c r="AX291" s="84">
        <f t="shared" si="299"/>
        <v>2.0620831051956983</v>
      </c>
      <c r="AY291" s="142">
        <v>6.7091000000000003</v>
      </c>
      <c r="AZ291" s="46">
        <f t="shared" si="251"/>
        <v>13.506814737285511</v>
      </c>
      <c r="BA291" s="85">
        <f t="shared" si="252"/>
        <v>1.0266797036860384</v>
      </c>
      <c r="BB291" s="85">
        <f t="shared" si="253"/>
        <v>13.418200000000001</v>
      </c>
      <c r="BC291" s="85">
        <f t="shared" si="254"/>
        <v>1.0133398518430192</v>
      </c>
      <c r="BD291" s="85">
        <f t="shared" si="255"/>
        <v>13.506231451732654</v>
      </c>
      <c r="BE291" s="85">
        <f t="shared" si="256"/>
        <v>1.0132529048269077</v>
      </c>
      <c r="BF291" s="85">
        <f t="shared" si="257"/>
        <v>13.506810922725014</v>
      </c>
      <c r="BG291" s="85">
        <f t="shared" si="258"/>
        <v>1.0132523362490282</v>
      </c>
      <c r="BH291" s="85">
        <f t="shared" si="259"/>
        <v>13.506814712340176</v>
      </c>
      <c r="BI291" s="85">
        <f t="shared" si="260"/>
        <v>1.0132523325308123</v>
      </c>
      <c r="BJ291" s="85">
        <f t="shared" si="261"/>
        <v>13.506814737122381</v>
      </c>
      <c r="BK291" s="85">
        <f t="shared" si="262"/>
        <v>1.013252332506497</v>
      </c>
      <c r="BL291" s="85">
        <f t="shared" si="263"/>
        <v>13.506814737284444</v>
      </c>
      <c r="BM291" s="85">
        <f t="shared" si="264"/>
        <v>1.0132523325063381</v>
      </c>
      <c r="BN291" s="85">
        <f t="shared" si="265"/>
        <v>13.506814737285506</v>
      </c>
      <c r="BO291" s="85">
        <f t="shared" si="266"/>
        <v>1.013252332506337</v>
      </c>
      <c r="BP291" s="85">
        <f t="shared" si="267"/>
        <v>13.506814737285511</v>
      </c>
      <c r="BQ291" s="85">
        <f t="shared" si="268"/>
        <v>1.013252332506337</v>
      </c>
      <c r="BR291" s="85">
        <f t="shared" si="269"/>
        <v>13.506814737285511</v>
      </c>
      <c r="BS291" s="85">
        <f t="shared" si="270"/>
        <v>1.013252332506337</v>
      </c>
      <c r="BT291" s="85">
        <f t="shared" si="271"/>
        <v>13.506814737285511</v>
      </c>
      <c r="BU291" s="85">
        <f t="shared" si="272"/>
        <v>1.013252332506337</v>
      </c>
      <c r="BV291" s="85">
        <f t="shared" si="273"/>
        <v>13.506814737285511</v>
      </c>
      <c r="BW291" s="85">
        <f t="shared" si="274"/>
        <v>1.013252332506337</v>
      </c>
    </row>
    <row r="292" spans="25:75" x14ac:dyDescent="0.4">
      <c r="Y292" s="142">
        <v>6.9183000000000003</v>
      </c>
      <c r="Z292" s="46">
        <f t="shared" si="275"/>
        <v>2.1281879619452089</v>
      </c>
      <c r="AA292" s="84">
        <f t="shared" si="276"/>
        <v>1.0258729456658429</v>
      </c>
      <c r="AB292" s="84">
        <f t="shared" si="277"/>
        <v>2.1877585536342901</v>
      </c>
      <c r="AC292" s="84">
        <f t="shared" si="278"/>
        <v>1.081817439273284</v>
      </c>
      <c r="AD292" s="84">
        <f t="shared" si="279"/>
        <v>2.130439422248259</v>
      </c>
      <c r="AE292" s="84">
        <f t="shared" si="280"/>
        <v>1.0840187250523206</v>
      </c>
      <c r="AF292" s="84">
        <f t="shared" si="281"/>
        <v>2.1282752118300388</v>
      </c>
      <c r="AG292" s="84">
        <f t="shared" si="282"/>
        <v>1.0841041624372476</v>
      </c>
      <c r="AH292" s="84">
        <f t="shared" si="283"/>
        <v>2.1281913463411404</v>
      </c>
      <c r="AI292" s="84">
        <f t="shared" si="284"/>
        <v>1.0841074767254049</v>
      </c>
      <c r="AJ292" s="84">
        <f t="shared" si="285"/>
        <v>2.1281880932297481</v>
      </c>
      <c r="AK292" s="84">
        <f t="shared" si="286"/>
        <v>1.0841076052906833</v>
      </c>
      <c r="AL292" s="84">
        <f t="shared" si="287"/>
        <v>2.1281879670378916</v>
      </c>
      <c r="AM292" s="84">
        <f t="shared" si="288"/>
        <v>1.084107610277883</v>
      </c>
      <c r="AN292" s="84">
        <f t="shared" si="289"/>
        <v>2.1281879621427602</v>
      </c>
      <c r="AO292" s="84">
        <f t="shared" si="290"/>
        <v>1.0841076104713425</v>
      </c>
      <c r="AP292" s="84">
        <f t="shared" si="291"/>
        <v>2.1281879619528721</v>
      </c>
      <c r="AQ292" s="84">
        <f t="shared" si="292"/>
        <v>1.084107610478847</v>
      </c>
      <c r="AR292" s="84">
        <f t="shared" si="293"/>
        <v>2.128187961945506</v>
      </c>
      <c r="AS292" s="84">
        <f t="shared" si="294"/>
        <v>1.0841076104791381</v>
      </c>
      <c r="AT292" s="84">
        <f t="shared" si="295"/>
        <v>2.1281879619452204</v>
      </c>
      <c r="AU292" s="84">
        <f t="shared" si="296"/>
        <v>1.0841076104791494</v>
      </c>
      <c r="AV292" s="84">
        <f t="shared" si="297"/>
        <v>2.1281879619452093</v>
      </c>
      <c r="AW292" s="84">
        <f t="shared" si="298"/>
        <v>1.0841076104791498</v>
      </c>
      <c r="AX292" s="84">
        <f t="shared" si="299"/>
        <v>2.1281879619452089</v>
      </c>
      <c r="AY292" s="142">
        <v>6.9183000000000003</v>
      </c>
      <c r="AZ292" s="46">
        <f t="shared" si="251"/>
        <v>13.925241118427111</v>
      </c>
      <c r="BA292" s="85">
        <f t="shared" si="252"/>
        <v>1.0258729456658429</v>
      </c>
      <c r="BB292" s="85">
        <f t="shared" si="253"/>
        <v>13.836600000000001</v>
      </c>
      <c r="BC292" s="85">
        <f t="shared" si="254"/>
        <v>1.0129364728329213</v>
      </c>
      <c r="BD292" s="85">
        <f t="shared" si="255"/>
        <v>13.92467507763504</v>
      </c>
      <c r="BE292" s="85">
        <f t="shared" si="256"/>
        <v>1.0128546482414871</v>
      </c>
      <c r="BF292" s="85">
        <f t="shared" si="257"/>
        <v>13.925237526472323</v>
      </c>
      <c r="BG292" s="85">
        <f t="shared" si="258"/>
        <v>1.012854129034404</v>
      </c>
      <c r="BH292" s="85">
        <f t="shared" si="259"/>
        <v>13.92524109563437</v>
      </c>
      <c r="BI292" s="85">
        <f t="shared" si="260"/>
        <v>1.0128541257397774</v>
      </c>
      <c r="BJ292" s="85">
        <f t="shared" si="261"/>
        <v>13.925241118282482</v>
      </c>
      <c r="BK292" s="85">
        <f t="shared" si="262"/>
        <v>1.0128541257188715</v>
      </c>
      <c r="BL292" s="85">
        <f t="shared" si="263"/>
        <v>13.925241118426193</v>
      </c>
      <c r="BM292" s="85">
        <f t="shared" si="264"/>
        <v>1.0128541257187387</v>
      </c>
      <c r="BN292" s="85">
        <f t="shared" si="265"/>
        <v>13.925241118427106</v>
      </c>
      <c r="BO292" s="85">
        <f t="shared" si="266"/>
        <v>1.0128541257187378</v>
      </c>
      <c r="BP292" s="85">
        <f t="shared" si="267"/>
        <v>13.925241118427111</v>
      </c>
      <c r="BQ292" s="85">
        <f t="shared" si="268"/>
        <v>1.0128541257187378</v>
      </c>
      <c r="BR292" s="85">
        <f t="shared" si="269"/>
        <v>13.925241118427111</v>
      </c>
      <c r="BS292" s="85">
        <f t="shared" si="270"/>
        <v>1.0128541257187378</v>
      </c>
      <c r="BT292" s="85">
        <f t="shared" si="271"/>
        <v>13.925241118427111</v>
      </c>
      <c r="BU292" s="85">
        <f t="shared" si="272"/>
        <v>1.0128541257187378</v>
      </c>
      <c r="BV292" s="85">
        <f t="shared" si="273"/>
        <v>13.925241118427111</v>
      </c>
      <c r="BW292" s="85">
        <f t="shared" si="274"/>
        <v>1.0128541257187378</v>
      </c>
    </row>
    <row r="293" spans="25:75" x14ac:dyDescent="0.4">
      <c r="Y293" s="142">
        <v>7.1340000000000003</v>
      </c>
      <c r="Z293" s="46">
        <f t="shared" si="275"/>
        <v>2.1963497741719413</v>
      </c>
      <c r="AA293" s="84">
        <f t="shared" si="276"/>
        <v>1.0250906644238855</v>
      </c>
      <c r="AB293" s="84">
        <f t="shared" si="277"/>
        <v>2.255968882764122</v>
      </c>
      <c r="AC293" s="84">
        <f t="shared" si="278"/>
        <v>1.0793436482686261</v>
      </c>
      <c r="AD293" s="84">
        <f t="shared" si="279"/>
        <v>2.1985400131411561</v>
      </c>
      <c r="AE293" s="84">
        <f t="shared" si="280"/>
        <v>1.0814162131816507</v>
      </c>
      <c r="AF293" s="84">
        <f t="shared" si="281"/>
        <v>2.1964322205301285</v>
      </c>
      <c r="AG293" s="84">
        <f t="shared" si="282"/>
        <v>1.0814943437655709</v>
      </c>
      <c r="AH293" s="84">
        <f t="shared" si="283"/>
        <v>2.1963528804797541</v>
      </c>
      <c r="AI293" s="84">
        <f t="shared" si="284"/>
        <v>1.0814972876307809</v>
      </c>
      <c r="AJ293" s="84">
        <f t="shared" si="285"/>
        <v>2.1963498912113995</v>
      </c>
      <c r="AK293" s="84">
        <f t="shared" si="286"/>
        <v>1.0814973985499565</v>
      </c>
      <c r="AL293" s="84">
        <f t="shared" si="287"/>
        <v>2.1963497785817601</v>
      </c>
      <c r="AM293" s="84">
        <f t="shared" si="288"/>
        <v>1.0814974027291746</v>
      </c>
      <c r="AN293" s="84">
        <f t="shared" si="289"/>
        <v>2.1963497743380951</v>
      </c>
      <c r="AO293" s="84">
        <f t="shared" si="290"/>
        <v>1.0814974028866393</v>
      </c>
      <c r="AP293" s="84">
        <f t="shared" si="291"/>
        <v>2.1963497741782021</v>
      </c>
      <c r="AQ293" s="84">
        <f t="shared" si="292"/>
        <v>1.0814974028925723</v>
      </c>
      <c r="AR293" s="84">
        <f t="shared" si="293"/>
        <v>2.1963497741721771</v>
      </c>
      <c r="AS293" s="84">
        <f t="shared" si="294"/>
        <v>1.0814974028927959</v>
      </c>
      <c r="AT293" s="84">
        <f t="shared" si="295"/>
        <v>2.1963497741719502</v>
      </c>
      <c r="AU293" s="84">
        <f t="shared" si="296"/>
        <v>1.0814974028928044</v>
      </c>
      <c r="AV293" s="84">
        <f t="shared" si="297"/>
        <v>2.1963497741719418</v>
      </c>
      <c r="AW293" s="84">
        <f t="shared" si="298"/>
        <v>1.0814974028928046</v>
      </c>
      <c r="AX293" s="84">
        <f t="shared" si="299"/>
        <v>2.1963497741719413</v>
      </c>
      <c r="AY293" s="142">
        <v>7.1340000000000003</v>
      </c>
      <c r="AZ293" s="46">
        <f t="shared" si="251"/>
        <v>14.356666719103497</v>
      </c>
      <c r="BA293" s="85">
        <f t="shared" si="252"/>
        <v>1.0250906644238855</v>
      </c>
      <c r="BB293" s="85">
        <f t="shared" si="253"/>
        <v>14.268000000000001</v>
      </c>
      <c r="BC293" s="85">
        <f t="shared" si="254"/>
        <v>1.0125453322119429</v>
      </c>
      <c r="BD293" s="85">
        <f t="shared" si="255"/>
        <v>14.356117422843848</v>
      </c>
      <c r="BE293" s="85">
        <f t="shared" si="256"/>
        <v>1.0124683293350036</v>
      </c>
      <c r="BF293" s="85">
        <f t="shared" si="257"/>
        <v>14.356663336870554</v>
      </c>
      <c r="BG293" s="85">
        <f t="shared" si="258"/>
        <v>1.0124678552251276</v>
      </c>
      <c r="BH293" s="85">
        <f t="shared" si="259"/>
        <v>14.356666698278545</v>
      </c>
      <c r="BI293" s="85">
        <f t="shared" si="260"/>
        <v>1.0124678523059578</v>
      </c>
      <c r="BJ293" s="85">
        <f t="shared" si="261"/>
        <v>14.356666718975276</v>
      </c>
      <c r="BK293" s="85">
        <f t="shared" si="262"/>
        <v>1.012467852287984</v>
      </c>
      <c r="BL293" s="85">
        <f t="shared" si="263"/>
        <v>14.356666719102709</v>
      </c>
      <c r="BM293" s="85">
        <f t="shared" si="264"/>
        <v>1.0124678522878734</v>
      </c>
      <c r="BN293" s="85">
        <f t="shared" si="265"/>
        <v>14.356666719103494</v>
      </c>
      <c r="BO293" s="85">
        <f t="shared" si="266"/>
        <v>1.0124678522878727</v>
      </c>
      <c r="BP293" s="85">
        <f t="shared" si="267"/>
        <v>14.356666719103497</v>
      </c>
      <c r="BQ293" s="85">
        <f t="shared" si="268"/>
        <v>1.0124678522878727</v>
      </c>
      <c r="BR293" s="85">
        <f t="shared" si="269"/>
        <v>14.356666719103497</v>
      </c>
      <c r="BS293" s="85">
        <f t="shared" si="270"/>
        <v>1.0124678522878727</v>
      </c>
      <c r="BT293" s="85">
        <f t="shared" si="271"/>
        <v>14.356666719103497</v>
      </c>
      <c r="BU293" s="85">
        <f t="shared" si="272"/>
        <v>1.0124678522878727</v>
      </c>
      <c r="BV293" s="85">
        <f t="shared" si="273"/>
        <v>14.356666719103497</v>
      </c>
      <c r="BW293" s="85">
        <f t="shared" si="274"/>
        <v>1.0124678522878727</v>
      </c>
    </row>
    <row r="294" spans="25:75" x14ac:dyDescent="0.4">
      <c r="Y294" s="142">
        <v>7.3563999999999998</v>
      </c>
      <c r="Z294" s="46">
        <f t="shared" si="275"/>
        <v>2.2666317454592915</v>
      </c>
      <c r="AA294" s="84">
        <f t="shared" si="276"/>
        <v>1.024332118971236</v>
      </c>
      <c r="AB294" s="84">
        <f t="shared" si="277"/>
        <v>2.3262979379262663</v>
      </c>
      <c r="AC294" s="84">
        <f t="shared" si="278"/>
        <v>1.0769449166315661</v>
      </c>
      <c r="AD294" s="84">
        <f t="shared" si="279"/>
        <v>2.2687622416599429</v>
      </c>
      <c r="AE294" s="84">
        <f t="shared" si="280"/>
        <v>1.0788962360653622</v>
      </c>
      <c r="AF294" s="84">
        <f t="shared" si="281"/>
        <v>2.2667096423229669</v>
      </c>
      <c r="AG294" s="84">
        <f t="shared" si="282"/>
        <v>1.078967679880263</v>
      </c>
      <c r="AH294" s="84">
        <f t="shared" si="283"/>
        <v>2.2666345960227021</v>
      </c>
      <c r="AI294" s="84">
        <f t="shared" si="284"/>
        <v>1.0789702944318309</v>
      </c>
      <c r="AJ294" s="84">
        <f t="shared" si="285"/>
        <v>2.2666318497762772</v>
      </c>
      <c r="AK294" s="84">
        <f t="shared" si="286"/>
        <v>1.0789703901120882</v>
      </c>
      <c r="AL294" s="84">
        <f t="shared" si="287"/>
        <v>2.2666317492767987</v>
      </c>
      <c r="AM294" s="84">
        <f t="shared" si="288"/>
        <v>1.0789703936135322</v>
      </c>
      <c r="AN294" s="84">
        <f t="shared" si="289"/>
        <v>2.2666317455989944</v>
      </c>
      <c r="AO294" s="84">
        <f t="shared" si="290"/>
        <v>1.0789703937416684</v>
      </c>
      <c r="AP294" s="84">
        <f t="shared" si="291"/>
        <v>2.2666317454644043</v>
      </c>
      <c r="AQ294" s="84">
        <f t="shared" si="292"/>
        <v>1.0789703937463577</v>
      </c>
      <c r="AR294" s="84">
        <f t="shared" si="293"/>
        <v>2.2666317454594784</v>
      </c>
      <c r="AS294" s="84">
        <f t="shared" si="294"/>
        <v>1.0789703937465294</v>
      </c>
      <c r="AT294" s="84">
        <f t="shared" si="295"/>
        <v>2.2666317454592981</v>
      </c>
      <c r="AU294" s="84">
        <f t="shared" si="296"/>
        <v>1.0789703937465356</v>
      </c>
      <c r="AV294" s="84">
        <f t="shared" si="297"/>
        <v>2.2666317454592919</v>
      </c>
      <c r="AW294" s="84">
        <f t="shared" si="298"/>
        <v>1.0789703937465358</v>
      </c>
      <c r="AX294" s="84">
        <f t="shared" si="299"/>
        <v>2.2666317454592915</v>
      </c>
      <c r="AY294" s="142">
        <v>7.3563999999999998</v>
      </c>
      <c r="AZ294" s="46">
        <f t="shared" si="251"/>
        <v>14.801491561774958</v>
      </c>
      <c r="BA294" s="85">
        <f t="shared" si="252"/>
        <v>1.024332118971236</v>
      </c>
      <c r="BB294" s="85">
        <f t="shared" si="253"/>
        <v>14.7128</v>
      </c>
      <c r="BC294" s="85">
        <f t="shared" si="254"/>
        <v>1.0121660594856179</v>
      </c>
      <c r="BD294" s="85">
        <f t="shared" si="255"/>
        <v>14.800958523625797</v>
      </c>
      <c r="BE294" s="85">
        <f t="shared" si="256"/>
        <v>1.0120935951353609</v>
      </c>
      <c r="BF294" s="85">
        <f t="shared" si="257"/>
        <v>14.801488377114818</v>
      </c>
      <c r="BG294" s="85">
        <f t="shared" si="258"/>
        <v>1.0120931622171696</v>
      </c>
      <c r="BH294" s="85">
        <f t="shared" si="259"/>
        <v>14.801491542748741</v>
      </c>
      <c r="BI294" s="85">
        <f t="shared" si="260"/>
        <v>1.0120931596307732</v>
      </c>
      <c r="BJ294" s="85">
        <f t="shared" si="261"/>
        <v>14.801491561661289</v>
      </c>
      <c r="BK294" s="85">
        <f t="shared" si="262"/>
        <v>1.0120931596153213</v>
      </c>
      <c r="BL294" s="85">
        <f t="shared" si="263"/>
        <v>14.801491561774277</v>
      </c>
      <c r="BM294" s="85">
        <f t="shared" si="264"/>
        <v>1.0120931596152289</v>
      </c>
      <c r="BN294" s="85">
        <f t="shared" si="265"/>
        <v>14.801491561774954</v>
      </c>
      <c r="BO294" s="85">
        <f t="shared" si="266"/>
        <v>1.0120931596152283</v>
      </c>
      <c r="BP294" s="85">
        <f t="shared" si="267"/>
        <v>14.801491561774958</v>
      </c>
      <c r="BQ294" s="85">
        <f t="shared" si="268"/>
        <v>1.0120931596152283</v>
      </c>
      <c r="BR294" s="85">
        <f t="shared" si="269"/>
        <v>14.801491561774958</v>
      </c>
      <c r="BS294" s="85">
        <f t="shared" si="270"/>
        <v>1.0120931596152283</v>
      </c>
      <c r="BT294" s="85">
        <f t="shared" si="271"/>
        <v>14.801491561774958</v>
      </c>
      <c r="BU294" s="85">
        <f t="shared" si="272"/>
        <v>1.0120931596152283</v>
      </c>
      <c r="BV294" s="85">
        <f t="shared" si="273"/>
        <v>14.801491561774958</v>
      </c>
      <c r="BW294" s="85">
        <f t="shared" si="274"/>
        <v>1.0120931596152283</v>
      </c>
    </row>
    <row r="295" spans="25:75" x14ac:dyDescent="0.4">
      <c r="Y295" s="142">
        <v>7.5857999999999999</v>
      </c>
      <c r="Z295" s="46">
        <f t="shared" si="275"/>
        <v>2.3391286850529673</v>
      </c>
      <c r="AA295" s="84">
        <f t="shared" si="276"/>
        <v>1.0235962983469113</v>
      </c>
      <c r="AB295" s="84">
        <f t="shared" si="277"/>
        <v>2.398840587450529</v>
      </c>
      <c r="AC295" s="84">
        <f t="shared" si="278"/>
        <v>1.0746180473378859</v>
      </c>
      <c r="AD295" s="84">
        <f t="shared" si="279"/>
        <v>2.3412008692999273</v>
      </c>
      <c r="AE295" s="84">
        <f t="shared" si="280"/>
        <v>1.0764551231566211</v>
      </c>
      <c r="AF295" s="84">
        <f t="shared" si="281"/>
        <v>2.3392022722463679</v>
      </c>
      <c r="AG295" s="84">
        <f t="shared" si="282"/>
        <v>1.0765204458514896</v>
      </c>
      <c r="AH295" s="84">
        <f t="shared" si="283"/>
        <v>2.3391313003874838</v>
      </c>
      <c r="AI295" s="84">
        <f t="shared" si="284"/>
        <v>1.076522767567559</v>
      </c>
      <c r="AJ295" s="84">
        <f t="shared" si="285"/>
        <v>2.3391287780062489</v>
      </c>
      <c r="AK295" s="84">
        <f t="shared" si="286"/>
        <v>1.0765228500852941</v>
      </c>
      <c r="AL295" s="84">
        <f t="shared" si="287"/>
        <v>2.3391286883566829</v>
      </c>
      <c r="AM295" s="84">
        <f t="shared" si="288"/>
        <v>1.076522853018113</v>
      </c>
      <c r="AN295" s="84">
        <f t="shared" si="289"/>
        <v>2.3391286851703867</v>
      </c>
      <c r="AO295" s="84">
        <f t="shared" si="290"/>
        <v>1.0765228531223503</v>
      </c>
      <c r="AP295" s="84">
        <f t="shared" si="291"/>
        <v>2.3391286850571404</v>
      </c>
      <c r="AQ295" s="84">
        <f t="shared" si="292"/>
        <v>1.0765228531260551</v>
      </c>
      <c r="AR295" s="84">
        <f t="shared" si="293"/>
        <v>2.3391286850531157</v>
      </c>
      <c r="AS295" s="84">
        <f t="shared" si="294"/>
        <v>1.0765228531261868</v>
      </c>
      <c r="AT295" s="84">
        <f t="shared" si="295"/>
        <v>2.3391286850529722</v>
      </c>
      <c r="AU295" s="84">
        <f t="shared" si="296"/>
        <v>1.0765228531261914</v>
      </c>
      <c r="AV295" s="84">
        <f t="shared" si="297"/>
        <v>2.3391286850529673</v>
      </c>
      <c r="AW295" s="84">
        <f t="shared" si="298"/>
        <v>1.0765228531261917</v>
      </c>
      <c r="AX295" s="84">
        <f t="shared" si="299"/>
        <v>2.3391286850529673</v>
      </c>
      <c r="AY295" s="142">
        <v>7.5857999999999999</v>
      </c>
      <c r="AZ295" s="46">
        <f t="shared" si="251"/>
        <v>15.260315677876076</v>
      </c>
      <c r="BA295" s="85">
        <f t="shared" si="252"/>
        <v>1.0235962983469113</v>
      </c>
      <c r="BB295" s="85">
        <f t="shared" si="253"/>
        <v>15.1716</v>
      </c>
      <c r="BC295" s="85">
        <f t="shared" si="254"/>
        <v>1.0117981491734556</v>
      </c>
      <c r="BD295" s="85">
        <f t="shared" si="255"/>
        <v>15.259798431159759</v>
      </c>
      <c r="BE295" s="85">
        <f t="shared" si="256"/>
        <v>1.0117299583482373</v>
      </c>
      <c r="BF295" s="85">
        <f t="shared" si="257"/>
        <v>15.26031267940648</v>
      </c>
      <c r="BG295" s="85">
        <f t="shared" si="258"/>
        <v>1.011729563067312</v>
      </c>
      <c r="BH295" s="85">
        <f t="shared" si="259"/>
        <v>15.260315660494584</v>
      </c>
      <c r="BI295" s="85">
        <f t="shared" si="260"/>
        <v>1.0117295607759531</v>
      </c>
      <c r="BJ295" s="85">
        <f t="shared" si="261"/>
        <v>15.260315677775319</v>
      </c>
      <c r="BK295" s="85">
        <f t="shared" si="262"/>
        <v>1.0117295607626706</v>
      </c>
      <c r="BL295" s="85">
        <f t="shared" si="263"/>
        <v>15.260315677875489</v>
      </c>
      <c r="BM295" s="85">
        <f t="shared" si="264"/>
        <v>1.0117295607625936</v>
      </c>
      <c r="BN295" s="85">
        <f t="shared" si="265"/>
        <v>15.260315677876072</v>
      </c>
      <c r="BO295" s="85">
        <f t="shared" si="266"/>
        <v>1.0117295607625931</v>
      </c>
      <c r="BP295" s="85">
        <f t="shared" si="267"/>
        <v>15.260315677876076</v>
      </c>
      <c r="BQ295" s="85">
        <f t="shared" si="268"/>
        <v>1.0117295607625931</v>
      </c>
      <c r="BR295" s="85">
        <f t="shared" si="269"/>
        <v>15.260315677876076</v>
      </c>
      <c r="BS295" s="85">
        <f t="shared" si="270"/>
        <v>1.0117295607625931</v>
      </c>
      <c r="BT295" s="85">
        <f t="shared" si="271"/>
        <v>15.260315677876076</v>
      </c>
      <c r="BU295" s="85">
        <f t="shared" si="272"/>
        <v>1.0117295607625931</v>
      </c>
      <c r="BV295" s="85">
        <f t="shared" si="273"/>
        <v>15.260315677876076</v>
      </c>
      <c r="BW295" s="85">
        <f t="shared" si="274"/>
        <v>1.0117295607625931</v>
      </c>
    </row>
    <row r="296" spans="25:75" x14ac:dyDescent="0.4">
      <c r="Y296" s="142">
        <v>7.8223000000000003</v>
      </c>
      <c r="Z296" s="46">
        <f t="shared" si="275"/>
        <v>2.4138721994857275</v>
      </c>
      <c r="AA296" s="84">
        <f t="shared" si="276"/>
        <v>1.0228828861076666</v>
      </c>
      <c r="AB296" s="84">
        <f t="shared" si="277"/>
        <v>2.4736284541135114</v>
      </c>
      <c r="AC296" s="84">
        <f t="shared" si="278"/>
        <v>1.0723620396542488</v>
      </c>
      <c r="AD296" s="84">
        <f t="shared" si="279"/>
        <v>2.4158875078280984</v>
      </c>
      <c r="AE296" s="84">
        <f t="shared" si="280"/>
        <v>1.074091529455512</v>
      </c>
      <c r="AF296" s="84">
        <f t="shared" si="281"/>
        <v>2.4139417071257028</v>
      </c>
      <c r="AG296" s="84">
        <f t="shared" si="282"/>
        <v>1.0741512522551169</v>
      </c>
      <c r="AH296" s="84">
        <f t="shared" si="283"/>
        <v>2.4138745986246835</v>
      </c>
      <c r="AI296" s="84">
        <f t="shared" si="284"/>
        <v>1.0741533137456458</v>
      </c>
      <c r="AJ296" s="84">
        <f t="shared" si="285"/>
        <v>2.4138722822970484</v>
      </c>
      <c r="AK296" s="84">
        <f t="shared" si="286"/>
        <v>1.0741533849024254</v>
      </c>
      <c r="AL296" s="84">
        <f t="shared" si="287"/>
        <v>2.4138722023441366</v>
      </c>
      <c r="AM296" s="84">
        <f t="shared" si="288"/>
        <v>1.0741533873585534</v>
      </c>
      <c r="AN296" s="84">
        <f t="shared" si="289"/>
        <v>2.4138721995843917</v>
      </c>
      <c r="AO296" s="84">
        <f t="shared" si="290"/>
        <v>1.074153387443332</v>
      </c>
      <c r="AP296" s="84">
        <f t="shared" si="291"/>
        <v>2.4138721994891332</v>
      </c>
      <c r="AQ296" s="84">
        <f t="shared" si="292"/>
        <v>1.0741533874462583</v>
      </c>
      <c r="AR296" s="84">
        <f t="shared" si="293"/>
        <v>2.4138721994858447</v>
      </c>
      <c r="AS296" s="84">
        <f t="shared" si="294"/>
        <v>1.0741533874463594</v>
      </c>
      <c r="AT296" s="84">
        <f t="shared" si="295"/>
        <v>2.4138721994857315</v>
      </c>
      <c r="AU296" s="84">
        <f t="shared" si="296"/>
        <v>1.0741533874463627</v>
      </c>
      <c r="AV296" s="84">
        <f t="shared" si="297"/>
        <v>2.4138721994857275</v>
      </c>
      <c r="AW296" s="84">
        <f t="shared" si="298"/>
        <v>1.0741533874463629</v>
      </c>
      <c r="AX296" s="84">
        <f t="shared" si="299"/>
        <v>2.4138721994857275</v>
      </c>
      <c r="AY296" s="142">
        <v>7.8223000000000003</v>
      </c>
      <c r="AZ296" s="46">
        <f t="shared" si="251"/>
        <v>15.733339076197582</v>
      </c>
      <c r="BA296" s="85">
        <f t="shared" si="252"/>
        <v>1.0228828861076666</v>
      </c>
      <c r="BB296" s="85">
        <f t="shared" si="253"/>
        <v>15.644600000000001</v>
      </c>
      <c r="BC296" s="85">
        <f t="shared" si="254"/>
        <v>1.0114414430538332</v>
      </c>
      <c r="BD296" s="85">
        <f t="shared" si="255"/>
        <v>15.732837159211169</v>
      </c>
      <c r="BE296" s="85">
        <f t="shared" si="256"/>
        <v>1.0113772740535361</v>
      </c>
      <c r="BF296" s="85">
        <f t="shared" si="257"/>
        <v>15.733336253093004</v>
      </c>
      <c r="BG296" s="85">
        <f t="shared" si="258"/>
        <v>1.0113769131429331</v>
      </c>
      <c r="BH296" s="85">
        <f t="shared" si="259"/>
        <v>15.733339060319121</v>
      </c>
      <c r="BI296" s="85">
        <f t="shared" si="260"/>
        <v>1.0113769111130038</v>
      </c>
      <c r="BJ296" s="85">
        <f t="shared" si="261"/>
        <v>15.733339076108271</v>
      </c>
      <c r="BK296" s="85">
        <f t="shared" si="262"/>
        <v>1.0113769111015865</v>
      </c>
      <c r="BL296" s="85">
        <f t="shared" si="263"/>
        <v>15.733339076197078</v>
      </c>
      <c r="BM296" s="85">
        <f t="shared" si="264"/>
        <v>1.0113769111015223</v>
      </c>
      <c r="BN296" s="85">
        <f t="shared" si="265"/>
        <v>15.733339076197579</v>
      </c>
      <c r="BO296" s="85">
        <f t="shared" si="266"/>
        <v>1.0113769111015218</v>
      </c>
      <c r="BP296" s="85">
        <f t="shared" si="267"/>
        <v>15.733339076197582</v>
      </c>
      <c r="BQ296" s="85">
        <f t="shared" si="268"/>
        <v>1.0113769111015218</v>
      </c>
      <c r="BR296" s="85">
        <f t="shared" si="269"/>
        <v>15.733339076197582</v>
      </c>
      <c r="BS296" s="85">
        <f t="shared" si="270"/>
        <v>1.0113769111015218</v>
      </c>
      <c r="BT296" s="85">
        <f t="shared" si="271"/>
        <v>15.733339076197582</v>
      </c>
      <c r="BU296" s="85">
        <f t="shared" si="272"/>
        <v>1.0113769111015218</v>
      </c>
      <c r="BV296" s="85">
        <f t="shared" si="273"/>
        <v>15.733339076197582</v>
      </c>
      <c r="BW296" s="85">
        <f t="shared" si="274"/>
        <v>1.0113769111015218</v>
      </c>
    </row>
    <row r="297" spans="25:75" x14ac:dyDescent="0.4">
      <c r="Y297" s="142">
        <v>8.0662000000000003</v>
      </c>
      <c r="Z297" s="46">
        <f t="shared" si="275"/>
        <v>2.4909571035486362</v>
      </c>
      <c r="AA297" s="84">
        <f t="shared" si="276"/>
        <v>1.0221909697255214</v>
      </c>
      <c r="AB297" s="84">
        <f t="shared" si="277"/>
        <v>2.5507564062450179</v>
      </c>
      <c r="AC297" s="84">
        <f t="shared" si="278"/>
        <v>1.0701740078823783</v>
      </c>
      <c r="AD297" s="84">
        <f t="shared" si="279"/>
        <v>2.4929169281443837</v>
      </c>
      <c r="AE297" s="84">
        <f t="shared" si="280"/>
        <v>1.0718021520195724</v>
      </c>
      <c r="AF297" s="84">
        <f t="shared" si="281"/>
        <v>2.4910227489538319</v>
      </c>
      <c r="AG297" s="84">
        <f t="shared" si="282"/>
        <v>1.071856750535739</v>
      </c>
      <c r="AH297" s="84">
        <f t="shared" si="283"/>
        <v>2.4909593039655973</v>
      </c>
      <c r="AI297" s="84">
        <f t="shared" si="284"/>
        <v>1.0718585807345735</v>
      </c>
      <c r="AJ297" s="84">
        <f t="shared" si="285"/>
        <v>2.4909571773078261</v>
      </c>
      <c r="AK297" s="84">
        <f t="shared" si="286"/>
        <v>1.0718586420839273</v>
      </c>
      <c r="AL297" s="84">
        <f t="shared" si="287"/>
        <v>2.4909571060210864</v>
      </c>
      <c r="AM297" s="84">
        <f t="shared" si="288"/>
        <v>1.0718586441403932</v>
      </c>
      <c r="AN297" s="84">
        <f t="shared" si="289"/>
        <v>2.4909571036315139</v>
      </c>
      <c r="AO297" s="84">
        <f t="shared" si="290"/>
        <v>1.0718586442093272</v>
      </c>
      <c r="AP297" s="84">
        <f t="shared" si="291"/>
        <v>2.490957103551414</v>
      </c>
      <c r="AQ297" s="84">
        <f t="shared" si="292"/>
        <v>1.071858644211638</v>
      </c>
      <c r="AR297" s="84">
        <f t="shared" si="293"/>
        <v>2.490957103548729</v>
      </c>
      <c r="AS297" s="84">
        <f t="shared" si="294"/>
        <v>1.0718586442117153</v>
      </c>
      <c r="AT297" s="84">
        <f t="shared" si="295"/>
        <v>2.4909571035486389</v>
      </c>
      <c r="AU297" s="84">
        <f t="shared" si="296"/>
        <v>1.0718586442117179</v>
      </c>
      <c r="AV297" s="84">
        <f t="shared" si="297"/>
        <v>2.4909571035486362</v>
      </c>
      <c r="AW297" s="84">
        <f t="shared" si="298"/>
        <v>1.0718586442117179</v>
      </c>
      <c r="AX297" s="84">
        <f t="shared" si="299"/>
        <v>2.4909571035486362</v>
      </c>
      <c r="AY297" s="142">
        <v>8.0662000000000003</v>
      </c>
      <c r="AZ297" s="46">
        <f t="shared" si="251"/>
        <v>16.221161785174679</v>
      </c>
      <c r="BA297" s="85">
        <f t="shared" si="252"/>
        <v>1.0221909697255214</v>
      </c>
      <c r="BB297" s="85">
        <f t="shared" si="253"/>
        <v>16.132400000000001</v>
      </c>
      <c r="BC297" s="85">
        <f t="shared" si="254"/>
        <v>1.0110954848627607</v>
      </c>
      <c r="BD297" s="85">
        <f t="shared" si="255"/>
        <v>16.220674754106096</v>
      </c>
      <c r="BE297" s="85">
        <f t="shared" si="256"/>
        <v>1.0110351019740833</v>
      </c>
      <c r="BF297" s="85">
        <f t="shared" si="257"/>
        <v>16.221159127285784</v>
      </c>
      <c r="BG297" s="85">
        <f t="shared" si="258"/>
        <v>1.0110347724595654</v>
      </c>
      <c r="BH297" s="85">
        <f t="shared" si="259"/>
        <v>16.221161770670136</v>
      </c>
      <c r="BI297" s="85">
        <f t="shared" si="260"/>
        <v>1.0110347706613498</v>
      </c>
      <c r="BJ297" s="85">
        <f t="shared" si="261"/>
        <v>16.221161785095525</v>
      </c>
      <c r="BK297" s="85">
        <f t="shared" si="262"/>
        <v>1.0110347706515366</v>
      </c>
      <c r="BL297" s="85">
        <f t="shared" si="263"/>
        <v>16.22116178517425</v>
      </c>
      <c r="BM297" s="85">
        <f t="shared" si="264"/>
        <v>1.0110347706514831</v>
      </c>
      <c r="BN297" s="85">
        <f t="shared" si="265"/>
        <v>16.221161785174679</v>
      </c>
      <c r="BO297" s="85">
        <f t="shared" si="266"/>
        <v>1.0110347706514828</v>
      </c>
      <c r="BP297" s="85">
        <f t="shared" si="267"/>
        <v>16.221161785174679</v>
      </c>
      <c r="BQ297" s="85">
        <f t="shared" si="268"/>
        <v>1.0110347706514828</v>
      </c>
      <c r="BR297" s="85">
        <f t="shared" si="269"/>
        <v>16.221161785174679</v>
      </c>
      <c r="BS297" s="85">
        <f t="shared" si="270"/>
        <v>1.0110347706514828</v>
      </c>
      <c r="BT297" s="85">
        <f t="shared" si="271"/>
        <v>16.221161785174679</v>
      </c>
      <c r="BU297" s="85">
        <f t="shared" si="272"/>
        <v>1.0110347706514828</v>
      </c>
      <c r="BV297" s="85">
        <f t="shared" si="273"/>
        <v>16.221161785174679</v>
      </c>
      <c r="BW297" s="85">
        <f t="shared" si="274"/>
        <v>1.0110347706514828</v>
      </c>
    </row>
    <row r="298" spans="25:75" x14ac:dyDescent="0.4">
      <c r="Y298" s="142">
        <v>8.3176000000000005</v>
      </c>
      <c r="Z298" s="46">
        <f t="shared" si="275"/>
        <v>2.5704150041584799</v>
      </c>
      <c r="AA298" s="84">
        <f t="shared" si="276"/>
        <v>1.0215202462248725</v>
      </c>
      <c r="AB298" s="84">
        <f t="shared" si="277"/>
        <v>2.630256066621651</v>
      </c>
      <c r="AC298" s="84">
        <f t="shared" si="278"/>
        <v>1.0680529939107148</v>
      </c>
      <c r="AD298" s="84">
        <f t="shared" si="279"/>
        <v>2.5723207403171537</v>
      </c>
      <c r="AE298" s="84">
        <f t="shared" si="280"/>
        <v>1.069585723633971</v>
      </c>
      <c r="AF298" s="84">
        <f t="shared" si="281"/>
        <v>2.5704769956518243</v>
      </c>
      <c r="AG298" s="84">
        <f t="shared" si="282"/>
        <v>1.0696356358910608</v>
      </c>
      <c r="AH298" s="84">
        <f t="shared" si="283"/>
        <v>2.5704170220490981</v>
      </c>
      <c r="AI298" s="84">
        <f t="shared" si="284"/>
        <v>1.0696372606468842</v>
      </c>
      <c r="AJ298" s="84">
        <f t="shared" si="285"/>
        <v>2.5704150698444748</v>
      </c>
      <c r="AK298" s="84">
        <f t="shared" si="286"/>
        <v>1.0696373135356905</v>
      </c>
      <c r="AL298" s="84">
        <f t="shared" si="287"/>
        <v>2.5704150062966797</v>
      </c>
      <c r="AM298" s="84">
        <f t="shared" si="288"/>
        <v>1.0696373152573182</v>
      </c>
      <c r="AN298" s="84">
        <f t="shared" si="289"/>
        <v>2.570415004228082</v>
      </c>
      <c r="AO298" s="84">
        <f t="shared" si="290"/>
        <v>1.0696373153133603</v>
      </c>
      <c r="AP298" s="84">
        <f t="shared" si="291"/>
        <v>2.5704150041607456</v>
      </c>
      <c r="AQ298" s="84">
        <f t="shared" si="292"/>
        <v>1.0696373153151846</v>
      </c>
      <c r="AR298" s="84">
        <f t="shared" si="293"/>
        <v>2.5704150041585536</v>
      </c>
      <c r="AS298" s="84">
        <f t="shared" si="294"/>
        <v>1.0696373153152439</v>
      </c>
      <c r="AT298" s="84">
        <f t="shared" si="295"/>
        <v>2.5704150041584821</v>
      </c>
      <c r="AU298" s="84">
        <f t="shared" si="296"/>
        <v>1.0696373153152459</v>
      </c>
      <c r="AV298" s="84">
        <f t="shared" si="297"/>
        <v>2.5704150041584799</v>
      </c>
      <c r="AW298" s="84">
        <f t="shared" si="298"/>
        <v>1.0696373153152459</v>
      </c>
      <c r="AX298" s="84">
        <f t="shared" si="299"/>
        <v>2.5704150041584799</v>
      </c>
      <c r="AY298" s="142">
        <v>8.3176000000000005</v>
      </c>
      <c r="AZ298" s="46">
        <f t="shared" si="251"/>
        <v>16.723983813340656</v>
      </c>
      <c r="BA298" s="85">
        <f t="shared" si="252"/>
        <v>1.0215202462248725</v>
      </c>
      <c r="BB298" s="85">
        <f t="shared" si="253"/>
        <v>16.635200000000001</v>
      </c>
      <c r="BC298" s="85">
        <f t="shared" si="254"/>
        <v>1.0107601231124363</v>
      </c>
      <c r="BD298" s="85">
        <f t="shared" si="255"/>
        <v>16.723511229273477</v>
      </c>
      <c r="BE298" s="85">
        <f t="shared" si="256"/>
        <v>1.0107033025269643</v>
      </c>
      <c r="BF298" s="85">
        <f t="shared" si="257"/>
        <v>16.723981311018456</v>
      </c>
      <c r="BG298" s="85">
        <f t="shared" si="258"/>
        <v>1.0107030016759269</v>
      </c>
      <c r="BH298" s="85">
        <f t="shared" si="259"/>
        <v>16.723983800091283</v>
      </c>
      <c r="BI298" s="85">
        <f t="shared" si="260"/>
        <v>1.010703000082972</v>
      </c>
      <c r="BJ298" s="85">
        <f t="shared" si="261"/>
        <v>16.723983813270504</v>
      </c>
      <c r="BK298" s="85">
        <f t="shared" si="262"/>
        <v>1.0107030000745376</v>
      </c>
      <c r="BL298" s="85">
        <f t="shared" si="263"/>
        <v>16.723983813340286</v>
      </c>
      <c r="BM298" s="85">
        <f t="shared" si="264"/>
        <v>1.010703000074493</v>
      </c>
      <c r="BN298" s="85">
        <f t="shared" si="265"/>
        <v>16.723983813340656</v>
      </c>
      <c r="BO298" s="85">
        <f t="shared" si="266"/>
        <v>1.0107030000744928</v>
      </c>
      <c r="BP298" s="85">
        <f t="shared" si="267"/>
        <v>16.723983813340656</v>
      </c>
      <c r="BQ298" s="85">
        <f t="shared" si="268"/>
        <v>1.0107030000744928</v>
      </c>
      <c r="BR298" s="85">
        <f t="shared" si="269"/>
        <v>16.723983813340656</v>
      </c>
      <c r="BS298" s="85">
        <f t="shared" si="270"/>
        <v>1.0107030000744928</v>
      </c>
      <c r="BT298" s="85">
        <f t="shared" si="271"/>
        <v>16.723983813340656</v>
      </c>
      <c r="BU298" s="85">
        <f t="shared" si="272"/>
        <v>1.0107030000744928</v>
      </c>
      <c r="BV298" s="85">
        <f t="shared" si="273"/>
        <v>16.723983813340656</v>
      </c>
      <c r="BW298" s="85">
        <f t="shared" si="274"/>
        <v>1.0107030000744928</v>
      </c>
    </row>
    <row r="299" spans="25:75" x14ac:dyDescent="0.4">
      <c r="Y299" s="142">
        <v>8.577</v>
      </c>
      <c r="Z299" s="46">
        <f t="shared" si="275"/>
        <v>2.6524039357464089</v>
      </c>
      <c r="AA299" s="84">
        <f t="shared" si="276"/>
        <v>1.0208693948933194</v>
      </c>
      <c r="AB299" s="84">
        <f t="shared" si="277"/>
        <v>2.7122855491264186</v>
      </c>
      <c r="AC299" s="84">
        <f t="shared" si="278"/>
        <v>1.0659948212690886</v>
      </c>
      <c r="AD299" s="84">
        <f t="shared" si="279"/>
        <v>2.65425689807652</v>
      </c>
      <c r="AE299" s="84">
        <f t="shared" si="280"/>
        <v>1.0674376320546375</v>
      </c>
      <c r="AF299" s="84">
        <f t="shared" si="281"/>
        <v>2.6524624675099271</v>
      </c>
      <c r="AG299" s="84">
        <f t="shared" si="282"/>
        <v>1.0674832546226363</v>
      </c>
      <c r="AH299" s="84">
        <f t="shared" si="283"/>
        <v>2.6524057858515691</v>
      </c>
      <c r="AI299" s="84">
        <f t="shared" si="284"/>
        <v>1.0674846967333553</v>
      </c>
      <c r="AJ299" s="84">
        <f t="shared" si="285"/>
        <v>2.6524039942267712</v>
      </c>
      <c r="AK299" s="84">
        <f t="shared" si="286"/>
        <v>1.067484742317383</v>
      </c>
      <c r="AL299" s="84">
        <f t="shared" si="287"/>
        <v>2.652403937594928</v>
      </c>
      <c r="AM299" s="84">
        <f t="shared" si="288"/>
        <v>1.0674847437582591</v>
      </c>
      <c r="AN299" s="84">
        <f t="shared" si="289"/>
        <v>2.6524039358048386</v>
      </c>
      <c r="AO299" s="84">
        <f t="shared" si="290"/>
        <v>1.067484743803804</v>
      </c>
      <c r="AP299" s="84">
        <f t="shared" si="291"/>
        <v>2.6524039357482558</v>
      </c>
      <c r="AQ299" s="84">
        <f t="shared" si="292"/>
        <v>1.0674847438052435</v>
      </c>
      <c r="AR299" s="84">
        <f t="shared" si="293"/>
        <v>2.652403935746467</v>
      </c>
      <c r="AS299" s="84">
        <f t="shared" si="294"/>
        <v>1.0674847438052892</v>
      </c>
      <c r="AT299" s="84">
        <f t="shared" si="295"/>
        <v>2.6524039357464102</v>
      </c>
      <c r="AU299" s="84">
        <f t="shared" si="296"/>
        <v>1.0674847438052906</v>
      </c>
      <c r="AV299" s="84">
        <f t="shared" si="297"/>
        <v>2.6524039357464089</v>
      </c>
      <c r="AW299" s="84">
        <f t="shared" si="298"/>
        <v>1.0674847438052906</v>
      </c>
      <c r="AX299" s="84">
        <f t="shared" si="299"/>
        <v>2.6524039357464089</v>
      </c>
      <c r="AY299" s="142">
        <v>8.577</v>
      </c>
      <c r="AZ299" s="46">
        <f t="shared" si="251"/>
        <v>17.242805202752944</v>
      </c>
      <c r="BA299" s="85">
        <f t="shared" si="252"/>
        <v>1.0208693948933194</v>
      </c>
      <c r="BB299" s="85">
        <f t="shared" si="253"/>
        <v>17.154</v>
      </c>
      <c r="BC299" s="85">
        <f t="shared" si="254"/>
        <v>1.0104346974466596</v>
      </c>
      <c r="BD299" s="85">
        <f t="shared" si="255"/>
        <v>17.242346653701482</v>
      </c>
      <c r="BE299" s="85">
        <f t="shared" si="256"/>
        <v>1.0103812319514858</v>
      </c>
      <c r="BF299" s="85">
        <f t="shared" si="257"/>
        <v>17.242802847055785</v>
      </c>
      <c r="BG299" s="85">
        <f t="shared" si="258"/>
        <v>1.0103809572949194</v>
      </c>
      <c r="BH299" s="85">
        <f t="shared" si="259"/>
        <v>17.242805190651371</v>
      </c>
      <c r="BI299" s="85">
        <f t="shared" si="260"/>
        <v>1.0103809558839676</v>
      </c>
      <c r="BJ299" s="85">
        <f t="shared" si="261"/>
        <v>17.242805202690771</v>
      </c>
      <c r="BK299" s="85">
        <f t="shared" si="262"/>
        <v>1.0103809558767194</v>
      </c>
      <c r="BL299" s="85">
        <f t="shared" si="263"/>
        <v>17.242805202752621</v>
      </c>
      <c r="BM299" s="85">
        <f t="shared" si="264"/>
        <v>1.0103809558766821</v>
      </c>
      <c r="BN299" s="85">
        <f t="shared" si="265"/>
        <v>17.242805202752937</v>
      </c>
      <c r="BO299" s="85">
        <f t="shared" si="266"/>
        <v>1.0103809558766819</v>
      </c>
      <c r="BP299" s="85">
        <f t="shared" si="267"/>
        <v>17.242805202752944</v>
      </c>
      <c r="BQ299" s="85">
        <f t="shared" si="268"/>
        <v>1.0103809558766819</v>
      </c>
      <c r="BR299" s="85">
        <f t="shared" si="269"/>
        <v>17.242805202752944</v>
      </c>
      <c r="BS299" s="85">
        <f t="shared" si="270"/>
        <v>1.0103809558766819</v>
      </c>
      <c r="BT299" s="85">
        <f t="shared" si="271"/>
        <v>17.242805202752944</v>
      </c>
      <c r="BU299" s="85">
        <f t="shared" si="272"/>
        <v>1.0103809558766819</v>
      </c>
      <c r="BV299" s="85">
        <f t="shared" si="273"/>
        <v>17.242805202752944</v>
      </c>
      <c r="BW299" s="85">
        <f t="shared" si="274"/>
        <v>1.0103809558766819</v>
      </c>
    </row>
    <row r="300" spans="25:75" x14ac:dyDescent="0.4">
      <c r="Y300" s="142">
        <v>8.8444000000000003</v>
      </c>
      <c r="Z300" s="46">
        <f t="shared" si="275"/>
        <v>2.7369239020086717</v>
      </c>
      <c r="AA300" s="84">
        <f t="shared" si="276"/>
        <v>1.0202384333589616</v>
      </c>
      <c r="AB300" s="84">
        <f t="shared" si="277"/>
        <v>2.7968448537593211</v>
      </c>
      <c r="AC300" s="84">
        <f t="shared" si="278"/>
        <v>1.063999545696285</v>
      </c>
      <c r="AD300" s="84">
        <f t="shared" si="279"/>
        <v>2.7387254309680906</v>
      </c>
      <c r="AE300" s="84">
        <f t="shared" si="280"/>
        <v>1.0653577018027995</v>
      </c>
      <c r="AF300" s="84">
        <f t="shared" si="281"/>
        <v>2.7369791616666252</v>
      </c>
      <c r="AG300" s="84">
        <f t="shared" si="282"/>
        <v>1.0653994018458153</v>
      </c>
      <c r="AH300" s="84">
        <f t="shared" si="283"/>
        <v>2.7369255980615628</v>
      </c>
      <c r="AI300" s="84">
        <f t="shared" si="284"/>
        <v>1.065400681759215</v>
      </c>
      <c r="AJ300" s="84">
        <f t="shared" si="285"/>
        <v>2.7369239540656185</v>
      </c>
      <c r="AK300" s="84">
        <f t="shared" si="286"/>
        <v>1.0654007210436298</v>
      </c>
      <c r="AL300" s="84">
        <f t="shared" si="287"/>
        <v>2.7369239036064563</v>
      </c>
      <c r="AM300" s="84">
        <f t="shared" si="288"/>
        <v>1.0654007222493871</v>
      </c>
      <c r="AN300" s="84">
        <f t="shared" si="289"/>
        <v>2.7369239020577121</v>
      </c>
      <c r="AO300" s="84">
        <f t="shared" si="290"/>
        <v>1.0654007222863953</v>
      </c>
      <c r="AP300" s="84">
        <f t="shared" si="291"/>
        <v>2.7369239020101763</v>
      </c>
      <c r="AQ300" s="84">
        <f t="shared" si="292"/>
        <v>1.0654007222875312</v>
      </c>
      <c r="AR300" s="84">
        <f t="shared" si="293"/>
        <v>2.7369239020087175</v>
      </c>
      <c r="AS300" s="84">
        <f t="shared" si="294"/>
        <v>1.0654007222875661</v>
      </c>
      <c r="AT300" s="84">
        <f t="shared" si="295"/>
        <v>2.7369239020086726</v>
      </c>
      <c r="AU300" s="84">
        <f t="shared" si="296"/>
        <v>1.0654007222875672</v>
      </c>
      <c r="AV300" s="84">
        <f t="shared" si="297"/>
        <v>2.7369239020086717</v>
      </c>
      <c r="AW300" s="84">
        <f t="shared" si="298"/>
        <v>1.0654007222875672</v>
      </c>
      <c r="AX300" s="84">
        <f t="shared" si="299"/>
        <v>2.7369239020086717</v>
      </c>
      <c r="AY300" s="142">
        <v>8.8444000000000003</v>
      </c>
      <c r="AZ300" s="46">
        <f t="shared" si="251"/>
        <v>17.77762595159286</v>
      </c>
      <c r="BA300" s="85">
        <f t="shared" si="252"/>
        <v>1.0202384333589616</v>
      </c>
      <c r="BB300" s="85">
        <f t="shared" si="253"/>
        <v>17.688800000000001</v>
      </c>
      <c r="BC300" s="85">
        <f t="shared" si="254"/>
        <v>1.0101192166794808</v>
      </c>
      <c r="BD300" s="85">
        <f t="shared" si="255"/>
        <v>17.777181023764463</v>
      </c>
      <c r="BE300" s="85">
        <f t="shared" si="256"/>
        <v>1.0100689079871954</v>
      </c>
      <c r="BF300" s="85">
        <f t="shared" si="257"/>
        <v>17.777623733953249</v>
      </c>
      <c r="BG300" s="85">
        <f t="shared" si="258"/>
        <v>1.0100686572445639</v>
      </c>
      <c r="BH300" s="85">
        <f t="shared" si="259"/>
        <v>17.777625940539821</v>
      </c>
      <c r="BI300" s="85">
        <f t="shared" si="260"/>
        <v>1.0100686559948264</v>
      </c>
      <c r="BJ300" s="85">
        <f t="shared" si="261"/>
        <v>17.777625951537772</v>
      </c>
      <c r="BK300" s="85">
        <f t="shared" si="262"/>
        <v>1.0100686559885976</v>
      </c>
      <c r="BL300" s="85">
        <f t="shared" si="263"/>
        <v>17.777625951592587</v>
      </c>
      <c r="BM300" s="85">
        <f t="shared" si="264"/>
        <v>1.0100686559885665</v>
      </c>
      <c r="BN300" s="85">
        <f t="shared" si="265"/>
        <v>17.77762595159286</v>
      </c>
      <c r="BO300" s="85">
        <f t="shared" si="266"/>
        <v>1.0100686559885665</v>
      </c>
      <c r="BP300" s="85">
        <f t="shared" si="267"/>
        <v>17.77762595159286</v>
      </c>
      <c r="BQ300" s="85">
        <f t="shared" si="268"/>
        <v>1.0100686559885665</v>
      </c>
      <c r="BR300" s="85">
        <f t="shared" si="269"/>
        <v>17.77762595159286</v>
      </c>
      <c r="BS300" s="85">
        <f t="shared" si="270"/>
        <v>1.0100686559885665</v>
      </c>
      <c r="BT300" s="85">
        <f t="shared" si="271"/>
        <v>17.77762595159286</v>
      </c>
      <c r="BU300" s="85">
        <f t="shared" si="272"/>
        <v>1.0100686559885665</v>
      </c>
      <c r="BV300" s="85">
        <f t="shared" si="273"/>
        <v>17.77762595159286</v>
      </c>
      <c r="BW300" s="85">
        <f t="shared" si="274"/>
        <v>1.0100686559885665</v>
      </c>
    </row>
    <row r="301" spans="25:75" x14ac:dyDescent="0.4">
      <c r="Y301" s="142">
        <v>9.1201000000000008</v>
      </c>
      <c r="Z301" s="46">
        <f t="shared" si="275"/>
        <v>2.8240697279346429</v>
      </c>
      <c r="AA301" s="84">
        <f t="shared" si="276"/>
        <v>1.0196266269010208</v>
      </c>
      <c r="AB301" s="84">
        <f t="shared" si="277"/>
        <v>2.8840288488501638</v>
      </c>
      <c r="AC301" s="84">
        <f t="shared" si="278"/>
        <v>1.0620648437977287</v>
      </c>
      <c r="AD301" s="84">
        <f t="shared" si="279"/>
        <v>2.8258211275440646</v>
      </c>
      <c r="AE301" s="84">
        <f t="shared" si="280"/>
        <v>1.0633432874693045</v>
      </c>
      <c r="AF301" s="84">
        <f t="shared" si="281"/>
        <v>2.8241218928309171</v>
      </c>
      <c r="AG301" s="84">
        <f t="shared" si="282"/>
        <v>1.063381400241078</v>
      </c>
      <c r="AH301" s="84">
        <f t="shared" si="283"/>
        <v>2.8240712825430205</v>
      </c>
      <c r="AI301" s="84">
        <f t="shared" si="284"/>
        <v>1.0633825361015432</v>
      </c>
      <c r="AJ301" s="84">
        <f t="shared" si="285"/>
        <v>2.8240697742655811</v>
      </c>
      <c r="AK301" s="84">
        <f t="shared" si="286"/>
        <v>1.0633825699528492</v>
      </c>
      <c r="AL301" s="84">
        <f t="shared" si="287"/>
        <v>2.8240697293154131</v>
      </c>
      <c r="AM301" s="84">
        <f t="shared" si="288"/>
        <v>1.0633825709616971</v>
      </c>
      <c r="AN301" s="84">
        <f t="shared" si="289"/>
        <v>2.8240697279757931</v>
      </c>
      <c r="AO301" s="84">
        <f t="shared" si="290"/>
        <v>1.063382570991763</v>
      </c>
      <c r="AP301" s="84">
        <f t="shared" si="291"/>
        <v>2.8240697279358695</v>
      </c>
      <c r="AQ301" s="84">
        <f t="shared" si="292"/>
        <v>1.0633825709926592</v>
      </c>
      <c r="AR301" s="84">
        <f t="shared" si="293"/>
        <v>2.8240697279346794</v>
      </c>
      <c r="AS301" s="84">
        <f t="shared" si="294"/>
        <v>1.0633825709926858</v>
      </c>
      <c r="AT301" s="84">
        <f t="shared" si="295"/>
        <v>2.8240697279346443</v>
      </c>
      <c r="AU301" s="84">
        <f t="shared" si="296"/>
        <v>1.0633825709926867</v>
      </c>
      <c r="AV301" s="84">
        <f t="shared" si="297"/>
        <v>2.8240697279346429</v>
      </c>
      <c r="AW301" s="84">
        <f t="shared" si="298"/>
        <v>1.0633825709926867</v>
      </c>
      <c r="AX301" s="84">
        <f t="shared" si="299"/>
        <v>2.8240697279346429</v>
      </c>
      <c r="AY301" s="142">
        <v>9.1201000000000008</v>
      </c>
      <c r="AZ301" s="46">
        <f t="shared" si="251"/>
        <v>18.329046082839103</v>
      </c>
      <c r="BA301" s="85">
        <f t="shared" si="252"/>
        <v>1.0196266269010208</v>
      </c>
      <c r="BB301" s="85">
        <f t="shared" si="253"/>
        <v>18.240200000000002</v>
      </c>
      <c r="BC301" s="85">
        <f t="shared" si="254"/>
        <v>1.0098133134505105</v>
      </c>
      <c r="BD301" s="85">
        <f t="shared" si="255"/>
        <v>18.328614376940624</v>
      </c>
      <c r="BE301" s="85">
        <f t="shared" si="256"/>
        <v>1.0097659755570612</v>
      </c>
      <c r="BF301" s="85">
        <f t="shared" si="257"/>
        <v>18.329043995212064</v>
      </c>
      <c r="BG301" s="85">
        <f t="shared" si="258"/>
        <v>1.0097657466503303</v>
      </c>
      <c r="BH301" s="85">
        <f t="shared" si="259"/>
        <v>18.329046072744067</v>
      </c>
      <c r="BI301" s="85">
        <f t="shared" si="260"/>
        <v>1.0097657455434179</v>
      </c>
      <c r="BJ301" s="85">
        <f t="shared" si="261"/>
        <v>18.329046082790281</v>
      </c>
      <c r="BK301" s="85">
        <f t="shared" si="262"/>
        <v>1.0097657455380651</v>
      </c>
      <c r="BL301" s="85">
        <f t="shared" si="263"/>
        <v>18.329046082838861</v>
      </c>
      <c r="BM301" s="85">
        <f t="shared" si="264"/>
        <v>1.0097657455380393</v>
      </c>
      <c r="BN301" s="85">
        <f t="shared" si="265"/>
        <v>18.329046082839096</v>
      </c>
      <c r="BO301" s="85">
        <f t="shared" si="266"/>
        <v>1.0097657455380391</v>
      </c>
      <c r="BP301" s="85">
        <f t="shared" si="267"/>
        <v>18.329046082839103</v>
      </c>
      <c r="BQ301" s="85">
        <f t="shared" si="268"/>
        <v>1.0097657455380391</v>
      </c>
      <c r="BR301" s="85">
        <f t="shared" si="269"/>
        <v>18.329046082839103</v>
      </c>
      <c r="BS301" s="85">
        <f t="shared" si="270"/>
        <v>1.0097657455380391</v>
      </c>
      <c r="BT301" s="85">
        <f t="shared" si="271"/>
        <v>18.329046082839103</v>
      </c>
      <c r="BU301" s="85">
        <f t="shared" si="272"/>
        <v>1.0097657455380391</v>
      </c>
      <c r="BV301" s="85">
        <f t="shared" si="273"/>
        <v>18.329046082839103</v>
      </c>
      <c r="BW301" s="85">
        <f t="shared" si="274"/>
        <v>1.0097657455380391</v>
      </c>
    </row>
    <row r="302" spans="25:75" x14ac:dyDescent="0.4">
      <c r="Y302" s="142">
        <v>9.4044000000000008</v>
      </c>
      <c r="Z302" s="46">
        <f t="shared" si="275"/>
        <v>2.9139362422332451</v>
      </c>
      <c r="AA302" s="84">
        <f t="shared" si="276"/>
        <v>1.0190333035600356</v>
      </c>
      <c r="AB302" s="84">
        <f t="shared" si="277"/>
        <v>2.9739324027287508</v>
      </c>
      <c r="AC302" s="84">
        <f t="shared" si="278"/>
        <v>1.060188590649124</v>
      </c>
      <c r="AD302" s="84">
        <f t="shared" si="279"/>
        <v>2.9156387835330482</v>
      </c>
      <c r="AE302" s="84">
        <f t="shared" si="280"/>
        <v>1.061391967009206</v>
      </c>
      <c r="AF302" s="84">
        <f t="shared" si="281"/>
        <v>2.9139854801583533</v>
      </c>
      <c r="AG302" s="84">
        <f t="shared" si="282"/>
        <v>1.0614267988733481</v>
      </c>
      <c r="AH302" s="84">
        <f t="shared" si="283"/>
        <v>2.9139376669793462</v>
      </c>
      <c r="AI302" s="84">
        <f t="shared" si="284"/>
        <v>1.061427806791454</v>
      </c>
      <c r="AJ302" s="84">
        <f t="shared" si="285"/>
        <v>2.9139362834602727</v>
      </c>
      <c r="AK302" s="84">
        <f t="shared" si="286"/>
        <v>1.0614278359569997</v>
      </c>
      <c r="AL302" s="84">
        <f t="shared" si="287"/>
        <v>2.9139362434262073</v>
      </c>
      <c r="AM302" s="84">
        <f t="shared" si="288"/>
        <v>1.0614278368009462</v>
      </c>
      <c r="AN302" s="84">
        <f t="shared" si="289"/>
        <v>2.9139362422677655</v>
      </c>
      <c r="AO302" s="84">
        <f t="shared" si="290"/>
        <v>1.0614278368253671</v>
      </c>
      <c r="AP302" s="84">
        <f t="shared" si="291"/>
        <v>2.9139362422342439</v>
      </c>
      <c r="AQ302" s="84">
        <f t="shared" si="292"/>
        <v>1.0614278368260737</v>
      </c>
      <c r="AR302" s="84">
        <f t="shared" si="293"/>
        <v>2.913936242233274</v>
      </c>
      <c r="AS302" s="84">
        <f t="shared" si="294"/>
        <v>1.0614278368260941</v>
      </c>
      <c r="AT302" s="84">
        <f t="shared" si="295"/>
        <v>2.913936242233246</v>
      </c>
      <c r="AU302" s="84">
        <f t="shared" si="296"/>
        <v>1.0614278368260948</v>
      </c>
      <c r="AV302" s="84">
        <f t="shared" si="297"/>
        <v>2.9139362422332451</v>
      </c>
      <c r="AW302" s="84">
        <f t="shared" si="298"/>
        <v>1.0614278368260948</v>
      </c>
      <c r="AX302" s="84">
        <f t="shared" si="299"/>
        <v>2.9139362422332451</v>
      </c>
      <c r="AY302" s="142">
        <v>9.4044000000000008</v>
      </c>
      <c r="AZ302" s="46">
        <f t="shared" si="251"/>
        <v>18.897665617495676</v>
      </c>
      <c r="BA302" s="85">
        <f t="shared" si="252"/>
        <v>1.0190333035600356</v>
      </c>
      <c r="BB302" s="85">
        <f t="shared" si="253"/>
        <v>18.808800000000002</v>
      </c>
      <c r="BC302" s="85">
        <f t="shared" si="254"/>
        <v>1.0095166517800178</v>
      </c>
      <c r="BD302" s="85">
        <f t="shared" si="255"/>
        <v>18.897246747480946</v>
      </c>
      <c r="BE302" s="85">
        <f t="shared" si="256"/>
        <v>1.009472110005859</v>
      </c>
      <c r="BF302" s="85">
        <f t="shared" si="257"/>
        <v>18.897663652318521</v>
      </c>
      <c r="BG302" s="85">
        <f t="shared" si="258"/>
        <v>1.009471901039896</v>
      </c>
      <c r="BH302" s="85">
        <f t="shared" si="259"/>
        <v>18.897665608276025</v>
      </c>
      <c r="BI302" s="85">
        <f t="shared" si="260"/>
        <v>1.0094719000595296</v>
      </c>
      <c r="BJ302" s="85">
        <f t="shared" si="261"/>
        <v>18.897665617452422</v>
      </c>
      <c r="BK302" s="85">
        <f t="shared" si="262"/>
        <v>1.0094719000549301</v>
      </c>
      <c r="BL302" s="85">
        <f t="shared" si="263"/>
        <v>18.897665617495473</v>
      </c>
      <c r="BM302" s="85">
        <f t="shared" si="264"/>
        <v>1.0094719000549086</v>
      </c>
      <c r="BN302" s="85">
        <f t="shared" si="265"/>
        <v>18.897665617495676</v>
      </c>
      <c r="BO302" s="85">
        <f t="shared" si="266"/>
        <v>1.0094719000549086</v>
      </c>
      <c r="BP302" s="85">
        <f t="shared" si="267"/>
        <v>18.897665617495676</v>
      </c>
      <c r="BQ302" s="85">
        <f t="shared" si="268"/>
        <v>1.0094719000549086</v>
      </c>
      <c r="BR302" s="85">
        <f t="shared" si="269"/>
        <v>18.897665617495676</v>
      </c>
      <c r="BS302" s="85">
        <f t="shared" si="270"/>
        <v>1.0094719000549086</v>
      </c>
      <c r="BT302" s="85">
        <f t="shared" si="271"/>
        <v>18.897665617495676</v>
      </c>
      <c r="BU302" s="85">
        <f t="shared" si="272"/>
        <v>1.0094719000549086</v>
      </c>
      <c r="BV302" s="85">
        <f t="shared" si="273"/>
        <v>18.897665617495676</v>
      </c>
      <c r="BW302" s="85">
        <f t="shared" si="274"/>
        <v>1.0094719000549086</v>
      </c>
    </row>
    <row r="303" spans="25:75" x14ac:dyDescent="0.4">
      <c r="Y303" s="142">
        <v>9.6976999999999993</v>
      </c>
      <c r="Z303" s="46">
        <f t="shared" si="275"/>
        <v>3.0066498876833485</v>
      </c>
      <c r="AA303" s="84">
        <f t="shared" si="276"/>
        <v>1.0184576549078648</v>
      </c>
      <c r="AB303" s="84">
        <f t="shared" si="277"/>
        <v>3.0666820065014888</v>
      </c>
      <c r="AC303" s="84">
        <f t="shared" si="278"/>
        <v>1.0583682297751946</v>
      </c>
      <c r="AD303" s="84">
        <f t="shared" si="279"/>
        <v>3.0083047958492517</v>
      </c>
      <c r="AE303" s="84">
        <f t="shared" si="280"/>
        <v>1.0595008857651589</v>
      </c>
      <c r="AF303" s="84">
        <f t="shared" si="281"/>
        <v>3.0066963566114002</v>
      </c>
      <c r="AG303" s="84">
        <f t="shared" si="282"/>
        <v>1.0595327159029773</v>
      </c>
      <c r="AH303" s="84">
        <f t="shared" si="283"/>
        <v>3.0066511931743696</v>
      </c>
      <c r="AI303" s="84">
        <f t="shared" si="284"/>
        <v>1.0595336101543869</v>
      </c>
      <c r="AJ303" s="84">
        <f t="shared" si="285"/>
        <v>3.0066499243601434</v>
      </c>
      <c r="AK303" s="84">
        <f t="shared" si="286"/>
        <v>1.0595336352777278</v>
      </c>
      <c r="AL303" s="84">
        <f t="shared" si="287"/>
        <v>3.0066498887137567</v>
      </c>
      <c r="AM303" s="84">
        <f t="shared" si="288"/>
        <v>1.0595336359835497</v>
      </c>
      <c r="AN303" s="84">
        <f t="shared" si="289"/>
        <v>3.0066498877122974</v>
      </c>
      <c r="AO303" s="84">
        <f t="shared" si="290"/>
        <v>1.0595336360033794</v>
      </c>
      <c r="AP303" s="84">
        <f t="shared" si="291"/>
        <v>3.0066498876841616</v>
      </c>
      <c r="AQ303" s="84">
        <f t="shared" si="292"/>
        <v>1.0595336360039362</v>
      </c>
      <c r="AR303" s="84">
        <f t="shared" si="293"/>
        <v>3.006649887683372</v>
      </c>
      <c r="AS303" s="84">
        <f t="shared" si="294"/>
        <v>1.059533636003952</v>
      </c>
      <c r="AT303" s="84">
        <f t="shared" si="295"/>
        <v>3.0066498876833494</v>
      </c>
      <c r="AU303" s="84">
        <f t="shared" si="296"/>
        <v>1.0595336360039525</v>
      </c>
      <c r="AV303" s="84">
        <f t="shared" si="297"/>
        <v>3.0066498876833485</v>
      </c>
      <c r="AW303" s="84">
        <f t="shared" si="298"/>
        <v>1.0595336360039525</v>
      </c>
      <c r="AX303" s="84">
        <f t="shared" si="299"/>
        <v>3.0066498876833485</v>
      </c>
      <c r="AY303" s="142">
        <v>9.6976999999999993</v>
      </c>
      <c r="AZ303" s="46">
        <f t="shared" si="251"/>
        <v>19.484284581147065</v>
      </c>
      <c r="BA303" s="85">
        <f t="shared" si="252"/>
        <v>1.0184576549078648</v>
      </c>
      <c r="BB303" s="85">
        <f t="shared" si="253"/>
        <v>19.395399999999999</v>
      </c>
      <c r="BC303" s="85">
        <f t="shared" si="254"/>
        <v>1.0092288274539323</v>
      </c>
      <c r="BD303" s="85">
        <f t="shared" si="255"/>
        <v>19.48387817726946</v>
      </c>
      <c r="BE303" s="85">
        <f t="shared" si="256"/>
        <v>1.0091869184549114</v>
      </c>
      <c r="BF303" s="85">
        <f t="shared" si="257"/>
        <v>19.484282731341349</v>
      </c>
      <c r="BG303" s="85">
        <f t="shared" si="258"/>
        <v>1.0091867277060231</v>
      </c>
      <c r="BH303" s="85">
        <f t="shared" si="259"/>
        <v>19.484284572727582</v>
      </c>
      <c r="BI303" s="85">
        <f t="shared" si="260"/>
        <v>1.0091867268378201</v>
      </c>
      <c r="BJ303" s="85">
        <f t="shared" si="261"/>
        <v>19.484284581108746</v>
      </c>
      <c r="BK303" s="85">
        <f t="shared" si="262"/>
        <v>1.0091867268338683</v>
      </c>
      <c r="BL303" s="85">
        <f t="shared" si="263"/>
        <v>19.484284581146891</v>
      </c>
      <c r="BM303" s="85">
        <f t="shared" si="264"/>
        <v>1.0091867268338504</v>
      </c>
      <c r="BN303" s="85">
        <f t="shared" si="265"/>
        <v>19.484284581147065</v>
      </c>
      <c r="BO303" s="85">
        <f t="shared" si="266"/>
        <v>1.0091867268338504</v>
      </c>
      <c r="BP303" s="85">
        <f t="shared" si="267"/>
        <v>19.484284581147065</v>
      </c>
      <c r="BQ303" s="85">
        <f t="shared" si="268"/>
        <v>1.0091867268338504</v>
      </c>
      <c r="BR303" s="85">
        <f t="shared" si="269"/>
        <v>19.484284581147065</v>
      </c>
      <c r="BS303" s="85">
        <f t="shared" si="270"/>
        <v>1.0091867268338504</v>
      </c>
      <c r="BT303" s="85">
        <f t="shared" si="271"/>
        <v>19.484284581147065</v>
      </c>
      <c r="BU303" s="85">
        <f t="shared" si="272"/>
        <v>1.0091867268338504</v>
      </c>
      <c r="BV303" s="85">
        <f t="shared" si="273"/>
        <v>19.484284581147065</v>
      </c>
      <c r="BW303" s="85">
        <f t="shared" si="274"/>
        <v>1.0091867268338504</v>
      </c>
    </row>
    <row r="304" spans="25:75" x14ac:dyDescent="0.4">
      <c r="Y304" s="142">
        <v>10</v>
      </c>
      <c r="Z304" s="46">
        <f t="shared" ref="Z304" si="300">AX304</f>
        <v>3.1022106662520677</v>
      </c>
      <c r="AA304" s="84">
        <f t="shared" ref="AA304" si="301">(1+0.0712/Y304*(2.514+0.8*EXP(-0.55*Y304/(0.0712))))</f>
        <v>1.01789968</v>
      </c>
      <c r="AB304" s="84">
        <f t="shared" ref="AB304" si="302">Y304/SQRT($Z$1)</f>
        <v>3.1622776601683791</v>
      </c>
      <c r="AC304" s="84">
        <f t="shared" ref="AC304" si="303">(1+0.0712/AB304*(2.514+0.8*EXP(-0.55*AB304/(0.0712))))</f>
        <v>1.0566037581886061</v>
      </c>
      <c r="AD304" s="84">
        <f t="shared" ref="AD304" si="304">$Y304/SQRT(($Z$1*AC304)/($AA304))</f>
        <v>3.1038191861603899</v>
      </c>
      <c r="AE304" s="84">
        <f t="shared" ref="AE304" si="305">(1+0.0712/AD304*(2.514+0.8*EXP(-0.55*AD304/(0.0712))))</f>
        <v>1.0576698542235741</v>
      </c>
      <c r="AF304" s="84">
        <f t="shared" ref="AF304" si="306">$Y304/SQRT(($Z$1*AE304)/($AA304))</f>
        <v>3.1022545185244228</v>
      </c>
      <c r="AG304" s="84">
        <f t="shared" ref="AG304" si="307">(1+0.0712/AF304*(2.514+0.8*EXP(-0.55*AF304/(0.0712))))</f>
        <v>1.0576989408616828</v>
      </c>
      <c r="AH304" s="84">
        <f t="shared" ref="AH304" si="308">$Y304/SQRT(($Z$1*AG304)/($AA304))</f>
        <v>3.1022118623529065</v>
      </c>
      <c r="AI304" s="84">
        <f t="shared" ref="AI304" si="309">(1+0.0712/AH304*(2.514+0.8*EXP(-0.55*AH304/(0.0712))))</f>
        <v>1.0576997342362258</v>
      </c>
      <c r="AJ304" s="84">
        <f t="shared" ref="AJ304" si="310">$Y304/SQRT(($Z$1*AI304)/($AA304))</f>
        <v>3.1022106988769691</v>
      </c>
      <c r="AK304" s="84">
        <f t="shared" ref="AK304" si="311">(1+0.0712/AJ304*(2.514+0.8*EXP(-0.55*AJ304/(0.0712))))</f>
        <v>1.0576997558763588</v>
      </c>
      <c r="AL304" s="84">
        <f t="shared" ref="AL304" si="312">$Y304/SQRT(($Z$1*AK304)/($AA304))</f>
        <v>3.1022106671419465</v>
      </c>
      <c r="AM304" s="84">
        <f t="shared" ref="AM304" si="313">(1+0.0712/AL304*(2.514+0.8*EXP(-0.55*AL304/(0.0712))))</f>
        <v>1.0576997564666164</v>
      </c>
      <c r="AN304" s="84">
        <f t="shared" ref="AN304" si="314">$Y304/SQRT(($Z$1*AM304)/($AA304))</f>
        <v>3.1022106662763393</v>
      </c>
      <c r="AO304" s="84">
        <f t="shared" ref="AO304" si="315">(1+0.0712/AN304*(2.514+0.8*EXP(-0.55*AN304/(0.0712))))</f>
        <v>1.0576997564827162</v>
      </c>
      <c r="AP304" s="84">
        <f t="shared" ref="AP304" si="316">$Y304/SQRT(($Z$1*AO304)/($AA304))</f>
        <v>3.1022106662527298</v>
      </c>
      <c r="AQ304" s="84">
        <f t="shared" ref="AQ304" si="317">(1+0.0712/AP304*(2.514+0.8*EXP(-0.55*AP304/(0.0712))))</f>
        <v>1.0576997564831554</v>
      </c>
      <c r="AR304" s="84">
        <f t="shared" ref="AR304" si="318">$Y304/SQRT(($Z$1*AQ304)/($AA304))</f>
        <v>3.102210666252085</v>
      </c>
      <c r="AS304" s="84">
        <f t="shared" ref="AS304" si="319">(1+0.0712/AR304*(2.514+0.8*EXP(-0.55*AR304/(0.0712))))</f>
        <v>1.0576997564831674</v>
      </c>
      <c r="AT304" s="84">
        <f t="shared" ref="AT304" si="320">$Y304/SQRT(($Z$1*AS304)/($AA304))</f>
        <v>3.1022106662520677</v>
      </c>
      <c r="AU304" s="84">
        <f t="shared" ref="AU304" si="321">(1+0.0712/AT304*(2.514+0.8*EXP(-0.55*AT304/(0.0712))))</f>
        <v>1.0576997564831676</v>
      </c>
      <c r="AV304" s="84">
        <f t="shared" ref="AV304" si="322">$Y304/SQRT(($Z$1*AU304)/($AA304))</f>
        <v>3.1022106662520677</v>
      </c>
      <c r="AW304" s="84">
        <f t="shared" ref="AW304" si="323">(1+0.0712/AV304*(2.514+0.8*EXP(-0.55*AV304/(0.0712))))</f>
        <v>1.0576997564831676</v>
      </c>
      <c r="AX304" s="84">
        <f t="shared" ref="AX304" si="324">$Y304/SQRT(($Z$1*AW304)/($AA304))</f>
        <v>3.1022106662520677</v>
      </c>
      <c r="AY304" s="142">
        <v>10</v>
      </c>
      <c r="AZ304" s="46">
        <f t="shared" si="251"/>
        <v>20.088902972844245</v>
      </c>
      <c r="BA304" s="85">
        <f t="shared" si="252"/>
        <v>1.01789968</v>
      </c>
      <c r="BB304" s="85">
        <f t="shared" si="253"/>
        <v>20</v>
      </c>
      <c r="BC304" s="85">
        <f t="shared" si="254"/>
        <v>1.0089498400000001</v>
      </c>
      <c r="BD304" s="85">
        <f t="shared" si="255"/>
        <v>20.088508664247442</v>
      </c>
      <c r="BE304" s="85">
        <f t="shared" si="256"/>
        <v>1.0089104075863318</v>
      </c>
      <c r="BF304" s="85">
        <f t="shared" si="257"/>
        <v>20.088901231633905</v>
      </c>
      <c r="BG304" s="85">
        <f t="shared" si="258"/>
        <v>1.0089102334635474</v>
      </c>
      <c r="BH304" s="85">
        <f t="shared" si="259"/>
        <v>20.088902965155459</v>
      </c>
      <c r="BI304" s="85">
        <f t="shared" si="260"/>
        <v>1.0089102326946611</v>
      </c>
      <c r="BJ304" s="85">
        <f t="shared" si="261"/>
        <v>20.088902972810292</v>
      </c>
      <c r="BK304" s="85">
        <f t="shared" si="262"/>
        <v>1.0089102326912658</v>
      </c>
      <c r="BL304" s="85">
        <f t="shared" si="263"/>
        <v>20.088902972844096</v>
      </c>
      <c r="BM304" s="85">
        <f t="shared" si="264"/>
        <v>1.0089102326912507</v>
      </c>
      <c r="BN304" s="85">
        <f t="shared" si="265"/>
        <v>20.088902972844245</v>
      </c>
      <c r="BO304" s="85">
        <f t="shared" si="266"/>
        <v>1.0089102326912507</v>
      </c>
      <c r="BP304" s="85">
        <f t="shared" si="267"/>
        <v>20.088902972844245</v>
      </c>
      <c r="BQ304" s="85">
        <f t="shared" si="268"/>
        <v>1.0089102326912507</v>
      </c>
      <c r="BR304" s="85">
        <f t="shared" si="269"/>
        <v>20.088902972844245</v>
      </c>
      <c r="BS304" s="85">
        <f t="shared" si="270"/>
        <v>1.0089102326912507</v>
      </c>
      <c r="BT304" s="85">
        <f t="shared" si="271"/>
        <v>20.088902972844245</v>
      </c>
      <c r="BU304" s="85">
        <f t="shared" si="272"/>
        <v>1.0089102326912507</v>
      </c>
      <c r="BV304" s="85">
        <f t="shared" si="273"/>
        <v>20.088902972844245</v>
      </c>
      <c r="BW304" s="85">
        <f t="shared" si="274"/>
        <v>1.0089102326912507</v>
      </c>
    </row>
    <row r="305" spans="52:75" x14ac:dyDescent="0.4">
      <c r="AZ305" s="46"/>
      <c r="BA305" s="85"/>
      <c r="BB305" s="85"/>
      <c r="BC305" s="85"/>
      <c r="BD305" s="85"/>
      <c r="BE305" s="85"/>
      <c r="BF305" s="85"/>
      <c r="BG305" s="85"/>
      <c r="BH305" s="85"/>
      <c r="BI305" s="85"/>
      <c r="BJ305" s="85"/>
      <c r="BK305" s="85"/>
      <c r="BL305" s="85"/>
      <c r="BM305" s="85"/>
      <c r="BN305" s="85"/>
      <c r="BO305" s="85"/>
      <c r="BP305" s="85"/>
      <c r="BQ305" s="85"/>
      <c r="BR305" s="85"/>
      <c r="BS305" s="85"/>
      <c r="BT305" s="85"/>
      <c r="BU305" s="85"/>
      <c r="BV305" s="85"/>
      <c r="BW305" s="85"/>
    </row>
    <row r="306" spans="52:75" x14ac:dyDescent="0.4">
      <c r="AZ306" s="46"/>
      <c r="BA306" s="85"/>
      <c r="BB306" s="85"/>
      <c r="BC306" s="85"/>
      <c r="BD306" s="85"/>
      <c r="BE306" s="85"/>
      <c r="BF306" s="85"/>
      <c r="BG306" s="85"/>
      <c r="BH306" s="85"/>
      <c r="BI306" s="85"/>
      <c r="BJ306" s="85"/>
      <c r="BK306" s="85"/>
      <c r="BL306" s="85"/>
      <c r="BM306" s="85"/>
      <c r="BN306" s="85"/>
      <c r="BO306" s="85"/>
      <c r="BP306" s="85"/>
      <c r="BQ306" s="85"/>
      <c r="BR306" s="85"/>
      <c r="BS306" s="85"/>
      <c r="BT306" s="85"/>
      <c r="BU306" s="85"/>
      <c r="BV306" s="85"/>
      <c r="BW306" s="85"/>
    </row>
    <row r="307" spans="52:75" x14ac:dyDescent="0.4">
      <c r="AZ307" s="46"/>
      <c r="BA307" s="85"/>
      <c r="BB307" s="85"/>
      <c r="BC307" s="85"/>
      <c r="BD307" s="85"/>
      <c r="BE307" s="85"/>
      <c r="BF307" s="85"/>
      <c r="BG307" s="85"/>
      <c r="BH307" s="85"/>
      <c r="BI307" s="85"/>
      <c r="BJ307" s="85"/>
      <c r="BK307" s="85"/>
      <c r="BL307" s="85"/>
      <c r="BM307" s="85"/>
      <c r="BN307" s="85"/>
      <c r="BO307" s="85"/>
      <c r="BP307" s="85"/>
      <c r="BQ307" s="85"/>
      <c r="BR307" s="85"/>
      <c r="BS307" s="85"/>
      <c r="BT307" s="85"/>
      <c r="BU307" s="85"/>
      <c r="BV307" s="85"/>
      <c r="BW307" s="85"/>
    </row>
    <row r="308" spans="52:75" x14ac:dyDescent="0.4">
      <c r="AZ308" s="46"/>
      <c r="BA308" s="85"/>
      <c r="BB308" s="85"/>
      <c r="BC308" s="85"/>
      <c r="BD308" s="85"/>
      <c r="BE308" s="85"/>
      <c r="BF308" s="85"/>
      <c r="BG308" s="85"/>
      <c r="BH308" s="85"/>
      <c r="BI308" s="85"/>
      <c r="BJ308" s="85"/>
      <c r="BK308" s="85"/>
      <c r="BL308" s="85"/>
      <c r="BM308" s="85"/>
      <c r="BN308" s="85"/>
      <c r="BO308" s="85"/>
      <c r="BP308" s="85"/>
      <c r="BQ308" s="85"/>
      <c r="BR308" s="85"/>
      <c r="BS308" s="85"/>
      <c r="BT308" s="85"/>
      <c r="BU308" s="85"/>
      <c r="BV308" s="85"/>
      <c r="BW308" s="85"/>
    </row>
    <row r="309" spans="52:75" x14ac:dyDescent="0.4">
      <c r="AZ309" s="46"/>
      <c r="BA309" s="85"/>
      <c r="BB309" s="85"/>
      <c r="BC309" s="85"/>
      <c r="BD309" s="85"/>
      <c r="BE309" s="85"/>
      <c r="BF309" s="85"/>
      <c r="BG309" s="85"/>
      <c r="BH309" s="85"/>
      <c r="BI309" s="85"/>
      <c r="BJ309" s="85"/>
      <c r="BK309" s="85"/>
      <c r="BL309" s="85"/>
      <c r="BM309" s="85"/>
      <c r="BN309" s="85"/>
      <c r="BO309" s="85"/>
      <c r="BP309" s="85"/>
      <c r="BQ309" s="85"/>
      <c r="BR309" s="85"/>
      <c r="BS309" s="85"/>
      <c r="BT309" s="85"/>
      <c r="BU309" s="85"/>
      <c r="BV309" s="85"/>
      <c r="BW309" s="85"/>
    </row>
    <row r="310" spans="52:75" x14ac:dyDescent="0.4">
      <c r="AZ310" s="46"/>
      <c r="BA310" s="85"/>
      <c r="BB310" s="85"/>
      <c r="BC310" s="85"/>
      <c r="BD310" s="85"/>
      <c r="BE310" s="85"/>
      <c r="BF310" s="85"/>
      <c r="BG310" s="85"/>
      <c r="BH310" s="85"/>
      <c r="BI310" s="85"/>
      <c r="BJ310" s="85"/>
      <c r="BK310" s="85"/>
      <c r="BL310" s="85"/>
      <c r="BM310" s="85"/>
      <c r="BN310" s="85"/>
      <c r="BO310" s="85"/>
      <c r="BP310" s="85"/>
      <c r="BQ310" s="85"/>
      <c r="BR310" s="85"/>
      <c r="BS310" s="85"/>
      <c r="BT310" s="85"/>
      <c r="BU310" s="85"/>
      <c r="BV310" s="85"/>
      <c r="BW310" s="85"/>
    </row>
    <row r="311" spans="52:75" x14ac:dyDescent="0.4">
      <c r="AZ311" s="46"/>
      <c r="BA311" s="85"/>
      <c r="BB311" s="85"/>
      <c r="BC311" s="85"/>
      <c r="BD311" s="85"/>
      <c r="BE311" s="85"/>
      <c r="BF311" s="85"/>
      <c r="BG311" s="85"/>
      <c r="BH311" s="85"/>
      <c r="BI311" s="85"/>
      <c r="BJ311" s="85"/>
      <c r="BK311" s="85"/>
      <c r="BL311" s="85"/>
      <c r="BM311" s="85"/>
      <c r="BN311" s="85"/>
      <c r="BO311" s="85"/>
      <c r="BP311" s="85"/>
      <c r="BQ311" s="85"/>
      <c r="BR311" s="85"/>
      <c r="BS311" s="85"/>
      <c r="BT311" s="85"/>
      <c r="BU311" s="85"/>
      <c r="BV311" s="85"/>
      <c r="BW311" s="85"/>
    </row>
    <row r="312" spans="52:75" x14ac:dyDescent="0.4">
      <c r="AZ312" s="46"/>
      <c r="BA312" s="85"/>
      <c r="BB312" s="85"/>
      <c r="BC312" s="85"/>
      <c r="BD312" s="85"/>
      <c r="BE312" s="85"/>
      <c r="BF312" s="85"/>
      <c r="BG312" s="85"/>
      <c r="BH312" s="85"/>
      <c r="BI312" s="85"/>
      <c r="BJ312" s="85"/>
      <c r="BK312" s="85"/>
      <c r="BL312" s="85"/>
      <c r="BM312" s="85"/>
      <c r="BN312" s="85"/>
      <c r="BO312" s="85"/>
      <c r="BP312" s="85"/>
      <c r="BQ312" s="85"/>
      <c r="BR312" s="85"/>
      <c r="BS312" s="85"/>
      <c r="BT312" s="85"/>
      <c r="BU312" s="85"/>
      <c r="BV312" s="85"/>
      <c r="BW312" s="85"/>
    </row>
    <row r="313" spans="52:75" x14ac:dyDescent="0.4">
      <c r="AZ313" s="46"/>
      <c r="BA313" s="85"/>
      <c r="BB313" s="85"/>
      <c r="BC313" s="85"/>
      <c r="BD313" s="85"/>
      <c r="BE313" s="85"/>
      <c r="BF313" s="85"/>
      <c r="BG313" s="85"/>
      <c r="BH313" s="85"/>
      <c r="BI313" s="85"/>
      <c r="BJ313" s="85"/>
      <c r="BK313" s="85"/>
      <c r="BL313" s="85"/>
      <c r="BM313" s="85"/>
      <c r="BN313" s="85"/>
      <c r="BO313" s="85"/>
      <c r="BP313" s="85"/>
      <c r="BQ313" s="85"/>
      <c r="BR313" s="85"/>
      <c r="BS313" s="85"/>
      <c r="BT313" s="85"/>
      <c r="BU313" s="85"/>
      <c r="BV313" s="85"/>
      <c r="BW313" s="85"/>
    </row>
    <row r="314" spans="52:75" x14ac:dyDescent="0.4">
      <c r="AZ314" s="46"/>
      <c r="BA314" s="85"/>
      <c r="BB314" s="85"/>
      <c r="BC314" s="85"/>
      <c r="BD314" s="85"/>
      <c r="BE314" s="85"/>
      <c r="BF314" s="85"/>
      <c r="BG314" s="85"/>
      <c r="BH314" s="85"/>
      <c r="BI314" s="85"/>
      <c r="BJ314" s="85"/>
      <c r="BK314" s="85"/>
      <c r="BL314" s="85"/>
      <c r="BM314" s="85"/>
      <c r="BN314" s="85"/>
      <c r="BO314" s="85"/>
      <c r="BP314" s="85"/>
      <c r="BQ314" s="85"/>
      <c r="BR314" s="85"/>
      <c r="BS314" s="85"/>
      <c r="BT314" s="85"/>
      <c r="BU314" s="85"/>
      <c r="BV314" s="85"/>
      <c r="BW314" s="85"/>
    </row>
    <row r="315" spans="52:75" x14ac:dyDescent="0.4">
      <c r="AZ315" s="46"/>
      <c r="BA315" s="85"/>
      <c r="BB315" s="85"/>
      <c r="BC315" s="85"/>
      <c r="BD315" s="85"/>
      <c r="BE315" s="85"/>
      <c r="BF315" s="85"/>
      <c r="BG315" s="85"/>
      <c r="BH315" s="85"/>
      <c r="BI315" s="85"/>
      <c r="BJ315" s="85"/>
      <c r="BK315" s="85"/>
      <c r="BL315" s="85"/>
      <c r="BM315" s="85"/>
      <c r="BN315" s="85"/>
      <c r="BO315" s="85"/>
      <c r="BP315" s="85"/>
      <c r="BQ315" s="85"/>
      <c r="BR315" s="85"/>
      <c r="BS315" s="85"/>
      <c r="BT315" s="85"/>
      <c r="BU315" s="85"/>
      <c r="BV315" s="85"/>
      <c r="BW315" s="85"/>
    </row>
    <row r="316" spans="52:75" x14ac:dyDescent="0.4">
      <c r="AZ316" s="46"/>
      <c r="BA316" s="85"/>
      <c r="BB316" s="85"/>
      <c r="BC316" s="85"/>
      <c r="BD316" s="85"/>
      <c r="BE316" s="85"/>
      <c r="BF316" s="85"/>
      <c r="BG316" s="85"/>
      <c r="BH316" s="85"/>
      <c r="BI316" s="85"/>
      <c r="BJ316" s="85"/>
      <c r="BK316" s="85"/>
      <c r="BL316" s="85"/>
      <c r="BM316" s="85"/>
      <c r="BN316" s="85"/>
      <c r="BO316" s="85"/>
      <c r="BP316" s="85"/>
      <c r="BQ316" s="85"/>
      <c r="BR316" s="85"/>
      <c r="BS316" s="85"/>
      <c r="BT316" s="85"/>
      <c r="BU316" s="85"/>
      <c r="BV316" s="85"/>
      <c r="BW316" s="85"/>
    </row>
    <row r="317" spans="52:75" x14ac:dyDescent="0.4">
      <c r="AZ317" s="46"/>
      <c r="BA317" s="85"/>
      <c r="BB317" s="85"/>
      <c r="BC317" s="85"/>
      <c r="BD317" s="85"/>
      <c r="BE317" s="85"/>
      <c r="BF317" s="85"/>
      <c r="BG317" s="85"/>
      <c r="BH317" s="85"/>
      <c r="BI317" s="85"/>
      <c r="BJ317" s="85"/>
      <c r="BK317" s="85"/>
      <c r="BL317" s="85"/>
      <c r="BM317" s="85"/>
      <c r="BN317" s="85"/>
      <c r="BO317" s="85"/>
      <c r="BP317" s="85"/>
      <c r="BQ317" s="85"/>
      <c r="BR317" s="85"/>
      <c r="BS317" s="85"/>
      <c r="BT317" s="85"/>
      <c r="BU317" s="85"/>
      <c r="BV317" s="85"/>
      <c r="BW317" s="85"/>
    </row>
    <row r="318" spans="52:75" x14ac:dyDescent="0.4">
      <c r="AZ318" s="46"/>
      <c r="BA318" s="85"/>
      <c r="BB318" s="85"/>
      <c r="BC318" s="85"/>
      <c r="BD318" s="85"/>
      <c r="BE318" s="85"/>
      <c r="BF318" s="85"/>
      <c r="BG318" s="85"/>
      <c r="BH318" s="85"/>
      <c r="BI318" s="85"/>
      <c r="BJ318" s="85"/>
      <c r="BK318" s="85"/>
      <c r="BL318" s="85"/>
      <c r="BM318" s="85"/>
      <c r="BN318" s="85"/>
      <c r="BO318" s="85"/>
      <c r="BP318" s="85"/>
      <c r="BQ318" s="85"/>
      <c r="BR318" s="85"/>
      <c r="BS318" s="85"/>
      <c r="BT318" s="85"/>
      <c r="BU318" s="85"/>
      <c r="BV318" s="85"/>
      <c r="BW318" s="85"/>
    </row>
    <row r="319" spans="52:75" x14ac:dyDescent="0.4">
      <c r="AZ319" s="46"/>
      <c r="BA319" s="85"/>
      <c r="BB319" s="85"/>
      <c r="BC319" s="85"/>
      <c r="BD319" s="85"/>
      <c r="BE319" s="85"/>
      <c r="BF319" s="85"/>
      <c r="BG319" s="85"/>
      <c r="BH319" s="85"/>
      <c r="BI319" s="85"/>
      <c r="BJ319" s="85"/>
      <c r="BK319" s="85"/>
      <c r="BL319" s="85"/>
      <c r="BM319" s="85"/>
      <c r="BN319" s="85"/>
      <c r="BO319" s="85"/>
      <c r="BP319" s="85"/>
      <c r="BQ319" s="85"/>
      <c r="BR319" s="85"/>
      <c r="BS319" s="85"/>
      <c r="BT319" s="85"/>
      <c r="BU319" s="85"/>
      <c r="BV319" s="85"/>
      <c r="BW319" s="85"/>
    </row>
    <row r="320" spans="52:75" x14ac:dyDescent="0.4">
      <c r="AZ320" s="46"/>
      <c r="BA320" s="85"/>
      <c r="BB320" s="85"/>
      <c r="BC320" s="85"/>
      <c r="BD320" s="85"/>
      <c r="BE320" s="85"/>
      <c r="BF320" s="85"/>
      <c r="BG320" s="85"/>
      <c r="BH320" s="85"/>
      <c r="BI320" s="85"/>
      <c r="BJ320" s="85"/>
      <c r="BK320" s="85"/>
      <c r="BL320" s="85"/>
      <c r="BM320" s="85"/>
      <c r="BN320" s="85"/>
      <c r="BO320" s="85"/>
      <c r="BP320" s="85"/>
      <c r="BQ320" s="85"/>
      <c r="BR320" s="85"/>
      <c r="BS320" s="85"/>
      <c r="BT320" s="85"/>
      <c r="BU320" s="85"/>
      <c r="BV320" s="85"/>
      <c r="BW320" s="85"/>
    </row>
    <row r="321" spans="52:75" x14ac:dyDescent="0.4">
      <c r="AZ321" s="46"/>
      <c r="BA321" s="85"/>
      <c r="BB321" s="85"/>
      <c r="BC321" s="85"/>
      <c r="BD321" s="85"/>
      <c r="BE321" s="85"/>
      <c r="BF321" s="85"/>
      <c r="BG321" s="85"/>
      <c r="BH321" s="85"/>
      <c r="BI321" s="85"/>
      <c r="BJ321" s="85"/>
      <c r="BK321" s="85"/>
      <c r="BL321" s="85"/>
      <c r="BM321" s="85"/>
      <c r="BN321" s="85"/>
      <c r="BO321" s="85"/>
      <c r="BP321" s="85"/>
      <c r="BQ321" s="85"/>
      <c r="BR321" s="85"/>
      <c r="BS321" s="85"/>
      <c r="BT321" s="85"/>
      <c r="BU321" s="85"/>
      <c r="BV321" s="85"/>
      <c r="BW321" s="85"/>
    </row>
    <row r="322" spans="52:75" x14ac:dyDescent="0.4">
      <c r="AZ322" s="46"/>
      <c r="BA322" s="85"/>
      <c r="BB322" s="85"/>
      <c r="BC322" s="85"/>
      <c r="BD322" s="85"/>
      <c r="BE322" s="85"/>
      <c r="BF322" s="85"/>
      <c r="BG322" s="85"/>
      <c r="BH322" s="85"/>
      <c r="BI322" s="85"/>
      <c r="BJ322" s="85"/>
      <c r="BK322" s="85"/>
      <c r="BL322" s="85"/>
      <c r="BM322" s="85"/>
      <c r="BN322" s="85"/>
      <c r="BO322" s="85"/>
      <c r="BP322" s="85"/>
      <c r="BQ322" s="85"/>
      <c r="BR322" s="85"/>
      <c r="BS322" s="85"/>
      <c r="BT322" s="85"/>
      <c r="BU322" s="85"/>
      <c r="BV322" s="85"/>
      <c r="BW322" s="85"/>
    </row>
    <row r="323" spans="52:75" x14ac:dyDescent="0.4">
      <c r="AZ323" s="46"/>
      <c r="BA323" s="85"/>
      <c r="BB323" s="85"/>
      <c r="BC323" s="85"/>
      <c r="BD323" s="85"/>
      <c r="BE323" s="85"/>
      <c r="BF323" s="85"/>
      <c r="BG323" s="85"/>
      <c r="BH323" s="85"/>
      <c r="BI323" s="85"/>
      <c r="BJ323" s="85"/>
      <c r="BK323" s="85"/>
      <c r="BL323" s="85"/>
      <c r="BM323" s="85"/>
      <c r="BN323" s="85"/>
      <c r="BO323" s="85"/>
      <c r="BP323" s="85"/>
      <c r="BQ323" s="85"/>
      <c r="BR323" s="85"/>
      <c r="BS323" s="85"/>
      <c r="BT323" s="85"/>
      <c r="BU323" s="85"/>
      <c r="BV323" s="85"/>
      <c r="BW323" s="85"/>
    </row>
    <row r="324" spans="52:75" x14ac:dyDescent="0.4">
      <c r="AZ324" s="46"/>
      <c r="BA324" s="85"/>
      <c r="BB324" s="85"/>
      <c r="BC324" s="85"/>
      <c r="BD324" s="85"/>
      <c r="BE324" s="85"/>
      <c r="BF324" s="85"/>
      <c r="BG324" s="85"/>
      <c r="BH324" s="85"/>
      <c r="BI324" s="85"/>
      <c r="BJ324" s="85"/>
      <c r="BK324" s="85"/>
      <c r="BL324" s="85"/>
      <c r="BM324" s="85"/>
      <c r="BN324" s="85"/>
      <c r="BO324" s="85"/>
      <c r="BP324" s="85"/>
      <c r="BQ324" s="85"/>
      <c r="BR324" s="85"/>
      <c r="BS324" s="85"/>
      <c r="BT324" s="85"/>
      <c r="BU324" s="85"/>
      <c r="BV324" s="85"/>
      <c r="BW324" s="85"/>
    </row>
    <row r="325" spans="52:75" x14ac:dyDescent="0.4">
      <c r="AZ325" s="46"/>
      <c r="BA325" s="85"/>
      <c r="BB325" s="85"/>
      <c r="BC325" s="85"/>
      <c r="BD325" s="85"/>
      <c r="BE325" s="85"/>
      <c r="BF325" s="85"/>
      <c r="BG325" s="85"/>
      <c r="BH325" s="85"/>
      <c r="BI325" s="85"/>
      <c r="BJ325" s="85"/>
      <c r="BK325" s="85"/>
      <c r="BL325" s="85"/>
      <c r="BM325" s="85"/>
      <c r="BN325" s="85"/>
      <c r="BO325" s="85"/>
      <c r="BP325" s="85"/>
      <c r="BQ325" s="85"/>
      <c r="BR325" s="85"/>
      <c r="BS325" s="85"/>
      <c r="BT325" s="85"/>
      <c r="BU325" s="85"/>
      <c r="BV325" s="85"/>
      <c r="BW325" s="85"/>
    </row>
    <row r="326" spans="52:75" x14ac:dyDescent="0.4">
      <c r="AZ326" s="46"/>
      <c r="BA326" s="85"/>
      <c r="BB326" s="85"/>
      <c r="BC326" s="85"/>
      <c r="BD326" s="85"/>
      <c r="BE326" s="85"/>
      <c r="BF326" s="85"/>
      <c r="BG326" s="85"/>
      <c r="BH326" s="85"/>
      <c r="BI326" s="85"/>
      <c r="BJ326" s="85"/>
      <c r="BK326" s="85"/>
      <c r="BL326" s="85"/>
      <c r="BM326" s="85"/>
      <c r="BN326" s="85"/>
      <c r="BO326" s="85"/>
      <c r="BP326" s="85"/>
      <c r="BQ326" s="85"/>
      <c r="BR326" s="85"/>
      <c r="BS326" s="85"/>
      <c r="BT326" s="85"/>
      <c r="BU326" s="85"/>
      <c r="BV326" s="85"/>
      <c r="BW326" s="85"/>
    </row>
    <row r="327" spans="52:75" x14ac:dyDescent="0.4">
      <c r="AZ327" s="46"/>
      <c r="BA327" s="85"/>
      <c r="BB327" s="85"/>
      <c r="BC327" s="85"/>
      <c r="BD327" s="85"/>
      <c r="BE327" s="85"/>
      <c r="BF327" s="85"/>
      <c r="BG327" s="85"/>
      <c r="BH327" s="85"/>
      <c r="BI327" s="85"/>
      <c r="BJ327" s="85"/>
      <c r="BK327" s="85"/>
      <c r="BL327" s="85"/>
      <c r="BM327" s="85"/>
      <c r="BN327" s="85"/>
      <c r="BO327" s="85"/>
      <c r="BP327" s="85"/>
      <c r="BQ327" s="85"/>
      <c r="BR327" s="85"/>
      <c r="BS327" s="85"/>
      <c r="BT327" s="85"/>
      <c r="BU327" s="85"/>
      <c r="BV327" s="85"/>
      <c r="BW327" s="85"/>
    </row>
    <row r="328" spans="52:75" x14ac:dyDescent="0.4">
      <c r="AZ328" s="46"/>
      <c r="BA328" s="85"/>
      <c r="BB328" s="85"/>
      <c r="BC328" s="85"/>
      <c r="BD328" s="85"/>
      <c r="BE328" s="85"/>
      <c r="BF328" s="85"/>
      <c r="BG328" s="85"/>
      <c r="BH328" s="85"/>
      <c r="BI328" s="85"/>
      <c r="BJ328" s="85"/>
      <c r="BK328" s="85"/>
      <c r="BL328" s="85"/>
      <c r="BM328" s="85"/>
      <c r="BN328" s="85"/>
      <c r="BO328" s="85"/>
      <c r="BP328" s="85"/>
      <c r="BQ328" s="85"/>
      <c r="BR328" s="85"/>
      <c r="BS328" s="85"/>
      <c r="BT328" s="85"/>
      <c r="BU328" s="85"/>
      <c r="BV328" s="85"/>
      <c r="BW328" s="85"/>
    </row>
    <row r="329" spans="52:75" x14ac:dyDescent="0.4">
      <c r="AZ329" s="46"/>
      <c r="BA329" s="85"/>
      <c r="BB329" s="85"/>
      <c r="BC329" s="85"/>
      <c r="BD329" s="85"/>
      <c r="BE329" s="85"/>
      <c r="BF329" s="85"/>
      <c r="BG329" s="85"/>
      <c r="BH329" s="85"/>
      <c r="BI329" s="85"/>
      <c r="BJ329" s="85"/>
      <c r="BK329" s="85"/>
      <c r="BL329" s="85"/>
      <c r="BM329" s="85"/>
      <c r="BN329" s="85"/>
      <c r="BO329" s="85"/>
      <c r="BP329" s="85"/>
      <c r="BQ329" s="85"/>
      <c r="BR329" s="85"/>
      <c r="BS329" s="85"/>
      <c r="BT329" s="85"/>
      <c r="BU329" s="85"/>
      <c r="BV329" s="85"/>
      <c r="BW329" s="85"/>
    </row>
    <row r="330" spans="52:75" x14ac:dyDescent="0.4">
      <c r="AZ330" s="46"/>
      <c r="BA330" s="85"/>
      <c r="BB330" s="85"/>
      <c r="BC330" s="85"/>
      <c r="BD330" s="85"/>
      <c r="BE330" s="85"/>
      <c r="BF330" s="85"/>
      <c r="BG330" s="85"/>
      <c r="BH330" s="85"/>
      <c r="BI330" s="85"/>
      <c r="BJ330" s="85"/>
      <c r="BK330" s="85"/>
      <c r="BL330" s="85"/>
      <c r="BM330" s="85"/>
      <c r="BN330" s="85"/>
      <c r="BO330" s="85"/>
      <c r="BP330" s="85"/>
      <c r="BQ330" s="85"/>
      <c r="BR330" s="85"/>
      <c r="BS330" s="85"/>
      <c r="BT330" s="85"/>
      <c r="BU330" s="85"/>
      <c r="BV330" s="85"/>
      <c r="BW330" s="85"/>
    </row>
    <row r="331" spans="52:75" x14ac:dyDescent="0.4">
      <c r="AZ331" s="46"/>
      <c r="BA331" s="85"/>
      <c r="BB331" s="85"/>
      <c r="BC331" s="85"/>
      <c r="BD331" s="85"/>
      <c r="BE331" s="85"/>
      <c r="BF331" s="85"/>
      <c r="BG331" s="85"/>
      <c r="BH331" s="85"/>
      <c r="BI331" s="85"/>
      <c r="BJ331" s="85"/>
      <c r="BK331" s="85"/>
      <c r="BL331" s="85"/>
      <c r="BM331" s="85"/>
      <c r="BN331" s="85"/>
      <c r="BO331" s="85"/>
      <c r="BP331" s="85"/>
      <c r="BQ331" s="85"/>
      <c r="BR331" s="85"/>
      <c r="BS331" s="85"/>
      <c r="BT331" s="85"/>
      <c r="BU331" s="85"/>
      <c r="BV331" s="85"/>
      <c r="BW331" s="85"/>
    </row>
    <row r="332" spans="52:75" x14ac:dyDescent="0.4">
      <c r="AZ332" s="46"/>
      <c r="BA332" s="85"/>
      <c r="BB332" s="85"/>
      <c r="BC332" s="85"/>
      <c r="BD332" s="85"/>
      <c r="BE332" s="85"/>
      <c r="BF332" s="85"/>
      <c r="BG332" s="85"/>
      <c r="BH332" s="85"/>
      <c r="BI332" s="85"/>
      <c r="BJ332" s="85"/>
      <c r="BK332" s="85"/>
      <c r="BL332" s="85"/>
      <c r="BM332" s="85"/>
      <c r="BN332" s="85"/>
      <c r="BO332" s="85"/>
      <c r="BP332" s="85"/>
      <c r="BQ332" s="85"/>
      <c r="BR332" s="85"/>
      <c r="BS332" s="85"/>
      <c r="BT332" s="85"/>
      <c r="BU332" s="85"/>
      <c r="BV332" s="85"/>
      <c r="BW332" s="85"/>
    </row>
    <row r="333" spans="52:75" x14ac:dyDescent="0.4">
      <c r="AZ333" s="46"/>
      <c r="BA333" s="85"/>
      <c r="BB333" s="85"/>
      <c r="BC333" s="85"/>
      <c r="BD333" s="85"/>
      <c r="BE333" s="85"/>
      <c r="BF333" s="85"/>
      <c r="BG333" s="85"/>
      <c r="BH333" s="85"/>
      <c r="BI333" s="85"/>
      <c r="BJ333" s="85"/>
      <c r="BK333" s="85"/>
      <c r="BL333" s="85"/>
      <c r="BM333" s="85"/>
      <c r="BN333" s="85"/>
      <c r="BO333" s="85"/>
      <c r="BP333" s="85"/>
      <c r="BQ333" s="85"/>
      <c r="BR333" s="85"/>
      <c r="BS333" s="85"/>
      <c r="BT333" s="85"/>
      <c r="BU333" s="85"/>
      <c r="BV333" s="85"/>
      <c r="BW333" s="85"/>
    </row>
    <row r="334" spans="52:75" x14ac:dyDescent="0.4">
      <c r="AZ334" s="46"/>
      <c r="BA334" s="85"/>
      <c r="BB334" s="85"/>
      <c r="BC334" s="85"/>
      <c r="BD334" s="85"/>
      <c r="BE334" s="85"/>
      <c r="BF334" s="85"/>
      <c r="BG334" s="85"/>
      <c r="BH334" s="85"/>
      <c r="BI334" s="85"/>
      <c r="BJ334" s="85"/>
      <c r="BK334" s="85"/>
      <c r="BL334" s="85"/>
      <c r="BM334" s="85"/>
      <c r="BN334" s="85"/>
      <c r="BO334" s="85"/>
      <c r="BP334" s="85"/>
      <c r="BQ334" s="85"/>
      <c r="BR334" s="85"/>
      <c r="BS334" s="85"/>
      <c r="BT334" s="85"/>
      <c r="BU334" s="85"/>
      <c r="BV334" s="85"/>
      <c r="BW334" s="85"/>
    </row>
    <row r="335" spans="52:75" x14ac:dyDescent="0.4">
      <c r="AZ335" s="46"/>
      <c r="BA335" s="85"/>
      <c r="BB335" s="85"/>
      <c r="BC335" s="85"/>
      <c r="BD335" s="85"/>
      <c r="BE335" s="85"/>
      <c r="BF335" s="85"/>
      <c r="BG335" s="85"/>
      <c r="BH335" s="85"/>
      <c r="BI335" s="85"/>
      <c r="BJ335" s="85"/>
      <c r="BK335" s="85"/>
      <c r="BL335" s="85"/>
      <c r="BM335" s="85"/>
      <c r="BN335" s="85"/>
      <c r="BO335" s="85"/>
      <c r="BP335" s="85"/>
      <c r="BQ335" s="85"/>
      <c r="BR335" s="85"/>
      <c r="BS335" s="85"/>
      <c r="BT335" s="85"/>
      <c r="BU335" s="85"/>
      <c r="BV335" s="85"/>
      <c r="BW335" s="85"/>
    </row>
    <row r="336" spans="52:75" x14ac:dyDescent="0.4">
      <c r="AZ336" s="46"/>
      <c r="BA336" s="85"/>
      <c r="BB336" s="85"/>
      <c r="BC336" s="85"/>
      <c r="BD336" s="85"/>
      <c r="BE336" s="85"/>
      <c r="BF336" s="85"/>
      <c r="BG336" s="85"/>
      <c r="BH336" s="85"/>
      <c r="BI336" s="85"/>
      <c r="BJ336" s="85"/>
      <c r="BK336" s="85"/>
      <c r="BL336" s="85"/>
      <c r="BM336" s="85"/>
      <c r="BN336" s="85"/>
      <c r="BO336" s="85"/>
      <c r="BP336" s="85"/>
      <c r="BQ336" s="85"/>
      <c r="BR336" s="85"/>
      <c r="BS336" s="85"/>
      <c r="BT336" s="85"/>
      <c r="BU336" s="85"/>
      <c r="BV336" s="85"/>
      <c r="BW336" s="85"/>
    </row>
    <row r="337" spans="52:75" x14ac:dyDescent="0.4">
      <c r="AZ337" s="46"/>
      <c r="BA337" s="85"/>
      <c r="BB337" s="85"/>
      <c r="BC337" s="85"/>
      <c r="BD337" s="85"/>
      <c r="BE337" s="85"/>
      <c r="BF337" s="85"/>
      <c r="BG337" s="85"/>
      <c r="BH337" s="85"/>
      <c r="BI337" s="85"/>
      <c r="BJ337" s="85"/>
      <c r="BK337" s="85"/>
      <c r="BL337" s="85"/>
      <c r="BM337" s="85"/>
      <c r="BN337" s="85"/>
      <c r="BO337" s="85"/>
      <c r="BP337" s="85"/>
      <c r="BQ337" s="85"/>
      <c r="BR337" s="85"/>
      <c r="BS337" s="85"/>
      <c r="BT337" s="85"/>
      <c r="BU337" s="85"/>
      <c r="BV337" s="85"/>
      <c r="BW337" s="85"/>
    </row>
    <row r="338" spans="52:75" x14ac:dyDescent="0.4">
      <c r="AZ338" s="46"/>
      <c r="BA338" s="85"/>
      <c r="BB338" s="85"/>
      <c r="BC338" s="85"/>
      <c r="BD338" s="85"/>
      <c r="BE338" s="85"/>
      <c r="BF338" s="85"/>
      <c r="BG338" s="85"/>
      <c r="BH338" s="85"/>
      <c r="BI338" s="85"/>
      <c r="BJ338" s="85"/>
      <c r="BK338" s="85"/>
      <c r="BL338" s="85"/>
      <c r="BM338" s="85"/>
      <c r="BN338" s="85"/>
      <c r="BO338" s="85"/>
      <c r="BP338" s="85"/>
      <c r="BQ338" s="85"/>
      <c r="BR338" s="85"/>
      <c r="BS338" s="85"/>
      <c r="BT338" s="85"/>
      <c r="BU338" s="85"/>
      <c r="BV338" s="85"/>
      <c r="BW338" s="85"/>
    </row>
    <row r="339" spans="52:75" x14ac:dyDescent="0.4">
      <c r="AZ339" s="46"/>
      <c r="BA339" s="85"/>
      <c r="BB339" s="85"/>
      <c r="BC339" s="85"/>
      <c r="BD339" s="85"/>
      <c r="BE339" s="85"/>
      <c r="BF339" s="85"/>
      <c r="BG339" s="85"/>
      <c r="BH339" s="85"/>
      <c r="BI339" s="85"/>
      <c r="BJ339" s="85"/>
      <c r="BK339" s="85"/>
      <c r="BL339" s="85"/>
      <c r="BM339" s="85"/>
      <c r="BN339" s="85"/>
      <c r="BO339" s="85"/>
      <c r="BP339" s="85"/>
      <c r="BQ339" s="85"/>
      <c r="BR339" s="85"/>
      <c r="BS339" s="85"/>
      <c r="BT339" s="85"/>
      <c r="BU339" s="85"/>
      <c r="BV339" s="85"/>
      <c r="BW339" s="85"/>
    </row>
    <row r="340" spans="52:75" x14ac:dyDescent="0.4">
      <c r="AZ340" s="46"/>
      <c r="BA340" s="85"/>
      <c r="BB340" s="85"/>
      <c r="BC340" s="85"/>
      <c r="BD340" s="85"/>
      <c r="BE340" s="85"/>
      <c r="BF340" s="85"/>
      <c r="BG340" s="85"/>
      <c r="BH340" s="85"/>
      <c r="BI340" s="85"/>
      <c r="BJ340" s="85"/>
      <c r="BK340" s="85"/>
      <c r="BL340" s="85"/>
      <c r="BM340" s="85"/>
      <c r="BN340" s="85"/>
      <c r="BO340" s="85"/>
      <c r="BP340" s="85"/>
      <c r="BQ340" s="85"/>
      <c r="BR340" s="85"/>
      <c r="BS340" s="85"/>
      <c r="BT340" s="85"/>
      <c r="BU340" s="85"/>
      <c r="BV340" s="85"/>
      <c r="BW340" s="85"/>
    </row>
    <row r="341" spans="52:75" x14ac:dyDescent="0.4">
      <c r="AZ341" s="46"/>
      <c r="BA341" s="85"/>
      <c r="BB341" s="85"/>
      <c r="BC341" s="85"/>
      <c r="BD341" s="85"/>
      <c r="BE341" s="85"/>
      <c r="BF341" s="85"/>
      <c r="BG341" s="85"/>
      <c r="BH341" s="85"/>
      <c r="BI341" s="85"/>
      <c r="BJ341" s="85"/>
      <c r="BK341" s="85"/>
      <c r="BL341" s="85"/>
      <c r="BM341" s="85"/>
      <c r="BN341" s="85"/>
      <c r="BO341" s="85"/>
      <c r="BP341" s="85"/>
      <c r="BQ341" s="85"/>
      <c r="BR341" s="85"/>
      <c r="BS341" s="85"/>
      <c r="BT341" s="85"/>
      <c r="BU341" s="85"/>
      <c r="BV341" s="85"/>
      <c r="BW341" s="85"/>
    </row>
    <row r="342" spans="52:75" x14ac:dyDescent="0.4">
      <c r="AZ342" s="46"/>
      <c r="BA342" s="85"/>
      <c r="BB342" s="85"/>
      <c r="BC342" s="85"/>
      <c r="BD342" s="85"/>
      <c r="BE342" s="85"/>
      <c r="BF342" s="85"/>
      <c r="BG342" s="85"/>
      <c r="BH342" s="85"/>
      <c r="BI342" s="85"/>
      <c r="BJ342" s="85"/>
      <c r="BK342" s="85"/>
      <c r="BL342" s="85"/>
      <c r="BM342" s="85"/>
      <c r="BN342" s="85"/>
      <c r="BO342" s="85"/>
      <c r="BP342" s="85"/>
      <c r="BQ342" s="85"/>
      <c r="BR342" s="85"/>
      <c r="BS342" s="85"/>
      <c r="BT342" s="85"/>
      <c r="BU342" s="85"/>
      <c r="BV342" s="85"/>
      <c r="BW342" s="85"/>
    </row>
    <row r="343" spans="52:75" x14ac:dyDescent="0.4">
      <c r="AZ343" s="46"/>
      <c r="BA343" s="85"/>
      <c r="BB343" s="85"/>
      <c r="BC343" s="85"/>
      <c r="BD343" s="85"/>
      <c r="BE343" s="85"/>
      <c r="BF343" s="85"/>
      <c r="BG343" s="85"/>
      <c r="BH343" s="85"/>
      <c r="BI343" s="85"/>
      <c r="BJ343" s="85"/>
      <c r="BK343" s="85"/>
      <c r="BL343" s="85"/>
      <c r="BM343" s="85"/>
      <c r="BN343" s="85"/>
      <c r="BO343" s="85"/>
      <c r="BP343" s="85"/>
      <c r="BQ343" s="85"/>
      <c r="BR343" s="85"/>
      <c r="BS343" s="85"/>
      <c r="BT343" s="85"/>
      <c r="BU343" s="85"/>
      <c r="BV343" s="85"/>
      <c r="BW343" s="85"/>
    </row>
    <row r="344" spans="52:75" x14ac:dyDescent="0.4">
      <c r="AZ344" s="46"/>
      <c r="BA344" s="85"/>
      <c r="BB344" s="85"/>
      <c r="BC344" s="85"/>
      <c r="BD344" s="85"/>
      <c r="BE344" s="85"/>
      <c r="BF344" s="85"/>
      <c r="BG344" s="85"/>
      <c r="BH344" s="85"/>
      <c r="BI344" s="85"/>
      <c r="BJ344" s="85"/>
      <c r="BK344" s="85"/>
      <c r="BL344" s="85"/>
      <c r="BM344" s="85"/>
      <c r="BN344" s="85"/>
      <c r="BO344" s="85"/>
      <c r="BP344" s="85"/>
      <c r="BQ344" s="85"/>
      <c r="BR344" s="85"/>
      <c r="BS344" s="85"/>
      <c r="BT344" s="85"/>
      <c r="BU344" s="85"/>
      <c r="BV344" s="85"/>
      <c r="BW344" s="85"/>
    </row>
    <row r="345" spans="52:75" x14ac:dyDescent="0.4">
      <c r="AZ345" s="46"/>
      <c r="BA345" s="85"/>
      <c r="BB345" s="85"/>
      <c r="BC345" s="85"/>
      <c r="BD345" s="85"/>
      <c r="BE345" s="85"/>
      <c r="BF345" s="85"/>
      <c r="BG345" s="85"/>
      <c r="BH345" s="85"/>
      <c r="BI345" s="85"/>
      <c r="BJ345" s="85"/>
      <c r="BK345" s="85"/>
      <c r="BL345" s="85"/>
      <c r="BM345" s="85"/>
      <c r="BN345" s="85"/>
      <c r="BO345" s="85"/>
      <c r="BP345" s="85"/>
      <c r="BQ345" s="85"/>
      <c r="BR345" s="85"/>
      <c r="BS345" s="85"/>
      <c r="BT345" s="85"/>
      <c r="BU345" s="85"/>
      <c r="BV345" s="85"/>
      <c r="BW345" s="85"/>
    </row>
    <row r="346" spans="52:75" x14ac:dyDescent="0.4">
      <c r="AZ346" s="46"/>
      <c r="BA346" s="85"/>
      <c r="BB346" s="85"/>
      <c r="BC346" s="85"/>
      <c r="BD346" s="85"/>
      <c r="BE346" s="85"/>
      <c r="BF346" s="85"/>
      <c r="BG346" s="85"/>
      <c r="BH346" s="85"/>
      <c r="BI346" s="85"/>
      <c r="BJ346" s="85"/>
      <c r="BK346" s="85"/>
      <c r="BL346" s="85"/>
      <c r="BM346" s="85"/>
      <c r="BN346" s="85"/>
      <c r="BO346" s="85"/>
      <c r="BP346" s="85"/>
      <c r="BQ346" s="85"/>
      <c r="BR346" s="85"/>
      <c r="BS346" s="85"/>
      <c r="BT346" s="85"/>
      <c r="BU346" s="85"/>
      <c r="BV346" s="85"/>
      <c r="BW346" s="85"/>
    </row>
    <row r="347" spans="52:75" x14ac:dyDescent="0.4">
      <c r="AZ347" s="46"/>
      <c r="BA347" s="85"/>
      <c r="BB347" s="85"/>
      <c r="BC347" s="85"/>
      <c r="BD347" s="85"/>
      <c r="BE347" s="85"/>
      <c r="BF347" s="85"/>
      <c r="BG347" s="85"/>
      <c r="BH347" s="85"/>
      <c r="BI347" s="85"/>
      <c r="BJ347" s="85"/>
      <c r="BK347" s="85"/>
      <c r="BL347" s="85"/>
      <c r="BM347" s="85"/>
      <c r="BN347" s="85"/>
      <c r="BO347" s="85"/>
      <c r="BP347" s="85"/>
      <c r="BQ347" s="85"/>
      <c r="BR347" s="85"/>
      <c r="BS347" s="85"/>
      <c r="BT347" s="85"/>
      <c r="BU347" s="85"/>
      <c r="BV347" s="85"/>
      <c r="BW347" s="85"/>
    </row>
    <row r="348" spans="52:75" x14ac:dyDescent="0.4">
      <c r="AZ348" s="46"/>
      <c r="BA348" s="85"/>
      <c r="BB348" s="85"/>
      <c r="BC348" s="85"/>
      <c r="BD348" s="85"/>
      <c r="BE348" s="85"/>
      <c r="BF348" s="85"/>
      <c r="BG348" s="85"/>
      <c r="BH348" s="85"/>
      <c r="BI348" s="85"/>
      <c r="BJ348" s="85"/>
      <c r="BK348" s="85"/>
      <c r="BL348" s="85"/>
      <c r="BM348" s="85"/>
      <c r="BN348" s="85"/>
      <c r="BO348" s="85"/>
      <c r="BP348" s="85"/>
      <c r="BQ348" s="85"/>
      <c r="BR348" s="85"/>
      <c r="BS348" s="85"/>
      <c r="BT348" s="85"/>
      <c r="BU348" s="85"/>
      <c r="BV348" s="85"/>
      <c r="BW348" s="85"/>
    </row>
    <row r="349" spans="52:75" x14ac:dyDescent="0.4">
      <c r="AZ349" s="46"/>
      <c r="BA349" s="85"/>
      <c r="BB349" s="85"/>
      <c r="BC349" s="85"/>
      <c r="BD349" s="85"/>
      <c r="BE349" s="85"/>
      <c r="BF349" s="85"/>
      <c r="BG349" s="85"/>
      <c r="BH349" s="85"/>
      <c r="BI349" s="85"/>
      <c r="BJ349" s="85"/>
      <c r="BK349" s="85"/>
      <c r="BL349" s="85"/>
      <c r="BM349" s="85"/>
      <c r="BN349" s="85"/>
      <c r="BO349" s="85"/>
      <c r="BP349" s="85"/>
      <c r="BQ349" s="85"/>
      <c r="BR349" s="85"/>
      <c r="BS349" s="85"/>
      <c r="BT349" s="85"/>
      <c r="BU349" s="85"/>
      <c r="BV349" s="85"/>
      <c r="BW349" s="85"/>
    </row>
    <row r="350" spans="52:75" x14ac:dyDescent="0.4">
      <c r="AZ350" s="46"/>
      <c r="BA350" s="85"/>
      <c r="BB350" s="85"/>
      <c r="BC350" s="85"/>
      <c r="BD350" s="85"/>
      <c r="BE350" s="85"/>
      <c r="BF350" s="85"/>
      <c r="BG350" s="85"/>
      <c r="BH350" s="85"/>
      <c r="BI350" s="85"/>
      <c r="BJ350" s="85"/>
      <c r="BK350" s="85"/>
      <c r="BL350" s="85"/>
      <c r="BM350" s="85"/>
      <c r="BN350" s="85"/>
      <c r="BO350" s="85"/>
      <c r="BP350" s="85"/>
      <c r="BQ350" s="85"/>
      <c r="BR350" s="85"/>
      <c r="BS350" s="85"/>
      <c r="BT350" s="85"/>
      <c r="BU350" s="85"/>
      <c r="BV350" s="85"/>
      <c r="BW350" s="85"/>
    </row>
    <row r="351" spans="52:75" x14ac:dyDescent="0.4">
      <c r="AZ351" s="46"/>
      <c r="BA351" s="85"/>
      <c r="BB351" s="85"/>
      <c r="BC351" s="85"/>
      <c r="BD351" s="85"/>
      <c r="BE351" s="85"/>
      <c r="BF351" s="85"/>
      <c r="BG351" s="85"/>
      <c r="BH351" s="85"/>
      <c r="BI351" s="85"/>
      <c r="BJ351" s="85"/>
      <c r="BK351" s="85"/>
      <c r="BL351" s="85"/>
      <c r="BM351" s="85"/>
      <c r="BN351" s="85"/>
      <c r="BO351" s="85"/>
      <c r="BP351" s="85"/>
      <c r="BQ351" s="85"/>
      <c r="BR351" s="85"/>
      <c r="BS351" s="85"/>
      <c r="BT351" s="85"/>
      <c r="BU351" s="85"/>
      <c r="BV351" s="85"/>
      <c r="BW351" s="85"/>
    </row>
    <row r="352" spans="52:75" x14ac:dyDescent="0.4">
      <c r="AZ352" s="46"/>
      <c r="BA352" s="85"/>
      <c r="BB352" s="85"/>
      <c r="BC352" s="85"/>
      <c r="BD352" s="85"/>
      <c r="BE352" s="85"/>
      <c r="BF352" s="85"/>
      <c r="BG352" s="85"/>
      <c r="BH352" s="85"/>
      <c r="BI352" s="85"/>
      <c r="BJ352" s="85"/>
      <c r="BK352" s="85"/>
      <c r="BL352" s="85"/>
      <c r="BM352" s="85"/>
      <c r="BN352" s="85"/>
      <c r="BO352" s="85"/>
      <c r="BP352" s="85"/>
      <c r="BQ352" s="85"/>
      <c r="BR352" s="85"/>
      <c r="BS352" s="85"/>
      <c r="BT352" s="85"/>
      <c r="BU352" s="85"/>
      <c r="BV352" s="85"/>
      <c r="BW352" s="85"/>
    </row>
    <row r="353" spans="52:75" x14ac:dyDescent="0.4">
      <c r="AZ353" s="46"/>
      <c r="BA353" s="85"/>
      <c r="BB353" s="85"/>
      <c r="BC353" s="85"/>
      <c r="BD353" s="85"/>
      <c r="BE353" s="85"/>
      <c r="BF353" s="85"/>
      <c r="BG353" s="85"/>
      <c r="BH353" s="85"/>
      <c r="BI353" s="85"/>
      <c r="BJ353" s="85"/>
      <c r="BK353" s="85"/>
      <c r="BL353" s="85"/>
      <c r="BM353" s="85"/>
      <c r="BN353" s="85"/>
      <c r="BO353" s="85"/>
      <c r="BP353" s="85"/>
      <c r="BQ353" s="85"/>
      <c r="BR353" s="85"/>
      <c r="BS353" s="85"/>
      <c r="BT353" s="85"/>
      <c r="BU353" s="85"/>
      <c r="BV353" s="85"/>
      <c r="BW353" s="85"/>
    </row>
    <row r="354" spans="52:75" x14ac:dyDescent="0.4">
      <c r="AZ354" s="46"/>
      <c r="BA354" s="85"/>
      <c r="BB354" s="85"/>
      <c r="BC354" s="85"/>
      <c r="BD354" s="85"/>
      <c r="BE354" s="85"/>
      <c r="BF354" s="85"/>
      <c r="BG354" s="85"/>
      <c r="BH354" s="85"/>
      <c r="BI354" s="85"/>
      <c r="BJ354" s="85"/>
      <c r="BK354" s="85"/>
      <c r="BL354" s="85"/>
      <c r="BM354" s="85"/>
      <c r="BN354" s="85"/>
      <c r="BO354" s="85"/>
      <c r="BP354" s="85"/>
      <c r="BQ354" s="85"/>
      <c r="BR354" s="85"/>
      <c r="BS354" s="85"/>
      <c r="BT354" s="85"/>
      <c r="BU354" s="85"/>
      <c r="BV354" s="85"/>
      <c r="BW354" s="85"/>
    </row>
    <row r="355" spans="52:75" x14ac:dyDescent="0.4">
      <c r="AZ355" s="46"/>
      <c r="BA355" s="85"/>
      <c r="BB355" s="85"/>
      <c r="BC355" s="85"/>
      <c r="BD355" s="85"/>
      <c r="BE355" s="85"/>
      <c r="BF355" s="85"/>
      <c r="BG355" s="85"/>
      <c r="BH355" s="85"/>
      <c r="BI355" s="85"/>
      <c r="BJ355" s="85"/>
      <c r="BK355" s="85"/>
      <c r="BL355" s="85"/>
      <c r="BM355" s="85"/>
      <c r="BN355" s="85"/>
      <c r="BO355" s="85"/>
      <c r="BP355" s="85"/>
      <c r="BQ355" s="85"/>
      <c r="BR355" s="85"/>
      <c r="BS355" s="85"/>
      <c r="BT355" s="85"/>
      <c r="BU355" s="85"/>
      <c r="BV355" s="85"/>
      <c r="BW355" s="85"/>
    </row>
    <row r="356" spans="52:75" x14ac:dyDescent="0.4">
      <c r="AZ356" s="46"/>
      <c r="BA356" s="85"/>
      <c r="BB356" s="85"/>
      <c r="BC356" s="85"/>
      <c r="BD356" s="85"/>
      <c r="BE356" s="85"/>
      <c r="BF356" s="85"/>
      <c r="BG356" s="85"/>
      <c r="BH356" s="85"/>
      <c r="BI356" s="85"/>
      <c r="BJ356" s="85"/>
      <c r="BK356" s="85"/>
      <c r="BL356" s="85"/>
      <c r="BM356" s="85"/>
      <c r="BN356" s="85"/>
      <c r="BO356" s="85"/>
      <c r="BP356" s="85"/>
      <c r="BQ356" s="85"/>
      <c r="BR356" s="85"/>
      <c r="BS356" s="85"/>
      <c r="BT356" s="85"/>
      <c r="BU356" s="85"/>
      <c r="BV356" s="85"/>
      <c r="BW356" s="85"/>
    </row>
    <row r="357" spans="52:75" x14ac:dyDescent="0.4">
      <c r="AZ357" s="46"/>
      <c r="BA357" s="85"/>
      <c r="BB357" s="85"/>
      <c r="BC357" s="85"/>
      <c r="BD357" s="85"/>
      <c r="BE357" s="85"/>
      <c r="BF357" s="85"/>
      <c r="BG357" s="85"/>
      <c r="BH357" s="85"/>
      <c r="BI357" s="85"/>
      <c r="BJ357" s="85"/>
      <c r="BK357" s="85"/>
      <c r="BL357" s="85"/>
      <c r="BM357" s="85"/>
      <c r="BN357" s="85"/>
      <c r="BO357" s="85"/>
      <c r="BP357" s="85"/>
      <c r="BQ357" s="85"/>
      <c r="BR357" s="85"/>
      <c r="BS357" s="85"/>
      <c r="BT357" s="85"/>
      <c r="BU357" s="85"/>
      <c r="BV357" s="85"/>
      <c r="BW357" s="85"/>
    </row>
    <row r="358" spans="52:75" x14ac:dyDescent="0.4">
      <c r="AZ358" s="46"/>
      <c r="BA358" s="85"/>
      <c r="BB358" s="85"/>
      <c r="BC358" s="85"/>
      <c r="BD358" s="85"/>
      <c r="BE358" s="85"/>
      <c r="BF358" s="85"/>
      <c r="BG358" s="85"/>
      <c r="BH358" s="85"/>
      <c r="BI358" s="85"/>
      <c r="BJ358" s="85"/>
      <c r="BK358" s="85"/>
      <c r="BL358" s="85"/>
      <c r="BM358" s="85"/>
      <c r="BN358" s="85"/>
      <c r="BO358" s="85"/>
      <c r="BP358" s="85"/>
      <c r="BQ358" s="85"/>
      <c r="BR358" s="85"/>
      <c r="BS358" s="85"/>
      <c r="BT358" s="85"/>
      <c r="BU358" s="85"/>
      <c r="BV358" s="85"/>
      <c r="BW358" s="85"/>
    </row>
    <row r="359" spans="52:75" x14ac:dyDescent="0.4">
      <c r="AZ359" s="46"/>
      <c r="BA359" s="85"/>
      <c r="BB359" s="85"/>
      <c r="BC359" s="85"/>
      <c r="BD359" s="85"/>
      <c r="BE359" s="85"/>
      <c r="BF359" s="85"/>
      <c r="BG359" s="85"/>
      <c r="BH359" s="85"/>
      <c r="BI359" s="85"/>
      <c r="BJ359" s="85"/>
      <c r="BK359" s="85"/>
      <c r="BL359" s="85"/>
      <c r="BM359" s="85"/>
      <c r="BN359" s="85"/>
      <c r="BO359" s="85"/>
      <c r="BP359" s="85"/>
      <c r="BQ359" s="85"/>
      <c r="BR359" s="85"/>
      <c r="BS359" s="85"/>
      <c r="BT359" s="85"/>
      <c r="BU359" s="85"/>
      <c r="BV359" s="85"/>
      <c r="BW359" s="85"/>
    </row>
    <row r="360" spans="52:75" x14ac:dyDescent="0.4">
      <c r="AZ360" s="46"/>
      <c r="BA360" s="85"/>
      <c r="BB360" s="85"/>
      <c r="BC360" s="85"/>
      <c r="BD360" s="85"/>
      <c r="BE360" s="85"/>
      <c r="BF360" s="85"/>
      <c r="BG360" s="85"/>
      <c r="BH360" s="85"/>
      <c r="BI360" s="85"/>
      <c r="BJ360" s="85"/>
      <c r="BK360" s="85"/>
      <c r="BL360" s="85"/>
      <c r="BM360" s="85"/>
      <c r="BN360" s="85"/>
      <c r="BO360" s="85"/>
      <c r="BP360" s="85"/>
      <c r="BQ360" s="85"/>
      <c r="BR360" s="85"/>
      <c r="BS360" s="85"/>
      <c r="BT360" s="85"/>
      <c r="BU360" s="85"/>
      <c r="BV360" s="85"/>
      <c r="BW360" s="85"/>
    </row>
    <row r="361" spans="52:75" x14ac:dyDescent="0.4">
      <c r="AZ361" s="46"/>
      <c r="BA361" s="85"/>
      <c r="BB361" s="85"/>
      <c r="BC361" s="85"/>
      <c r="BD361" s="85"/>
      <c r="BE361" s="85"/>
      <c r="BF361" s="85"/>
      <c r="BG361" s="85"/>
      <c r="BH361" s="85"/>
      <c r="BI361" s="85"/>
      <c r="BJ361" s="85"/>
      <c r="BK361" s="85"/>
      <c r="BL361" s="85"/>
      <c r="BM361" s="85"/>
      <c r="BN361" s="85"/>
      <c r="BO361" s="85"/>
      <c r="BP361" s="85"/>
      <c r="BQ361" s="85"/>
      <c r="BR361" s="85"/>
      <c r="BS361" s="85"/>
      <c r="BT361" s="85"/>
      <c r="BU361" s="85"/>
      <c r="BV361" s="85"/>
      <c r="BW361" s="85"/>
    </row>
    <row r="362" spans="52:75" x14ac:dyDescent="0.4">
      <c r="AZ362" s="46"/>
      <c r="BA362" s="85"/>
      <c r="BB362" s="85"/>
      <c r="BC362" s="85"/>
      <c r="BD362" s="85"/>
      <c r="BE362" s="85"/>
      <c r="BF362" s="85"/>
      <c r="BG362" s="85"/>
      <c r="BH362" s="85"/>
      <c r="BI362" s="85"/>
      <c r="BJ362" s="85"/>
      <c r="BK362" s="85"/>
      <c r="BL362" s="85"/>
      <c r="BM362" s="85"/>
      <c r="BN362" s="85"/>
      <c r="BO362" s="85"/>
      <c r="BP362" s="85"/>
      <c r="BQ362" s="85"/>
      <c r="BR362" s="85"/>
      <c r="BS362" s="85"/>
      <c r="BT362" s="85"/>
      <c r="BU362" s="85"/>
      <c r="BV362" s="85"/>
      <c r="BW362" s="85"/>
    </row>
    <row r="363" spans="52:75" x14ac:dyDescent="0.4">
      <c r="AZ363" s="46"/>
      <c r="BA363" s="85"/>
      <c r="BB363" s="85"/>
      <c r="BC363" s="85"/>
      <c r="BD363" s="85"/>
      <c r="BE363" s="85"/>
      <c r="BF363" s="85"/>
      <c r="BG363" s="85"/>
      <c r="BH363" s="85"/>
      <c r="BI363" s="85"/>
      <c r="BJ363" s="85"/>
      <c r="BK363" s="85"/>
      <c r="BL363" s="85"/>
      <c r="BM363" s="85"/>
      <c r="BN363" s="85"/>
      <c r="BO363" s="85"/>
      <c r="BP363" s="85"/>
      <c r="BQ363" s="85"/>
      <c r="BR363" s="85"/>
      <c r="BS363" s="85"/>
      <c r="BT363" s="85"/>
      <c r="BU363" s="85"/>
      <c r="BV363" s="85"/>
      <c r="BW363" s="85"/>
    </row>
    <row r="364" spans="52:75" x14ac:dyDescent="0.4">
      <c r="AZ364" s="46"/>
      <c r="BA364" s="85"/>
      <c r="BB364" s="85"/>
      <c r="BC364" s="85"/>
      <c r="BD364" s="85"/>
      <c r="BE364" s="85"/>
      <c r="BF364" s="85"/>
      <c r="BG364" s="85"/>
      <c r="BH364" s="85"/>
      <c r="BI364" s="85"/>
      <c r="BJ364" s="85"/>
      <c r="BK364" s="85"/>
      <c r="BL364" s="85"/>
      <c r="BM364" s="85"/>
      <c r="BN364" s="85"/>
      <c r="BO364" s="85"/>
      <c r="BP364" s="85"/>
      <c r="BQ364" s="85"/>
      <c r="BR364" s="85"/>
      <c r="BS364" s="85"/>
      <c r="BT364" s="85"/>
      <c r="BU364" s="85"/>
      <c r="BV364" s="85"/>
      <c r="BW364" s="85"/>
    </row>
    <row r="365" spans="52:75" x14ac:dyDescent="0.4">
      <c r="AZ365" s="46"/>
      <c r="BA365" s="85"/>
      <c r="BB365" s="85"/>
      <c r="BC365" s="85"/>
      <c r="BD365" s="85"/>
      <c r="BE365" s="85"/>
      <c r="BF365" s="85"/>
      <c r="BG365" s="85"/>
      <c r="BH365" s="85"/>
      <c r="BI365" s="85"/>
      <c r="BJ365" s="85"/>
      <c r="BK365" s="85"/>
      <c r="BL365" s="85"/>
      <c r="BM365" s="85"/>
      <c r="BN365" s="85"/>
      <c r="BO365" s="85"/>
      <c r="BP365" s="85"/>
      <c r="BQ365" s="85"/>
      <c r="BR365" s="85"/>
      <c r="BS365" s="85"/>
      <c r="BT365" s="85"/>
      <c r="BU365" s="85"/>
      <c r="BV365" s="85"/>
      <c r="BW365" s="85"/>
    </row>
    <row r="366" spans="52:75" x14ac:dyDescent="0.4">
      <c r="AZ366" s="46"/>
      <c r="BA366" s="85"/>
      <c r="BB366" s="85"/>
      <c r="BC366" s="85"/>
      <c r="BD366" s="85"/>
      <c r="BE366" s="85"/>
      <c r="BF366" s="85"/>
      <c r="BG366" s="85"/>
      <c r="BH366" s="85"/>
      <c r="BI366" s="85"/>
      <c r="BJ366" s="85"/>
      <c r="BK366" s="85"/>
      <c r="BL366" s="85"/>
      <c r="BM366" s="85"/>
      <c r="BN366" s="85"/>
      <c r="BO366" s="85"/>
      <c r="BP366" s="85"/>
      <c r="BQ366" s="85"/>
      <c r="BR366" s="85"/>
      <c r="BS366" s="85"/>
      <c r="BT366" s="85"/>
      <c r="BU366" s="85"/>
      <c r="BV366" s="85"/>
      <c r="BW366" s="85"/>
    </row>
    <row r="367" spans="52:75" x14ac:dyDescent="0.4">
      <c r="AZ367" s="46"/>
      <c r="BA367" s="85"/>
      <c r="BB367" s="85"/>
      <c r="BC367" s="85"/>
      <c r="BD367" s="85"/>
      <c r="BE367" s="85"/>
      <c r="BF367" s="85"/>
      <c r="BG367" s="85"/>
      <c r="BH367" s="85"/>
      <c r="BI367" s="85"/>
      <c r="BJ367" s="85"/>
      <c r="BK367" s="85"/>
      <c r="BL367" s="85"/>
      <c r="BM367" s="85"/>
      <c r="BN367" s="85"/>
      <c r="BO367" s="85"/>
      <c r="BP367" s="85"/>
      <c r="BQ367" s="85"/>
      <c r="BR367" s="85"/>
      <c r="BS367" s="85"/>
      <c r="BT367" s="85"/>
      <c r="BU367" s="85"/>
      <c r="BV367" s="85"/>
      <c r="BW367" s="85"/>
    </row>
    <row r="368" spans="52:75" x14ac:dyDescent="0.4">
      <c r="AZ368" s="46"/>
      <c r="BA368" s="85"/>
      <c r="BB368" s="85"/>
      <c r="BC368" s="85"/>
      <c r="BD368" s="85"/>
      <c r="BE368" s="85"/>
      <c r="BF368" s="85"/>
      <c r="BG368" s="85"/>
      <c r="BH368" s="85"/>
      <c r="BI368" s="85"/>
      <c r="BJ368" s="85"/>
      <c r="BK368" s="85"/>
      <c r="BL368" s="85"/>
      <c r="BM368" s="85"/>
      <c r="BN368" s="85"/>
      <c r="BO368" s="85"/>
      <c r="BP368" s="85"/>
      <c r="BQ368" s="85"/>
      <c r="BR368" s="85"/>
      <c r="BS368" s="85"/>
      <c r="BT368" s="85"/>
      <c r="BU368" s="85"/>
      <c r="BV368" s="85"/>
      <c r="BW368" s="85"/>
    </row>
    <row r="369" spans="52:75" x14ac:dyDescent="0.4">
      <c r="AZ369" s="46"/>
      <c r="BA369" s="85"/>
      <c r="BB369" s="85"/>
      <c r="BC369" s="85"/>
      <c r="BD369" s="85"/>
      <c r="BE369" s="85"/>
      <c r="BF369" s="85"/>
      <c r="BG369" s="85"/>
      <c r="BH369" s="85"/>
      <c r="BI369" s="85"/>
      <c r="BJ369" s="85"/>
      <c r="BK369" s="85"/>
      <c r="BL369" s="85"/>
      <c r="BM369" s="85"/>
      <c r="BN369" s="85"/>
      <c r="BO369" s="85"/>
      <c r="BP369" s="85"/>
      <c r="BQ369" s="85"/>
      <c r="BR369" s="85"/>
      <c r="BS369" s="85"/>
      <c r="BT369" s="85"/>
      <c r="BU369" s="85"/>
      <c r="BV369" s="85"/>
      <c r="BW369" s="85"/>
    </row>
    <row r="370" spans="52:75" x14ac:dyDescent="0.4">
      <c r="AZ370" s="46"/>
      <c r="BA370" s="85"/>
      <c r="BB370" s="85"/>
      <c r="BC370" s="85"/>
      <c r="BD370" s="85"/>
      <c r="BE370" s="85"/>
      <c r="BF370" s="85"/>
      <c r="BG370" s="85"/>
      <c r="BH370" s="85"/>
      <c r="BI370" s="85"/>
      <c r="BJ370" s="85"/>
      <c r="BK370" s="85"/>
      <c r="BL370" s="85"/>
      <c r="BM370" s="85"/>
      <c r="BN370" s="85"/>
      <c r="BO370" s="85"/>
      <c r="BP370" s="85"/>
      <c r="BQ370" s="85"/>
      <c r="BR370" s="85"/>
      <c r="BS370" s="85"/>
      <c r="BT370" s="85"/>
      <c r="BU370" s="85"/>
      <c r="BV370" s="85"/>
      <c r="BW370" s="85"/>
    </row>
    <row r="371" spans="52:75" x14ac:dyDescent="0.4">
      <c r="AZ371" s="46"/>
      <c r="BA371" s="85"/>
      <c r="BB371" s="85"/>
      <c r="BC371" s="85"/>
      <c r="BD371" s="85"/>
      <c r="BE371" s="85"/>
      <c r="BF371" s="85"/>
      <c r="BG371" s="85"/>
      <c r="BH371" s="85"/>
      <c r="BI371" s="85"/>
      <c r="BJ371" s="85"/>
      <c r="BK371" s="85"/>
      <c r="BL371" s="85"/>
      <c r="BM371" s="85"/>
      <c r="BN371" s="85"/>
      <c r="BO371" s="85"/>
      <c r="BP371" s="85"/>
      <c r="BQ371" s="85"/>
      <c r="BR371" s="85"/>
      <c r="BS371" s="85"/>
      <c r="BT371" s="85"/>
      <c r="BU371" s="85"/>
      <c r="BV371" s="85"/>
      <c r="BW371" s="85"/>
    </row>
    <row r="372" spans="52:75" x14ac:dyDescent="0.4">
      <c r="AZ372" s="46"/>
      <c r="BA372" s="85"/>
      <c r="BB372" s="85"/>
      <c r="BC372" s="85"/>
      <c r="BD372" s="85"/>
      <c r="BE372" s="85"/>
      <c r="BF372" s="85"/>
      <c r="BG372" s="85"/>
      <c r="BH372" s="85"/>
      <c r="BI372" s="85"/>
      <c r="BJ372" s="85"/>
      <c r="BK372" s="85"/>
      <c r="BL372" s="85"/>
      <c r="BM372" s="85"/>
      <c r="BN372" s="85"/>
      <c r="BO372" s="85"/>
      <c r="BP372" s="85"/>
      <c r="BQ372" s="85"/>
      <c r="BR372" s="85"/>
      <c r="BS372" s="85"/>
      <c r="BT372" s="85"/>
      <c r="BU372" s="85"/>
      <c r="BV372" s="85"/>
      <c r="BW372" s="85"/>
    </row>
    <row r="373" spans="52:75" x14ac:dyDescent="0.4">
      <c r="AZ373" s="46"/>
      <c r="BA373" s="85"/>
      <c r="BB373" s="85"/>
      <c r="BC373" s="85"/>
      <c r="BD373" s="85"/>
      <c r="BE373" s="85"/>
      <c r="BF373" s="85"/>
      <c r="BG373" s="85"/>
      <c r="BH373" s="85"/>
      <c r="BI373" s="85"/>
      <c r="BJ373" s="85"/>
      <c r="BK373" s="85"/>
      <c r="BL373" s="85"/>
      <c r="BM373" s="85"/>
      <c r="BN373" s="85"/>
      <c r="BO373" s="85"/>
      <c r="BP373" s="85"/>
      <c r="BQ373" s="85"/>
      <c r="BR373" s="85"/>
      <c r="BS373" s="85"/>
      <c r="BT373" s="85"/>
      <c r="BU373" s="85"/>
      <c r="BV373" s="85"/>
      <c r="BW373" s="85"/>
    </row>
    <row r="374" spans="52:75" x14ac:dyDescent="0.4">
      <c r="AZ374" s="46"/>
      <c r="BA374" s="85"/>
      <c r="BB374" s="85"/>
      <c r="BC374" s="85"/>
      <c r="BD374" s="85"/>
      <c r="BE374" s="85"/>
      <c r="BF374" s="85"/>
      <c r="BG374" s="85"/>
      <c r="BH374" s="85"/>
      <c r="BI374" s="85"/>
      <c r="BJ374" s="85"/>
      <c r="BK374" s="85"/>
      <c r="BL374" s="85"/>
      <c r="BM374" s="85"/>
      <c r="BN374" s="85"/>
      <c r="BO374" s="85"/>
      <c r="BP374" s="85"/>
      <c r="BQ374" s="85"/>
      <c r="BR374" s="85"/>
      <c r="BS374" s="85"/>
      <c r="BT374" s="85"/>
      <c r="BU374" s="85"/>
      <c r="BV374" s="85"/>
      <c r="BW374" s="85"/>
    </row>
    <row r="375" spans="52:75" x14ac:dyDescent="0.4">
      <c r="AZ375" s="46"/>
      <c r="BA375" s="85"/>
      <c r="BB375" s="85"/>
      <c r="BC375" s="85"/>
      <c r="BD375" s="85"/>
      <c r="BE375" s="85"/>
      <c r="BF375" s="85"/>
      <c r="BG375" s="85"/>
      <c r="BH375" s="85"/>
      <c r="BI375" s="85"/>
      <c r="BJ375" s="85"/>
      <c r="BK375" s="85"/>
      <c r="BL375" s="85"/>
      <c r="BM375" s="85"/>
      <c r="BN375" s="85"/>
      <c r="BO375" s="85"/>
      <c r="BP375" s="85"/>
      <c r="BQ375" s="85"/>
      <c r="BR375" s="85"/>
      <c r="BS375" s="85"/>
      <c r="BT375" s="85"/>
      <c r="BU375" s="85"/>
      <c r="BV375" s="85"/>
      <c r="BW375" s="85"/>
    </row>
    <row r="376" spans="52:75" x14ac:dyDescent="0.4">
      <c r="AZ376" s="46"/>
      <c r="BA376" s="85"/>
      <c r="BB376" s="85"/>
      <c r="BC376" s="85"/>
      <c r="BD376" s="85"/>
      <c r="BE376" s="85"/>
      <c r="BF376" s="85"/>
      <c r="BG376" s="85"/>
      <c r="BH376" s="85"/>
      <c r="BI376" s="85"/>
      <c r="BJ376" s="85"/>
      <c r="BK376" s="85"/>
      <c r="BL376" s="85"/>
      <c r="BM376" s="85"/>
      <c r="BN376" s="85"/>
      <c r="BO376" s="85"/>
      <c r="BP376" s="85"/>
      <c r="BQ376" s="85"/>
      <c r="BR376" s="85"/>
      <c r="BS376" s="85"/>
      <c r="BT376" s="85"/>
      <c r="BU376" s="85"/>
      <c r="BV376" s="85"/>
      <c r="BW376" s="85"/>
    </row>
    <row r="377" spans="52:75" x14ac:dyDescent="0.4">
      <c r="AZ377" s="46"/>
      <c r="BA377" s="85"/>
      <c r="BB377" s="85"/>
      <c r="BC377" s="85"/>
      <c r="BD377" s="85"/>
      <c r="BE377" s="85"/>
      <c r="BF377" s="85"/>
      <c r="BG377" s="85"/>
      <c r="BH377" s="85"/>
      <c r="BI377" s="85"/>
      <c r="BJ377" s="85"/>
      <c r="BK377" s="85"/>
      <c r="BL377" s="85"/>
      <c r="BM377" s="85"/>
      <c r="BN377" s="85"/>
      <c r="BO377" s="85"/>
      <c r="BP377" s="85"/>
      <c r="BQ377" s="85"/>
      <c r="BR377" s="85"/>
      <c r="BS377" s="85"/>
      <c r="BT377" s="85"/>
      <c r="BU377" s="85"/>
      <c r="BV377" s="85"/>
      <c r="BW377" s="85"/>
    </row>
    <row r="378" spans="52:75" x14ac:dyDescent="0.4">
      <c r="AZ378" s="46"/>
      <c r="BA378" s="85"/>
      <c r="BB378" s="85"/>
      <c r="BC378" s="85"/>
      <c r="BD378" s="85"/>
      <c r="BE378" s="85"/>
      <c r="BF378" s="85"/>
      <c r="BG378" s="85"/>
      <c r="BH378" s="85"/>
      <c r="BI378" s="85"/>
      <c r="BJ378" s="85"/>
      <c r="BK378" s="85"/>
      <c r="BL378" s="85"/>
      <c r="BM378" s="85"/>
      <c r="BN378" s="85"/>
      <c r="BO378" s="85"/>
      <c r="BP378" s="85"/>
      <c r="BQ378" s="85"/>
      <c r="BR378" s="85"/>
      <c r="BS378" s="85"/>
      <c r="BT378" s="85"/>
      <c r="BU378" s="85"/>
      <c r="BV378" s="85"/>
      <c r="BW378" s="85"/>
    </row>
    <row r="379" spans="52:75" x14ac:dyDescent="0.4">
      <c r="AZ379" s="46"/>
      <c r="BA379" s="85"/>
      <c r="BB379" s="85"/>
      <c r="BC379" s="85"/>
      <c r="BD379" s="85"/>
      <c r="BE379" s="85"/>
      <c r="BF379" s="85"/>
      <c r="BG379" s="85"/>
      <c r="BH379" s="85"/>
      <c r="BI379" s="85"/>
      <c r="BJ379" s="85"/>
      <c r="BK379" s="85"/>
      <c r="BL379" s="85"/>
      <c r="BM379" s="85"/>
      <c r="BN379" s="85"/>
      <c r="BO379" s="85"/>
      <c r="BP379" s="85"/>
      <c r="BQ379" s="85"/>
      <c r="BR379" s="85"/>
      <c r="BS379" s="85"/>
      <c r="BT379" s="85"/>
      <c r="BU379" s="85"/>
      <c r="BV379" s="85"/>
      <c r="BW379" s="85"/>
    </row>
    <row r="380" spans="52:75" x14ac:dyDescent="0.4">
      <c r="AZ380" s="46"/>
      <c r="BA380" s="85"/>
      <c r="BB380" s="85"/>
      <c r="BC380" s="85"/>
      <c r="BD380" s="85"/>
      <c r="BE380" s="85"/>
      <c r="BF380" s="85"/>
      <c r="BG380" s="85"/>
      <c r="BH380" s="85"/>
      <c r="BI380" s="85"/>
      <c r="BJ380" s="85"/>
      <c r="BK380" s="85"/>
      <c r="BL380" s="85"/>
      <c r="BM380" s="85"/>
      <c r="BN380" s="85"/>
      <c r="BO380" s="85"/>
      <c r="BP380" s="85"/>
      <c r="BQ380" s="85"/>
      <c r="BR380" s="85"/>
      <c r="BS380" s="85"/>
      <c r="BT380" s="85"/>
      <c r="BU380" s="85"/>
      <c r="BV380" s="85"/>
      <c r="BW380" s="85"/>
    </row>
    <row r="381" spans="52:75" x14ac:dyDescent="0.4">
      <c r="AZ381" s="46"/>
      <c r="BA381" s="85"/>
      <c r="BB381" s="85"/>
      <c r="BC381" s="85"/>
      <c r="BD381" s="85"/>
      <c r="BE381" s="85"/>
      <c r="BF381" s="85"/>
      <c r="BG381" s="85"/>
      <c r="BH381" s="85"/>
      <c r="BI381" s="85"/>
      <c r="BJ381" s="85"/>
      <c r="BK381" s="85"/>
      <c r="BL381" s="85"/>
      <c r="BM381" s="85"/>
      <c r="BN381" s="85"/>
      <c r="BO381" s="85"/>
      <c r="BP381" s="85"/>
      <c r="BQ381" s="85"/>
      <c r="BR381" s="85"/>
      <c r="BS381" s="85"/>
      <c r="BT381" s="85"/>
      <c r="BU381" s="85"/>
      <c r="BV381" s="85"/>
      <c r="BW381" s="85"/>
    </row>
    <row r="382" spans="52:75" x14ac:dyDescent="0.4">
      <c r="AZ382" s="46"/>
      <c r="BA382" s="85"/>
      <c r="BB382" s="85"/>
      <c r="BC382" s="85"/>
      <c r="BD382" s="85"/>
      <c r="BE382" s="85"/>
      <c r="BF382" s="85"/>
      <c r="BG382" s="85"/>
      <c r="BH382" s="85"/>
      <c r="BI382" s="85"/>
      <c r="BJ382" s="85"/>
      <c r="BK382" s="85"/>
      <c r="BL382" s="85"/>
      <c r="BM382" s="85"/>
      <c r="BN382" s="85"/>
      <c r="BO382" s="85"/>
      <c r="BP382" s="85"/>
      <c r="BQ382" s="85"/>
      <c r="BR382" s="85"/>
      <c r="BS382" s="85"/>
      <c r="BT382" s="85"/>
      <c r="BU382" s="85"/>
      <c r="BV382" s="85"/>
      <c r="BW382" s="85"/>
    </row>
    <row r="383" spans="52:75" x14ac:dyDescent="0.4">
      <c r="AZ383" s="46"/>
      <c r="BA383" s="85"/>
      <c r="BB383" s="85"/>
      <c r="BC383" s="85"/>
      <c r="BD383" s="85"/>
      <c r="BE383" s="85"/>
      <c r="BF383" s="85"/>
      <c r="BG383" s="85"/>
      <c r="BH383" s="85"/>
      <c r="BI383" s="85"/>
      <c r="BJ383" s="85"/>
      <c r="BK383" s="85"/>
      <c r="BL383" s="85"/>
      <c r="BM383" s="85"/>
      <c r="BN383" s="85"/>
      <c r="BO383" s="85"/>
      <c r="BP383" s="85"/>
      <c r="BQ383" s="85"/>
      <c r="BR383" s="85"/>
      <c r="BS383" s="85"/>
      <c r="BT383" s="85"/>
      <c r="BU383" s="85"/>
      <c r="BV383" s="85"/>
      <c r="BW383" s="85"/>
    </row>
    <row r="384" spans="52:75" x14ac:dyDescent="0.4">
      <c r="AZ384" s="46"/>
      <c r="BA384" s="85"/>
      <c r="BB384" s="85"/>
      <c r="BC384" s="85"/>
      <c r="BD384" s="85"/>
      <c r="BE384" s="85"/>
      <c r="BF384" s="85"/>
      <c r="BG384" s="85"/>
      <c r="BH384" s="85"/>
      <c r="BI384" s="85"/>
      <c r="BJ384" s="85"/>
      <c r="BK384" s="85"/>
      <c r="BL384" s="85"/>
      <c r="BM384" s="85"/>
      <c r="BN384" s="85"/>
      <c r="BO384" s="85"/>
      <c r="BP384" s="85"/>
      <c r="BQ384" s="85"/>
      <c r="BR384" s="85"/>
      <c r="BS384" s="85"/>
      <c r="BT384" s="85"/>
      <c r="BU384" s="85"/>
      <c r="BV384" s="85"/>
      <c r="BW384" s="85"/>
    </row>
    <row r="385" spans="52:75" x14ac:dyDescent="0.4">
      <c r="AZ385" s="46"/>
      <c r="BA385" s="85"/>
      <c r="BB385" s="85"/>
      <c r="BC385" s="85"/>
      <c r="BD385" s="85"/>
      <c r="BE385" s="85"/>
      <c r="BF385" s="85"/>
      <c r="BG385" s="85"/>
      <c r="BH385" s="85"/>
      <c r="BI385" s="85"/>
      <c r="BJ385" s="85"/>
      <c r="BK385" s="85"/>
      <c r="BL385" s="85"/>
      <c r="BM385" s="85"/>
      <c r="BN385" s="85"/>
      <c r="BO385" s="85"/>
      <c r="BP385" s="85"/>
      <c r="BQ385" s="85"/>
      <c r="BR385" s="85"/>
      <c r="BS385" s="85"/>
      <c r="BT385" s="85"/>
      <c r="BU385" s="85"/>
      <c r="BV385" s="85"/>
      <c r="BW385" s="85"/>
    </row>
    <row r="386" spans="52:75" x14ac:dyDescent="0.4">
      <c r="AZ386" s="46"/>
      <c r="BA386" s="85"/>
      <c r="BB386" s="85"/>
      <c r="BC386" s="85"/>
      <c r="BD386" s="85"/>
      <c r="BE386" s="85"/>
      <c r="BF386" s="85"/>
      <c r="BG386" s="85"/>
      <c r="BH386" s="85"/>
      <c r="BI386" s="85"/>
      <c r="BJ386" s="85"/>
      <c r="BK386" s="85"/>
      <c r="BL386" s="85"/>
      <c r="BM386" s="85"/>
      <c r="BN386" s="85"/>
      <c r="BO386" s="85"/>
      <c r="BP386" s="85"/>
      <c r="BQ386" s="85"/>
      <c r="BR386" s="85"/>
      <c r="BS386" s="85"/>
      <c r="BT386" s="85"/>
      <c r="BU386" s="85"/>
      <c r="BV386" s="85"/>
      <c r="BW386" s="85"/>
    </row>
    <row r="387" spans="52:75" x14ac:dyDescent="0.4">
      <c r="AZ387" s="46"/>
      <c r="BA387" s="85"/>
      <c r="BB387" s="85"/>
      <c r="BC387" s="85"/>
      <c r="BD387" s="85"/>
      <c r="BE387" s="85"/>
      <c r="BF387" s="85"/>
      <c r="BG387" s="85"/>
      <c r="BH387" s="85"/>
      <c r="BI387" s="85"/>
      <c r="BJ387" s="85"/>
      <c r="BK387" s="85"/>
      <c r="BL387" s="85"/>
      <c r="BM387" s="85"/>
      <c r="BN387" s="85"/>
      <c r="BO387" s="85"/>
      <c r="BP387" s="85"/>
      <c r="BQ387" s="85"/>
      <c r="BR387" s="85"/>
      <c r="BS387" s="85"/>
      <c r="BT387" s="85"/>
      <c r="BU387" s="85"/>
      <c r="BV387" s="85"/>
      <c r="BW387" s="85"/>
    </row>
    <row r="388" spans="52:75" x14ac:dyDescent="0.4">
      <c r="AZ388" s="46"/>
      <c r="BA388" s="85"/>
      <c r="BB388" s="85"/>
      <c r="BC388" s="85"/>
      <c r="BD388" s="85"/>
      <c r="BE388" s="85"/>
      <c r="BF388" s="85"/>
      <c r="BG388" s="85"/>
      <c r="BH388" s="85"/>
      <c r="BI388" s="85"/>
      <c r="BJ388" s="85"/>
      <c r="BK388" s="85"/>
      <c r="BL388" s="85"/>
      <c r="BM388" s="85"/>
      <c r="BN388" s="85"/>
      <c r="BO388" s="85"/>
      <c r="BP388" s="85"/>
      <c r="BQ388" s="85"/>
      <c r="BR388" s="85"/>
      <c r="BS388" s="85"/>
      <c r="BT388" s="85"/>
      <c r="BU388" s="85"/>
      <c r="BV388" s="85"/>
      <c r="BW388" s="85"/>
    </row>
    <row r="389" spans="52:75" x14ac:dyDescent="0.4">
      <c r="AZ389" s="46"/>
      <c r="BA389" s="85"/>
      <c r="BB389" s="85"/>
      <c r="BC389" s="85"/>
      <c r="BD389" s="85"/>
      <c r="BE389" s="85"/>
      <c r="BF389" s="85"/>
      <c r="BG389" s="85"/>
      <c r="BH389" s="85"/>
      <c r="BI389" s="85"/>
      <c r="BJ389" s="85"/>
      <c r="BK389" s="85"/>
      <c r="BL389" s="85"/>
      <c r="BM389" s="85"/>
      <c r="BN389" s="85"/>
      <c r="BO389" s="85"/>
      <c r="BP389" s="85"/>
      <c r="BQ389" s="85"/>
      <c r="BR389" s="85"/>
      <c r="BS389" s="85"/>
      <c r="BT389" s="85"/>
      <c r="BU389" s="85"/>
      <c r="BV389" s="85"/>
      <c r="BW389" s="85"/>
    </row>
    <row r="390" spans="52:75" x14ac:dyDescent="0.4">
      <c r="AZ390" s="46"/>
      <c r="BA390" s="85"/>
      <c r="BB390" s="85"/>
      <c r="BC390" s="85"/>
      <c r="BD390" s="85"/>
      <c r="BE390" s="85"/>
      <c r="BF390" s="85"/>
      <c r="BG390" s="85"/>
      <c r="BH390" s="85"/>
      <c r="BI390" s="85"/>
      <c r="BJ390" s="85"/>
      <c r="BK390" s="85"/>
      <c r="BL390" s="85"/>
      <c r="BM390" s="85"/>
      <c r="BN390" s="85"/>
      <c r="BO390" s="85"/>
      <c r="BP390" s="85"/>
      <c r="BQ390" s="85"/>
      <c r="BR390" s="85"/>
      <c r="BS390" s="85"/>
      <c r="BT390" s="85"/>
      <c r="BU390" s="85"/>
      <c r="BV390" s="85"/>
      <c r="BW390" s="85"/>
    </row>
    <row r="391" spans="52:75" x14ac:dyDescent="0.4">
      <c r="AZ391" s="46"/>
      <c r="BA391" s="85"/>
      <c r="BB391" s="85"/>
      <c r="BC391" s="85"/>
      <c r="BD391" s="85"/>
      <c r="BE391" s="85"/>
      <c r="BF391" s="85"/>
      <c r="BG391" s="85"/>
      <c r="BH391" s="85"/>
      <c r="BI391" s="85"/>
      <c r="BJ391" s="85"/>
      <c r="BK391" s="85"/>
      <c r="BL391" s="85"/>
      <c r="BM391" s="85"/>
      <c r="BN391" s="85"/>
      <c r="BO391" s="85"/>
      <c r="BP391" s="85"/>
      <c r="BQ391" s="85"/>
      <c r="BR391" s="85"/>
      <c r="BS391" s="85"/>
      <c r="BT391" s="85"/>
      <c r="BU391" s="85"/>
      <c r="BV391" s="85"/>
      <c r="BW391" s="85"/>
    </row>
    <row r="392" spans="52:75" x14ac:dyDescent="0.4">
      <c r="AZ392" s="46"/>
      <c r="BA392" s="85"/>
      <c r="BB392" s="85"/>
      <c r="BC392" s="85"/>
      <c r="BD392" s="85"/>
      <c r="BE392" s="85"/>
      <c r="BF392" s="85"/>
      <c r="BG392" s="85"/>
      <c r="BH392" s="85"/>
      <c r="BI392" s="85"/>
      <c r="BJ392" s="85"/>
      <c r="BK392" s="85"/>
      <c r="BL392" s="85"/>
      <c r="BM392" s="85"/>
      <c r="BN392" s="85"/>
      <c r="BO392" s="85"/>
      <c r="BP392" s="85"/>
      <c r="BQ392" s="85"/>
      <c r="BR392" s="85"/>
      <c r="BS392" s="85"/>
      <c r="BT392" s="85"/>
      <c r="BU392" s="85"/>
      <c r="BV392" s="85"/>
      <c r="BW392" s="85"/>
    </row>
    <row r="393" spans="52:75" x14ac:dyDescent="0.4">
      <c r="AZ393" s="46"/>
      <c r="BA393" s="85"/>
      <c r="BB393" s="85"/>
      <c r="BC393" s="85"/>
      <c r="BD393" s="85"/>
      <c r="BE393" s="85"/>
      <c r="BF393" s="85"/>
      <c r="BG393" s="85"/>
      <c r="BH393" s="85"/>
      <c r="BI393" s="85"/>
      <c r="BJ393" s="85"/>
      <c r="BK393" s="85"/>
      <c r="BL393" s="85"/>
      <c r="BM393" s="85"/>
      <c r="BN393" s="85"/>
      <c r="BO393" s="85"/>
      <c r="BP393" s="85"/>
      <c r="BQ393" s="85"/>
      <c r="BR393" s="85"/>
      <c r="BS393" s="85"/>
      <c r="BT393" s="85"/>
      <c r="BU393" s="85"/>
      <c r="BV393" s="85"/>
      <c r="BW393" s="85"/>
    </row>
    <row r="394" spans="52:75" x14ac:dyDescent="0.4">
      <c r="AZ394" s="46"/>
      <c r="BA394" s="85"/>
      <c r="BB394" s="85"/>
      <c r="BC394" s="85"/>
      <c r="BD394" s="85"/>
      <c r="BE394" s="85"/>
      <c r="BF394" s="85"/>
      <c r="BG394" s="85"/>
      <c r="BH394" s="85"/>
      <c r="BI394" s="85"/>
      <c r="BJ394" s="85"/>
      <c r="BK394" s="85"/>
      <c r="BL394" s="85"/>
      <c r="BM394" s="85"/>
      <c r="BN394" s="85"/>
      <c r="BO394" s="85"/>
      <c r="BP394" s="85"/>
      <c r="BQ394" s="85"/>
      <c r="BR394" s="85"/>
      <c r="BS394" s="85"/>
      <c r="BT394" s="85"/>
      <c r="BU394" s="85"/>
      <c r="BV394" s="85"/>
      <c r="BW394" s="85"/>
    </row>
    <row r="395" spans="52:75" x14ac:dyDescent="0.4">
      <c r="AZ395" s="46"/>
      <c r="BA395" s="85"/>
      <c r="BB395" s="85"/>
      <c r="BC395" s="85"/>
      <c r="BD395" s="85"/>
      <c r="BE395" s="85"/>
      <c r="BF395" s="85"/>
      <c r="BG395" s="85"/>
      <c r="BH395" s="85"/>
      <c r="BI395" s="85"/>
      <c r="BJ395" s="85"/>
      <c r="BK395" s="85"/>
      <c r="BL395" s="85"/>
      <c r="BM395" s="85"/>
      <c r="BN395" s="85"/>
      <c r="BO395" s="85"/>
      <c r="BP395" s="85"/>
      <c r="BQ395" s="85"/>
      <c r="BR395" s="85"/>
      <c r="BS395" s="85"/>
      <c r="BT395" s="85"/>
      <c r="BU395" s="85"/>
      <c r="BV395" s="85"/>
      <c r="BW395" s="85"/>
    </row>
    <row r="396" spans="52:75" x14ac:dyDescent="0.4">
      <c r="AZ396" s="46"/>
      <c r="BA396" s="85"/>
      <c r="BB396" s="85"/>
      <c r="BC396" s="85"/>
      <c r="BD396" s="85"/>
      <c r="BE396" s="85"/>
      <c r="BF396" s="85"/>
      <c r="BG396" s="85"/>
      <c r="BH396" s="85"/>
      <c r="BI396" s="85"/>
      <c r="BJ396" s="85"/>
      <c r="BK396" s="85"/>
      <c r="BL396" s="85"/>
      <c r="BM396" s="85"/>
      <c r="BN396" s="85"/>
      <c r="BO396" s="85"/>
      <c r="BP396" s="85"/>
      <c r="BQ396" s="85"/>
      <c r="BR396" s="85"/>
      <c r="BS396" s="85"/>
      <c r="BT396" s="85"/>
      <c r="BU396" s="85"/>
      <c r="BV396" s="85"/>
      <c r="BW396" s="85"/>
    </row>
    <row r="397" spans="52:75" x14ac:dyDescent="0.4">
      <c r="AZ397" s="46"/>
      <c r="BA397" s="85"/>
      <c r="BB397" s="85"/>
      <c r="BC397" s="85"/>
      <c r="BD397" s="85"/>
      <c r="BE397" s="85"/>
      <c r="BF397" s="85"/>
      <c r="BG397" s="85"/>
      <c r="BH397" s="85"/>
      <c r="BI397" s="85"/>
      <c r="BJ397" s="85"/>
      <c r="BK397" s="85"/>
      <c r="BL397" s="85"/>
      <c r="BM397" s="85"/>
      <c r="BN397" s="85"/>
      <c r="BO397" s="85"/>
      <c r="BP397" s="85"/>
      <c r="BQ397" s="85"/>
      <c r="BR397" s="85"/>
      <c r="BS397" s="85"/>
      <c r="BT397" s="85"/>
      <c r="BU397" s="85"/>
      <c r="BV397" s="85"/>
      <c r="BW397" s="85"/>
    </row>
    <row r="398" spans="52:75" x14ac:dyDescent="0.4">
      <c r="AZ398" s="46"/>
      <c r="BA398" s="85"/>
      <c r="BB398" s="85"/>
      <c r="BC398" s="85"/>
      <c r="BD398" s="85"/>
      <c r="BE398" s="85"/>
      <c r="BF398" s="85"/>
      <c r="BG398" s="85"/>
      <c r="BH398" s="85"/>
      <c r="BI398" s="85"/>
      <c r="BJ398" s="85"/>
      <c r="BK398" s="85"/>
      <c r="BL398" s="85"/>
      <c r="BM398" s="85"/>
      <c r="BN398" s="85"/>
      <c r="BO398" s="85"/>
      <c r="BP398" s="85"/>
      <c r="BQ398" s="85"/>
      <c r="BR398" s="85"/>
      <c r="BS398" s="85"/>
      <c r="BT398" s="85"/>
      <c r="BU398" s="85"/>
      <c r="BV398" s="85"/>
      <c r="BW398" s="85"/>
    </row>
    <row r="399" spans="52:75" x14ac:dyDescent="0.4">
      <c r="AZ399" s="46"/>
      <c r="BA399" s="85"/>
      <c r="BB399" s="85"/>
      <c r="BC399" s="85"/>
      <c r="BD399" s="85"/>
      <c r="BE399" s="85"/>
      <c r="BF399" s="85"/>
      <c r="BG399" s="85"/>
      <c r="BH399" s="85"/>
      <c r="BI399" s="85"/>
      <c r="BJ399" s="85"/>
      <c r="BK399" s="85"/>
      <c r="BL399" s="85"/>
      <c r="BM399" s="85"/>
      <c r="BN399" s="85"/>
      <c r="BO399" s="85"/>
      <c r="BP399" s="85"/>
      <c r="BQ399" s="85"/>
      <c r="BR399" s="85"/>
      <c r="BS399" s="85"/>
      <c r="BT399" s="85"/>
      <c r="BU399" s="85"/>
      <c r="BV399" s="85"/>
      <c r="BW399" s="85"/>
    </row>
    <row r="400" spans="52:75" x14ac:dyDescent="0.4">
      <c r="AZ400" s="46"/>
      <c r="BA400" s="85"/>
      <c r="BB400" s="85"/>
      <c r="BC400" s="85"/>
      <c r="BD400" s="85"/>
      <c r="BE400" s="85"/>
      <c r="BF400" s="85"/>
      <c r="BG400" s="85"/>
      <c r="BH400" s="85"/>
      <c r="BI400" s="85"/>
      <c r="BJ400" s="85"/>
      <c r="BK400" s="85"/>
      <c r="BL400" s="85"/>
      <c r="BM400" s="85"/>
      <c r="BN400" s="85"/>
      <c r="BO400" s="85"/>
      <c r="BP400" s="85"/>
      <c r="BQ400" s="85"/>
      <c r="BR400" s="85"/>
      <c r="BS400" s="85"/>
      <c r="BT400" s="85"/>
      <c r="BU400" s="85"/>
      <c r="BV400" s="85"/>
      <c r="BW400" s="85"/>
    </row>
    <row r="401" spans="52:75" x14ac:dyDescent="0.4">
      <c r="AZ401" s="46"/>
      <c r="BA401" s="85"/>
      <c r="BB401" s="85"/>
      <c r="BC401" s="85"/>
      <c r="BD401" s="85"/>
      <c r="BE401" s="85"/>
      <c r="BF401" s="85"/>
      <c r="BG401" s="85"/>
      <c r="BH401" s="85"/>
      <c r="BI401" s="85"/>
      <c r="BJ401" s="85"/>
      <c r="BK401" s="85"/>
      <c r="BL401" s="85"/>
      <c r="BM401" s="85"/>
      <c r="BN401" s="85"/>
      <c r="BO401" s="85"/>
      <c r="BP401" s="85"/>
      <c r="BQ401" s="85"/>
      <c r="BR401" s="85"/>
      <c r="BS401" s="85"/>
      <c r="BT401" s="85"/>
      <c r="BU401" s="85"/>
      <c r="BV401" s="85"/>
      <c r="BW401" s="85"/>
    </row>
    <row r="402" spans="52:75" x14ac:dyDescent="0.4">
      <c r="AZ402" s="46"/>
      <c r="BA402" s="85"/>
      <c r="BB402" s="85"/>
      <c r="BC402" s="85"/>
      <c r="BD402" s="85"/>
      <c r="BE402" s="85"/>
      <c r="BF402" s="85"/>
      <c r="BG402" s="85"/>
      <c r="BH402" s="85"/>
      <c r="BI402" s="85"/>
      <c r="BJ402" s="85"/>
      <c r="BK402" s="85"/>
      <c r="BL402" s="85"/>
      <c r="BM402" s="85"/>
      <c r="BN402" s="85"/>
      <c r="BO402" s="85"/>
      <c r="BP402" s="85"/>
      <c r="BQ402" s="85"/>
      <c r="BR402" s="85"/>
      <c r="BS402" s="85"/>
      <c r="BT402" s="85"/>
      <c r="BU402" s="85"/>
      <c r="BV402" s="85"/>
      <c r="BW402" s="85"/>
    </row>
    <row r="403" spans="52:75" x14ac:dyDescent="0.4">
      <c r="AZ403" s="46"/>
      <c r="BA403" s="85"/>
      <c r="BB403" s="85"/>
      <c r="BC403" s="85"/>
      <c r="BD403" s="85"/>
      <c r="BE403" s="85"/>
      <c r="BF403" s="85"/>
      <c r="BG403" s="85"/>
      <c r="BH403" s="85"/>
      <c r="BI403" s="85"/>
      <c r="BJ403" s="85"/>
      <c r="BK403" s="85"/>
      <c r="BL403" s="85"/>
      <c r="BM403" s="85"/>
      <c r="BN403" s="85"/>
      <c r="BO403" s="85"/>
      <c r="BP403" s="85"/>
      <c r="BQ403" s="85"/>
      <c r="BR403" s="85"/>
      <c r="BS403" s="85"/>
      <c r="BT403" s="85"/>
      <c r="BU403" s="85"/>
      <c r="BV403" s="85"/>
      <c r="BW403" s="85"/>
    </row>
    <row r="404" spans="52:75" x14ac:dyDescent="0.4">
      <c r="AZ404" s="46"/>
      <c r="BA404" s="85"/>
      <c r="BB404" s="85"/>
      <c r="BC404" s="85"/>
      <c r="BD404" s="85"/>
      <c r="BE404" s="85"/>
      <c r="BF404" s="85"/>
      <c r="BG404" s="85"/>
      <c r="BH404" s="85"/>
      <c r="BI404" s="85"/>
      <c r="BJ404" s="85"/>
      <c r="BK404" s="85"/>
      <c r="BL404" s="85"/>
      <c r="BM404" s="85"/>
      <c r="BN404" s="85"/>
      <c r="BO404" s="85"/>
      <c r="BP404" s="85"/>
      <c r="BQ404" s="85"/>
      <c r="BR404" s="85"/>
      <c r="BS404" s="85"/>
      <c r="BT404" s="85"/>
      <c r="BU404" s="85"/>
      <c r="BV404" s="85"/>
      <c r="BW404" s="85"/>
    </row>
    <row r="405" spans="52:75" x14ac:dyDescent="0.4">
      <c r="AZ405" s="46"/>
      <c r="BA405" s="85"/>
      <c r="BB405" s="85"/>
      <c r="BC405" s="85"/>
      <c r="BD405" s="85"/>
      <c r="BE405" s="85"/>
      <c r="BF405" s="85"/>
      <c r="BG405" s="85"/>
      <c r="BH405" s="85"/>
      <c r="BI405" s="85"/>
      <c r="BJ405" s="85"/>
      <c r="BK405" s="85"/>
      <c r="BL405" s="85"/>
      <c r="BM405" s="85"/>
      <c r="BN405" s="85"/>
      <c r="BO405" s="85"/>
      <c r="BP405" s="85"/>
      <c r="BQ405" s="85"/>
      <c r="BR405" s="85"/>
      <c r="BS405" s="85"/>
      <c r="BT405" s="85"/>
      <c r="BU405" s="85"/>
      <c r="BV405" s="85"/>
      <c r="BW405" s="85"/>
    </row>
    <row r="406" spans="52:75" x14ac:dyDescent="0.4">
      <c r="AZ406" s="46"/>
      <c r="BA406" s="85"/>
      <c r="BB406" s="85"/>
      <c r="BC406" s="85"/>
      <c r="BD406" s="85"/>
      <c r="BE406" s="85"/>
      <c r="BF406" s="85"/>
      <c r="BG406" s="85"/>
      <c r="BH406" s="85"/>
      <c r="BI406" s="85"/>
      <c r="BJ406" s="85"/>
      <c r="BK406" s="85"/>
      <c r="BL406" s="85"/>
      <c r="BM406" s="85"/>
      <c r="BN406" s="85"/>
      <c r="BO406" s="85"/>
      <c r="BP406" s="85"/>
      <c r="BQ406" s="85"/>
      <c r="BR406" s="85"/>
      <c r="BS406" s="85"/>
      <c r="BT406" s="85"/>
      <c r="BU406" s="85"/>
      <c r="BV406" s="85"/>
      <c r="BW406" s="85"/>
    </row>
    <row r="407" spans="52:75" x14ac:dyDescent="0.4">
      <c r="AZ407" s="46"/>
      <c r="BA407" s="85"/>
      <c r="BB407" s="85"/>
      <c r="BC407" s="85"/>
      <c r="BD407" s="85"/>
      <c r="BE407" s="85"/>
      <c r="BF407" s="85"/>
      <c r="BG407" s="85"/>
      <c r="BH407" s="85"/>
      <c r="BI407" s="85"/>
      <c r="BJ407" s="85"/>
      <c r="BK407" s="85"/>
      <c r="BL407" s="85"/>
      <c r="BM407" s="85"/>
      <c r="BN407" s="85"/>
      <c r="BO407" s="85"/>
      <c r="BP407" s="85"/>
      <c r="BQ407" s="85"/>
      <c r="BR407" s="85"/>
      <c r="BS407" s="85"/>
      <c r="BT407" s="85"/>
      <c r="BU407" s="85"/>
      <c r="BV407" s="85"/>
      <c r="BW407" s="85"/>
    </row>
    <row r="408" spans="52:75" x14ac:dyDescent="0.4">
      <c r="AZ408" s="46"/>
      <c r="BA408" s="85"/>
      <c r="BB408" s="85"/>
      <c r="BC408" s="85"/>
      <c r="BD408" s="85"/>
      <c r="BE408" s="85"/>
      <c r="BF408" s="85"/>
      <c r="BG408" s="85"/>
      <c r="BH408" s="85"/>
      <c r="BI408" s="85"/>
      <c r="BJ408" s="85"/>
      <c r="BK408" s="85"/>
      <c r="BL408" s="85"/>
      <c r="BM408" s="85"/>
      <c r="BN408" s="85"/>
      <c r="BO408" s="85"/>
      <c r="BP408" s="85"/>
      <c r="BQ408" s="85"/>
      <c r="BR408" s="85"/>
      <c r="BS408" s="85"/>
      <c r="BT408" s="85"/>
      <c r="BU408" s="85"/>
      <c r="BV408" s="85"/>
      <c r="BW408" s="85"/>
    </row>
    <row r="409" spans="52:75" x14ac:dyDescent="0.4">
      <c r="AZ409" s="46"/>
      <c r="BA409" s="85"/>
      <c r="BB409" s="85"/>
      <c r="BC409" s="85"/>
      <c r="BD409" s="85"/>
      <c r="BE409" s="85"/>
      <c r="BF409" s="85"/>
      <c r="BG409" s="85"/>
      <c r="BH409" s="85"/>
      <c r="BI409" s="85"/>
      <c r="BJ409" s="85"/>
      <c r="BK409" s="85"/>
      <c r="BL409" s="85"/>
      <c r="BM409" s="85"/>
      <c r="BN409" s="85"/>
      <c r="BO409" s="85"/>
      <c r="BP409" s="85"/>
      <c r="BQ409" s="85"/>
      <c r="BR409" s="85"/>
      <c r="BS409" s="85"/>
      <c r="BT409" s="85"/>
      <c r="BU409" s="85"/>
      <c r="BV409" s="85"/>
      <c r="BW409" s="85"/>
    </row>
    <row r="410" spans="52:75" x14ac:dyDescent="0.4">
      <c r="AZ410" s="46"/>
      <c r="BA410" s="85"/>
      <c r="BB410" s="85"/>
      <c r="BC410" s="85"/>
      <c r="BD410" s="85"/>
      <c r="BE410" s="85"/>
      <c r="BF410" s="85"/>
      <c r="BG410" s="85"/>
      <c r="BH410" s="85"/>
      <c r="BI410" s="85"/>
      <c r="BJ410" s="85"/>
      <c r="BK410" s="85"/>
      <c r="BL410" s="85"/>
      <c r="BM410" s="85"/>
      <c r="BN410" s="85"/>
      <c r="BO410" s="85"/>
      <c r="BP410" s="85"/>
      <c r="BQ410" s="85"/>
      <c r="BR410" s="85"/>
      <c r="BS410" s="85"/>
      <c r="BT410" s="85"/>
      <c r="BU410" s="85"/>
      <c r="BV410" s="85"/>
      <c r="BW410" s="85"/>
    </row>
    <row r="411" spans="52:75" x14ac:dyDescent="0.4">
      <c r="AZ411" s="46"/>
      <c r="BA411" s="85"/>
      <c r="BB411" s="85"/>
      <c r="BC411" s="85"/>
      <c r="BD411" s="85"/>
      <c r="BE411" s="85"/>
      <c r="BF411" s="85"/>
      <c r="BG411" s="85"/>
      <c r="BH411" s="85"/>
      <c r="BI411" s="85"/>
      <c r="BJ411" s="85"/>
      <c r="BK411" s="85"/>
      <c r="BL411" s="85"/>
      <c r="BM411" s="85"/>
      <c r="BN411" s="85"/>
      <c r="BO411" s="85"/>
      <c r="BP411" s="85"/>
      <c r="BQ411" s="85"/>
      <c r="BR411" s="85"/>
      <c r="BS411" s="85"/>
      <c r="BT411" s="85"/>
      <c r="BU411" s="85"/>
      <c r="BV411" s="85"/>
      <c r="BW411" s="85"/>
    </row>
    <row r="412" spans="52:75" x14ac:dyDescent="0.4">
      <c r="AZ412" s="46"/>
      <c r="BA412" s="85"/>
      <c r="BB412" s="85"/>
      <c r="BC412" s="85"/>
      <c r="BD412" s="85"/>
      <c r="BE412" s="85"/>
      <c r="BF412" s="85"/>
      <c r="BG412" s="85"/>
      <c r="BH412" s="85"/>
      <c r="BI412" s="85"/>
      <c r="BJ412" s="85"/>
      <c r="BK412" s="85"/>
      <c r="BL412" s="85"/>
      <c r="BM412" s="85"/>
      <c r="BN412" s="85"/>
      <c r="BO412" s="85"/>
      <c r="BP412" s="85"/>
      <c r="BQ412" s="85"/>
      <c r="BR412" s="85"/>
      <c r="BS412" s="85"/>
      <c r="BT412" s="85"/>
      <c r="BU412" s="85"/>
      <c r="BV412" s="85"/>
      <c r="BW412" s="85"/>
    </row>
    <row r="413" spans="52:75" x14ac:dyDescent="0.4">
      <c r="AZ413" s="46"/>
      <c r="BA413" s="85"/>
      <c r="BB413" s="85"/>
      <c r="BC413" s="85"/>
      <c r="BD413" s="85"/>
      <c r="BE413" s="85"/>
      <c r="BF413" s="85"/>
      <c r="BG413" s="85"/>
      <c r="BH413" s="85"/>
      <c r="BI413" s="85"/>
      <c r="BJ413" s="85"/>
      <c r="BK413" s="85"/>
      <c r="BL413" s="85"/>
      <c r="BM413" s="85"/>
      <c r="BN413" s="85"/>
      <c r="BO413" s="85"/>
      <c r="BP413" s="85"/>
      <c r="BQ413" s="85"/>
      <c r="BR413" s="85"/>
      <c r="BS413" s="85"/>
      <c r="BT413" s="85"/>
      <c r="BU413" s="85"/>
      <c r="BV413" s="85"/>
      <c r="BW413" s="85"/>
    </row>
    <row r="414" spans="52:75" x14ac:dyDescent="0.4">
      <c r="AZ414" s="46"/>
      <c r="BA414" s="85"/>
      <c r="BB414" s="85"/>
      <c r="BC414" s="85"/>
      <c r="BD414" s="85"/>
      <c r="BE414" s="85"/>
      <c r="BF414" s="85"/>
      <c r="BG414" s="85"/>
      <c r="BH414" s="85"/>
      <c r="BI414" s="85"/>
      <c r="BJ414" s="85"/>
      <c r="BK414" s="85"/>
      <c r="BL414" s="85"/>
      <c r="BM414" s="85"/>
      <c r="BN414" s="85"/>
      <c r="BO414" s="85"/>
      <c r="BP414" s="85"/>
      <c r="BQ414" s="85"/>
      <c r="BR414" s="85"/>
      <c r="BS414" s="85"/>
      <c r="BT414" s="85"/>
      <c r="BU414" s="85"/>
      <c r="BV414" s="85"/>
      <c r="BW414" s="85"/>
    </row>
    <row r="415" spans="52:75" x14ac:dyDescent="0.4">
      <c r="AZ415" s="46"/>
      <c r="BA415" s="85"/>
      <c r="BB415" s="85"/>
      <c r="BC415" s="85"/>
      <c r="BD415" s="85"/>
      <c r="BE415" s="85"/>
      <c r="BF415" s="85"/>
      <c r="BG415" s="85"/>
      <c r="BH415" s="85"/>
      <c r="BI415" s="85"/>
      <c r="BJ415" s="85"/>
      <c r="BK415" s="85"/>
      <c r="BL415" s="85"/>
      <c r="BM415" s="85"/>
      <c r="BN415" s="85"/>
      <c r="BO415" s="85"/>
      <c r="BP415" s="85"/>
      <c r="BQ415" s="85"/>
      <c r="BR415" s="85"/>
      <c r="BS415" s="85"/>
      <c r="BT415" s="85"/>
      <c r="BU415" s="85"/>
      <c r="BV415" s="85"/>
      <c r="BW415" s="85"/>
    </row>
    <row r="416" spans="52:75" x14ac:dyDescent="0.4">
      <c r="AZ416" s="46"/>
      <c r="BA416" s="85"/>
      <c r="BB416" s="85"/>
      <c r="BC416" s="85"/>
      <c r="BD416" s="85"/>
      <c r="BE416" s="85"/>
      <c r="BF416" s="85"/>
      <c r="BG416" s="85"/>
      <c r="BH416" s="85"/>
      <c r="BI416" s="85"/>
      <c r="BJ416" s="85"/>
      <c r="BK416" s="85"/>
      <c r="BL416" s="85"/>
      <c r="BM416" s="85"/>
      <c r="BN416" s="85"/>
      <c r="BO416" s="85"/>
      <c r="BP416" s="85"/>
      <c r="BQ416" s="85"/>
      <c r="BR416" s="85"/>
      <c r="BS416" s="85"/>
      <c r="BT416" s="85"/>
      <c r="BU416" s="85"/>
      <c r="BV416" s="85"/>
      <c r="BW416" s="85"/>
    </row>
    <row r="417" spans="52:75" x14ac:dyDescent="0.4">
      <c r="AZ417" s="46"/>
      <c r="BA417" s="85"/>
      <c r="BB417" s="85"/>
      <c r="BC417" s="85"/>
      <c r="BD417" s="85"/>
      <c r="BE417" s="85"/>
      <c r="BF417" s="85"/>
      <c r="BG417" s="85"/>
      <c r="BH417" s="85"/>
      <c r="BI417" s="85"/>
      <c r="BJ417" s="85"/>
      <c r="BK417" s="85"/>
      <c r="BL417" s="85"/>
      <c r="BM417" s="85"/>
      <c r="BN417" s="85"/>
      <c r="BO417" s="85"/>
      <c r="BP417" s="85"/>
      <c r="BQ417" s="85"/>
      <c r="BR417" s="85"/>
      <c r="BS417" s="85"/>
      <c r="BT417" s="85"/>
      <c r="BU417" s="85"/>
      <c r="BV417" s="85"/>
      <c r="BW417" s="85"/>
    </row>
    <row r="418" spans="52:75" x14ac:dyDescent="0.4">
      <c r="AZ418" s="46"/>
      <c r="BA418" s="85"/>
      <c r="BB418" s="85"/>
      <c r="BC418" s="85"/>
      <c r="BD418" s="85"/>
      <c r="BE418" s="85"/>
      <c r="BF418" s="85"/>
      <c r="BG418" s="85"/>
      <c r="BH418" s="85"/>
      <c r="BI418" s="85"/>
      <c r="BJ418" s="85"/>
      <c r="BK418" s="85"/>
      <c r="BL418" s="85"/>
      <c r="BM418" s="85"/>
      <c r="BN418" s="85"/>
      <c r="BO418" s="85"/>
      <c r="BP418" s="85"/>
      <c r="BQ418" s="85"/>
      <c r="BR418" s="85"/>
      <c r="BS418" s="85"/>
      <c r="BT418" s="85"/>
      <c r="BU418" s="85"/>
      <c r="BV418" s="85"/>
      <c r="BW418" s="85"/>
    </row>
    <row r="419" spans="52:75" x14ac:dyDescent="0.4">
      <c r="AZ419" s="46"/>
      <c r="BA419" s="85"/>
      <c r="BB419" s="85"/>
      <c r="BC419" s="85"/>
      <c r="BD419" s="85"/>
      <c r="BE419" s="85"/>
      <c r="BF419" s="85"/>
      <c r="BG419" s="85"/>
      <c r="BH419" s="85"/>
      <c r="BI419" s="85"/>
      <c r="BJ419" s="85"/>
      <c r="BK419" s="85"/>
      <c r="BL419" s="85"/>
      <c r="BM419" s="85"/>
      <c r="BN419" s="85"/>
      <c r="BO419" s="85"/>
      <c r="BP419" s="85"/>
      <c r="BQ419" s="85"/>
      <c r="BR419" s="85"/>
      <c r="BS419" s="85"/>
      <c r="BT419" s="85"/>
      <c r="BU419" s="85"/>
      <c r="BV419" s="85"/>
      <c r="BW419" s="85"/>
    </row>
    <row r="420" spans="52:75" x14ac:dyDescent="0.4">
      <c r="AZ420" s="46"/>
      <c r="BA420" s="85"/>
      <c r="BB420" s="85"/>
      <c r="BC420" s="85"/>
      <c r="BD420" s="85"/>
      <c r="BE420" s="85"/>
      <c r="BF420" s="85"/>
      <c r="BG420" s="85"/>
      <c r="BH420" s="85"/>
      <c r="BI420" s="85"/>
      <c r="BJ420" s="85"/>
      <c r="BK420" s="85"/>
      <c r="BL420" s="85"/>
      <c r="BM420" s="85"/>
      <c r="BN420" s="85"/>
      <c r="BO420" s="85"/>
      <c r="BP420" s="85"/>
      <c r="BQ420" s="85"/>
      <c r="BR420" s="85"/>
      <c r="BS420" s="85"/>
      <c r="BT420" s="85"/>
      <c r="BU420" s="85"/>
      <c r="BV420" s="85"/>
      <c r="BW420" s="85"/>
    </row>
    <row r="421" spans="52:75" x14ac:dyDescent="0.4">
      <c r="AZ421" s="46"/>
      <c r="BA421" s="85"/>
      <c r="BB421" s="85"/>
      <c r="BC421" s="85"/>
      <c r="BD421" s="85"/>
      <c r="BE421" s="85"/>
      <c r="BF421" s="85"/>
      <c r="BG421" s="85"/>
      <c r="BH421" s="85"/>
      <c r="BI421" s="85"/>
      <c r="BJ421" s="85"/>
      <c r="BK421" s="85"/>
      <c r="BL421" s="85"/>
      <c r="BM421" s="85"/>
      <c r="BN421" s="85"/>
      <c r="BO421" s="85"/>
      <c r="BP421" s="85"/>
      <c r="BQ421" s="85"/>
      <c r="BR421" s="85"/>
      <c r="BS421" s="85"/>
      <c r="BT421" s="85"/>
      <c r="BU421" s="85"/>
      <c r="BV421" s="85"/>
      <c r="BW421" s="85"/>
    </row>
    <row r="422" spans="52:75" x14ac:dyDescent="0.4">
      <c r="AZ422" s="46"/>
      <c r="BA422" s="85"/>
      <c r="BB422" s="85"/>
      <c r="BC422" s="85"/>
      <c r="BD422" s="85"/>
      <c r="BE422" s="85"/>
      <c r="BF422" s="85"/>
      <c r="BG422" s="85"/>
      <c r="BH422" s="85"/>
      <c r="BI422" s="85"/>
      <c r="BJ422" s="85"/>
      <c r="BK422" s="85"/>
      <c r="BL422" s="85"/>
      <c r="BM422" s="85"/>
      <c r="BN422" s="85"/>
      <c r="BO422" s="85"/>
      <c r="BP422" s="85"/>
      <c r="BQ422" s="85"/>
      <c r="BR422" s="85"/>
      <c r="BS422" s="85"/>
      <c r="BT422" s="85"/>
      <c r="BU422" s="85"/>
      <c r="BV422" s="85"/>
      <c r="BW422" s="85"/>
    </row>
    <row r="423" spans="52:75" x14ac:dyDescent="0.4">
      <c r="AZ423" s="46"/>
      <c r="BA423" s="85"/>
      <c r="BB423" s="85"/>
      <c r="BC423" s="85"/>
      <c r="BD423" s="85"/>
      <c r="BE423" s="85"/>
      <c r="BF423" s="85"/>
      <c r="BG423" s="85"/>
      <c r="BH423" s="85"/>
      <c r="BI423" s="85"/>
      <c r="BJ423" s="85"/>
      <c r="BK423" s="85"/>
      <c r="BL423" s="85"/>
      <c r="BM423" s="85"/>
      <c r="BN423" s="85"/>
      <c r="BO423" s="85"/>
      <c r="BP423" s="85"/>
      <c r="BQ423" s="85"/>
      <c r="BR423" s="85"/>
      <c r="BS423" s="85"/>
      <c r="BT423" s="85"/>
      <c r="BU423" s="85"/>
      <c r="BV423" s="85"/>
      <c r="BW423" s="85"/>
    </row>
    <row r="424" spans="52:75" x14ac:dyDescent="0.4">
      <c r="AZ424" s="46"/>
      <c r="BA424" s="85"/>
      <c r="BB424" s="85"/>
      <c r="BC424" s="85"/>
      <c r="BD424" s="85"/>
      <c r="BE424" s="85"/>
      <c r="BF424" s="85"/>
      <c r="BG424" s="85"/>
      <c r="BH424" s="85"/>
      <c r="BI424" s="85"/>
      <c r="BJ424" s="85"/>
      <c r="BK424" s="85"/>
      <c r="BL424" s="85"/>
      <c r="BM424" s="85"/>
      <c r="BN424" s="85"/>
      <c r="BO424" s="85"/>
      <c r="BP424" s="85"/>
      <c r="BQ424" s="85"/>
      <c r="BR424" s="85"/>
      <c r="BS424" s="85"/>
      <c r="BT424" s="85"/>
      <c r="BU424" s="85"/>
      <c r="BV424" s="85"/>
      <c r="BW424" s="85"/>
    </row>
    <row r="425" spans="52:75" x14ac:dyDescent="0.4">
      <c r="AZ425" s="46"/>
      <c r="BA425" s="85"/>
      <c r="BB425" s="85"/>
      <c r="BC425" s="85"/>
      <c r="BD425" s="85"/>
      <c r="BE425" s="85"/>
      <c r="BF425" s="85"/>
      <c r="BG425" s="85"/>
      <c r="BH425" s="85"/>
      <c r="BI425" s="85"/>
      <c r="BJ425" s="85"/>
      <c r="BK425" s="85"/>
      <c r="BL425" s="85"/>
      <c r="BM425" s="85"/>
      <c r="BN425" s="85"/>
      <c r="BO425" s="85"/>
      <c r="BP425" s="85"/>
      <c r="BQ425" s="85"/>
      <c r="BR425" s="85"/>
      <c r="BS425" s="85"/>
      <c r="BT425" s="85"/>
      <c r="BU425" s="85"/>
      <c r="BV425" s="85"/>
      <c r="BW425" s="85"/>
    </row>
    <row r="426" spans="52:75" x14ac:dyDescent="0.4">
      <c r="AZ426" s="46"/>
      <c r="BA426" s="85"/>
      <c r="BB426" s="85"/>
      <c r="BC426" s="85"/>
      <c r="BD426" s="85"/>
      <c r="BE426" s="85"/>
      <c r="BF426" s="85"/>
      <c r="BG426" s="85"/>
      <c r="BH426" s="85"/>
      <c r="BI426" s="85"/>
      <c r="BJ426" s="85"/>
      <c r="BK426" s="85"/>
      <c r="BL426" s="85"/>
      <c r="BM426" s="85"/>
      <c r="BN426" s="85"/>
      <c r="BO426" s="85"/>
      <c r="BP426" s="85"/>
      <c r="BQ426" s="85"/>
      <c r="BR426" s="85"/>
      <c r="BS426" s="85"/>
      <c r="BT426" s="85"/>
      <c r="BU426" s="85"/>
      <c r="BV426" s="85"/>
      <c r="BW426" s="8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66541-189D-45CD-8746-84BEC366CC88}">
  <sheetPr codeName="Sheet9"/>
  <dimension ref="A1:R320"/>
  <sheetViews>
    <sheetView topLeftCell="A282" workbookViewId="0">
      <selection activeCell="I318" sqref="I318"/>
    </sheetView>
  </sheetViews>
  <sheetFormatPr defaultRowHeight="12.3" x14ac:dyDescent="0.4"/>
  <cols>
    <col min="2" max="2" width="9.609375" customWidth="1"/>
    <col min="11" max="11" width="12" bestFit="1" customWidth="1"/>
  </cols>
  <sheetData>
    <row r="1" spans="1:17" ht="12.9" x14ac:dyDescent="0.5">
      <c r="A1" s="75" t="s">
        <v>219</v>
      </c>
    </row>
    <row r="2" spans="1:17" x14ac:dyDescent="0.4">
      <c r="A2" s="75"/>
    </row>
    <row r="3" spans="1:17" x14ac:dyDescent="0.4">
      <c r="C3" s="47" t="s">
        <v>46</v>
      </c>
      <c r="D3" s="47" t="s">
        <v>47</v>
      </c>
      <c r="E3" s="47" t="s">
        <v>48</v>
      </c>
    </row>
    <row r="4" spans="1:17" x14ac:dyDescent="0.4">
      <c r="B4" s="48" t="s">
        <v>214</v>
      </c>
      <c r="C4" s="33">
        <f>'Exposure Scenario'!I13*'Exposure Scenario'!J13</f>
        <v>9</v>
      </c>
      <c r="D4">
        <f>'Exposure Scenario'!I14*'Exposure Scenario'!J14</f>
        <v>25</v>
      </c>
      <c r="E4" s="33">
        <f>'Exposure Scenario'!I15*'Exposure Scenario'!J15</f>
        <v>49.998000000000005</v>
      </c>
      <c r="F4" s="48" t="s">
        <v>212</v>
      </c>
      <c r="G4" s="25">
        <f>(0.72*C4-3.2)/(0.98*C4+1.4)</f>
        <v>0.3209393346379647</v>
      </c>
      <c r="H4" s="25">
        <f>(0.72*D4-3.2)/(0.98*D4+1.4)</f>
        <v>0.57142857142857151</v>
      </c>
      <c r="I4" s="25">
        <f>(0.72*E4-3.2)/(0.98*E4+1.4)</f>
        <v>0.65079038788016363</v>
      </c>
      <c r="J4" t="s">
        <v>222</v>
      </c>
    </row>
    <row r="5" spans="1:17" x14ac:dyDescent="0.4">
      <c r="F5" s="48" t="s">
        <v>213</v>
      </c>
      <c r="G5" s="25">
        <f>1-G4</f>
        <v>0.67906066536203524</v>
      </c>
      <c r="H5" s="25">
        <f t="shared" ref="H5:I5" si="0">1-H4</f>
        <v>0.42857142857142849</v>
      </c>
      <c r="I5" s="25">
        <f t="shared" si="0"/>
        <v>0.34920961211983637</v>
      </c>
      <c r="J5" t="s">
        <v>223</v>
      </c>
    </row>
    <row r="7" spans="1:17" ht="13.8" x14ac:dyDescent="0.4">
      <c r="B7" s="48" t="s">
        <v>119</v>
      </c>
      <c r="C7" s="25">
        <f>'Exposure Scenario'!C12</f>
        <v>3.25</v>
      </c>
      <c r="D7" s="25">
        <f>'Exposure Scenario'!C21</f>
        <v>3.25</v>
      </c>
      <c r="E7" s="25">
        <f>'Exposure Scenario'!C30</f>
        <v>3.25</v>
      </c>
    </row>
    <row r="8" spans="1:17" ht="12.9" x14ac:dyDescent="0.5">
      <c r="K8" s="47" t="s">
        <v>224</v>
      </c>
      <c r="O8" s="47" t="s">
        <v>225</v>
      </c>
    </row>
    <row r="9" spans="1:17" ht="14.4" x14ac:dyDescent="0.5">
      <c r="C9" s="48" t="s">
        <v>23</v>
      </c>
      <c r="D9" s="48" t="s">
        <v>23</v>
      </c>
      <c r="E9" s="48" t="s">
        <v>23</v>
      </c>
      <c r="G9" s="47" t="s">
        <v>215</v>
      </c>
      <c r="K9" s="47" t="s">
        <v>217</v>
      </c>
      <c r="O9" s="47" t="s">
        <v>217</v>
      </c>
    </row>
    <row r="10" spans="1:17" ht="12.9" x14ac:dyDescent="0.5">
      <c r="A10" s="7" t="str">
        <f>Dose!B12</f>
        <v>Dp</v>
      </c>
      <c r="B10" s="48" t="s">
        <v>211</v>
      </c>
      <c r="C10" s="48" t="s">
        <v>218</v>
      </c>
      <c r="D10" s="48" t="s">
        <v>218</v>
      </c>
      <c r="E10" s="48" t="s">
        <v>218</v>
      </c>
    </row>
    <row r="11" spans="1:17" x14ac:dyDescent="0.4">
      <c r="A11">
        <f>Dose!B13</f>
        <v>5.4339016042139802E-2</v>
      </c>
      <c r="B11" t="b">
        <f>A11&gt;100</f>
        <v>0</v>
      </c>
      <c r="C11">
        <f t="shared" ref="C11:E75" si="1">IF($B11,$A11*SQRT(C$7),0)</f>
        <v>0</v>
      </c>
      <c r="D11">
        <f t="shared" ref="D11:E26" si="2">IF($B11,$A11*SQRT(D$7),0)</f>
        <v>0</v>
      </c>
      <c r="E11">
        <f t="shared" si="2"/>
        <v>0</v>
      </c>
      <c r="G11" s="46">
        <f>IF(C11&gt;0,G$5*(1-1/(1+EXP(10.32)*(C11^(0.4343*-7.17))))+G$4*(1+0.44)/(1+0.44*EXP(0.0195*C11)),0)</f>
        <v>0</v>
      </c>
      <c r="H11" s="46">
        <f t="shared" ref="H11:H74" si="3">IF(D11&gt;0,H$5*(1-1/(1+EXP(10.32)*(D11^(0.4343*-7.17))))+H$4*(1+0.44)/(1+0.44*EXP(0.0195*D11)),0)</f>
        <v>0</v>
      </c>
      <c r="I11" s="46">
        <f t="shared" ref="I11:I74" si="4">IF(E11&gt;0,I$5*(1-1/(1+EXP(10.32)*(E11^(0.4343*-7.17))))+I$4*(1+0.44)/(1+0.44*EXP(0.0195*E11)),0)</f>
        <v>0</v>
      </c>
      <c r="K11" s="46">
        <f>IF(B11,Dose!E13,0)</f>
        <v>0</v>
      </c>
      <c r="L11" s="46">
        <f>IF(C11,Dose!F13,0)</f>
        <v>0</v>
      </c>
      <c r="M11" s="46">
        <f>IF(D11,Dose!G13,0)</f>
        <v>0</v>
      </c>
      <c r="O11">
        <f>G11*K11</f>
        <v>0</v>
      </c>
      <c r="P11">
        <f t="shared" ref="P11:Q11" si="5">H11*L11</f>
        <v>0</v>
      </c>
      <c r="Q11">
        <f t="shared" si="5"/>
        <v>0</v>
      </c>
    </row>
    <row r="12" spans="1:17" x14ac:dyDescent="0.4">
      <c r="A12">
        <f>Dose!B14</f>
        <v>5.6245220795161463E-2</v>
      </c>
      <c r="B12" t="b">
        <f t="shared" ref="B12:B75" si="6">A12&gt;100</f>
        <v>0</v>
      </c>
      <c r="C12">
        <f t="shared" si="1"/>
        <v>0</v>
      </c>
      <c r="D12">
        <f t="shared" si="2"/>
        <v>0</v>
      </c>
      <c r="E12">
        <f t="shared" si="2"/>
        <v>0</v>
      </c>
      <c r="G12" s="46">
        <f t="shared" ref="G12:G75" si="7">IF(C12&gt;0,G$5*(1-1/(1+EXP(10.32)*(C12^(0.4343*-7.17))))+G$4*(1+0.44)/(1+0.44*EXP(0.0195*C12)),0)</f>
        <v>0</v>
      </c>
      <c r="H12" s="46">
        <f t="shared" si="3"/>
        <v>0</v>
      </c>
      <c r="I12" s="46">
        <f t="shared" si="4"/>
        <v>0</v>
      </c>
      <c r="K12" s="46">
        <f>IF(B12,Dose!E14,0)</f>
        <v>0</v>
      </c>
      <c r="L12" s="46">
        <f>IF(C12,Dose!F14,0)</f>
        <v>0</v>
      </c>
      <c r="M12" s="46">
        <f>IF(D12,Dose!G14,0)</f>
        <v>0</v>
      </c>
      <c r="O12">
        <f t="shared" ref="O12:O75" si="8">G12*K12</f>
        <v>0</v>
      </c>
      <c r="P12">
        <f t="shared" ref="P12:P75" si="9">H12*L12</f>
        <v>0</v>
      </c>
      <c r="Q12">
        <f t="shared" ref="Q12:Q75" si="10">I12*M12</f>
        <v>0</v>
      </c>
    </row>
    <row r="13" spans="1:17" x14ac:dyDescent="0.4">
      <c r="A13">
        <f>Dose!B15</f>
        <v>5.8218294932745107E-2</v>
      </c>
      <c r="B13" t="b">
        <f t="shared" si="6"/>
        <v>0</v>
      </c>
      <c r="C13">
        <f t="shared" si="1"/>
        <v>0</v>
      </c>
      <c r="D13">
        <f t="shared" si="2"/>
        <v>0</v>
      </c>
      <c r="E13">
        <f t="shared" si="2"/>
        <v>0</v>
      </c>
      <c r="G13" s="46">
        <f t="shared" si="7"/>
        <v>0</v>
      </c>
      <c r="H13" s="46">
        <f t="shared" si="3"/>
        <v>0</v>
      </c>
      <c r="I13" s="46">
        <f t="shared" si="4"/>
        <v>0</v>
      </c>
      <c r="K13" s="46">
        <f>IF(B13,Dose!E15,0)</f>
        <v>0</v>
      </c>
      <c r="L13" s="46">
        <f>IF(C13,Dose!F15,0)</f>
        <v>0</v>
      </c>
      <c r="M13" s="46">
        <f>IF(D13,Dose!G15,0)</f>
        <v>0</v>
      </c>
      <c r="O13">
        <f t="shared" si="8"/>
        <v>0</v>
      </c>
      <c r="P13">
        <f t="shared" si="9"/>
        <v>0</v>
      </c>
      <c r="Q13">
        <f t="shared" si="10"/>
        <v>0</v>
      </c>
    </row>
    <row r="14" spans="1:17" x14ac:dyDescent="0.4">
      <c r="A14">
        <f>Dose!B16</f>
        <v>6.0260584223142885E-2</v>
      </c>
      <c r="B14" t="b">
        <f t="shared" si="6"/>
        <v>0</v>
      </c>
      <c r="C14">
        <f t="shared" si="1"/>
        <v>0</v>
      </c>
      <c r="D14">
        <f t="shared" si="2"/>
        <v>0</v>
      </c>
      <c r="E14">
        <f t="shared" si="2"/>
        <v>0</v>
      </c>
      <c r="G14" s="46">
        <f t="shared" si="7"/>
        <v>0</v>
      </c>
      <c r="H14" s="46">
        <f t="shared" si="3"/>
        <v>0</v>
      </c>
      <c r="I14" s="46">
        <f t="shared" si="4"/>
        <v>0</v>
      </c>
      <c r="K14" s="46">
        <f>IF(B14,Dose!E16,0)</f>
        <v>0</v>
      </c>
      <c r="L14" s="46">
        <f>IF(C14,Dose!F16,0)</f>
        <v>0</v>
      </c>
      <c r="M14" s="46">
        <f>IF(D14,Dose!G16,0)</f>
        <v>0</v>
      </c>
      <c r="O14">
        <f t="shared" si="8"/>
        <v>0</v>
      </c>
      <c r="P14">
        <f t="shared" si="9"/>
        <v>0</v>
      </c>
      <c r="Q14">
        <f t="shared" si="10"/>
        <v>0</v>
      </c>
    </row>
    <row r="15" spans="1:17" x14ac:dyDescent="0.4">
      <c r="A15">
        <f>Dose!B17</f>
        <v>6.2374516723814895E-2</v>
      </c>
      <c r="B15" t="b">
        <f t="shared" si="6"/>
        <v>0</v>
      </c>
      <c r="C15">
        <f t="shared" si="1"/>
        <v>0</v>
      </c>
      <c r="D15">
        <f t="shared" si="2"/>
        <v>0</v>
      </c>
      <c r="E15">
        <f t="shared" si="2"/>
        <v>0</v>
      </c>
      <c r="G15" s="46">
        <f t="shared" si="7"/>
        <v>0</v>
      </c>
      <c r="H15" s="46">
        <f t="shared" si="3"/>
        <v>0</v>
      </c>
      <c r="I15" s="46">
        <f t="shared" si="4"/>
        <v>0</v>
      </c>
      <c r="K15" s="46">
        <f>IF(B15,Dose!E17,0)</f>
        <v>0</v>
      </c>
      <c r="L15" s="46">
        <f>IF(C15,Dose!F17,0)</f>
        <v>0</v>
      </c>
      <c r="M15" s="46">
        <f>IF(D15,Dose!G17,0)</f>
        <v>0</v>
      </c>
      <c r="O15">
        <f t="shared" si="8"/>
        <v>0</v>
      </c>
      <c r="P15">
        <f t="shared" si="9"/>
        <v>0</v>
      </c>
      <c r="Q15">
        <f t="shared" si="10"/>
        <v>0</v>
      </c>
    </row>
    <row r="16" spans="1:17" x14ac:dyDescent="0.4">
      <c r="A16">
        <f>Dose!B18</f>
        <v>6.4562605668122608E-2</v>
      </c>
      <c r="B16" t="b">
        <f t="shared" si="6"/>
        <v>0</v>
      </c>
      <c r="C16">
        <f t="shared" si="1"/>
        <v>0</v>
      </c>
      <c r="D16">
        <f t="shared" si="2"/>
        <v>0</v>
      </c>
      <c r="E16">
        <f t="shared" si="2"/>
        <v>0</v>
      </c>
      <c r="G16" s="46">
        <f t="shared" si="7"/>
        <v>0</v>
      </c>
      <c r="H16" s="46">
        <f t="shared" si="3"/>
        <v>0</v>
      </c>
      <c r="I16" s="46">
        <f t="shared" si="4"/>
        <v>0</v>
      </c>
      <c r="K16" s="46">
        <f>IF(B16,Dose!E18,0)</f>
        <v>0</v>
      </c>
      <c r="L16" s="46">
        <f>IF(C16,Dose!F18,0)</f>
        <v>0</v>
      </c>
      <c r="M16" s="46">
        <f>IF(D16,Dose!G18,0)</f>
        <v>0</v>
      </c>
      <c r="O16">
        <f t="shared" si="8"/>
        <v>0</v>
      </c>
      <c r="P16">
        <f t="shared" si="9"/>
        <v>0</v>
      </c>
      <c r="Q16">
        <f t="shared" si="10"/>
        <v>0</v>
      </c>
    </row>
    <row r="17" spans="1:17" x14ac:dyDescent="0.4">
      <c r="A17">
        <f>Dose!B19</f>
        <v>6.6827452453287028E-2</v>
      </c>
      <c r="B17" t="b">
        <f t="shared" si="6"/>
        <v>0</v>
      </c>
      <c r="C17">
        <f t="shared" si="1"/>
        <v>0</v>
      </c>
      <c r="D17">
        <f t="shared" si="2"/>
        <v>0</v>
      </c>
      <c r="E17">
        <f t="shared" si="2"/>
        <v>0</v>
      </c>
      <c r="G17" s="46">
        <f t="shared" si="7"/>
        <v>0</v>
      </c>
      <c r="H17" s="46">
        <f t="shared" si="3"/>
        <v>0</v>
      </c>
      <c r="I17" s="46">
        <f t="shared" si="4"/>
        <v>0</v>
      </c>
      <c r="K17" s="46">
        <f>IF(B17,Dose!E19,0)</f>
        <v>0</v>
      </c>
      <c r="L17" s="46">
        <f>IF(C17,Dose!F19,0)</f>
        <v>0</v>
      </c>
      <c r="M17" s="46">
        <f>IF(D17,Dose!G19,0)</f>
        <v>0</v>
      </c>
      <c r="O17">
        <f t="shared" si="8"/>
        <v>0</v>
      </c>
      <c r="P17">
        <f t="shared" si="9"/>
        <v>0</v>
      </c>
      <c r="Q17">
        <f t="shared" si="10"/>
        <v>0</v>
      </c>
    </row>
    <row r="18" spans="1:17" x14ac:dyDescent="0.4">
      <c r="A18">
        <f>Dose!B20</f>
        <v>6.917174973316409E-2</v>
      </c>
      <c r="B18" t="b">
        <f t="shared" si="6"/>
        <v>0</v>
      </c>
      <c r="C18">
        <f t="shared" si="1"/>
        <v>0</v>
      </c>
      <c r="D18">
        <f t="shared" si="2"/>
        <v>0</v>
      </c>
      <c r="E18">
        <f t="shared" si="2"/>
        <v>0</v>
      </c>
      <c r="G18" s="46">
        <f t="shared" si="7"/>
        <v>0</v>
      </c>
      <c r="H18" s="46">
        <f t="shared" si="3"/>
        <v>0</v>
      </c>
      <c r="I18" s="46">
        <f t="shared" si="4"/>
        <v>0</v>
      </c>
      <c r="K18" s="46">
        <f>IF(B18,Dose!E20,0)</f>
        <v>0</v>
      </c>
      <c r="L18" s="46">
        <f>IF(C18,Dose!F20,0)</f>
        <v>0</v>
      </c>
      <c r="M18" s="46">
        <f>IF(D18,Dose!G20,0)</f>
        <v>0</v>
      </c>
      <c r="O18">
        <f t="shared" si="8"/>
        <v>0</v>
      </c>
      <c r="P18">
        <f t="shared" si="9"/>
        <v>0</v>
      </c>
      <c r="Q18">
        <f t="shared" si="10"/>
        <v>0</v>
      </c>
    </row>
    <row r="19" spans="1:17" x14ac:dyDescent="0.4">
      <c r="A19">
        <f>Dose!B21</f>
        <v>7.1598284619514063E-2</v>
      </c>
      <c r="B19" t="b">
        <f t="shared" si="6"/>
        <v>0</v>
      </c>
      <c r="C19">
        <f t="shared" si="1"/>
        <v>0</v>
      </c>
      <c r="D19">
        <f t="shared" si="2"/>
        <v>0</v>
      </c>
      <c r="E19">
        <f t="shared" si="2"/>
        <v>0</v>
      </c>
      <c r="G19" s="46">
        <f t="shared" si="7"/>
        <v>0</v>
      </c>
      <c r="H19" s="46">
        <f t="shared" si="3"/>
        <v>0</v>
      </c>
      <c r="I19" s="46">
        <f t="shared" si="4"/>
        <v>0</v>
      </c>
      <c r="K19" s="46">
        <f>IF(B19,Dose!E21,0)</f>
        <v>0</v>
      </c>
      <c r="L19" s="46">
        <f>IF(C19,Dose!F21,0)</f>
        <v>0</v>
      </c>
      <c r="M19" s="46">
        <f>IF(D19,Dose!G21,0)</f>
        <v>0</v>
      </c>
      <c r="O19">
        <f t="shared" si="8"/>
        <v>0</v>
      </c>
      <c r="P19">
        <f t="shared" si="9"/>
        <v>0</v>
      </c>
      <c r="Q19">
        <f t="shared" si="10"/>
        <v>0</v>
      </c>
    </row>
    <row r="20" spans="1:17" x14ac:dyDescent="0.4">
      <c r="A20">
        <f>Dose!B22</f>
        <v>7.4109941995570985E-2</v>
      </c>
      <c r="B20" t="b">
        <f t="shared" si="6"/>
        <v>0</v>
      </c>
      <c r="C20">
        <f t="shared" si="1"/>
        <v>0</v>
      </c>
      <c r="D20">
        <f t="shared" si="2"/>
        <v>0</v>
      </c>
      <c r="E20">
        <f t="shared" si="2"/>
        <v>0</v>
      </c>
      <c r="G20" s="46">
        <f t="shared" si="7"/>
        <v>0</v>
      </c>
      <c r="H20" s="46">
        <f t="shared" si="3"/>
        <v>0</v>
      </c>
      <c r="I20" s="46">
        <f t="shared" si="4"/>
        <v>0</v>
      </c>
      <c r="K20" s="46">
        <f>IF(B20,Dose!E22,0)</f>
        <v>0</v>
      </c>
      <c r="L20" s="46">
        <f>IF(C20,Dose!F22,0)</f>
        <v>0</v>
      </c>
      <c r="M20" s="46">
        <f>IF(D20,Dose!G22,0)</f>
        <v>0</v>
      </c>
      <c r="O20">
        <f t="shared" si="8"/>
        <v>0</v>
      </c>
      <c r="P20">
        <f t="shared" si="9"/>
        <v>0</v>
      </c>
      <c r="Q20">
        <f t="shared" si="10"/>
        <v>0</v>
      </c>
    </row>
    <row r="21" spans="1:17" x14ac:dyDescent="0.4">
      <c r="A21">
        <f>Dose!B23</f>
        <v>7.6709707945851788E-2</v>
      </c>
      <c r="B21" t="b">
        <f t="shared" si="6"/>
        <v>0</v>
      </c>
      <c r="C21">
        <f t="shared" si="1"/>
        <v>0</v>
      </c>
      <c r="D21">
        <f t="shared" si="2"/>
        <v>0</v>
      </c>
      <c r="E21">
        <f t="shared" si="2"/>
        <v>0</v>
      </c>
      <c r="G21" s="46">
        <f t="shared" si="7"/>
        <v>0</v>
      </c>
      <c r="H21" s="46">
        <f t="shared" si="3"/>
        <v>0</v>
      </c>
      <c r="I21" s="46">
        <f t="shared" si="4"/>
        <v>0</v>
      </c>
      <c r="K21" s="46">
        <f>IF(B21,Dose!E23,0)</f>
        <v>0</v>
      </c>
      <c r="L21" s="46">
        <f>IF(C21,Dose!F23,0)</f>
        <v>0</v>
      </c>
      <c r="M21" s="46">
        <f>IF(D21,Dose!G23,0)</f>
        <v>0</v>
      </c>
      <c r="O21">
        <f t="shared" si="8"/>
        <v>0</v>
      </c>
      <c r="P21">
        <f t="shared" si="9"/>
        <v>0</v>
      </c>
      <c r="Q21">
        <f t="shared" si="10"/>
        <v>0</v>
      </c>
    </row>
    <row r="22" spans="1:17" x14ac:dyDescent="0.4">
      <c r="A22">
        <f>Dose!B24</f>
        <v>7.9400673306282518E-2</v>
      </c>
      <c r="B22" t="b">
        <f t="shared" si="6"/>
        <v>0</v>
      </c>
      <c r="C22">
        <f t="shared" si="1"/>
        <v>0</v>
      </c>
      <c r="D22">
        <f t="shared" si="2"/>
        <v>0</v>
      </c>
      <c r="E22">
        <f t="shared" si="2"/>
        <v>0</v>
      </c>
      <c r="G22" s="46">
        <f t="shared" si="7"/>
        <v>0</v>
      </c>
      <c r="H22" s="46">
        <f t="shared" si="3"/>
        <v>0</v>
      </c>
      <c r="I22" s="46">
        <f t="shared" si="4"/>
        <v>0</v>
      </c>
      <c r="K22" s="46">
        <f>IF(B22,Dose!E24,0)</f>
        <v>0</v>
      </c>
      <c r="L22" s="46">
        <f>IF(C22,Dose!F24,0)</f>
        <v>0</v>
      </c>
      <c r="M22" s="46">
        <f>IF(D22,Dose!G24,0)</f>
        <v>0</v>
      </c>
      <c r="O22">
        <f t="shared" si="8"/>
        <v>0</v>
      </c>
      <c r="P22">
        <f t="shared" si="9"/>
        <v>0</v>
      </c>
      <c r="Q22">
        <f t="shared" si="10"/>
        <v>0</v>
      </c>
    </row>
    <row r="23" spans="1:17" x14ac:dyDescent="0.4">
      <c r="A23">
        <f>Dose!B25</f>
        <v>8.2186037338862386E-2</v>
      </c>
      <c r="B23" t="b">
        <f t="shared" si="6"/>
        <v>0</v>
      </c>
      <c r="C23">
        <f t="shared" si="1"/>
        <v>0</v>
      </c>
      <c r="D23">
        <f t="shared" si="2"/>
        <v>0</v>
      </c>
      <c r="E23">
        <f t="shared" si="2"/>
        <v>0</v>
      </c>
      <c r="G23" s="46">
        <f t="shared" si="7"/>
        <v>0</v>
      </c>
      <c r="H23" s="46">
        <f t="shared" si="3"/>
        <v>0</v>
      </c>
      <c r="I23" s="46">
        <f t="shared" si="4"/>
        <v>0</v>
      </c>
      <c r="K23" s="46">
        <f>IF(B23,Dose!E25,0)</f>
        <v>0</v>
      </c>
      <c r="L23" s="46">
        <f>IF(C23,Dose!F25,0)</f>
        <v>0</v>
      </c>
      <c r="M23" s="46">
        <f>IF(D23,Dose!G25,0)</f>
        <v>0</v>
      </c>
      <c r="O23">
        <f t="shared" si="8"/>
        <v>0</v>
      </c>
      <c r="P23">
        <f t="shared" si="9"/>
        <v>0</v>
      </c>
      <c r="Q23">
        <f t="shared" si="10"/>
        <v>0</v>
      </c>
    </row>
    <row r="24" spans="1:17" x14ac:dyDescent="0.4">
      <c r="A24">
        <f>Dose!B26</f>
        <v>8.5069111535234707E-2</v>
      </c>
      <c r="B24" t="b">
        <f t="shared" si="6"/>
        <v>0</v>
      </c>
      <c r="C24">
        <f t="shared" si="1"/>
        <v>0</v>
      </c>
      <c r="D24">
        <f t="shared" si="2"/>
        <v>0</v>
      </c>
      <c r="E24">
        <f t="shared" si="2"/>
        <v>0</v>
      </c>
      <c r="G24" s="46">
        <f t="shared" si="7"/>
        <v>0</v>
      </c>
      <c r="H24" s="46">
        <f t="shared" si="3"/>
        <v>0</v>
      </c>
      <c r="I24" s="46">
        <f t="shared" si="4"/>
        <v>0</v>
      </c>
      <c r="K24" s="46">
        <f>IF(B24,Dose!E26,0)</f>
        <v>0</v>
      </c>
      <c r="L24" s="46">
        <f>IF(C24,Dose!F26,0)</f>
        <v>0</v>
      </c>
      <c r="M24" s="46">
        <f>IF(D24,Dose!G26,0)</f>
        <v>0</v>
      </c>
      <c r="O24">
        <f t="shared" si="8"/>
        <v>0</v>
      </c>
      <c r="P24">
        <f t="shared" si="9"/>
        <v>0</v>
      </c>
      <c r="Q24">
        <f t="shared" si="10"/>
        <v>0</v>
      </c>
    </row>
    <row r="25" spans="1:17" x14ac:dyDescent="0.4">
      <c r="A25">
        <f>Dose!B27</f>
        <v>8.8053323553686447E-2</v>
      </c>
      <c r="B25" t="b">
        <f t="shared" si="6"/>
        <v>0</v>
      </c>
      <c r="C25">
        <f t="shared" si="1"/>
        <v>0</v>
      </c>
      <c r="D25">
        <f t="shared" si="2"/>
        <v>0</v>
      </c>
      <c r="E25">
        <f t="shared" si="2"/>
        <v>0</v>
      </c>
      <c r="G25" s="46">
        <f t="shared" si="7"/>
        <v>0</v>
      </c>
      <c r="H25" s="46">
        <f t="shared" si="3"/>
        <v>0</v>
      </c>
      <c r="I25" s="46">
        <f t="shared" si="4"/>
        <v>0</v>
      </c>
      <c r="K25" s="46">
        <f>IF(B25,Dose!E27,0)</f>
        <v>0</v>
      </c>
      <c r="L25" s="46">
        <f>IF(C25,Dose!F27,0)</f>
        <v>0</v>
      </c>
      <c r="M25" s="46">
        <f>IF(D25,Dose!G27,0)</f>
        <v>0</v>
      </c>
      <c r="O25">
        <f t="shared" si="8"/>
        <v>0</v>
      </c>
      <c r="P25">
        <f t="shared" si="9"/>
        <v>0</v>
      </c>
      <c r="Q25">
        <f t="shared" si="10"/>
        <v>0</v>
      </c>
    </row>
    <row r="26" spans="1:17" x14ac:dyDescent="0.4">
      <c r="A26">
        <f>Dose!B28</f>
        <v>9.1142221294257017E-2</v>
      </c>
      <c r="B26" t="b">
        <f t="shared" si="6"/>
        <v>0</v>
      </c>
      <c r="C26">
        <f t="shared" si="1"/>
        <v>0</v>
      </c>
      <c r="D26">
        <f t="shared" si="2"/>
        <v>0</v>
      </c>
      <c r="E26">
        <f t="shared" si="2"/>
        <v>0</v>
      </c>
      <c r="G26" s="46">
        <f t="shared" si="7"/>
        <v>0</v>
      </c>
      <c r="H26" s="46">
        <f t="shared" si="3"/>
        <v>0</v>
      </c>
      <c r="I26" s="46">
        <f t="shared" si="4"/>
        <v>0</v>
      </c>
      <c r="K26" s="46">
        <f>IF(B26,Dose!E28,0)</f>
        <v>0</v>
      </c>
      <c r="L26" s="46">
        <f>IF(C26,Dose!F28,0)</f>
        <v>0</v>
      </c>
      <c r="M26" s="46">
        <f>IF(D26,Dose!G28,0)</f>
        <v>0</v>
      </c>
      <c r="O26">
        <f t="shared" si="8"/>
        <v>0</v>
      </c>
      <c r="P26">
        <f t="shared" si="9"/>
        <v>0</v>
      </c>
      <c r="Q26">
        <f t="shared" si="10"/>
        <v>0</v>
      </c>
    </row>
    <row r="27" spans="1:17" x14ac:dyDescent="0.4">
      <c r="A27">
        <f>Dose!B29</f>
        <v>9.4339477116801421E-2</v>
      </c>
      <c r="B27" t="b">
        <f t="shared" si="6"/>
        <v>0</v>
      </c>
      <c r="C27">
        <f t="shared" si="1"/>
        <v>0</v>
      </c>
      <c r="D27">
        <f t="shared" si="1"/>
        <v>0</v>
      </c>
      <c r="E27">
        <f t="shared" si="1"/>
        <v>0</v>
      </c>
      <c r="G27" s="46">
        <f t="shared" si="7"/>
        <v>0</v>
      </c>
      <c r="H27" s="46">
        <f t="shared" si="3"/>
        <v>0</v>
      </c>
      <c r="I27" s="46">
        <f t="shared" si="4"/>
        <v>0</v>
      </c>
      <c r="K27" s="46">
        <f>IF(B27,Dose!E29,0)</f>
        <v>0</v>
      </c>
      <c r="L27" s="46">
        <f>IF(C27,Dose!F29,0)</f>
        <v>0</v>
      </c>
      <c r="M27" s="46">
        <f>IF(D27,Dose!G29,0)</f>
        <v>0</v>
      </c>
      <c r="O27">
        <f t="shared" si="8"/>
        <v>0</v>
      </c>
      <c r="P27">
        <f t="shared" si="9"/>
        <v>0</v>
      </c>
      <c r="Q27">
        <f t="shared" si="10"/>
        <v>0</v>
      </c>
    </row>
    <row r="28" spans="1:17" x14ac:dyDescent="0.4">
      <c r="A28">
        <f>Dose!B30</f>
        <v>9.7648892207022539E-2</v>
      </c>
      <c r="B28" t="b">
        <f t="shared" si="6"/>
        <v>0</v>
      </c>
      <c r="C28">
        <f t="shared" si="1"/>
        <v>0</v>
      </c>
      <c r="D28">
        <f t="shared" si="1"/>
        <v>0</v>
      </c>
      <c r="E28">
        <f t="shared" si="1"/>
        <v>0</v>
      </c>
      <c r="G28" s="46">
        <f t="shared" si="7"/>
        <v>0</v>
      </c>
      <c r="H28" s="46">
        <f t="shared" si="3"/>
        <v>0</v>
      </c>
      <c r="I28" s="46">
        <f t="shared" si="4"/>
        <v>0</v>
      </c>
      <c r="K28" s="46">
        <f>IF(B28,Dose!E30,0)</f>
        <v>0</v>
      </c>
      <c r="L28" s="46">
        <f>IF(C28,Dose!F30,0)</f>
        <v>0</v>
      </c>
      <c r="M28" s="46">
        <f>IF(D28,Dose!G30,0)</f>
        <v>0</v>
      </c>
      <c r="O28">
        <f t="shared" si="8"/>
        <v>0</v>
      </c>
      <c r="P28">
        <f t="shared" si="9"/>
        <v>0</v>
      </c>
      <c r="Q28">
        <f t="shared" si="10"/>
        <v>0</v>
      </c>
    </row>
    <row r="29" spans="1:17" x14ac:dyDescent="0.4">
      <c r="A29">
        <f>Dose!B31</f>
        <v>0.10107440109566297</v>
      </c>
      <c r="B29" t="b">
        <f t="shared" si="6"/>
        <v>0</v>
      </c>
      <c r="C29">
        <f t="shared" si="1"/>
        <v>0</v>
      </c>
      <c r="D29">
        <f t="shared" si="1"/>
        <v>0</v>
      </c>
      <c r="E29">
        <f t="shared" si="1"/>
        <v>0</v>
      </c>
      <c r="G29" s="46">
        <f t="shared" si="7"/>
        <v>0</v>
      </c>
      <c r="H29" s="46">
        <f t="shared" si="3"/>
        <v>0</v>
      </c>
      <c r="I29" s="46">
        <f t="shared" si="4"/>
        <v>0</v>
      </c>
      <c r="K29" s="46">
        <f>IF(B29,Dose!E31,0)</f>
        <v>0</v>
      </c>
      <c r="L29" s="46">
        <f>IF(C29,Dose!F31,0)</f>
        <v>0</v>
      </c>
      <c r="M29" s="46">
        <f>IF(D29,Dose!G31,0)</f>
        <v>0</v>
      </c>
      <c r="O29">
        <f t="shared" si="8"/>
        <v>0</v>
      </c>
      <c r="P29">
        <f t="shared" si="9"/>
        <v>0</v>
      </c>
      <c r="Q29">
        <f t="shared" si="10"/>
        <v>0</v>
      </c>
    </row>
    <row r="30" spans="1:17" x14ac:dyDescent="0.4">
      <c r="A30">
        <f>Dose!B32</f>
        <v>0.10462007633622963</v>
      </c>
      <c r="B30" t="b">
        <f t="shared" si="6"/>
        <v>0</v>
      </c>
      <c r="C30">
        <f t="shared" si="1"/>
        <v>0</v>
      </c>
      <c r="D30">
        <f t="shared" si="1"/>
        <v>0</v>
      </c>
      <c r="E30">
        <f t="shared" si="1"/>
        <v>0</v>
      </c>
      <c r="G30" s="46">
        <f t="shared" si="7"/>
        <v>0</v>
      </c>
      <c r="H30" s="46">
        <f t="shared" si="3"/>
        <v>0</v>
      </c>
      <c r="I30" s="46">
        <f t="shared" si="4"/>
        <v>0</v>
      </c>
      <c r="K30" s="46">
        <f>IF(B30,Dose!E32,0)</f>
        <v>0</v>
      </c>
      <c r="L30" s="46">
        <f>IF(C30,Dose!F32,0)</f>
        <v>0</v>
      </c>
      <c r="M30" s="46">
        <f>IF(D30,Dose!G32,0)</f>
        <v>0</v>
      </c>
      <c r="O30">
        <f t="shared" si="8"/>
        <v>0</v>
      </c>
      <c r="P30">
        <f t="shared" si="9"/>
        <v>0</v>
      </c>
      <c r="Q30">
        <f t="shared" si="10"/>
        <v>0</v>
      </c>
    </row>
    <row r="31" spans="1:17" x14ac:dyDescent="0.4">
      <c r="A31">
        <f>Dose!B33</f>
        <v>0.10829013334681213</v>
      </c>
      <c r="B31" t="b">
        <f t="shared" si="6"/>
        <v>0</v>
      </c>
      <c r="C31">
        <f t="shared" si="1"/>
        <v>0</v>
      </c>
      <c r="D31">
        <f t="shared" si="1"/>
        <v>0</v>
      </c>
      <c r="E31">
        <f t="shared" si="1"/>
        <v>0</v>
      </c>
      <c r="G31" s="46">
        <f t="shared" si="7"/>
        <v>0</v>
      </c>
      <c r="H31" s="46">
        <f t="shared" si="3"/>
        <v>0</v>
      </c>
      <c r="I31" s="46">
        <f t="shared" si="4"/>
        <v>0</v>
      </c>
      <c r="K31" s="46">
        <f>IF(B31,Dose!E33,0)</f>
        <v>0</v>
      </c>
      <c r="L31" s="46">
        <f>IF(C31,Dose!F33,0)</f>
        <v>0</v>
      </c>
      <c r="M31" s="46">
        <f>IF(D31,Dose!G33,0)</f>
        <v>0</v>
      </c>
      <c r="O31">
        <f t="shared" si="8"/>
        <v>0</v>
      </c>
      <c r="P31">
        <f t="shared" si="9"/>
        <v>0</v>
      </c>
      <c r="Q31">
        <f t="shared" si="10"/>
        <v>0</v>
      </c>
    </row>
    <row r="32" spans="1:17" x14ac:dyDescent="0.4">
      <c r="A32">
        <f>Dose!B34</f>
        <v>0.11208893542175144</v>
      </c>
      <c r="B32" t="b">
        <f t="shared" si="6"/>
        <v>0</v>
      </c>
      <c r="C32">
        <f t="shared" si="1"/>
        <v>0</v>
      </c>
      <c r="D32">
        <f t="shared" si="1"/>
        <v>0</v>
      </c>
      <c r="E32">
        <f t="shared" si="1"/>
        <v>0</v>
      </c>
      <c r="G32" s="46">
        <f t="shared" si="7"/>
        <v>0</v>
      </c>
      <c r="H32" s="46">
        <f t="shared" si="3"/>
        <v>0</v>
      </c>
      <c r="I32" s="46">
        <f t="shared" si="4"/>
        <v>0</v>
      </c>
      <c r="K32" s="46">
        <f>IF(B32,Dose!E34,0)</f>
        <v>0</v>
      </c>
      <c r="L32" s="46">
        <f>IF(C32,Dose!F34,0)</f>
        <v>0</v>
      </c>
      <c r="M32" s="46">
        <f>IF(D32,Dose!G34,0)</f>
        <v>0</v>
      </c>
      <c r="O32">
        <f t="shared" si="8"/>
        <v>0</v>
      </c>
      <c r="P32">
        <f t="shared" si="9"/>
        <v>0</v>
      </c>
      <c r="Q32">
        <f t="shared" si="10"/>
        <v>0</v>
      </c>
    </row>
    <row r="33" spans="1:17" x14ac:dyDescent="0.4">
      <c r="A33">
        <f>Dose!B35</f>
        <v>0.11602099891911737</v>
      </c>
      <c r="B33" t="b">
        <f t="shared" si="6"/>
        <v>0</v>
      </c>
      <c r="C33">
        <f t="shared" si="1"/>
        <v>0</v>
      </c>
      <c r="D33">
        <f t="shared" si="1"/>
        <v>0</v>
      </c>
      <c r="E33">
        <f t="shared" si="1"/>
        <v>0</v>
      </c>
      <c r="G33" s="46">
        <f t="shared" si="7"/>
        <v>0</v>
      </c>
      <c r="H33" s="46">
        <f t="shared" si="3"/>
        <v>0</v>
      </c>
      <c r="I33" s="46">
        <f t="shared" si="4"/>
        <v>0</v>
      </c>
      <c r="K33" s="46">
        <f>IF(B33,Dose!E35,0)</f>
        <v>0</v>
      </c>
      <c r="L33" s="46">
        <f>IF(C33,Dose!F35,0)</f>
        <v>0</v>
      </c>
      <c r="M33" s="46">
        <f>IF(D33,Dose!G35,0)</f>
        <v>0</v>
      </c>
      <c r="O33">
        <f t="shared" si="8"/>
        <v>0</v>
      </c>
      <c r="P33">
        <f t="shared" si="9"/>
        <v>0</v>
      </c>
      <c r="Q33">
        <f t="shared" si="10"/>
        <v>0</v>
      </c>
    </row>
    <row r="34" spans="1:17" x14ac:dyDescent="0.4">
      <c r="A34">
        <f>Dose!B36</f>
        <v>0.12009099863016169</v>
      </c>
      <c r="B34" t="b">
        <f t="shared" si="6"/>
        <v>0</v>
      </c>
      <c r="C34">
        <f t="shared" si="1"/>
        <v>0</v>
      </c>
      <c r="D34">
        <f t="shared" si="1"/>
        <v>0</v>
      </c>
      <c r="E34">
        <f t="shared" si="1"/>
        <v>0</v>
      </c>
      <c r="G34" s="46">
        <f t="shared" si="7"/>
        <v>0</v>
      </c>
      <c r="H34" s="46">
        <f t="shared" si="3"/>
        <v>0</v>
      </c>
      <c r="I34" s="46">
        <f t="shared" si="4"/>
        <v>0</v>
      </c>
      <c r="K34" s="46">
        <f>IF(B34,Dose!E36,0)</f>
        <v>0</v>
      </c>
      <c r="L34" s="46">
        <f>IF(C34,Dose!F36,0)</f>
        <v>0</v>
      </c>
      <c r="M34" s="46">
        <f>IF(D34,Dose!G36,0)</f>
        <v>0</v>
      </c>
      <c r="O34">
        <f t="shared" si="8"/>
        <v>0</v>
      </c>
      <c r="P34">
        <f t="shared" si="9"/>
        <v>0</v>
      </c>
      <c r="Q34">
        <f t="shared" si="10"/>
        <v>0</v>
      </c>
    </row>
    <row r="35" spans="1:17" x14ac:dyDescent="0.4">
      <c r="A35">
        <f>Dose!B37</f>
        <v>0.12430377333713111</v>
      </c>
      <c r="B35" t="b">
        <f t="shared" si="6"/>
        <v>0</v>
      </c>
      <c r="C35">
        <f t="shared" si="1"/>
        <v>0</v>
      </c>
      <c r="D35">
        <f t="shared" si="1"/>
        <v>0</v>
      </c>
      <c r="E35">
        <f t="shared" si="1"/>
        <v>0</v>
      </c>
      <c r="G35" s="46">
        <f t="shared" si="7"/>
        <v>0</v>
      </c>
      <c r="H35" s="46">
        <f t="shared" si="3"/>
        <v>0</v>
      </c>
      <c r="I35" s="46">
        <f t="shared" si="4"/>
        <v>0</v>
      </c>
      <c r="K35" s="46">
        <f>IF(B35,Dose!E37,0)</f>
        <v>0</v>
      </c>
      <c r="L35" s="46">
        <f>IF(C35,Dose!F37,0)</f>
        <v>0</v>
      </c>
      <c r="M35" s="46">
        <f>IF(D35,Dose!G37,0)</f>
        <v>0</v>
      </c>
      <c r="O35">
        <f t="shared" si="8"/>
        <v>0</v>
      </c>
      <c r="P35">
        <f t="shared" si="9"/>
        <v>0</v>
      </c>
      <c r="Q35">
        <f t="shared" si="10"/>
        <v>0</v>
      </c>
    </row>
    <row r="36" spans="1:17" x14ac:dyDescent="0.4">
      <c r="A36">
        <f>Dose!B38</f>
        <v>0.12866433156604737</v>
      </c>
      <c r="B36" t="b">
        <f t="shared" si="6"/>
        <v>0</v>
      </c>
      <c r="C36">
        <f t="shared" si="1"/>
        <v>0</v>
      </c>
      <c r="D36">
        <f t="shared" si="1"/>
        <v>0</v>
      </c>
      <c r="E36">
        <f t="shared" si="1"/>
        <v>0</v>
      </c>
      <c r="G36" s="46">
        <f t="shared" si="7"/>
        <v>0</v>
      </c>
      <c r="H36" s="46">
        <f t="shared" si="3"/>
        <v>0</v>
      </c>
      <c r="I36" s="46">
        <f t="shared" si="4"/>
        <v>0</v>
      </c>
      <c r="K36" s="46">
        <f>IF(B36,Dose!E38,0)</f>
        <v>0</v>
      </c>
      <c r="L36" s="46">
        <f>IF(C36,Dose!F38,0)</f>
        <v>0</v>
      </c>
      <c r="M36" s="46">
        <f>IF(D36,Dose!G38,0)</f>
        <v>0</v>
      </c>
      <c r="O36">
        <f t="shared" si="8"/>
        <v>0</v>
      </c>
      <c r="P36">
        <f t="shared" si="9"/>
        <v>0</v>
      </c>
      <c r="Q36">
        <f t="shared" si="10"/>
        <v>0</v>
      </c>
    </row>
    <row r="37" spans="1:17" x14ac:dyDescent="0.4">
      <c r="A37">
        <f>Dose!B39</f>
        <v>0.13317785754129421</v>
      </c>
      <c r="B37" t="b">
        <f t="shared" si="6"/>
        <v>0</v>
      </c>
      <c r="C37">
        <f t="shared" si="1"/>
        <v>0</v>
      </c>
      <c r="D37">
        <f t="shared" si="1"/>
        <v>0</v>
      </c>
      <c r="E37">
        <f t="shared" si="1"/>
        <v>0</v>
      </c>
      <c r="G37" s="46">
        <f t="shared" si="7"/>
        <v>0</v>
      </c>
      <c r="H37" s="46">
        <f t="shared" si="3"/>
        <v>0</v>
      </c>
      <c r="I37" s="46">
        <f t="shared" si="4"/>
        <v>0</v>
      </c>
      <c r="K37" s="46">
        <f>IF(B37,Dose!E39,0)</f>
        <v>0</v>
      </c>
      <c r="L37" s="46">
        <f>IF(C37,Dose!F39,0)</f>
        <v>0</v>
      </c>
      <c r="M37" s="46">
        <f>IF(D37,Dose!G39,0)</f>
        <v>0</v>
      </c>
      <c r="O37">
        <f t="shared" si="8"/>
        <v>0</v>
      </c>
      <c r="P37">
        <f t="shared" si="9"/>
        <v>0</v>
      </c>
      <c r="Q37">
        <f t="shared" si="10"/>
        <v>0</v>
      </c>
    </row>
    <row r="38" spans="1:17" x14ac:dyDescent="0.4">
      <c r="A38">
        <f>Dose!B40</f>
        <v>0.13784971734909021</v>
      </c>
      <c r="B38" t="b">
        <f t="shared" si="6"/>
        <v>0</v>
      </c>
      <c r="C38">
        <f t="shared" si="1"/>
        <v>0</v>
      </c>
      <c r="D38">
        <f t="shared" si="1"/>
        <v>0</v>
      </c>
      <c r="E38">
        <f t="shared" si="1"/>
        <v>0</v>
      </c>
      <c r="G38" s="46">
        <f t="shared" si="7"/>
        <v>0</v>
      </c>
      <c r="H38" s="46">
        <f t="shared" si="3"/>
        <v>0</v>
      </c>
      <c r="I38" s="46">
        <f t="shared" si="4"/>
        <v>0</v>
      </c>
      <c r="K38" s="46">
        <f>IF(B38,Dose!E40,0)</f>
        <v>0</v>
      </c>
      <c r="L38" s="46">
        <f>IF(C38,Dose!F40,0)</f>
        <v>0</v>
      </c>
      <c r="M38" s="46">
        <f>IF(D38,Dose!G40,0)</f>
        <v>0</v>
      </c>
      <c r="O38">
        <f t="shared" si="8"/>
        <v>0</v>
      </c>
      <c r="P38">
        <f t="shared" si="9"/>
        <v>0</v>
      </c>
      <c r="Q38">
        <f t="shared" si="10"/>
        <v>0</v>
      </c>
    </row>
    <row r="39" spans="1:17" x14ac:dyDescent="0.4">
      <c r="A39">
        <f>Dose!B41</f>
        <v>0.14268546531717544</v>
      </c>
      <c r="B39" t="b">
        <f t="shared" si="6"/>
        <v>0</v>
      </c>
      <c r="C39">
        <f t="shared" si="1"/>
        <v>0</v>
      </c>
      <c r="D39">
        <f t="shared" si="1"/>
        <v>0</v>
      </c>
      <c r="E39">
        <f t="shared" si="1"/>
        <v>0</v>
      </c>
      <c r="G39" s="46">
        <f t="shared" si="7"/>
        <v>0</v>
      </c>
      <c r="H39" s="46">
        <f t="shared" si="3"/>
        <v>0</v>
      </c>
      <c r="I39" s="46">
        <f t="shared" si="4"/>
        <v>0</v>
      </c>
      <c r="K39" s="46">
        <f>IF(B39,Dose!E41,0)</f>
        <v>0</v>
      </c>
      <c r="L39" s="46">
        <f>IF(C39,Dose!F41,0)</f>
        <v>0</v>
      </c>
      <c r="M39" s="46">
        <f>IF(D39,Dose!G41,0)</f>
        <v>0</v>
      </c>
      <c r="O39">
        <f t="shared" si="8"/>
        <v>0</v>
      </c>
      <c r="P39">
        <f t="shared" si="9"/>
        <v>0</v>
      </c>
      <c r="Q39">
        <f t="shared" si="10"/>
        <v>0</v>
      </c>
    </row>
    <row r="40" spans="1:17" x14ac:dyDescent="0.4">
      <c r="A40">
        <f>Dose!B42</f>
        <v>0.14769085061829648</v>
      </c>
      <c r="B40" t="b">
        <f t="shared" si="6"/>
        <v>0</v>
      </c>
      <c r="C40">
        <f t="shared" si="1"/>
        <v>0</v>
      </c>
      <c r="D40">
        <f t="shared" si="1"/>
        <v>0</v>
      </c>
      <c r="E40">
        <f t="shared" si="1"/>
        <v>0</v>
      </c>
      <c r="G40" s="46">
        <f t="shared" si="7"/>
        <v>0</v>
      </c>
      <c r="H40" s="46">
        <f t="shared" si="3"/>
        <v>0</v>
      </c>
      <c r="I40" s="46">
        <f t="shared" si="4"/>
        <v>0</v>
      </c>
      <c r="K40" s="46">
        <f>IF(B40,Dose!E42,0)</f>
        <v>0</v>
      </c>
      <c r="L40" s="46">
        <f>IF(C40,Dose!F42,0)</f>
        <v>0</v>
      </c>
      <c r="M40" s="46">
        <f>IF(D40,Dose!G42,0)</f>
        <v>0</v>
      </c>
      <c r="O40">
        <f t="shared" si="8"/>
        <v>0</v>
      </c>
      <c r="P40">
        <f t="shared" si="9"/>
        <v>0</v>
      </c>
      <c r="Q40">
        <f t="shared" si="10"/>
        <v>0</v>
      </c>
    </row>
    <row r="41" spans="1:17" x14ac:dyDescent="0.4">
      <c r="A41">
        <f>Dose!B43</f>
        <v>0.15287182410534089</v>
      </c>
      <c r="B41" t="b">
        <f t="shared" si="6"/>
        <v>0</v>
      </c>
      <c r="C41">
        <f t="shared" si="1"/>
        <v>0</v>
      </c>
      <c r="D41">
        <f t="shared" si="1"/>
        <v>0</v>
      </c>
      <c r="E41">
        <f t="shared" si="1"/>
        <v>0</v>
      </c>
      <c r="G41" s="46">
        <f t="shared" si="7"/>
        <v>0</v>
      </c>
      <c r="H41" s="46">
        <f t="shared" si="3"/>
        <v>0</v>
      </c>
      <c r="I41" s="46">
        <f t="shared" si="4"/>
        <v>0</v>
      </c>
      <c r="K41" s="46">
        <f>IF(B41,Dose!E43,0)</f>
        <v>0</v>
      </c>
      <c r="L41" s="46">
        <f>IF(C41,Dose!F43,0)</f>
        <v>0</v>
      </c>
      <c r="M41" s="46">
        <f>IF(D41,Dose!G43,0)</f>
        <v>0</v>
      </c>
      <c r="O41">
        <f t="shared" si="8"/>
        <v>0</v>
      </c>
      <c r="P41">
        <f t="shared" si="9"/>
        <v>0</v>
      </c>
      <c r="Q41">
        <f t="shared" si="10"/>
        <v>0</v>
      </c>
    </row>
    <row r="42" spans="1:17" x14ac:dyDescent="0.4">
      <c r="A42">
        <f>Dose!B44</f>
        <v>0.15823454538624715</v>
      </c>
      <c r="B42" t="b">
        <f t="shared" si="6"/>
        <v>0</v>
      </c>
      <c r="C42">
        <f t="shared" si="1"/>
        <v>0</v>
      </c>
      <c r="D42">
        <f t="shared" si="1"/>
        <v>0</v>
      </c>
      <c r="E42">
        <f t="shared" si="1"/>
        <v>0</v>
      </c>
      <c r="G42" s="46">
        <f t="shared" si="7"/>
        <v>0</v>
      </c>
      <c r="H42" s="46">
        <f t="shared" si="3"/>
        <v>0</v>
      </c>
      <c r="I42" s="46">
        <f t="shared" si="4"/>
        <v>0</v>
      </c>
      <c r="K42" s="46">
        <f>IF(B42,Dose!E44,0)</f>
        <v>0</v>
      </c>
      <c r="L42" s="46">
        <f>IF(C42,Dose!F44,0)</f>
        <v>0</v>
      </c>
      <c r="M42" s="46">
        <f>IF(D42,Dose!G44,0)</f>
        <v>0</v>
      </c>
      <c r="O42">
        <f t="shared" si="8"/>
        <v>0</v>
      </c>
      <c r="P42">
        <f t="shared" si="9"/>
        <v>0</v>
      </c>
      <c r="Q42">
        <f t="shared" si="10"/>
        <v>0</v>
      </c>
    </row>
    <row r="43" spans="1:17" x14ac:dyDescent="0.4">
      <c r="A43">
        <f>Dose!B45</f>
        <v>0.16378539014710136</v>
      </c>
      <c r="B43" t="b">
        <f t="shared" si="6"/>
        <v>0</v>
      </c>
      <c r="C43">
        <f t="shared" si="1"/>
        <v>0</v>
      </c>
      <c r="D43">
        <f t="shared" si="1"/>
        <v>0</v>
      </c>
      <c r="E43">
        <f t="shared" si="1"/>
        <v>0</v>
      </c>
      <c r="G43" s="46">
        <f t="shared" si="7"/>
        <v>0</v>
      </c>
      <c r="H43" s="46">
        <f t="shared" si="3"/>
        <v>0</v>
      </c>
      <c r="I43" s="46">
        <f t="shared" si="4"/>
        <v>0</v>
      </c>
      <c r="K43" s="46">
        <f>IF(B43,Dose!E45,0)</f>
        <v>0</v>
      </c>
      <c r="L43" s="46">
        <f>IF(C43,Dose!F45,0)</f>
        <v>0</v>
      </c>
      <c r="M43" s="46">
        <f>IF(D43,Dose!G45,0)</f>
        <v>0</v>
      </c>
      <c r="O43">
        <f t="shared" si="8"/>
        <v>0</v>
      </c>
      <c r="P43">
        <f t="shared" si="9"/>
        <v>0</v>
      </c>
      <c r="Q43">
        <f t="shared" si="10"/>
        <v>0</v>
      </c>
    </row>
    <row r="44" spans="1:17" x14ac:dyDescent="0.4">
      <c r="A44">
        <f>Dose!B46</f>
        <v>0.16953095773212709</v>
      </c>
      <c r="B44" t="b">
        <f t="shared" si="6"/>
        <v>0</v>
      </c>
      <c r="C44">
        <f t="shared" si="1"/>
        <v>0</v>
      </c>
      <c r="D44">
        <f t="shared" si="1"/>
        <v>0</v>
      </c>
      <c r="E44">
        <f t="shared" si="1"/>
        <v>0</v>
      </c>
      <c r="G44" s="46">
        <f t="shared" si="7"/>
        <v>0</v>
      </c>
      <c r="H44" s="46">
        <f t="shared" si="3"/>
        <v>0</v>
      </c>
      <c r="I44" s="46">
        <f t="shared" si="4"/>
        <v>0</v>
      </c>
      <c r="K44" s="46">
        <f>IF(B44,Dose!E46,0)</f>
        <v>0</v>
      </c>
      <c r="L44" s="46">
        <f>IF(C44,Dose!F46,0)</f>
        <v>0</v>
      </c>
      <c r="M44" s="46">
        <f>IF(D44,Dose!G46,0)</f>
        <v>0</v>
      </c>
      <c r="O44">
        <f t="shared" si="8"/>
        <v>0</v>
      </c>
      <c r="P44">
        <f t="shared" si="9"/>
        <v>0</v>
      </c>
      <c r="Q44">
        <f t="shared" si="10"/>
        <v>0</v>
      </c>
    </row>
    <row r="45" spans="1:17" x14ac:dyDescent="0.4">
      <c r="A45">
        <f>Dose!B47</f>
        <v>0.17547807898958018</v>
      </c>
      <c r="B45" t="b">
        <f t="shared" si="6"/>
        <v>0</v>
      </c>
      <c r="C45">
        <f t="shared" si="1"/>
        <v>0</v>
      </c>
      <c r="D45">
        <f t="shared" si="1"/>
        <v>0</v>
      </c>
      <c r="E45">
        <f t="shared" si="1"/>
        <v>0</v>
      </c>
      <c r="G45" s="46">
        <f t="shared" si="7"/>
        <v>0</v>
      </c>
      <c r="H45" s="46">
        <f t="shared" si="3"/>
        <v>0</v>
      </c>
      <c r="I45" s="46">
        <f t="shared" si="4"/>
        <v>0</v>
      </c>
      <c r="K45" s="46">
        <f>IF(B45,Dose!E47,0)</f>
        <v>0</v>
      </c>
      <c r="L45" s="46">
        <f>IF(C45,Dose!F47,0)</f>
        <v>0</v>
      </c>
      <c r="M45" s="46">
        <f>IF(D45,Dose!G47,0)</f>
        <v>0</v>
      </c>
      <c r="O45">
        <f t="shared" si="8"/>
        <v>0</v>
      </c>
      <c r="P45">
        <f t="shared" si="9"/>
        <v>0</v>
      </c>
      <c r="Q45">
        <f t="shared" si="10"/>
        <v>0</v>
      </c>
    </row>
    <row r="46" spans="1:17" x14ac:dyDescent="0.4">
      <c r="A46">
        <f>Dose!B48</f>
        <v>0.18163382439287648</v>
      </c>
      <c r="B46" t="b">
        <f t="shared" si="6"/>
        <v>0</v>
      </c>
      <c r="C46">
        <f t="shared" si="1"/>
        <v>0</v>
      </c>
      <c r="D46">
        <f t="shared" si="1"/>
        <v>0</v>
      </c>
      <c r="E46">
        <f t="shared" si="1"/>
        <v>0</v>
      </c>
      <c r="G46" s="46">
        <f t="shared" si="7"/>
        <v>0</v>
      </c>
      <c r="H46" s="46">
        <f t="shared" si="3"/>
        <v>0</v>
      </c>
      <c r="I46" s="46">
        <f t="shared" si="4"/>
        <v>0</v>
      </c>
      <c r="K46" s="46">
        <f>IF(B46,Dose!E48,0)</f>
        <v>0</v>
      </c>
      <c r="L46" s="46">
        <f>IF(C46,Dose!F48,0)</f>
        <v>0</v>
      </c>
      <c r="M46" s="46">
        <f>IF(D46,Dose!G48,0)</f>
        <v>0</v>
      </c>
      <c r="O46">
        <f t="shared" si="8"/>
        <v>0</v>
      </c>
      <c r="P46">
        <f t="shared" si="9"/>
        <v>0</v>
      </c>
      <c r="Q46">
        <f t="shared" si="10"/>
        <v>0</v>
      </c>
    </row>
    <row r="47" spans="1:17" x14ac:dyDescent="0.4">
      <c r="A47">
        <f>Dose!B49</f>
        <v>0.18800551244660751</v>
      </c>
      <c r="B47" t="b">
        <f t="shared" si="6"/>
        <v>0</v>
      </c>
      <c r="C47">
        <f t="shared" si="1"/>
        <v>0</v>
      </c>
      <c r="D47">
        <f t="shared" si="1"/>
        <v>0</v>
      </c>
      <c r="E47">
        <f t="shared" si="1"/>
        <v>0</v>
      </c>
      <c r="G47" s="46">
        <f t="shared" si="7"/>
        <v>0</v>
      </c>
      <c r="H47" s="46">
        <f t="shared" si="3"/>
        <v>0</v>
      </c>
      <c r="I47" s="46">
        <f t="shared" si="4"/>
        <v>0</v>
      </c>
      <c r="K47" s="46">
        <f>IF(B47,Dose!E49,0)</f>
        <v>0</v>
      </c>
      <c r="L47" s="46">
        <f>IF(C47,Dose!F49,0)</f>
        <v>0</v>
      </c>
      <c r="M47" s="46">
        <f>IF(D47,Dose!G49,0)</f>
        <v>0</v>
      </c>
      <c r="O47">
        <f t="shared" si="8"/>
        <v>0</v>
      </c>
      <c r="P47">
        <f t="shared" si="9"/>
        <v>0</v>
      </c>
      <c r="Q47">
        <f t="shared" si="10"/>
        <v>0</v>
      </c>
    </row>
    <row r="48" spans="1:17" x14ac:dyDescent="0.4">
      <c r="A48">
        <f>Dose!B50</f>
        <v>0.19460071838743781</v>
      </c>
      <c r="B48" t="b">
        <f t="shared" si="6"/>
        <v>0</v>
      </c>
      <c r="C48">
        <f t="shared" si="1"/>
        <v>0</v>
      </c>
      <c r="D48">
        <f t="shared" si="1"/>
        <v>0</v>
      </c>
      <c r="E48">
        <f t="shared" si="1"/>
        <v>0</v>
      </c>
      <c r="G48" s="46">
        <f t="shared" si="7"/>
        <v>0</v>
      </c>
      <c r="H48" s="46">
        <f t="shared" si="3"/>
        <v>0</v>
      </c>
      <c r="I48" s="46">
        <f t="shared" si="4"/>
        <v>0</v>
      </c>
      <c r="K48" s="46">
        <f>IF(B48,Dose!E50,0)</f>
        <v>0</v>
      </c>
      <c r="L48" s="46">
        <f>IF(C48,Dose!F50,0)</f>
        <v>0</v>
      </c>
      <c r="M48" s="46">
        <f>IF(D48,Dose!G50,0)</f>
        <v>0</v>
      </c>
      <c r="O48">
        <f t="shared" si="8"/>
        <v>0</v>
      </c>
      <c r="P48">
        <f t="shared" si="9"/>
        <v>0</v>
      </c>
      <c r="Q48">
        <f t="shared" si="10"/>
        <v>0</v>
      </c>
    </row>
    <row r="49" spans="1:17" x14ac:dyDescent="0.4">
      <c r="A49">
        <f>Dose!B51</f>
        <v>0.20142728319022873</v>
      </c>
      <c r="B49" t="b">
        <f t="shared" si="6"/>
        <v>0</v>
      </c>
      <c r="C49">
        <f t="shared" si="1"/>
        <v>0</v>
      </c>
      <c r="D49">
        <f t="shared" si="1"/>
        <v>0</v>
      </c>
      <c r="E49">
        <f t="shared" si="1"/>
        <v>0</v>
      </c>
      <c r="G49" s="46">
        <f t="shared" si="7"/>
        <v>0</v>
      </c>
      <c r="H49" s="46">
        <f t="shared" si="3"/>
        <v>0</v>
      </c>
      <c r="I49" s="46">
        <f t="shared" si="4"/>
        <v>0</v>
      </c>
      <c r="K49" s="46">
        <f>IF(B49,Dose!E51,0)</f>
        <v>0</v>
      </c>
      <c r="L49" s="46">
        <f>IF(C49,Dose!F51,0)</f>
        <v>0</v>
      </c>
      <c r="M49" s="46">
        <f>IF(D49,Dose!G51,0)</f>
        <v>0</v>
      </c>
      <c r="O49">
        <f t="shared" si="8"/>
        <v>0</v>
      </c>
      <c r="P49">
        <f t="shared" si="9"/>
        <v>0</v>
      </c>
      <c r="Q49">
        <f t="shared" si="10"/>
        <v>0</v>
      </c>
    </row>
    <row r="50" spans="1:17" x14ac:dyDescent="0.4">
      <c r="A50">
        <f>Dose!B52</f>
        <v>0.20849332289009545</v>
      </c>
      <c r="B50" t="b">
        <f t="shared" si="6"/>
        <v>0</v>
      </c>
      <c r="C50">
        <f t="shared" si="1"/>
        <v>0</v>
      </c>
      <c r="D50">
        <f t="shared" si="1"/>
        <v>0</v>
      </c>
      <c r="E50">
        <f t="shared" si="1"/>
        <v>0</v>
      </c>
      <c r="G50" s="46">
        <f t="shared" si="7"/>
        <v>0</v>
      </c>
      <c r="H50" s="46">
        <f t="shared" si="3"/>
        <v>0</v>
      </c>
      <c r="I50" s="46">
        <f t="shared" si="4"/>
        <v>0</v>
      </c>
      <c r="K50" s="46">
        <f>IF(B50,Dose!E52,0)</f>
        <v>0</v>
      </c>
      <c r="L50" s="46">
        <f>IF(C50,Dose!F52,0)</f>
        <v>0</v>
      </c>
      <c r="M50" s="46">
        <f>IF(D50,Dose!G52,0)</f>
        <v>0</v>
      </c>
      <c r="O50">
        <f t="shared" si="8"/>
        <v>0</v>
      </c>
      <c r="P50">
        <f t="shared" si="9"/>
        <v>0</v>
      </c>
      <c r="Q50">
        <f t="shared" si="10"/>
        <v>0</v>
      </c>
    </row>
    <row r="51" spans="1:17" x14ac:dyDescent="0.4">
      <c r="A51">
        <f>Dose!B53</f>
        <v>0.2158072382314806</v>
      </c>
      <c r="B51" t="b">
        <f t="shared" si="6"/>
        <v>0</v>
      </c>
      <c r="C51">
        <f t="shared" si="1"/>
        <v>0</v>
      </c>
      <c r="D51">
        <f t="shared" si="1"/>
        <v>0</v>
      </c>
      <c r="E51">
        <f t="shared" si="1"/>
        <v>0</v>
      </c>
      <c r="G51" s="46">
        <f t="shared" si="7"/>
        <v>0</v>
      </c>
      <c r="H51" s="46">
        <f t="shared" si="3"/>
        <v>0</v>
      </c>
      <c r="I51" s="46">
        <f t="shared" si="4"/>
        <v>0</v>
      </c>
      <c r="K51" s="46">
        <f>IF(B51,Dose!E53,0)</f>
        <v>0</v>
      </c>
      <c r="L51" s="46">
        <f>IF(C51,Dose!F53,0)</f>
        <v>0</v>
      </c>
      <c r="M51" s="46">
        <f>IF(D51,Dose!G53,0)</f>
        <v>0</v>
      </c>
      <c r="O51">
        <f t="shared" si="8"/>
        <v>0</v>
      </c>
      <c r="P51">
        <f t="shared" si="9"/>
        <v>0</v>
      </c>
      <c r="Q51">
        <f t="shared" si="10"/>
        <v>0</v>
      </c>
    </row>
    <row r="52" spans="1:17" x14ac:dyDescent="0.4">
      <c r="A52">
        <f>Dose!B54</f>
        <v>0.22337772465571595</v>
      </c>
      <c r="B52" t="b">
        <f t="shared" si="6"/>
        <v>0</v>
      </c>
      <c r="C52">
        <f t="shared" si="1"/>
        <v>0</v>
      </c>
      <c r="D52">
        <f t="shared" si="1"/>
        <v>0</v>
      </c>
      <c r="E52">
        <f t="shared" si="1"/>
        <v>0</v>
      </c>
      <c r="G52" s="46">
        <f t="shared" si="7"/>
        <v>0</v>
      </c>
      <c r="H52" s="46">
        <f t="shared" si="3"/>
        <v>0</v>
      </c>
      <c r="I52" s="46">
        <f t="shared" si="4"/>
        <v>0</v>
      </c>
      <c r="K52" s="46">
        <f>IF(B52,Dose!E54,0)</f>
        <v>0</v>
      </c>
      <c r="L52" s="46">
        <f>IF(C52,Dose!F54,0)</f>
        <v>0</v>
      </c>
      <c r="M52" s="46">
        <f>IF(D52,Dose!G54,0)</f>
        <v>0</v>
      </c>
      <c r="O52">
        <f t="shared" si="8"/>
        <v>0</v>
      </c>
      <c r="P52">
        <f t="shared" si="9"/>
        <v>0</v>
      </c>
      <c r="Q52">
        <f t="shared" si="10"/>
        <v>0</v>
      </c>
    </row>
    <row r="53" spans="1:17" x14ac:dyDescent="0.4">
      <c r="A53">
        <f>Dose!B55</f>
        <v>0.23121378263894624</v>
      </c>
      <c r="B53" t="b">
        <f t="shared" si="6"/>
        <v>0</v>
      </c>
      <c r="C53">
        <f t="shared" si="1"/>
        <v>0</v>
      </c>
      <c r="D53">
        <f t="shared" si="1"/>
        <v>0</v>
      </c>
      <c r="E53">
        <f t="shared" si="1"/>
        <v>0</v>
      </c>
      <c r="G53" s="46">
        <f t="shared" si="7"/>
        <v>0</v>
      </c>
      <c r="H53" s="46">
        <f t="shared" si="3"/>
        <v>0</v>
      </c>
      <c r="I53" s="46">
        <f t="shared" si="4"/>
        <v>0</v>
      </c>
      <c r="K53" s="46">
        <f>IF(B53,Dose!E55,0)</f>
        <v>0</v>
      </c>
      <c r="L53" s="46">
        <f>IF(C53,Dose!F55,0)</f>
        <v>0</v>
      </c>
      <c r="M53" s="46">
        <f>IF(D53,Dose!G55,0)</f>
        <v>0</v>
      </c>
      <c r="O53">
        <f t="shared" si="8"/>
        <v>0</v>
      </c>
      <c r="P53">
        <f t="shared" si="9"/>
        <v>0</v>
      </c>
      <c r="Q53">
        <f t="shared" si="10"/>
        <v>0</v>
      </c>
    </row>
    <row r="54" spans="1:17" x14ac:dyDescent="0.4">
      <c r="A54">
        <f>Dose!B56</f>
        <v>0.23932472839270597</v>
      </c>
      <c r="B54" t="b">
        <f t="shared" si="6"/>
        <v>0</v>
      </c>
      <c r="C54">
        <f t="shared" si="1"/>
        <v>0</v>
      </c>
      <c r="D54">
        <f t="shared" si="1"/>
        <v>0</v>
      </c>
      <c r="E54">
        <f t="shared" si="1"/>
        <v>0</v>
      </c>
      <c r="G54" s="46">
        <f t="shared" si="7"/>
        <v>0</v>
      </c>
      <c r="H54" s="46">
        <f t="shared" si="3"/>
        <v>0</v>
      </c>
      <c r="I54" s="46">
        <f t="shared" si="4"/>
        <v>0</v>
      </c>
      <c r="K54" s="46">
        <f>IF(B54,Dose!E56,0)</f>
        <v>0</v>
      </c>
      <c r="L54" s="46">
        <f>IF(C54,Dose!F56,0)</f>
        <v>0</v>
      </c>
      <c r="M54" s="46">
        <f>IF(D54,Dose!G56,0)</f>
        <v>0</v>
      </c>
      <c r="O54">
        <f t="shared" si="8"/>
        <v>0</v>
      </c>
      <c r="P54">
        <f t="shared" si="9"/>
        <v>0</v>
      </c>
      <c r="Q54">
        <f t="shared" si="10"/>
        <v>0</v>
      </c>
    </row>
    <row r="55" spans="1:17" x14ac:dyDescent="0.4">
      <c r="A55">
        <f>Dose!B57</f>
        <v>0.24772020493987071</v>
      </c>
      <c r="B55" t="b">
        <f t="shared" si="6"/>
        <v>0</v>
      </c>
      <c r="C55">
        <f t="shared" si="1"/>
        <v>0</v>
      </c>
      <c r="D55">
        <f t="shared" si="1"/>
        <v>0</v>
      </c>
      <c r="E55">
        <f t="shared" si="1"/>
        <v>0</v>
      </c>
      <c r="G55" s="46">
        <f t="shared" si="7"/>
        <v>0</v>
      </c>
      <c r="H55" s="46">
        <f t="shared" si="3"/>
        <v>0</v>
      </c>
      <c r="I55" s="46">
        <f t="shared" si="4"/>
        <v>0</v>
      </c>
      <c r="K55" s="46">
        <f>IF(B55,Dose!E57,0)</f>
        <v>0</v>
      </c>
      <c r="L55" s="46">
        <f>IF(C55,Dose!F57,0)</f>
        <v>0</v>
      </c>
      <c r="M55" s="46">
        <f>IF(D55,Dose!G57,0)</f>
        <v>0</v>
      </c>
      <c r="O55">
        <f t="shared" si="8"/>
        <v>0</v>
      </c>
      <c r="P55">
        <f t="shared" si="9"/>
        <v>0</v>
      </c>
      <c r="Q55">
        <f t="shared" si="10"/>
        <v>0</v>
      </c>
    </row>
    <row r="56" spans="1:17" x14ac:dyDescent="0.4">
      <c r="A56">
        <f>Dose!B58</f>
        <v>0.25641019357915129</v>
      </c>
      <c r="B56" t="b">
        <f t="shared" si="6"/>
        <v>0</v>
      </c>
      <c r="C56">
        <f t="shared" si="1"/>
        <v>0</v>
      </c>
      <c r="D56">
        <f t="shared" si="1"/>
        <v>0</v>
      </c>
      <c r="E56">
        <f t="shared" si="1"/>
        <v>0</v>
      </c>
      <c r="G56" s="46">
        <f t="shared" si="7"/>
        <v>0</v>
      </c>
      <c r="H56" s="46">
        <f t="shared" si="3"/>
        <v>0</v>
      </c>
      <c r="I56" s="46">
        <f t="shared" si="4"/>
        <v>0</v>
      </c>
      <c r="K56" s="46">
        <f>IF(B56,Dose!E58,0)</f>
        <v>0</v>
      </c>
      <c r="L56" s="46">
        <f>IF(C56,Dose!F58,0)</f>
        <v>0</v>
      </c>
      <c r="M56" s="46">
        <f>IF(D56,Dose!G58,0)</f>
        <v>0</v>
      </c>
      <c r="O56">
        <f t="shared" si="8"/>
        <v>0</v>
      </c>
      <c r="P56">
        <f t="shared" si="9"/>
        <v>0</v>
      </c>
      <c r="Q56">
        <f t="shared" si="10"/>
        <v>0</v>
      </c>
    </row>
    <row r="57" spans="1:17" x14ac:dyDescent="0.4">
      <c r="A57">
        <f>Dose!B59</f>
        <v>0.26540502575176073</v>
      </c>
      <c r="B57" t="b">
        <f t="shared" si="6"/>
        <v>0</v>
      </c>
      <c r="C57">
        <f t="shared" si="1"/>
        <v>0</v>
      </c>
      <c r="D57">
        <f t="shared" si="1"/>
        <v>0</v>
      </c>
      <c r="E57">
        <f t="shared" si="1"/>
        <v>0</v>
      </c>
      <c r="G57" s="46">
        <f t="shared" si="7"/>
        <v>0</v>
      </c>
      <c r="H57" s="46">
        <f t="shared" si="3"/>
        <v>0</v>
      </c>
      <c r="I57" s="46">
        <f t="shared" si="4"/>
        <v>0</v>
      </c>
      <c r="K57" s="46">
        <f>IF(B57,Dose!E59,0)</f>
        <v>0</v>
      </c>
      <c r="L57" s="46">
        <f>IF(C57,Dose!F59,0)</f>
        <v>0</v>
      </c>
      <c r="M57" s="46">
        <f>IF(D57,Dose!G59,0)</f>
        <v>0</v>
      </c>
      <c r="O57">
        <f t="shared" si="8"/>
        <v>0</v>
      </c>
      <c r="P57">
        <f t="shared" si="9"/>
        <v>0</v>
      </c>
      <c r="Q57">
        <f t="shared" si="10"/>
        <v>0</v>
      </c>
    </row>
    <row r="58" spans="1:17" x14ac:dyDescent="0.4">
      <c r="A58">
        <f>Dose!B60</f>
        <v>0.27471539532436218</v>
      </c>
      <c r="B58" t="b">
        <f t="shared" si="6"/>
        <v>0</v>
      </c>
      <c r="C58">
        <f t="shared" si="1"/>
        <v>0</v>
      </c>
      <c r="D58">
        <f t="shared" si="1"/>
        <v>0</v>
      </c>
      <c r="E58">
        <f t="shared" si="1"/>
        <v>0</v>
      </c>
      <c r="G58" s="46">
        <f t="shared" si="7"/>
        <v>0</v>
      </c>
      <c r="H58" s="46">
        <f t="shared" si="3"/>
        <v>0</v>
      </c>
      <c r="I58" s="46">
        <f t="shared" si="4"/>
        <v>0</v>
      </c>
      <c r="K58" s="46">
        <f>IF(B58,Dose!E60,0)</f>
        <v>0</v>
      </c>
      <c r="L58" s="46">
        <f>IF(C58,Dose!F60,0)</f>
        <v>0</v>
      </c>
      <c r="M58" s="46">
        <f>IF(D58,Dose!G60,0)</f>
        <v>0</v>
      </c>
      <c r="O58">
        <f t="shared" si="8"/>
        <v>0</v>
      </c>
      <c r="P58">
        <f t="shared" si="9"/>
        <v>0</v>
      </c>
      <c r="Q58">
        <f t="shared" si="10"/>
        <v>0</v>
      </c>
    </row>
    <row r="59" spans="1:17" x14ac:dyDescent="0.4">
      <c r="A59">
        <f>Dose!B61</f>
        <v>0.28435237130290081</v>
      </c>
      <c r="B59" t="b">
        <f t="shared" si="6"/>
        <v>0</v>
      </c>
      <c r="C59">
        <f t="shared" si="1"/>
        <v>0</v>
      </c>
      <c r="D59">
        <f t="shared" si="1"/>
        <v>0</v>
      </c>
      <c r="E59">
        <f t="shared" si="1"/>
        <v>0</v>
      </c>
      <c r="G59" s="46">
        <f t="shared" si="7"/>
        <v>0</v>
      </c>
      <c r="H59" s="46">
        <f t="shared" si="3"/>
        <v>0</v>
      </c>
      <c r="I59" s="46">
        <f t="shared" si="4"/>
        <v>0</v>
      </c>
      <c r="K59" s="46">
        <f>IF(B59,Dose!E61,0)</f>
        <v>0</v>
      </c>
      <c r="L59" s="46">
        <f>IF(C59,Dose!F61,0)</f>
        <v>0</v>
      </c>
      <c r="M59" s="46">
        <f>IF(D59,Dose!G61,0)</f>
        <v>0</v>
      </c>
      <c r="O59">
        <f t="shared" si="8"/>
        <v>0</v>
      </c>
      <c r="P59">
        <f t="shared" si="9"/>
        <v>0</v>
      </c>
      <c r="Q59">
        <f t="shared" si="10"/>
        <v>0</v>
      </c>
    </row>
    <row r="60" spans="1:17" x14ac:dyDescent="0.4">
      <c r="A60">
        <f>Dose!B62</f>
        <v>0.29432741099243476</v>
      </c>
      <c r="B60" t="b">
        <f t="shared" si="6"/>
        <v>0</v>
      </c>
      <c r="C60">
        <f t="shared" si="1"/>
        <v>0</v>
      </c>
      <c r="D60">
        <f t="shared" si="1"/>
        <v>0</v>
      </c>
      <c r="E60">
        <f t="shared" si="1"/>
        <v>0</v>
      </c>
      <c r="G60" s="46">
        <f t="shared" si="7"/>
        <v>0</v>
      </c>
      <c r="H60" s="46">
        <f t="shared" si="3"/>
        <v>0</v>
      </c>
      <c r="I60" s="46">
        <f t="shared" si="4"/>
        <v>0</v>
      </c>
      <c r="K60" s="46">
        <f>IF(B60,Dose!E62,0)</f>
        <v>0</v>
      </c>
      <c r="L60" s="46">
        <f>IF(C60,Dose!F62,0)</f>
        <v>0</v>
      </c>
      <c r="M60" s="46">
        <f>IF(D60,Dose!G62,0)</f>
        <v>0</v>
      </c>
      <c r="O60">
        <f t="shared" si="8"/>
        <v>0</v>
      </c>
      <c r="P60">
        <f t="shared" si="9"/>
        <v>0</v>
      </c>
      <c r="Q60">
        <f t="shared" si="10"/>
        <v>0</v>
      </c>
    </row>
    <row r="61" spans="1:17" x14ac:dyDescent="0.4">
      <c r="A61">
        <f>Dose!B63</f>
        <v>0.30465237361861197</v>
      </c>
      <c r="B61" t="b">
        <f t="shared" si="6"/>
        <v>0</v>
      </c>
      <c r="C61">
        <f t="shared" si="1"/>
        <v>0</v>
      </c>
      <c r="D61">
        <f t="shared" si="1"/>
        <v>0</v>
      </c>
      <c r="E61">
        <f t="shared" si="1"/>
        <v>0</v>
      </c>
      <c r="G61" s="46">
        <f t="shared" si="7"/>
        <v>0</v>
      </c>
      <c r="H61" s="46">
        <f t="shared" si="3"/>
        <v>0</v>
      </c>
      <c r="I61" s="46">
        <f t="shared" si="4"/>
        <v>0</v>
      </c>
      <c r="K61" s="46">
        <f>IF(B61,Dose!E63,0)</f>
        <v>0</v>
      </c>
      <c r="L61" s="46">
        <f>IF(C61,Dose!F63,0)</f>
        <v>0</v>
      </c>
      <c r="M61" s="46">
        <f>IF(D61,Dose!G63,0)</f>
        <v>0</v>
      </c>
      <c r="O61">
        <f t="shared" si="8"/>
        <v>0</v>
      </c>
      <c r="P61">
        <f t="shared" si="9"/>
        <v>0</v>
      </c>
      <c r="Q61">
        <f t="shared" si="10"/>
        <v>0</v>
      </c>
    </row>
    <row r="62" spans="1:17" x14ac:dyDescent="0.4">
      <c r="A62">
        <f>Dose!B64</f>
        <v>0.31533953442698531</v>
      </c>
      <c r="B62" t="b">
        <f t="shared" si="6"/>
        <v>0</v>
      </c>
      <c r="C62">
        <f t="shared" si="1"/>
        <v>0</v>
      </c>
      <c r="D62">
        <f t="shared" si="1"/>
        <v>0</v>
      </c>
      <c r="E62">
        <f t="shared" si="1"/>
        <v>0</v>
      </c>
      <c r="G62" s="46">
        <f t="shared" si="7"/>
        <v>0</v>
      </c>
      <c r="H62" s="46">
        <f t="shared" si="3"/>
        <v>0</v>
      </c>
      <c r="I62" s="46">
        <f t="shared" si="4"/>
        <v>0</v>
      </c>
      <c r="K62" s="46">
        <f>IF(B62,Dose!E64,0)</f>
        <v>0</v>
      </c>
      <c r="L62" s="46">
        <f>IF(C62,Dose!F64,0)</f>
        <v>0</v>
      </c>
      <c r="M62" s="46">
        <f>IF(D62,Dose!G64,0)</f>
        <v>0</v>
      </c>
      <c r="O62">
        <f t="shared" si="8"/>
        <v>0</v>
      </c>
      <c r="P62">
        <f t="shared" si="9"/>
        <v>0</v>
      </c>
      <c r="Q62">
        <f t="shared" si="10"/>
        <v>0</v>
      </c>
    </row>
    <row r="63" spans="1:17" x14ac:dyDescent="0.4">
      <c r="A63">
        <f>Dose!B65</f>
        <v>0.32640159927693047</v>
      </c>
      <c r="B63" t="b">
        <f t="shared" si="6"/>
        <v>0</v>
      </c>
      <c r="C63">
        <f t="shared" si="1"/>
        <v>0</v>
      </c>
      <c r="D63">
        <f t="shared" si="1"/>
        <v>0</v>
      </c>
      <c r="E63">
        <f t="shared" si="1"/>
        <v>0</v>
      </c>
      <c r="G63" s="46">
        <f t="shared" si="7"/>
        <v>0</v>
      </c>
      <c r="H63" s="46">
        <f t="shared" si="3"/>
        <v>0</v>
      </c>
      <c r="I63" s="46">
        <f t="shared" si="4"/>
        <v>0</v>
      </c>
      <c r="K63" s="46">
        <f>IF(B63,Dose!E65,0)</f>
        <v>0</v>
      </c>
      <c r="L63" s="46">
        <f>IF(C63,Dose!F65,0)</f>
        <v>0</v>
      </c>
      <c r="M63" s="46">
        <f>IF(D63,Dose!G65,0)</f>
        <v>0</v>
      </c>
      <c r="O63">
        <f t="shared" si="8"/>
        <v>0</v>
      </c>
      <c r="P63">
        <f t="shared" si="9"/>
        <v>0</v>
      </c>
      <c r="Q63">
        <f t="shared" si="10"/>
        <v>0</v>
      </c>
    </row>
    <row r="64" spans="1:17" x14ac:dyDescent="0.4">
      <c r="A64">
        <f>Dose!B66</f>
        <v>0.3378517197475156</v>
      </c>
      <c r="B64" t="b">
        <f t="shared" si="6"/>
        <v>0</v>
      </c>
      <c r="C64">
        <f t="shared" si="1"/>
        <v>0</v>
      </c>
      <c r="D64">
        <f t="shared" si="1"/>
        <v>0</v>
      </c>
      <c r="E64">
        <f t="shared" si="1"/>
        <v>0</v>
      </c>
      <c r="G64" s="46">
        <f t="shared" si="7"/>
        <v>0</v>
      </c>
      <c r="H64" s="46">
        <f t="shared" si="3"/>
        <v>0</v>
      </c>
      <c r="I64" s="46">
        <f t="shared" si="4"/>
        <v>0</v>
      </c>
      <c r="K64" s="46">
        <f>IF(B64,Dose!E66,0)</f>
        <v>0</v>
      </c>
      <c r="L64" s="46">
        <f>IF(C64,Dose!F66,0)</f>
        <v>0</v>
      </c>
      <c r="M64" s="46">
        <f>IF(D64,Dose!G66,0)</f>
        <v>0</v>
      </c>
      <c r="O64">
        <f t="shared" si="8"/>
        <v>0</v>
      </c>
      <c r="P64">
        <f t="shared" si="9"/>
        <v>0</v>
      </c>
      <c r="Q64">
        <f t="shared" si="10"/>
        <v>0</v>
      </c>
    </row>
    <row r="65" spans="1:17" x14ac:dyDescent="0.4">
      <c r="A65">
        <f>Dose!B67</f>
        <v>0.34970350877328349</v>
      </c>
      <c r="B65" t="b">
        <f t="shared" si="6"/>
        <v>0</v>
      </c>
      <c r="C65">
        <f t="shared" si="1"/>
        <v>0</v>
      </c>
      <c r="D65">
        <f t="shared" si="1"/>
        <v>0</v>
      </c>
      <c r="E65">
        <f t="shared" si="1"/>
        <v>0</v>
      </c>
      <c r="G65" s="46">
        <f t="shared" si="7"/>
        <v>0</v>
      </c>
      <c r="H65" s="46">
        <f t="shared" si="3"/>
        <v>0</v>
      </c>
      <c r="I65" s="46">
        <f t="shared" si="4"/>
        <v>0</v>
      </c>
      <c r="K65" s="46">
        <f>IF(B65,Dose!E67,0)</f>
        <v>0</v>
      </c>
      <c r="L65" s="46">
        <f>IF(C65,Dose!F67,0)</f>
        <v>0</v>
      </c>
      <c r="M65" s="46">
        <f>IF(D65,Dose!G67,0)</f>
        <v>0</v>
      </c>
      <c r="O65">
        <f t="shared" si="8"/>
        <v>0</v>
      </c>
      <c r="P65">
        <f t="shared" si="9"/>
        <v>0</v>
      </c>
      <c r="Q65">
        <f t="shared" si="10"/>
        <v>0</v>
      </c>
    </row>
    <row r="66" spans="1:17" x14ac:dyDescent="0.4">
      <c r="A66">
        <f>Dose!B68</f>
        <v>0.3619710568285342</v>
      </c>
      <c r="B66" t="b">
        <f t="shared" si="6"/>
        <v>0</v>
      </c>
      <c r="C66">
        <f t="shared" si="1"/>
        <v>0</v>
      </c>
      <c r="D66">
        <f t="shared" si="1"/>
        <v>0</v>
      </c>
      <c r="E66">
        <f t="shared" si="1"/>
        <v>0</v>
      </c>
      <c r="G66" s="46">
        <f t="shared" si="7"/>
        <v>0</v>
      </c>
      <c r="H66" s="46">
        <f t="shared" si="3"/>
        <v>0</v>
      </c>
      <c r="I66" s="46">
        <f t="shared" si="4"/>
        <v>0</v>
      </c>
      <c r="K66" s="46">
        <f>IF(B66,Dose!E68,0)</f>
        <v>0</v>
      </c>
      <c r="L66" s="46">
        <f>IF(C66,Dose!F68,0)</f>
        <v>0</v>
      </c>
      <c r="M66" s="46">
        <f>IF(D66,Dose!G68,0)</f>
        <v>0</v>
      </c>
      <c r="O66">
        <f t="shared" si="8"/>
        <v>0</v>
      </c>
      <c r="P66">
        <f t="shared" si="9"/>
        <v>0</v>
      </c>
      <c r="Q66">
        <f t="shared" si="10"/>
        <v>0</v>
      </c>
    </row>
    <row r="67" spans="1:17" x14ac:dyDescent="0.4">
      <c r="A67">
        <f>Dose!B69</f>
        <v>0.37466894867934986</v>
      </c>
      <c r="B67" t="b">
        <f t="shared" si="6"/>
        <v>0</v>
      </c>
      <c r="C67">
        <f t="shared" si="1"/>
        <v>0</v>
      </c>
      <c r="D67">
        <f t="shared" si="1"/>
        <v>0</v>
      </c>
      <c r="E67">
        <f t="shared" si="1"/>
        <v>0</v>
      </c>
      <c r="G67" s="46">
        <f t="shared" si="7"/>
        <v>0</v>
      </c>
      <c r="H67" s="46">
        <f t="shared" si="3"/>
        <v>0</v>
      </c>
      <c r="I67" s="46">
        <f t="shared" si="4"/>
        <v>0</v>
      </c>
      <c r="K67" s="46">
        <f>IF(B67,Dose!E69,0)</f>
        <v>0</v>
      </c>
      <c r="L67" s="46">
        <f>IF(C67,Dose!F69,0)</f>
        <v>0</v>
      </c>
      <c r="M67" s="46">
        <f>IF(D67,Dose!G69,0)</f>
        <v>0</v>
      </c>
      <c r="O67">
        <f t="shared" si="8"/>
        <v>0</v>
      </c>
      <c r="P67">
        <f t="shared" si="9"/>
        <v>0</v>
      </c>
      <c r="Q67">
        <f t="shared" si="10"/>
        <v>0</v>
      </c>
    </row>
    <row r="68" spans="1:17" x14ac:dyDescent="0.4">
      <c r="A68">
        <f>Dose!B70</f>
        <v>0.3878122807232785</v>
      </c>
      <c r="B68" t="b">
        <f t="shared" si="6"/>
        <v>0</v>
      </c>
      <c r="C68">
        <f t="shared" si="1"/>
        <v>0</v>
      </c>
      <c r="D68">
        <f t="shared" si="1"/>
        <v>0</v>
      </c>
      <c r="E68">
        <f t="shared" si="1"/>
        <v>0</v>
      </c>
      <c r="G68" s="46">
        <f t="shared" si="7"/>
        <v>0</v>
      </c>
      <c r="H68" s="46">
        <f t="shared" si="3"/>
        <v>0</v>
      </c>
      <c r="I68" s="46">
        <f t="shared" si="4"/>
        <v>0</v>
      </c>
      <c r="K68" s="46">
        <f>IF(B68,Dose!E70,0)</f>
        <v>0</v>
      </c>
      <c r="L68" s="46">
        <f>IF(C68,Dose!F70,0)</f>
        <v>0</v>
      </c>
      <c r="M68" s="46">
        <f>IF(D68,Dose!G70,0)</f>
        <v>0</v>
      </c>
      <c r="O68">
        <f t="shared" si="8"/>
        <v>0</v>
      </c>
      <c r="P68">
        <f t="shared" si="9"/>
        <v>0</v>
      </c>
      <c r="Q68">
        <f t="shared" si="10"/>
        <v>0</v>
      </c>
    </row>
    <row r="69" spans="1:17" x14ac:dyDescent="0.4">
      <c r="A69">
        <f>Dose!B71</f>
        <v>0.40141667893729105</v>
      </c>
      <c r="B69" t="b">
        <f t="shared" si="6"/>
        <v>0</v>
      </c>
      <c r="C69">
        <f t="shared" si="1"/>
        <v>0</v>
      </c>
      <c r="D69">
        <f t="shared" si="1"/>
        <v>0</v>
      </c>
      <c r="E69">
        <f t="shared" si="1"/>
        <v>0</v>
      </c>
      <c r="G69" s="46">
        <f t="shared" si="7"/>
        <v>0</v>
      </c>
      <c r="H69" s="46">
        <f t="shared" si="3"/>
        <v>0</v>
      </c>
      <c r="I69" s="46">
        <f t="shared" si="4"/>
        <v>0</v>
      </c>
      <c r="K69" s="46">
        <f>IF(B69,Dose!E71,0)</f>
        <v>0</v>
      </c>
      <c r="L69" s="46">
        <f>IF(C69,Dose!F71,0)</f>
        <v>0</v>
      </c>
      <c r="M69" s="46">
        <f>IF(D69,Dose!G71,0)</f>
        <v>0</v>
      </c>
      <c r="O69">
        <f t="shared" si="8"/>
        <v>0</v>
      </c>
      <c r="P69">
        <f t="shared" si="9"/>
        <v>0</v>
      </c>
      <c r="Q69">
        <f t="shared" si="10"/>
        <v>0</v>
      </c>
    </row>
    <row r="70" spans="1:17" x14ac:dyDescent="0.4">
      <c r="A70">
        <f>Dose!B72</f>
        <v>0.41549831745535037</v>
      </c>
      <c r="B70" t="b">
        <f t="shared" si="6"/>
        <v>0</v>
      </c>
      <c r="C70">
        <f t="shared" si="1"/>
        <v>0</v>
      </c>
      <c r="D70">
        <f t="shared" si="1"/>
        <v>0</v>
      </c>
      <c r="E70">
        <f t="shared" si="1"/>
        <v>0</v>
      </c>
      <c r="G70" s="46">
        <f t="shared" si="7"/>
        <v>0</v>
      </c>
      <c r="H70" s="46">
        <f t="shared" si="3"/>
        <v>0</v>
      </c>
      <c r="I70" s="46">
        <f t="shared" si="4"/>
        <v>0</v>
      </c>
      <c r="K70" s="46">
        <f>IF(B70,Dose!E72,0)</f>
        <v>0</v>
      </c>
      <c r="L70" s="46">
        <f>IF(C70,Dose!F72,0)</f>
        <v>0</v>
      </c>
      <c r="M70" s="46">
        <f>IF(D70,Dose!G72,0)</f>
        <v>0</v>
      </c>
      <c r="O70">
        <f t="shared" si="8"/>
        <v>0</v>
      </c>
      <c r="P70">
        <f t="shared" si="9"/>
        <v>0</v>
      </c>
      <c r="Q70">
        <f t="shared" si="10"/>
        <v>0</v>
      </c>
    </row>
    <row r="71" spans="1:17" x14ac:dyDescent="0.4">
      <c r="A71">
        <f>Dose!B73</f>
        <v>0.43007393779767822</v>
      </c>
      <c r="B71" t="b">
        <f t="shared" si="6"/>
        <v>0</v>
      </c>
      <c r="C71">
        <f t="shared" si="1"/>
        <v>0</v>
      </c>
      <c r="D71">
        <f t="shared" si="1"/>
        <v>0</v>
      </c>
      <c r="E71">
        <f t="shared" si="1"/>
        <v>0</v>
      </c>
      <c r="G71" s="46">
        <f t="shared" si="7"/>
        <v>0</v>
      </c>
      <c r="H71" s="46">
        <f t="shared" si="3"/>
        <v>0</v>
      </c>
      <c r="I71" s="46">
        <f t="shared" si="4"/>
        <v>0</v>
      </c>
      <c r="K71" s="46">
        <f>IF(B71,Dose!E73,0)</f>
        <v>0</v>
      </c>
      <c r="L71" s="46">
        <f>IF(C71,Dose!F73,0)</f>
        <v>0</v>
      </c>
      <c r="M71" s="46">
        <f>IF(D71,Dose!G73,0)</f>
        <v>0</v>
      </c>
      <c r="O71">
        <f t="shared" si="8"/>
        <v>0</v>
      </c>
      <c r="P71">
        <f t="shared" si="9"/>
        <v>0</v>
      </c>
      <c r="Q71">
        <f t="shared" si="10"/>
        <v>0</v>
      </c>
    </row>
    <row r="72" spans="1:17" x14ac:dyDescent="0.4">
      <c r="A72">
        <f>Dose!B74</f>
        <v>0.44516086877458289</v>
      </c>
      <c r="B72" t="b">
        <f t="shared" si="6"/>
        <v>0</v>
      </c>
      <c r="C72">
        <f t="shared" si="1"/>
        <v>0</v>
      </c>
      <c r="D72">
        <f t="shared" si="1"/>
        <v>0</v>
      </c>
      <c r="E72">
        <f t="shared" si="1"/>
        <v>0</v>
      </c>
      <c r="G72" s="46">
        <f t="shared" si="7"/>
        <v>0</v>
      </c>
      <c r="H72" s="46">
        <f t="shared" si="3"/>
        <v>0</v>
      </c>
      <c r="I72" s="46">
        <f t="shared" si="4"/>
        <v>0</v>
      </c>
      <c r="K72" s="46">
        <f>IF(B72,Dose!E74,0)</f>
        <v>0</v>
      </c>
      <c r="L72" s="46">
        <f>IF(C72,Dose!F74,0)</f>
        <v>0</v>
      </c>
      <c r="M72" s="46">
        <f>IF(D72,Dose!G74,0)</f>
        <v>0</v>
      </c>
      <c r="O72">
        <f t="shared" si="8"/>
        <v>0</v>
      </c>
      <c r="P72">
        <f t="shared" si="9"/>
        <v>0</v>
      </c>
      <c r="Q72">
        <f t="shared" si="10"/>
        <v>0</v>
      </c>
    </row>
    <row r="73" spans="1:17" x14ac:dyDescent="0.4">
      <c r="A73">
        <f>Dose!B75</f>
        <v>0.46077704708850942</v>
      </c>
      <c r="B73" t="b">
        <f t="shared" si="6"/>
        <v>0</v>
      </c>
      <c r="C73">
        <f t="shared" si="1"/>
        <v>0</v>
      </c>
      <c r="D73">
        <f t="shared" si="1"/>
        <v>0</v>
      </c>
      <c r="E73">
        <f t="shared" si="1"/>
        <v>0</v>
      </c>
      <c r="G73" s="46">
        <f t="shared" si="7"/>
        <v>0</v>
      </c>
      <c r="H73" s="46">
        <f t="shared" si="3"/>
        <v>0</v>
      </c>
      <c r="I73" s="46">
        <f t="shared" si="4"/>
        <v>0</v>
      </c>
      <c r="K73" s="46">
        <f>IF(B73,Dose!E75,0)</f>
        <v>0</v>
      </c>
      <c r="L73" s="46">
        <f>IF(C73,Dose!F75,0)</f>
        <v>0</v>
      </c>
      <c r="M73" s="46">
        <f>IF(D73,Dose!G75,0)</f>
        <v>0</v>
      </c>
      <c r="O73">
        <f t="shared" si="8"/>
        <v>0</v>
      </c>
      <c r="P73">
        <f t="shared" si="9"/>
        <v>0</v>
      </c>
      <c r="Q73">
        <f t="shared" si="10"/>
        <v>0</v>
      </c>
    </row>
    <row r="74" spans="1:17" x14ac:dyDescent="0.4">
      <c r="A74">
        <f>Dose!B76</f>
        <v>0.47694103865880688</v>
      </c>
      <c r="B74" t="b">
        <f t="shared" si="6"/>
        <v>0</v>
      </c>
      <c r="C74">
        <f t="shared" si="1"/>
        <v>0</v>
      </c>
      <c r="D74">
        <f t="shared" si="1"/>
        <v>0</v>
      </c>
      <c r="E74">
        <f t="shared" si="1"/>
        <v>0</v>
      </c>
      <c r="G74" s="46">
        <f t="shared" si="7"/>
        <v>0</v>
      </c>
      <c r="H74" s="46">
        <f t="shared" si="3"/>
        <v>0</v>
      </c>
      <c r="I74" s="46">
        <f t="shared" si="4"/>
        <v>0</v>
      </c>
      <c r="K74" s="46">
        <f>IF(B74,Dose!E76,0)</f>
        <v>0</v>
      </c>
      <c r="L74" s="46">
        <f>IF(C74,Dose!F76,0)</f>
        <v>0</v>
      </c>
      <c r="M74" s="46">
        <f>IF(D74,Dose!G76,0)</f>
        <v>0</v>
      </c>
      <c r="O74">
        <f t="shared" si="8"/>
        <v>0</v>
      </c>
      <c r="P74">
        <f t="shared" si="9"/>
        <v>0</v>
      </c>
      <c r="Q74">
        <f t="shared" si="10"/>
        <v>0</v>
      </c>
    </row>
    <row r="75" spans="1:17" x14ac:dyDescent="0.4">
      <c r="A75">
        <f>Dose!B77</f>
        <v>0.49367206069456598</v>
      </c>
      <c r="B75" t="b">
        <f t="shared" si="6"/>
        <v>0</v>
      </c>
      <c r="C75">
        <f t="shared" si="1"/>
        <v>0</v>
      </c>
      <c r="D75">
        <f t="shared" si="1"/>
        <v>0</v>
      </c>
      <c r="E75">
        <f t="shared" si="1"/>
        <v>0</v>
      </c>
      <c r="G75" s="46">
        <f t="shared" si="7"/>
        <v>0</v>
      </c>
      <c r="H75" s="46">
        <f t="shared" ref="H75:H138" si="11">IF(D75&gt;0,H$5*(1-1/(1+EXP(10.32)*(D75^(0.4343*-7.17))))+H$4*(1+0.44)/(1+0.44*EXP(0.0195*D75)),0)</f>
        <v>0</v>
      </c>
      <c r="I75" s="46">
        <f t="shared" ref="I75:I138" si="12">IF(E75&gt;0,I$5*(1-1/(1+EXP(10.32)*(E75^(0.4343*-7.17))))+I$4*(1+0.44)/(1+0.44*EXP(0.0195*E75)),0)</f>
        <v>0</v>
      </c>
      <c r="K75" s="46">
        <f>IF(B75,Dose!E77,0)</f>
        <v>0</v>
      </c>
      <c r="L75" s="46">
        <f>IF(C75,Dose!F77,0)</f>
        <v>0</v>
      </c>
      <c r="M75" s="46">
        <f>IF(D75,Dose!G77,0)</f>
        <v>0</v>
      </c>
      <c r="O75">
        <f t="shared" si="8"/>
        <v>0</v>
      </c>
      <c r="P75">
        <f t="shared" si="9"/>
        <v>0</v>
      </c>
      <c r="Q75">
        <f t="shared" si="10"/>
        <v>0</v>
      </c>
    </row>
    <row r="76" spans="1:17" x14ac:dyDescent="0.4">
      <c r="A76">
        <f>Dose!B78</f>
        <v>0.51099000454176802</v>
      </c>
      <c r="B76" t="b">
        <f t="shared" ref="B76:B139" si="13">A76&gt;100</f>
        <v>0</v>
      </c>
      <c r="C76">
        <f t="shared" ref="C76:E139" si="14">IF($B76,$A76*SQRT(C$7),0)</f>
        <v>0</v>
      </c>
      <c r="D76">
        <f t="shared" si="14"/>
        <v>0</v>
      </c>
      <c r="E76">
        <f t="shared" si="14"/>
        <v>0</v>
      </c>
      <c r="G76" s="46">
        <f t="shared" ref="G76:G139" si="15">IF(C76&gt;0,G$5*(1-1/(1+EXP(10.32)*(C76^(0.4343*-7.17))))+G$4*(1+0.44)/(1+0.44*EXP(0.0195*C76)),0)</f>
        <v>0</v>
      </c>
      <c r="H76" s="46">
        <f t="shared" si="11"/>
        <v>0</v>
      </c>
      <c r="I76" s="46">
        <f t="shared" si="12"/>
        <v>0</v>
      </c>
      <c r="K76" s="46">
        <f>IF(B76,Dose!E78,0)</f>
        <v>0</v>
      </c>
      <c r="L76" s="46">
        <f>IF(C76,Dose!F78,0)</f>
        <v>0</v>
      </c>
      <c r="M76" s="46">
        <f>IF(D76,Dose!G78,0)</f>
        <v>0</v>
      </c>
      <c r="O76">
        <f t="shared" ref="O76:O139" si="16">G76*K76</f>
        <v>0</v>
      </c>
      <c r="P76">
        <f t="shared" ref="P76:P139" si="17">H76*L76</f>
        <v>0</v>
      </c>
      <c r="Q76">
        <f t="shared" ref="Q76:Q139" si="18">I76*M76</f>
        <v>0</v>
      </c>
    </row>
    <row r="77" spans="1:17" x14ac:dyDescent="0.4">
      <c r="A77">
        <f>Dose!B79</f>
        <v>0.5289154593319082</v>
      </c>
      <c r="B77" t="b">
        <f t="shared" si="13"/>
        <v>0</v>
      </c>
      <c r="C77">
        <f t="shared" si="14"/>
        <v>0</v>
      </c>
      <c r="D77">
        <f t="shared" si="14"/>
        <v>0</v>
      </c>
      <c r="E77">
        <f t="shared" si="14"/>
        <v>0</v>
      </c>
      <c r="G77" s="46">
        <f t="shared" si="15"/>
        <v>0</v>
      </c>
      <c r="H77" s="46">
        <f t="shared" si="11"/>
        <v>0</v>
      </c>
      <c r="I77" s="46">
        <f t="shared" si="12"/>
        <v>0</v>
      </c>
      <c r="K77" s="46">
        <f>IF(B77,Dose!E79,0)</f>
        <v>0</v>
      </c>
      <c r="L77" s="46">
        <f>IF(C77,Dose!F79,0)</f>
        <v>0</v>
      </c>
      <c r="M77" s="46">
        <f>IF(D77,Dose!G79,0)</f>
        <v>0</v>
      </c>
      <c r="O77">
        <f t="shared" si="16"/>
        <v>0</v>
      </c>
      <c r="P77">
        <f t="shared" si="17"/>
        <v>0</v>
      </c>
      <c r="Q77">
        <f t="shared" si="18"/>
        <v>0</v>
      </c>
    </row>
    <row r="78" spans="1:17" x14ac:dyDescent="0.4">
      <c r="A78">
        <f>Dose!B80</f>
        <v>0.54746973646021047</v>
      </c>
      <c r="B78" t="b">
        <f t="shared" si="13"/>
        <v>0</v>
      </c>
      <c r="C78">
        <f t="shared" si="14"/>
        <v>0</v>
      </c>
      <c r="D78">
        <f t="shared" si="14"/>
        <v>0</v>
      </c>
      <c r="E78">
        <f t="shared" si="14"/>
        <v>0</v>
      </c>
      <c r="G78" s="46">
        <f t="shared" si="15"/>
        <v>0</v>
      </c>
      <c r="H78" s="46">
        <f t="shared" si="11"/>
        <v>0</v>
      </c>
      <c r="I78" s="46">
        <f t="shared" si="12"/>
        <v>0</v>
      </c>
      <c r="K78" s="46">
        <f>IF(B78,Dose!E80,0)</f>
        <v>0</v>
      </c>
      <c r="L78" s="46">
        <f>IF(C78,Dose!F80,0)</f>
        <v>0</v>
      </c>
      <c r="M78" s="46">
        <f>IF(D78,Dose!G80,0)</f>
        <v>0</v>
      </c>
      <c r="O78">
        <f t="shared" si="16"/>
        <v>0</v>
      </c>
      <c r="P78">
        <f t="shared" si="17"/>
        <v>0</v>
      </c>
      <c r="Q78">
        <f t="shared" si="18"/>
        <v>0</v>
      </c>
    </row>
    <row r="79" spans="1:17" x14ac:dyDescent="0.4">
      <c r="A79">
        <f>Dose!B81</f>
        <v>0.56667489492253287</v>
      </c>
      <c r="B79" t="b">
        <f t="shared" si="13"/>
        <v>0</v>
      </c>
      <c r="C79">
        <f t="shared" si="14"/>
        <v>0</v>
      </c>
      <c r="D79">
        <f t="shared" si="14"/>
        <v>0</v>
      </c>
      <c r="E79">
        <f t="shared" si="14"/>
        <v>0</v>
      </c>
      <c r="G79" s="46">
        <f t="shared" si="15"/>
        <v>0</v>
      </c>
      <c r="H79" s="46">
        <f t="shared" si="11"/>
        <v>0</v>
      </c>
      <c r="I79" s="46">
        <f t="shared" si="12"/>
        <v>0</v>
      </c>
      <c r="K79" s="46">
        <f>IF(B79,Dose!E81,0)</f>
        <v>0</v>
      </c>
      <c r="L79" s="46">
        <f>IF(C79,Dose!F81,0)</f>
        <v>0</v>
      </c>
      <c r="M79" s="46">
        <f>IF(D79,Dose!G81,0)</f>
        <v>0</v>
      </c>
      <c r="O79">
        <f t="shared" si="16"/>
        <v>0</v>
      </c>
      <c r="P79">
        <f t="shared" si="17"/>
        <v>0</v>
      </c>
      <c r="Q79">
        <f t="shared" si="18"/>
        <v>0</v>
      </c>
    </row>
    <row r="80" spans="1:17" x14ac:dyDescent="0.4">
      <c r="A80">
        <f>Dose!B82</f>
        <v>0.58655376754108923</v>
      </c>
      <c r="B80" t="b">
        <f t="shared" si="13"/>
        <v>0</v>
      </c>
      <c r="C80">
        <f t="shared" si="14"/>
        <v>0</v>
      </c>
      <c r="D80">
        <f t="shared" si="14"/>
        <v>0</v>
      </c>
      <c r="E80">
        <f t="shared" si="14"/>
        <v>0</v>
      </c>
      <c r="G80" s="46">
        <f t="shared" si="15"/>
        <v>0</v>
      </c>
      <c r="H80" s="46">
        <f t="shared" si="11"/>
        <v>0</v>
      </c>
      <c r="I80" s="46">
        <f t="shared" si="12"/>
        <v>0</v>
      </c>
      <c r="K80" s="46">
        <f>IF(B80,Dose!E82,0)</f>
        <v>0</v>
      </c>
      <c r="L80" s="46">
        <f>IF(C80,Dose!F82,0)</f>
        <v>0</v>
      </c>
      <c r="M80" s="46">
        <f>IF(D80,Dose!G82,0)</f>
        <v>0</v>
      </c>
      <c r="O80">
        <f t="shared" si="16"/>
        <v>0</v>
      </c>
      <c r="P80">
        <f t="shared" si="17"/>
        <v>0</v>
      </c>
      <c r="Q80">
        <f t="shared" si="18"/>
        <v>0</v>
      </c>
    </row>
    <row r="81" spans="1:17" x14ac:dyDescent="0.4">
      <c r="A81">
        <f>Dose!B83</f>
        <v>0.60712998811016461</v>
      </c>
      <c r="B81" t="b">
        <f t="shared" si="13"/>
        <v>0</v>
      </c>
      <c r="C81">
        <f t="shared" si="14"/>
        <v>0</v>
      </c>
      <c r="D81">
        <f t="shared" si="14"/>
        <v>0</v>
      </c>
      <c r="E81">
        <f t="shared" si="14"/>
        <v>0</v>
      </c>
      <c r="G81" s="46">
        <f t="shared" si="15"/>
        <v>0</v>
      </c>
      <c r="H81" s="46">
        <f t="shared" si="11"/>
        <v>0</v>
      </c>
      <c r="I81" s="46">
        <f t="shared" si="12"/>
        <v>0</v>
      </c>
      <c r="K81" s="46">
        <f>IF(B81,Dose!E83,0)</f>
        <v>0</v>
      </c>
      <c r="L81" s="46">
        <f>IF(C81,Dose!F83,0)</f>
        <v>0</v>
      </c>
      <c r="M81" s="46">
        <f>IF(D81,Dose!G83,0)</f>
        <v>0</v>
      </c>
      <c r="O81">
        <f t="shared" si="16"/>
        <v>0</v>
      </c>
      <c r="P81">
        <f t="shared" si="17"/>
        <v>0</v>
      </c>
      <c r="Q81">
        <f t="shared" si="18"/>
        <v>0</v>
      </c>
    </row>
    <row r="82" spans="1:17" x14ac:dyDescent="0.4">
      <c r="A82">
        <f>Dose!B84</f>
        <v>0.62842801949409866</v>
      </c>
      <c r="B82" t="b">
        <f t="shared" si="13"/>
        <v>0</v>
      </c>
      <c r="C82">
        <f t="shared" si="14"/>
        <v>0</v>
      </c>
      <c r="D82">
        <f t="shared" si="14"/>
        <v>0</v>
      </c>
      <c r="E82">
        <f t="shared" si="14"/>
        <v>0</v>
      </c>
      <c r="G82" s="46">
        <f t="shared" si="15"/>
        <v>0</v>
      </c>
      <c r="H82" s="46">
        <f t="shared" si="11"/>
        <v>0</v>
      </c>
      <c r="I82" s="46">
        <f t="shared" si="12"/>
        <v>0</v>
      </c>
      <c r="K82" s="46">
        <f>IF(B82,Dose!E84,0)</f>
        <v>0</v>
      </c>
      <c r="L82" s="46">
        <f>IF(C82,Dose!F84,0)</f>
        <v>0</v>
      </c>
      <c r="M82" s="46">
        <f>IF(D82,Dose!G84,0)</f>
        <v>0</v>
      </c>
      <c r="O82">
        <f t="shared" si="16"/>
        <v>0</v>
      </c>
      <c r="P82">
        <f t="shared" si="17"/>
        <v>0</v>
      </c>
      <c r="Q82">
        <f t="shared" si="18"/>
        <v>0</v>
      </c>
    </row>
    <row r="83" spans="1:17" x14ac:dyDescent="0.4">
      <c r="A83">
        <f>Dose!B85</f>
        <v>0.65047318271094212</v>
      </c>
      <c r="B83" t="b">
        <f t="shared" si="13"/>
        <v>0</v>
      </c>
      <c r="C83">
        <f t="shared" si="14"/>
        <v>0</v>
      </c>
      <c r="D83">
        <f t="shared" si="14"/>
        <v>0</v>
      </c>
      <c r="E83">
        <f t="shared" si="14"/>
        <v>0</v>
      </c>
      <c r="G83" s="46">
        <f t="shared" si="15"/>
        <v>0</v>
      </c>
      <c r="H83" s="46">
        <f t="shared" si="11"/>
        <v>0</v>
      </c>
      <c r="I83" s="46">
        <f t="shared" si="12"/>
        <v>0</v>
      </c>
      <c r="K83" s="46">
        <f>IF(B83,Dose!E85,0)</f>
        <v>0</v>
      </c>
      <c r="L83" s="46">
        <f>IF(C83,Dose!F85,0)</f>
        <v>0</v>
      </c>
      <c r="M83" s="46">
        <f>IF(D83,Dose!G85,0)</f>
        <v>0</v>
      </c>
      <c r="O83">
        <f t="shared" si="16"/>
        <v>0</v>
      </c>
      <c r="P83">
        <f t="shared" si="17"/>
        <v>0</v>
      </c>
      <c r="Q83">
        <f t="shared" si="18"/>
        <v>0</v>
      </c>
    </row>
    <row r="84" spans="1:17" x14ac:dyDescent="0.4">
      <c r="A84">
        <f>Dose!B86</f>
        <v>0.67329168703636388</v>
      </c>
      <c r="B84" t="b">
        <f t="shared" si="13"/>
        <v>0</v>
      </c>
      <c r="C84">
        <f t="shared" si="14"/>
        <v>0</v>
      </c>
      <c r="D84">
        <f t="shared" si="14"/>
        <v>0</v>
      </c>
      <c r="E84">
        <f t="shared" si="14"/>
        <v>0</v>
      </c>
      <c r="G84" s="46">
        <f t="shared" si="15"/>
        <v>0</v>
      </c>
      <c r="H84" s="46">
        <f t="shared" si="11"/>
        <v>0</v>
      </c>
      <c r="I84" s="46">
        <f t="shared" si="12"/>
        <v>0</v>
      </c>
      <c r="K84" s="46">
        <f>IF(B84,Dose!E86,0)</f>
        <v>0</v>
      </c>
      <c r="L84" s="46">
        <f>IF(C84,Dose!F86,0)</f>
        <v>0</v>
      </c>
      <c r="M84" s="46">
        <f>IF(D84,Dose!G86,0)</f>
        <v>0</v>
      </c>
      <c r="O84">
        <f t="shared" si="16"/>
        <v>0</v>
      </c>
      <c r="P84">
        <f t="shared" si="17"/>
        <v>0</v>
      </c>
      <c r="Q84">
        <f t="shared" si="18"/>
        <v>0</v>
      </c>
    </row>
    <row r="85" spans="1:17" x14ac:dyDescent="0.4">
      <c r="A85">
        <f>Dose!B87</f>
        <v>0.69691066116359857</v>
      </c>
      <c r="B85" t="b">
        <f t="shared" si="13"/>
        <v>0</v>
      </c>
      <c r="C85">
        <f t="shared" si="14"/>
        <v>0</v>
      </c>
      <c r="D85">
        <f t="shared" si="14"/>
        <v>0</v>
      </c>
      <c r="E85">
        <f t="shared" si="14"/>
        <v>0</v>
      </c>
      <c r="G85" s="46">
        <f t="shared" si="15"/>
        <v>0</v>
      </c>
      <c r="H85" s="46">
        <f t="shared" si="11"/>
        <v>0</v>
      </c>
      <c r="I85" s="46">
        <f t="shared" si="12"/>
        <v>0</v>
      </c>
      <c r="K85" s="46">
        <f>IF(B85,Dose!E87,0)</f>
        <v>0</v>
      </c>
      <c r="L85" s="46">
        <f>IF(C85,Dose!F87,0)</f>
        <v>0</v>
      </c>
      <c r="M85" s="46">
        <f>IF(D85,Dose!G87,0)</f>
        <v>0</v>
      </c>
      <c r="O85">
        <f t="shared" si="16"/>
        <v>0</v>
      </c>
      <c r="P85">
        <f t="shared" si="17"/>
        <v>0</v>
      </c>
      <c r="Q85">
        <f t="shared" si="18"/>
        <v>0</v>
      </c>
    </row>
    <row r="86" spans="1:17" x14ac:dyDescent="0.4">
      <c r="A86">
        <f>Dose!B88</f>
        <v>0.72135818545648067</v>
      </c>
      <c r="B86" t="b">
        <f t="shared" si="13"/>
        <v>0</v>
      </c>
      <c r="C86">
        <f t="shared" si="14"/>
        <v>0</v>
      </c>
      <c r="D86">
        <f t="shared" si="14"/>
        <v>0</v>
      </c>
      <c r="E86">
        <f t="shared" si="14"/>
        <v>0</v>
      </c>
      <c r="G86" s="46">
        <f t="shared" si="15"/>
        <v>0</v>
      </c>
      <c r="H86" s="46">
        <f t="shared" si="11"/>
        <v>0</v>
      </c>
      <c r="I86" s="46">
        <f t="shared" si="12"/>
        <v>0</v>
      </c>
      <c r="K86" s="46">
        <f>IF(B86,Dose!E88,0)</f>
        <v>0</v>
      </c>
      <c r="L86" s="46">
        <f>IF(C86,Dose!F88,0)</f>
        <v>0</v>
      </c>
      <c r="M86" s="46">
        <f>IF(D86,Dose!G88,0)</f>
        <v>0</v>
      </c>
      <c r="O86">
        <f t="shared" si="16"/>
        <v>0</v>
      </c>
      <c r="P86">
        <f t="shared" si="17"/>
        <v>0</v>
      </c>
      <c r="Q86">
        <f t="shared" si="18"/>
        <v>0</v>
      </c>
    </row>
    <row r="87" spans="1:17" x14ac:dyDescent="0.4">
      <c r="A87">
        <f>Dose!B89</f>
        <v>0.74666332533391011</v>
      </c>
      <c r="B87" t="b">
        <f t="shared" si="13"/>
        <v>0</v>
      </c>
      <c r="C87">
        <f t="shared" si="14"/>
        <v>0</v>
      </c>
      <c r="D87">
        <f t="shared" si="14"/>
        <v>0</v>
      </c>
      <c r="E87">
        <f t="shared" si="14"/>
        <v>0</v>
      </c>
      <c r="G87" s="46">
        <f t="shared" si="15"/>
        <v>0</v>
      </c>
      <c r="H87" s="46">
        <f t="shared" si="11"/>
        <v>0</v>
      </c>
      <c r="I87" s="46">
        <f t="shared" si="12"/>
        <v>0</v>
      </c>
      <c r="K87" s="46">
        <f>IF(B87,Dose!E89,0)</f>
        <v>0</v>
      </c>
      <c r="L87" s="46">
        <f>IF(C87,Dose!F89,0)</f>
        <v>0</v>
      </c>
      <c r="M87" s="46">
        <f>IF(D87,Dose!G89,0)</f>
        <v>0</v>
      </c>
      <c r="O87">
        <f t="shared" si="16"/>
        <v>0</v>
      </c>
      <c r="P87">
        <f t="shared" si="17"/>
        <v>0</v>
      </c>
      <c r="Q87">
        <f t="shared" si="18"/>
        <v>0</v>
      </c>
    </row>
    <row r="88" spans="1:17" x14ac:dyDescent="0.4">
      <c r="A88">
        <f>Dose!B90</f>
        <v>0.77285616582544026</v>
      </c>
      <c r="B88" t="b">
        <f t="shared" si="13"/>
        <v>0</v>
      </c>
      <c r="C88">
        <f t="shared" si="14"/>
        <v>0</v>
      </c>
      <c r="D88">
        <f t="shared" si="14"/>
        <v>0</v>
      </c>
      <c r="E88">
        <f t="shared" si="14"/>
        <v>0</v>
      </c>
      <c r="G88" s="46">
        <f t="shared" si="15"/>
        <v>0</v>
      </c>
      <c r="H88" s="46">
        <f t="shared" si="11"/>
        <v>0</v>
      </c>
      <c r="I88" s="46">
        <f t="shared" si="12"/>
        <v>0</v>
      </c>
      <c r="K88" s="46">
        <f>IF(B88,Dose!E90,0)</f>
        <v>0</v>
      </c>
      <c r="L88" s="46">
        <f>IF(C88,Dose!F90,0)</f>
        <v>0</v>
      </c>
      <c r="M88" s="46">
        <f>IF(D88,Dose!G90,0)</f>
        <v>0</v>
      </c>
      <c r="O88">
        <f t="shared" si="16"/>
        <v>0</v>
      </c>
      <c r="P88">
        <f t="shared" si="17"/>
        <v>0</v>
      </c>
      <c r="Q88">
        <f t="shared" si="18"/>
        <v>0</v>
      </c>
    </row>
    <row r="89" spans="1:17" x14ac:dyDescent="0.4">
      <c r="A89">
        <f>Dose!B91</f>
        <v>0.79996784733907078</v>
      </c>
      <c r="B89" t="b">
        <f t="shared" si="13"/>
        <v>0</v>
      </c>
      <c r="C89">
        <f t="shared" si="14"/>
        <v>0</v>
      </c>
      <c r="D89">
        <f t="shared" si="14"/>
        <v>0</v>
      </c>
      <c r="E89">
        <f t="shared" si="14"/>
        <v>0</v>
      </c>
      <c r="G89" s="46">
        <f t="shared" si="15"/>
        <v>0</v>
      </c>
      <c r="H89" s="46">
        <f t="shared" si="11"/>
        <v>0</v>
      </c>
      <c r="I89" s="46">
        <f t="shared" si="12"/>
        <v>0</v>
      </c>
      <c r="K89" s="46">
        <f>IF(B89,Dose!E91,0)</f>
        <v>0</v>
      </c>
      <c r="L89" s="46">
        <f>IF(C89,Dose!F91,0)</f>
        <v>0</v>
      </c>
      <c r="M89" s="46">
        <f>IF(D89,Dose!G91,0)</f>
        <v>0</v>
      </c>
      <c r="O89">
        <f t="shared" si="16"/>
        <v>0</v>
      </c>
      <c r="P89">
        <f t="shared" si="17"/>
        <v>0</v>
      </c>
      <c r="Q89">
        <f t="shared" si="18"/>
        <v>0</v>
      </c>
    </row>
    <row r="90" spans="1:17" x14ac:dyDescent="0.4">
      <c r="A90">
        <f>Dose!B92</f>
        <v>0.82803060268377005</v>
      </c>
      <c r="B90" t="b">
        <f t="shared" si="13"/>
        <v>0</v>
      </c>
      <c r="C90">
        <f t="shared" si="14"/>
        <v>0</v>
      </c>
      <c r="D90">
        <f t="shared" si="14"/>
        <v>0</v>
      </c>
      <c r="E90">
        <f t="shared" si="14"/>
        <v>0</v>
      </c>
      <c r="G90" s="46">
        <f t="shared" si="15"/>
        <v>0</v>
      </c>
      <c r="H90" s="46">
        <f t="shared" si="11"/>
        <v>0</v>
      </c>
      <c r="I90" s="46">
        <f t="shared" si="12"/>
        <v>0</v>
      </c>
      <c r="K90" s="46">
        <f>IF(B90,Dose!E92,0)</f>
        <v>0</v>
      </c>
      <c r="L90" s="46">
        <f>IF(C90,Dose!F92,0)</f>
        <v>0</v>
      </c>
      <c r="M90" s="46">
        <f>IF(D90,Dose!G92,0)</f>
        <v>0</v>
      </c>
      <c r="O90">
        <f t="shared" si="16"/>
        <v>0</v>
      </c>
      <c r="P90">
        <f t="shared" si="17"/>
        <v>0</v>
      </c>
      <c r="Q90">
        <f t="shared" si="18"/>
        <v>0</v>
      </c>
    </row>
    <row r="91" spans="1:17" x14ac:dyDescent="0.4">
      <c r="A91">
        <f>Dose!B93</f>
        <v>0.85707779539074058</v>
      </c>
      <c r="B91" t="b">
        <f t="shared" si="13"/>
        <v>0</v>
      </c>
      <c r="C91">
        <f t="shared" si="14"/>
        <v>0</v>
      </c>
      <c r="D91">
        <f t="shared" si="14"/>
        <v>0</v>
      </c>
      <c r="E91">
        <f t="shared" si="14"/>
        <v>0</v>
      </c>
      <c r="G91" s="46">
        <f t="shared" si="15"/>
        <v>0</v>
      </c>
      <c r="H91" s="46">
        <f t="shared" si="11"/>
        <v>0</v>
      </c>
      <c r="I91" s="46">
        <f t="shared" si="12"/>
        <v>0</v>
      </c>
      <c r="K91" s="46">
        <f>IF(B91,Dose!E93,0)</f>
        <v>0</v>
      </c>
      <c r="L91" s="46">
        <f>IF(C91,Dose!F93,0)</f>
        <v>0</v>
      </c>
      <c r="M91" s="46">
        <f>IF(D91,Dose!G93,0)</f>
        <v>0</v>
      </c>
      <c r="O91">
        <f t="shared" si="16"/>
        <v>0</v>
      </c>
      <c r="P91">
        <f t="shared" si="17"/>
        <v>0</v>
      </c>
      <c r="Q91">
        <f t="shared" si="18"/>
        <v>0</v>
      </c>
    </row>
    <row r="92" spans="1:17" x14ac:dyDescent="0.4">
      <c r="A92">
        <f>Dose!B94</f>
        <v>0.88714395937899138</v>
      </c>
      <c r="B92" t="b">
        <f t="shared" si="13"/>
        <v>0</v>
      </c>
      <c r="C92">
        <f t="shared" si="14"/>
        <v>0</v>
      </c>
      <c r="D92">
        <f t="shared" si="14"/>
        <v>0</v>
      </c>
      <c r="E92">
        <f t="shared" si="14"/>
        <v>0</v>
      </c>
      <c r="G92" s="46">
        <f t="shared" si="15"/>
        <v>0</v>
      </c>
      <c r="H92" s="46">
        <f t="shared" si="11"/>
        <v>0</v>
      </c>
      <c r="I92" s="46">
        <f t="shared" si="12"/>
        <v>0</v>
      </c>
      <c r="K92" s="46">
        <f>IF(B92,Dose!E94,0)</f>
        <v>0</v>
      </c>
      <c r="L92" s="46">
        <f>IF(C92,Dose!F94,0)</f>
        <v>0</v>
      </c>
      <c r="M92" s="46">
        <f>IF(D92,Dose!G94,0)</f>
        <v>0</v>
      </c>
      <c r="O92">
        <f t="shared" si="16"/>
        <v>0</v>
      </c>
      <c r="P92">
        <f t="shared" si="17"/>
        <v>0</v>
      </c>
      <c r="Q92">
        <f t="shared" si="18"/>
        <v>0</v>
      </c>
    </row>
    <row r="93" spans="1:17" x14ac:dyDescent="0.4">
      <c r="A93">
        <f>Dose!B95</f>
        <v>0.91826484001237041</v>
      </c>
      <c r="B93" t="b">
        <f t="shared" si="13"/>
        <v>0</v>
      </c>
      <c r="C93">
        <f t="shared" si="14"/>
        <v>0</v>
      </c>
      <c r="D93">
        <f t="shared" si="14"/>
        <v>0</v>
      </c>
      <c r="E93">
        <f t="shared" si="14"/>
        <v>0</v>
      </c>
      <c r="G93" s="46">
        <f t="shared" si="15"/>
        <v>0</v>
      </c>
      <c r="H93" s="46">
        <f t="shared" si="11"/>
        <v>0</v>
      </c>
      <c r="I93" s="46">
        <f t="shared" si="12"/>
        <v>0</v>
      </c>
      <c r="K93" s="46">
        <f>IF(B93,Dose!E95,0)</f>
        <v>0</v>
      </c>
      <c r="L93" s="46">
        <f>IF(C93,Dose!F95,0)</f>
        <v>0</v>
      </c>
      <c r="M93" s="46">
        <f>IF(D93,Dose!G95,0)</f>
        <v>0</v>
      </c>
      <c r="O93">
        <f t="shared" si="16"/>
        <v>0</v>
      </c>
      <c r="P93">
        <f t="shared" si="17"/>
        <v>0</v>
      </c>
      <c r="Q93">
        <f t="shared" si="18"/>
        <v>0</v>
      </c>
    </row>
    <row r="94" spans="1:17" x14ac:dyDescent="0.4">
      <c r="A94">
        <f>Dose!B96</f>
        <v>0.950477436596873</v>
      </c>
      <c r="B94" t="b">
        <f t="shared" si="13"/>
        <v>0</v>
      </c>
      <c r="C94">
        <f t="shared" si="14"/>
        <v>0</v>
      </c>
      <c r="D94">
        <f t="shared" si="14"/>
        <v>0</v>
      </c>
      <c r="E94">
        <f t="shared" si="14"/>
        <v>0</v>
      </c>
      <c r="G94" s="46">
        <f t="shared" si="15"/>
        <v>0</v>
      </c>
      <c r="H94" s="46">
        <f t="shared" si="11"/>
        <v>0</v>
      </c>
      <c r="I94" s="46">
        <f t="shared" si="12"/>
        <v>0</v>
      </c>
      <c r="K94" s="46">
        <f>IF(B94,Dose!E96,0)</f>
        <v>0</v>
      </c>
      <c r="L94" s="46">
        <f>IF(C94,Dose!F96,0)</f>
        <v>0</v>
      </c>
      <c r="M94" s="46">
        <f>IF(D94,Dose!G96,0)</f>
        <v>0</v>
      </c>
      <c r="O94">
        <f t="shared" si="16"/>
        <v>0</v>
      </c>
      <c r="P94">
        <f t="shared" si="17"/>
        <v>0</v>
      </c>
      <c r="Q94">
        <f t="shared" si="18"/>
        <v>0</v>
      </c>
    </row>
    <row r="95" spans="1:17" x14ac:dyDescent="0.4">
      <c r="A95">
        <f>Dose!B97</f>
        <v>0.98382004636874965</v>
      </c>
      <c r="B95" t="b">
        <f t="shared" si="13"/>
        <v>0</v>
      </c>
      <c r="C95">
        <f t="shared" si="14"/>
        <v>0</v>
      </c>
      <c r="D95">
        <f t="shared" si="14"/>
        <v>0</v>
      </c>
      <c r="E95">
        <f t="shared" si="14"/>
        <v>0</v>
      </c>
      <c r="G95" s="46">
        <f t="shared" si="15"/>
        <v>0</v>
      </c>
      <c r="H95" s="46">
        <f t="shared" si="11"/>
        <v>0</v>
      </c>
      <c r="I95" s="46">
        <f t="shared" si="12"/>
        <v>0</v>
      </c>
      <c r="K95" s="46">
        <f>IF(B95,Dose!E97,0)</f>
        <v>0</v>
      </c>
      <c r="L95" s="46">
        <f>IF(C95,Dose!F97,0)</f>
        <v>0</v>
      </c>
      <c r="M95" s="46">
        <f>IF(D95,Dose!G97,0)</f>
        <v>0</v>
      </c>
      <c r="O95">
        <f t="shared" si="16"/>
        <v>0</v>
      </c>
      <c r="P95">
        <f t="shared" si="17"/>
        <v>0</v>
      </c>
      <c r="Q95">
        <f t="shared" si="18"/>
        <v>0</v>
      </c>
    </row>
    <row r="96" spans="1:17" x14ac:dyDescent="0.4">
      <c r="A96">
        <f>Dose!B98</f>
        <v>1.0183323100257098</v>
      </c>
      <c r="B96" t="b">
        <f t="shared" si="13"/>
        <v>0</v>
      </c>
      <c r="C96">
        <f t="shared" si="14"/>
        <v>0</v>
      </c>
      <c r="D96">
        <f t="shared" si="14"/>
        <v>0</v>
      </c>
      <c r="E96">
        <f t="shared" si="14"/>
        <v>0</v>
      </c>
      <c r="G96" s="46">
        <f t="shared" si="15"/>
        <v>0</v>
      </c>
      <c r="H96" s="46">
        <f t="shared" si="11"/>
        <v>0</v>
      </c>
      <c r="I96" s="46">
        <f t="shared" si="12"/>
        <v>0</v>
      </c>
      <c r="K96" s="46">
        <f>IF(B96,Dose!E98,0)</f>
        <v>0</v>
      </c>
      <c r="L96" s="46">
        <f>IF(C96,Dose!F98,0)</f>
        <v>0</v>
      </c>
      <c r="M96" s="46">
        <f>IF(D96,Dose!G98,0)</f>
        <v>0</v>
      </c>
      <c r="O96">
        <f t="shared" si="16"/>
        <v>0</v>
      </c>
      <c r="P96">
        <f t="shared" si="17"/>
        <v>0</v>
      </c>
      <c r="Q96">
        <f t="shared" si="18"/>
        <v>0</v>
      </c>
    </row>
    <row r="97" spans="1:17" x14ac:dyDescent="0.4">
      <c r="A97">
        <f>Dose!B99</f>
        <v>1.0540552588553536</v>
      </c>
      <c r="B97" t="b">
        <f t="shared" si="13"/>
        <v>0</v>
      </c>
      <c r="C97">
        <f t="shared" si="14"/>
        <v>0</v>
      </c>
      <c r="D97">
        <f t="shared" si="14"/>
        <v>0</v>
      </c>
      <c r="E97">
        <f t="shared" si="14"/>
        <v>0</v>
      </c>
      <c r="G97" s="46">
        <f t="shared" si="15"/>
        <v>0</v>
      </c>
      <c r="H97" s="46">
        <f t="shared" si="11"/>
        <v>0</v>
      </c>
      <c r="I97" s="46">
        <f t="shared" si="12"/>
        <v>0</v>
      </c>
      <c r="K97" s="46">
        <f>IF(B97,Dose!E99,0)</f>
        <v>0</v>
      </c>
      <c r="L97" s="46">
        <f>IF(C97,Dose!F99,0)</f>
        <v>0</v>
      </c>
      <c r="M97" s="46">
        <f>IF(D97,Dose!G99,0)</f>
        <v>0</v>
      </c>
      <c r="O97">
        <f t="shared" si="16"/>
        <v>0</v>
      </c>
      <c r="P97">
        <f t="shared" si="17"/>
        <v>0</v>
      </c>
      <c r="Q97">
        <f t="shared" si="18"/>
        <v>0</v>
      </c>
    </row>
    <row r="98" spans="1:17" x14ac:dyDescent="0.4">
      <c r="A98">
        <f>Dose!B100</f>
        <v>1.0910313635168623</v>
      </c>
      <c r="B98" t="b">
        <f t="shared" si="13"/>
        <v>0</v>
      </c>
      <c r="C98">
        <f t="shared" si="14"/>
        <v>0</v>
      </c>
      <c r="D98">
        <f t="shared" si="14"/>
        <v>0</v>
      </c>
      <c r="E98">
        <f t="shared" si="14"/>
        <v>0</v>
      </c>
      <c r="G98" s="46">
        <f t="shared" si="15"/>
        <v>0</v>
      </c>
      <c r="H98" s="46">
        <f t="shared" si="11"/>
        <v>0</v>
      </c>
      <c r="I98" s="46">
        <f t="shared" si="12"/>
        <v>0</v>
      </c>
      <c r="K98" s="46">
        <f>IF(B98,Dose!E100,0)</f>
        <v>0</v>
      </c>
      <c r="L98" s="46">
        <f>IF(C98,Dose!F100,0)</f>
        <v>0</v>
      </c>
      <c r="M98" s="46">
        <f>IF(D98,Dose!G100,0)</f>
        <v>0</v>
      </c>
      <c r="O98">
        <f t="shared" si="16"/>
        <v>0</v>
      </c>
      <c r="P98">
        <f t="shared" si="17"/>
        <v>0</v>
      </c>
      <c r="Q98">
        <f t="shared" si="18"/>
        <v>0</v>
      </c>
    </row>
    <row r="99" spans="1:17" x14ac:dyDescent="0.4">
      <c r="A99">
        <f>Dose!B101</f>
        <v>1.1293045845339438</v>
      </c>
      <c r="B99" t="b">
        <f t="shared" si="13"/>
        <v>0</v>
      </c>
      <c r="C99">
        <f t="shared" si="14"/>
        <v>0</v>
      </c>
      <c r="D99">
        <f t="shared" si="14"/>
        <v>0</v>
      </c>
      <c r="E99">
        <f t="shared" si="14"/>
        <v>0</v>
      </c>
      <c r="G99" s="46">
        <f t="shared" si="15"/>
        <v>0</v>
      </c>
      <c r="H99" s="46">
        <f t="shared" si="11"/>
        <v>0</v>
      </c>
      <c r="I99" s="46">
        <f t="shared" si="12"/>
        <v>0</v>
      </c>
      <c r="K99" s="46">
        <f>IF(B99,Dose!E101,0)</f>
        <v>0</v>
      </c>
      <c r="L99" s="46">
        <f>IF(C99,Dose!F101,0)</f>
        <v>0</v>
      </c>
      <c r="M99" s="46">
        <f>IF(D99,Dose!G101,0)</f>
        <v>0</v>
      </c>
      <c r="O99">
        <f t="shared" si="16"/>
        <v>0</v>
      </c>
      <c r="P99">
        <f t="shared" si="17"/>
        <v>0</v>
      </c>
      <c r="Q99">
        <f t="shared" si="18"/>
        <v>0</v>
      </c>
    </row>
    <row r="100" spans="1:17" x14ac:dyDescent="0.4">
      <c r="A100">
        <f>Dose!B102</f>
        <v>1.1689204245590625</v>
      </c>
      <c r="B100" t="b">
        <f t="shared" si="13"/>
        <v>0</v>
      </c>
      <c r="C100">
        <f t="shared" si="14"/>
        <v>0</v>
      </c>
      <c r="D100">
        <f t="shared" si="14"/>
        <v>0</v>
      </c>
      <c r="E100">
        <f t="shared" si="14"/>
        <v>0</v>
      </c>
      <c r="G100" s="46">
        <f t="shared" si="15"/>
        <v>0</v>
      </c>
      <c r="H100" s="46">
        <f t="shared" si="11"/>
        <v>0</v>
      </c>
      <c r="I100" s="46">
        <f t="shared" si="12"/>
        <v>0</v>
      </c>
      <c r="K100" s="46">
        <f>IF(B100,Dose!E102,0)</f>
        <v>0</v>
      </c>
      <c r="L100" s="46">
        <f>IF(C100,Dose!F102,0)</f>
        <v>0</v>
      </c>
      <c r="M100" s="46">
        <f>IF(D100,Dose!G102,0)</f>
        <v>0</v>
      </c>
      <c r="O100">
        <f t="shared" si="16"/>
        <v>0</v>
      </c>
      <c r="P100">
        <f t="shared" si="17"/>
        <v>0</v>
      </c>
      <c r="Q100">
        <f t="shared" si="18"/>
        <v>0</v>
      </c>
    </row>
    <row r="101" spans="1:17" x14ac:dyDescent="0.4">
      <c r="A101">
        <f>Dose!B103</f>
        <v>1.2099259824710908</v>
      </c>
      <c r="B101" t="b">
        <f t="shared" si="13"/>
        <v>0</v>
      </c>
      <c r="C101">
        <f t="shared" si="14"/>
        <v>0</v>
      </c>
      <c r="D101">
        <f t="shared" si="14"/>
        <v>0</v>
      </c>
      <c r="E101">
        <f t="shared" si="14"/>
        <v>0</v>
      </c>
      <c r="G101" s="46">
        <f t="shared" si="15"/>
        <v>0</v>
      </c>
      <c r="H101" s="46">
        <f t="shared" si="11"/>
        <v>0</v>
      </c>
      <c r="I101" s="46">
        <f t="shared" si="12"/>
        <v>0</v>
      </c>
      <c r="K101" s="46">
        <f>IF(B101,Dose!E103,0)</f>
        <v>0</v>
      </c>
      <c r="L101" s="46">
        <f>IF(C101,Dose!F103,0)</f>
        <v>0</v>
      </c>
      <c r="M101" s="46">
        <f>IF(D101,Dose!G103,0)</f>
        <v>0</v>
      </c>
      <c r="O101">
        <f t="shared" si="16"/>
        <v>0</v>
      </c>
      <c r="P101">
        <f t="shared" si="17"/>
        <v>0</v>
      </c>
      <c r="Q101">
        <f t="shared" si="18"/>
        <v>0</v>
      </c>
    </row>
    <row r="102" spans="1:17" x14ac:dyDescent="0.4">
      <c r="A102">
        <f>Dose!B104</f>
        <v>1.2523700093706989</v>
      </c>
      <c r="B102" t="b">
        <f t="shared" si="13"/>
        <v>0</v>
      </c>
      <c r="C102">
        <f t="shared" si="14"/>
        <v>0</v>
      </c>
      <c r="D102">
        <f t="shared" si="14"/>
        <v>0</v>
      </c>
      <c r="E102">
        <f t="shared" si="14"/>
        <v>0</v>
      </c>
      <c r="G102" s="46">
        <f t="shared" si="15"/>
        <v>0</v>
      </c>
      <c r="H102" s="46">
        <f t="shared" si="11"/>
        <v>0</v>
      </c>
      <c r="I102" s="46">
        <f t="shared" si="12"/>
        <v>0</v>
      </c>
      <c r="K102" s="46">
        <f>IF(B102,Dose!E104,0)</f>
        <v>0</v>
      </c>
      <c r="L102" s="46">
        <f>IF(C102,Dose!F104,0)</f>
        <v>0</v>
      </c>
      <c r="M102" s="46">
        <f>IF(D102,Dose!G104,0)</f>
        <v>0</v>
      </c>
      <c r="O102">
        <f t="shared" si="16"/>
        <v>0</v>
      </c>
      <c r="P102">
        <f t="shared" si="17"/>
        <v>0</v>
      </c>
      <c r="Q102">
        <f t="shared" si="18"/>
        <v>0</v>
      </c>
    </row>
    <row r="103" spans="1:17" x14ac:dyDescent="0.4">
      <c r="A103">
        <f>Dose!B105</f>
        <v>1.2963029665400538</v>
      </c>
      <c r="B103" t="b">
        <f t="shared" si="13"/>
        <v>0</v>
      </c>
      <c r="C103">
        <f t="shared" si="14"/>
        <v>0</v>
      </c>
      <c r="D103">
        <f t="shared" si="14"/>
        <v>0</v>
      </c>
      <c r="E103">
        <f t="shared" si="14"/>
        <v>0</v>
      </c>
      <c r="G103" s="46">
        <f t="shared" si="15"/>
        <v>0</v>
      </c>
      <c r="H103" s="46">
        <f t="shared" si="11"/>
        <v>0</v>
      </c>
      <c r="I103" s="46">
        <f t="shared" si="12"/>
        <v>0</v>
      </c>
      <c r="K103" s="46">
        <f>IF(B103,Dose!E105,0)</f>
        <v>0</v>
      </c>
      <c r="L103" s="46">
        <f>IF(C103,Dose!F105,0)</f>
        <v>0</v>
      </c>
      <c r="M103" s="46">
        <f>IF(D103,Dose!G105,0)</f>
        <v>0</v>
      </c>
      <c r="O103">
        <f t="shared" si="16"/>
        <v>0</v>
      </c>
      <c r="P103">
        <f t="shared" si="17"/>
        <v>0</v>
      </c>
      <c r="Q103">
        <f t="shared" si="18"/>
        <v>0</v>
      </c>
    </row>
    <row r="104" spans="1:17" x14ac:dyDescent="0.4">
      <c r="A104">
        <f>Dose!B106</f>
        <v>1.3417770854357378</v>
      </c>
      <c r="B104" t="b">
        <f t="shared" si="13"/>
        <v>0</v>
      </c>
      <c r="C104">
        <f t="shared" si="14"/>
        <v>0</v>
      </c>
      <c r="D104">
        <f t="shared" si="14"/>
        <v>0</v>
      </c>
      <c r="E104">
        <f t="shared" si="14"/>
        <v>0</v>
      </c>
      <c r="G104" s="46">
        <f t="shared" si="15"/>
        <v>0</v>
      </c>
      <c r="H104" s="46">
        <f t="shared" si="11"/>
        <v>0</v>
      </c>
      <c r="I104" s="46">
        <f t="shared" si="12"/>
        <v>0</v>
      </c>
      <c r="K104" s="46">
        <f>IF(B104,Dose!E106,0)</f>
        <v>0</v>
      </c>
      <c r="L104" s="46">
        <f>IF(C104,Dose!F106,0)</f>
        <v>0</v>
      </c>
      <c r="M104" s="46">
        <f>IF(D104,Dose!G106,0)</f>
        <v>0</v>
      </c>
      <c r="O104">
        <f t="shared" si="16"/>
        <v>0</v>
      </c>
      <c r="P104">
        <f t="shared" si="17"/>
        <v>0</v>
      </c>
      <c r="Q104">
        <f t="shared" si="18"/>
        <v>0</v>
      </c>
    </row>
    <row r="105" spans="1:17" x14ac:dyDescent="0.4">
      <c r="A105">
        <f>Dose!B107</f>
        <v>1.3888464297862073</v>
      </c>
      <c r="B105" t="b">
        <f t="shared" si="13"/>
        <v>0</v>
      </c>
      <c r="C105">
        <f t="shared" si="14"/>
        <v>0</v>
      </c>
      <c r="D105">
        <f t="shared" si="14"/>
        <v>0</v>
      </c>
      <c r="E105">
        <f t="shared" si="14"/>
        <v>0</v>
      </c>
      <c r="G105" s="46">
        <f t="shared" si="15"/>
        <v>0</v>
      </c>
      <c r="H105" s="46">
        <f t="shared" si="11"/>
        <v>0</v>
      </c>
      <c r="I105" s="46">
        <f t="shared" si="12"/>
        <v>0</v>
      </c>
      <c r="K105" s="46">
        <f>IF(B105,Dose!E107,0)</f>
        <v>0</v>
      </c>
      <c r="L105" s="46">
        <f>IF(C105,Dose!F107,0)</f>
        <v>0</v>
      </c>
      <c r="M105" s="46">
        <f>IF(D105,Dose!G107,0)</f>
        <v>0</v>
      </c>
      <c r="O105">
        <f t="shared" si="16"/>
        <v>0</v>
      </c>
      <c r="P105">
        <f t="shared" si="17"/>
        <v>0</v>
      </c>
      <c r="Q105">
        <f t="shared" si="18"/>
        <v>0</v>
      </c>
    </row>
    <row r="106" spans="1:17" x14ac:dyDescent="0.4">
      <c r="A106">
        <f>Dose!B108</f>
        <v>1.437566959867624</v>
      </c>
      <c r="B106" t="b">
        <f t="shared" si="13"/>
        <v>0</v>
      </c>
      <c r="C106">
        <f t="shared" si="14"/>
        <v>0</v>
      </c>
      <c r="D106">
        <f t="shared" si="14"/>
        <v>0</v>
      </c>
      <c r="E106">
        <f t="shared" si="14"/>
        <v>0</v>
      </c>
      <c r="G106" s="46">
        <f t="shared" si="15"/>
        <v>0</v>
      </c>
      <c r="H106" s="46">
        <f t="shared" si="11"/>
        <v>0</v>
      </c>
      <c r="I106" s="46">
        <f t="shared" si="12"/>
        <v>0</v>
      </c>
      <c r="K106" s="46">
        <f>IF(B106,Dose!E108,0)</f>
        <v>0</v>
      </c>
      <c r="L106" s="46">
        <f>IF(C106,Dose!F108,0)</f>
        <v>0</v>
      </c>
      <c r="M106" s="46">
        <f>IF(D106,Dose!G108,0)</f>
        <v>0</v>
      </c>
      <c r="O106">
        <f t="shared" si="16"/>
        <v>0</v>
      </c>
      <c r="P106">
        <f t="shared" si="17"/>
        <v>0</v>
      </c>
      <c r="Q106">
        <f t="shared" si="18"/>
        <v>0</v>
      </c>
    </row>
    <row r="107" spans="1:17" x14ac:dyDescent="0.4">
      <c r="A107">
        <f>Dose!B109</f>
        <v>1.4879965990344703</v>
      </c>
      <c r="B107" t="b">
        <f t="shared" si="13"/>
        <v>0</v>
      </c>
      <c r="C107">
        <f t="shared" si="14"/>
        <v>0</v>
      </c>
      <c r="D107">
        <f t="shared" si="14"/>
        <v>0</v>
      </c>
      <c r="E107">
        <f t="shared" si="14"/>
        <v>0</v>
      </c>
      <c r="G107" s="46">
        <f t="shared" si="15"/>
        <v>0</v>
      </c>
      <c r="H107" s="46">
        <f t="shared" si="11"/>
        <v>0</v>
      </c>
      <c r="I107" s="46">
        <f t="shared" si="12"/>
        <v>0</v>
      </c>
      <c r="K107" s="46">
        <f>IF(B107,Dose!E109,0)</f>
        <v>0</v>
      </c>
      <c r="L107" s="46">
        <f>IF(C107,Dose!F109,0)</f>
        <v>0</v>
      </c>
      <c r="M107" s="46">
        <f>IF(D107,Dose!G109,0)</f>
        <v>0</v>
      </c>
      <c r="O107">
        <f t="shared" si="16"/>
        <v>0</v>
      </c>
      <c r="P107">
        <f t="shared" si="17"/>
        <v>0</v>
      </c>
      <c r="Q107">
        <f t="shared" si="18"/>
        <v>0</v>
      </c>
    </row>
    <row r="108" spans="1:17" x14ac:dyDescent="0.4">
      <c r="A108">
        <f>Dose!B110</f>
        <v>1.5401953025840516</v>
      </c>
      <c r="B108" t="b">
        <f t="shared" si="13"/>
        <v>0</v>
      </c>
      <c r="C108">
        <f t="shared" si="14"/>
        <v>0</v>
      </c>
      <c r="D108">
        <f t="shared" si="14"/>
        <v>0</v>
      </c>
      <c r="E108">
        <f t="shared" si="14"/>
        <v>0</v>
      </c>
      <c r="G108" s="46">
        <f t="shared" si="15"/>
        <v>0</v>
      </c>
      <c r="H108" s="46">
        <f t="shared" si="11"/>
        <v>0</v>
      </c>
      <c r="I108" s="46">
        <f t="shared" si="12"/>
        <v>0</v>
      </c>
      <c r="K108" s="46">
        <f>IF(B108,Dose!E110,0)</f>
        <v>0</v>
      </c>
      <c r="L108" s="46">
        <f>IF(C108,Dose!F110,0)</f>
        <v>0</v>
      </c>
      <c r="M108" s="46">
        <f>IF(D108,Dose!G110,0)</f>
        <v>0</v>
      </c>
      <c r="O108">
        <f t="shared" si="16"/>
        <v>0</v>
      </c>
      <c r="P108">
        <f t="shared" si="17"/>
        <v>0</v>
      </c>
      <c r="Q108">
        <f t="shared" si="18"/>
        <v>0</v>
      </c>
    </row>
    <row r="109" spans="1:17" x14ac:dyDescent="0.4">
      <c r="A109">
        <f>Dose!B111</f>
        <v>1.5942251290367531</v>
      </c>
      <c r="B109" t="b">
        <f t="shared" si="13"/>
        <v>0</v>
      </c>
      <c r="C109">
        <f t="shared" si="14"/>
        <v>0</v>
      </c>
      <c r="D109">
        <f t="shared" si="14"/>
        <v>0</v>
      </c>
      <c r="E109">
        <f t="shared" si="14"/>
        <v>0</v>
      </c>
      <c r="G109" s="46">
        <f t="shared" si="15"/>
        <v>0</v>
      </c>
      <c r="H109" s="46">
        <f t="shared" si="11"/>
        <v>0</v>
      </c>
      <c r="I109" s="46">
        <f t="shared" si="12"/>
        <v>0</v>
      </c>
      <c r="K109" s="46">
        <f>IF(B109,Dose!E111,0)</f>
        <v>0</v>
      </c>
      <c r="L109" s="46">
        <f>IF(C109,Dose!F111,0)</f>
        <v>0</v>
      </c>
      <c r="M109" s="46">
        <f>IF(D109,Dose!G111,0)</f>
        <v>0</v>
      </c>
      <c r="O109">
        <f t="shared" si="16"/>
        <v>0</v>
      </c>
      <c r="P109">
        <f t="shared" si="17"/>
        <v>0</v>
      </c>
      <c r="Q109">
        <f t="shared" si="18"/>
        <v>0</v>
      </c>
    </row>
    <row r="110" spans="1:17" x14ac:dyDescent="0.4">
      <c r="A110">
        <f>Dose!B112</f>
        <v>1.650150313916799</v>
      </c>
      <c r="B110" t="b">
        <f t="shared" si="13"/>
        <v>0</v>
      </c>
      <c r="C110">
        <f t="shared" si="14"/>
        <v>0</v>
      </c>
      <c r="D110">
        <f t="shared" si="14"/>
        <v>0</v>
      </c>
      <c r="E110">
        <f t="shared" si="14"/>
        <v>0</v>
      </c>
      <c r="G110" s="46">
        <f t="shared" si="15"/>
        <v>0</v>
      </c>
      <c r="H110" s="46">
        <f t="shared" si="11"/>
        <v>0</v>
      </c>
      <c r="I110" s="46">
        <f t="shared" si="12"/>
        <v>0</v>
      </c>
      <c r="K110" s="46">
        <f>IF(B110,Dose!E112,0)</f>
        <v>0</v>
      </c>
      <c r="L110" s="46">
        <f>IF(C110,Dose!F112,0)</f>
        <v>0</v>
      </c>
      <c r="M110" s="46">
        <f>IF(D110,Dose!G112,0)</f>
        <v>0</v>
      </c>
      <c r="O110">
        <f t="shared" si="16"/>
        <v>0</v>
      </c>
      <c r="P110">
        <f t="shared" si="17"/>
        <v>0</v>
      </c>
      <c r="Q110">
        <f t="shared" si="18"/>
        <v>0</v>
      </c>
    </row>
    <row r="111" spans="1:17" x14ac:dyDescent="0.4">
      <c r="A111">
        <f>Dose!B113</f>
        <v>1.7080373461212295</v>
      </c>
      <c r="B111" t="b">
        <f t="shared" si="13"/>
        <v>0</v>
      </c>
      <c r="C111">
        <f t="shared" si="14"/>
        <v>0</v>
      </c>
      <c r="D111">
        <f t="shared" si="14"/>
        <v>0</v>
      </c>
      <c r="E111">
        <f t="shared" si="14"/>
        <v>0</v>
      </c>
      <c r="G111" s="46">
        <f t="shared" si="15"/>
        <v>0</v>
      </c>
      <c r="H111" s="46">
        <f t="shared" si="11"/>
        <v>0</v>
      </c>
      <c r="I111" s="46">
        <f t="shared" si="12"/>
        <v>0</v>
      </c>
      <c r="K111" s="46">
        <f>IF(B111,Dose!E113,0)</f>
        <v>0</v>
      </c>
      <c r="L111" s="46">
        <f>IF(C111,Dose!F113,0)</f>
        <v>0</v>
      </c>
      <c r="M111" s="46">
        <f>IF(D111,Dose!G113,0)</f>
        <v>0</v>
      </c>
      <c r="O111">
        <f t="shared" si="16"/>
        <v>0</v>
      </c>
      <c r="P111">
        <f t="shared" si="17"/>
        <v>0</v>
      </c>
      <c r="Q111">
        <f t="shared" si="18"/>
        <v>0</v>
      </c>
    </row>
    <row r="112" spans="1:17" x14ac:dyDescent="0.4">
      <c r="A112">
        <f>Dose!B114</f>
        <v>1.76795504696789</v>
      </c>
      <c r="B112" t="b">
        <f t="shared" si="13"/>
        <v>0</v>
      </c>
      <c r="C112">
        <f t="shared" si="14"/>
        <v>0</v>
      </c>
      <c r="D112">
        <f t="shared" si="14"/>
        <v>0</v>
      </c>
      <c r="E112">
        <f t="shared" si="14"/>
        <v>0</v>
      </c>
      <c r="G112" s="46">
        <f t="shared" si="15"/>
        <v>0</v>
      </c>
      <c r="H112" s="46">
        <f t="shared" si="11"/>
        <v>0</v>
      </c>
      <c r="I112" s="46">
        <f t="shared" si="12"/>
        <v>0</v>
      </c>
      <c r="K112" s="46">
        <f>IF(B112,Dose!E114,0)</f>
        <v>0</v>
      </c>
      <c r="L112" s="46">
        <f>IF(C112,Dose!F114,0)</f>
        <v>0</v>
      </c>
      <c r="M112" s="46">
        <f>IF(D112,Dose!G114,0)</f>
        <v>0</v>
      </c>
      <c r="O112">
        <f t="shared" si="16"/>
        <v>0</v>
      </c>
      <c r="P112">
        <f t="shared" si="17"/>
        <v>0</v>
      </c>
      <c r="Q112">
        <f t="shared" si="18"/>
        <v>0</v>
      </c>
    </row>
    <row r="113" spans="1:17" x14ac:dyDescent="0.4">
      <c r="A113">
        <f>Dose!B115</f>
        <v>1.8299746520164126</v>
      </c>
      <c r="B113" t="b">
        <f t="shared" si="13"/>
        <v>0</v>
      </c>
      <c r="C113">
        <f t="shared" si="14"/>
        <v>0</v>
      </c>
      <c r="D113">
        <f t="shared" si="14"/>
        <v>0</v>
      </c>
      <c r="E113">
        <f t="shared" si="14"/>
        <v>0</v>
      </c>
      <c r="G113" s="46">
        <f t="shared" si="15"/>
        <v>0</v>
      </c>
      <c r="H113" s="46">
        <f t="shared" si="11"/>
        <v>0</v>
      </c>
      <c r="I113" s="46">
        <f t="shared" si="12"/>
        <v>0</v>
      </c>
      <c r="K113" s="46">
        <f>IF(B113,Dose!E115,0)</f>
        <v>0</v>
      </c>
      <c r="L113" s="46">
        <f>IF(C113,Dose!F115,0)</f>
        <v>0</v>
      </c>
      <c r="M113" s="46">
        <f>IF(D113,Dose!G115,0)</f>
        <v>0</v>
      </c>
      <c r="O113">
        <f t="shared" si="16"/>
        <v>0</v>
      </c>
      <c r="P113">
        <f t="shared" si="17"/>
        <v>0</v>
      </c>
      <c r="Q113">
        <f t="shared" si="18"/>
        <v>0</v>
      </c>
    </row>
    <row r="114" spans="1:17" x14ac:dyDescent="0.4">
      <c r="A114">
        <f>Dose!B116</f>
        <v>1.8941698957594661</v>
      </c>
      <c r="B114" t="b">
        <f t="shared" si="13"/>
        <v>0</v>
      </c>
      <c r="C114">
        <f t="shared" si="14"/>
        <v>0</v>
      </c>
      <c r="D114">
        <f t="shared" si="14"/>
        <v>0</v>
      </c>
      <c r="E114">
        <f t="shared" si="14"/>
        <v>0</v>
      </c>
      <c r="G114" s="46">
        <f t="shared" si="15"/>
        <v>0</v>
      </c>
      <c r="H114" s="46">
        <f t="shared" si="11"/>
        <v>0</v>
      </c>
      <c r="I114" s="46">
        <f t="shared" si="12"/>
        <v>0</v>
      </c>
      <c r="K114" s="46">
        <f>IF(B114,Dose!E116,0)</f>
        <v>0</v>
      </c>
      <c r="L114" s="46">
        <f>IF(C114,Dose!F116,0)</f>
        <v>0</v>
      </c>
      <c r="M114" s="46">
        <f>IF(D114,Dose!G116,0)</f>
        <v>0</v>
      </c>
      <c r="O114">
        <f t="shared" si="16"/>
        <v>0</v>
      </c>
      <c r="P114">
        <f t="shared" si="17"/>
        <v>0</v>
      </c>
      <c r="Q114">
        <f t="shared" si="18"/>
        <v>0</v>
      </c>
    </row>
    <row r="115" spans="1:17" x14ac:dyDescent="0.4">
      <c r="A115">
        <f>Dose!B117</f>
        <v>1.9606170992849625</v>
      </c>
      <c r="B115" t="b">
        <f t="shared" si="13"/>
        <v>0</v>
      </c>
      <c r="C115">
        <f t="shared" si="14"/>
        <v>0</v>
      </c>
      <c r="D115">
        <f t="shared" si="14"/>
        <v>0</v>
      </c>
      <c r="E115">
        <f t="shared" si="14"/>
        <v>0</v>
      </c>
      <c r="G115" s="46">
        <f t="shared" si="15"/>
        <v>0</v>
      </c>
      <c r="H115" s="46">
        <f t="shared" si="11"/>
        <v>0</v>
      </c>
      <c r="I115" s="46">
        <f t="shared" si="12"/>
        <v>0</v>
      </c>
      <c r="K115" s="46">
        <f>IF(B115,Dose!E117,0)</f>
        <v>0</v>
      </c>
      <c r="L115" s="46">
        <f>IF(C115,Dose!F117,0)</f>
        <v>0</v>
      </c>
      <c r="M115" s="46">
        <f>IF(D115,Dose!G117,0)</f>
        <v>0</v>
      </c>
      <c r="O115">
        <f t="shared" si="16"/>
        <v>0</v>
      </c>
      <c r="P115">
        <f t="shared" si="17"/>
        <v>0</v>
      </c>
      <c r="Q115">
        <f t="shared" si="18"/>
        <v>0</v>
      </c>
    </row>
    <row r="116" spans="1:17" x14ac:dyDescent="0.4">
      <c r="A116">
        <f>Dose!B118</f>
        <v>2.0293952610134389</v>
      </c>
      <c r="B116" t="b">
        <f t="shared" si="13"/>
        <v>0</v>
      </c>
      <c r="C116">
        <f t="shared" si="14"/>
        <v>0</v>
      </c>
      <c r="D116">
        <f t="shared" si="14"/>
        <v>0</v>
      </c>
      <c r="E116">
        <f t="shared" si="14"/>
        <v>0</v>
      </c>
      <c r="G116" s="46">
        <f t="shared" si="15"/>
        <v>0</v>
      </c>
      <c r="H116" s="46">
        <f t="shared" si="11"/>
        <v>0</v>
      </c>
      <c r="I116" s="46">
        <f t="shared" si="12"/>
        <v>0</v>
      </c>
      <c r="K116" s="46">
        <f>IF(B116,Dose!E118,0)</f>
        <v>0</v>
      </c>
      <c r="L116" s="46">
        <f>IF(C116,Dose!F118,0)</f>
        <v>0</v>
      </c>
      <c r="M116" s="46">
        <f>IF(D116,Dose!G118,0)</f>
        <v>0</v>
      </c>
      <c r="O116">
        <f t="shared" si="16"/>
        <v>0</v>
      </c>
      <c r="P116">
        <f t="shared" si="17"/>
        <v>0</v>
      </c>
      <c r="Q116">
        <f t="shared" si="18"/>
        <v>0</v>
      </c>
    </row>
    <row r="117" spans="1:17" x14ac:dyDescent="0.4">
      <c r="A117">
        <f>Dose!B119</f>
        <v>2.1005861506184975</v>
      </c>
      <c r="B117" t="b">
        <f t="shared" si="13"/>
        <v>0</v>
      </c>
      <c r="C117">
        <f t="shared" si="14"/>
        <v>0</v>
      </c>
      <c r="D117">
        <f t="shared" si="14"/>
        <v>0</v>
      </c>
      <c r="E117">
        <f t="shared" si="14"/>
        <v>0</v>
      </c>
      <c r="G117" s="46">
        <f t="shared" si="15"/>
        <v>0</v>
      </c>
      <c r="H117" s="46">
        <f t="shared" si="11"/>
        <v>0</v>
      </c>
      <c r="I117" s="46">
        <f t="shared" si="12"/>
        <v>0</v>
      </c>
      <c r="K117" s="46">
        <f>IF(B117,Dose!E119,0)</f>
        <v>0</v>
      </c>
      <c r="L117" s="46">
        <f>IF(C117,Dose!F119,0)</f>
        <v>0</v>
      </c>
      <c r="M117" s="46">
        <f>IF(D117,Dose!G119,0)</f>
        <v>0</v>
      </c>
      <c r="O117">
        <f t="shared" si="16"/>
        <v>0</v>
      </c>
      <c r="P117">
        <f t="shared" si="17"/>
        <v>0</v>
      </c>
      <c r="Q117">
        <f t="shared" si="18"/>
        <v>0</v>
      </c>
    </row>
    <row r="118" spans="1:17" x14ac:dyDescent="0.4">
      <c r="A118">
        <f>Dose!B120</f>
        <v>2.1742744062419574</v>
      </c>
      <c r="B118" t="b">
        <f t="shared" si="13"/>
        <v>0</v>
      </c>
      <c r="C118">
        <f t="shared" si="14"/>
        <v>0</v>
      </c>
      <c r="D118">
        <f t="shared" si="14"/>
        <v>0</v>
      </c>
      <c r="E118">
        <f t="shared" si="14"/>
        <v>0</v>
      </c>
      <c r="G118" s="46">
        <f t="shared" si="15"/>
        <v>0</v>
      </c>
      <c r="H118" s="46">
        <f t="shared" si="11"/>
        <v>0</v>
      </c>
      <c r="I118" s="46">
        <f t="shared" si="12"/>
        <v>0</v>
      </c>
      <c r="K118" s="46">
        <f>IF(B118,Dose!E120,0)</f>
        <v>0</v>
      </c>
      <c r="L118" s="46">
        <f>IF(C118,Dose!F120,0)</f>
        <v>0</v>
      </c>
      <c r="M118" s="46">
        <f>IF(D118,Dose!G120,0)</f>
        <v>0</v>
      </c>
      <c r="O118">
        <f t="shared" si="16"/>
        <v>0</v>
      </c>
      <c r="P118">
        <f t="shared" si="17"/>
        <v>0</v>
      </c>
      <c r="Q118">
        <f t="shared" si="18"/>
        <v>0</v>
      </c>
    </row>
    <row r="119" spans="1:17" x14ac:dyDescent="0.4">
      <c r="A119">
        <f>Dose!B121</f>
        <v>2.2505476351193017</v>
      </c>
      <c r="B119" t="b">
        <f t="shared" si="13"/>
        <v>0</v>
      </c>
      <c r="C119">
        <f t="shared" si="14"/>
        <v>0</v>
      </c>
      <c r="D119">
        <f t="shared" si="14"/>
        <v>0</v>
      </c>
      <c r="E119">
        <f t="shared" si="14"/>
        <v>0</v>
      </c>
      <c r="G119" s="46">
        <f t="shared" si="15"/>
        <v>0</v>
      </c>
      <c r="H119" s="46">
        <f t="shared" si="11"/>
        <v>0</v>
      </c>
      <c r="I119" s="46">
        <f t="shared" si="12"/>
        <v>0</v>
      </c>
      <c r="K119" s="46">
        <f>IF(B119,Dose!E121,0)</f>
        <v>0</v>
      </c>
      <c r="L119" s="46">
        <f>IF(C119,Dose!F121,0)</f>
        <v>0</v>
      </c>
      <c r="M119" s="46">
        <f>IF(D119,Dose!G121,0)</f>
        <v>0</v>
      </c>
      <c r="O119">
        <f t="shared" si="16"/>
        <v>0</v>
      </c>
      <c r="P119">
        <f t="shared" si="17"/>
        <v>0</v>
      </c>
      <c r="Q119">
        <f t="shared" si="18"/>
        <v>0</v>
      </c>
    </row>
    <row r="120" spans="1:17" x14ac:dyDescent="0.4">
      <c r="A120">
        <f>Dose!B122</f>
        <v>2.3294965177350488</v>
      </c>
      <c r="B120" t="b">
        <f t="shared" si="13"/>
        <v>0</v>
      </c>
      <c r="C120">
        <f t="shared" si="14"/>
        <v>0</v>
      </c>
      <c r="D120">
        <f t="shared" si="14"/>
        <v>0</v>
      </c>
      <c r="E120">
        <f t="shared" si="14"/>
        <v>0</v>
      </c>
      <c r="G120" s="46">
        <f t="shared" si="15"/>
        <v>0</v>
      </c>
      <c r="H120" s="46">
        <f t="shared" si="11"/>
        <v>0</v>
      </c>
      <c r="I120" s="46">
        <f t="shared" si="12"/>
        <v>0</v>
      </c>
      <c r="K120" s="46">
        <f>IF(B120,Dose!E122,0)</f>
        <v>0</v>
      </c>
      <c r="L120" s="46">
        <f>IF(C120,Dose!F122,0)</f>
        <v>0</v>
      </c>
      <c r="M120" s="46">
        <f>IF(D120,Dose!G122,0)</f>
        <v>0</v>
      </c>
      <c r="O120">
        <f t="shared" si="16"/>
        <v>0</v>
      </c>
      <c r="P120">
        <f t="shared" si="17"/>
        <v>0</v>
      </c>
      <c r="Q120">
        <f t="shared" si="18"/>
        <v>0</v>
      </c>
    </row>
    <row r="121" spans="1:17" x14ac:dyDescent="0.4">
      <c r="A121">
        <f>Dose!B123</f>
        <v>2.4112149156318821</v>
      </c>
      <c r="B121" t="b">
        <f t="shared" si="13"/>
        <v>0</v>
      </c>
      <c r="C121">
        <f t="shared" si="14"/>
        <v>0</v>
      </c>
      <c r="D121">
        <f t="shared" si="14"/>
        <v>0</v>
      </c>
      <c r="E121">
        <f t="shared" si="14"/>
        <v>0</v>
      </c>
      <c r="G121" s="46">
        <f t="shared" si="15"/>
        <v>0</v>
      </c>
      <c r="H121" s="46">
        <f t="shared" si="11"/>
        <v>0</v>
      </c>
      <c r="I121" s="46">
        <f t="shared" si="12"/>
        <v>0</v>
      </c>
      <c r="K121" s="46">
        <f>IF(B121,Dose!E123,0)</f>
        <v>0</v>
      </c>
      <c r="L121" s="46">
        <f>IF(C121,Dose!F123,0)</f>
        <v>0</v>
      </c>
      <c r="M121" s="46">
        <f>IF(D121,Dose!G123,0)</f>
        <v>0</v>
      </c>
      <c r="O121">
        <f t="shared" si="16"/>
        <v>0</v>
      </c>
      <c r="P121">
        <f t="shared" si="17"/>
        <v>0</v>
      </c>
      <c r="Q121">
        <f t="shared" si="18"/>
        <v>0</v>
      </c>
    </row>
    <row r="122" spans="1:17" x14ac:dyDescent="0.4">
      <c r="A122">
        <f>Dose!B124</f>
        <v>2.4957999830017044</v>
      </c>
      <c r="B122" t="b">
        <f t="shared" si="13"/>
        <v>0</v>
      </c>
      <c r="C122">
        <f t="shared" si="14"/>
        <v>0</v>
      </c>
      <c r="D122">
        <f t="shared" si="14"/>
        <v>0</v>
      </c>
      <c r="E122">
        <f t="shared" si="14"/>
        <v>0</v>
      </c>
      <c r="G122" s="46">
        <f t="shared" si="15"/>
        <v>0</v>
      </c>
      <c r="H122" s="46">
        <f t="shared" si="11"/>
        <v>0</v>
      </c>
      <c r="I122" s="46">
        <f t="shared" si="12"/>
        <v>0</v>
      </c>
      <c r="K122" s="46">
        <f>IF(B122,Dose!E124,0)</f>
        <v>0</v>
      </c>
      <c r="L122" s="46">
        <f>IF(C122,Dose!F124,0)</f>
        <v>0</v>
      </c>
      <c r="M122" s="46">
        <f>IF(D122,Dose!G124,0)</f>
        <v>0</v>
      </c>
      <c r="O122">
        <f t="shared" si="16"/>
        <v>0</v>
      </c>
      <c r="P122">
        <f t="shared" si="17"/>
        <v>0</v>
      </c>
      <c r="Q122">
        <f t="shared" si="18"/>
        <v>0</v>
      </c>
    </row>
    <row r="123" spans="1:17" x14ac:dyDescent="0.4">
      <c r="A123">
        <f>Dose!B125</f>
        <v>2.5833522821912931</v>
      </c>
      <c r="B123" t="b">
        <f t="shared" si="13"/>
        <v>0</v>
      </c>
      <c r="C123">
        <f t="shared" si="14"/>
        <v>0</v>
      </c>
      <c r="D123">
        <f t="shared" si="14"/>
        <v>0</v>
      </c>
      <c r="E123">
        <f t="shared" si="14"/>
        <v>0</v>
      </c>
      <c r="G123" s="46">
        <f t="shared" si="15"/>
        <v>0</v>
      </c>
      <c r="H123" s="46">
        <f t="shared" si="11"/>
        <v>0</v>
      </c>
      <c r="I123" s="46">
        <f t="shared" si="12"/>
        <v>0</v>
      </c>
      <c r="K123" s="46">
        <f>IF(B123,Dose!E125,0)</f>
        <v>0</v>
      </c>
      <c r="L123" s="46">
        <f>IF(C123,Dose!F125,0)</f>
        <v>0</v>
      </c>
      <c r="M123" s="46">
        <f>IF(D123,Dose!G125,0)</f>
        <v>0</v>
      </c>
      <c r="O123">
        <f t="shared" si="16"/>
        <v>0</v>
      </c>
      <c r="P123">
        <f t="shared" si="17"/>
        <v>0</v>
      </c>
      <c r="Q123">
        <f t="shared" si="18"/>
        <v>0</v>
      </c>
    </row>
    <row r="124" spans="1:17" x14ac:dyDescent="0.4">
      <c r="A124">
        <f>Dose!B126</f>
        <v>2.6739759032598744</v>
      </c>
      <c r="B124" t="b">
        <f t="shared" si="13"/>
        <v>0</v>
      </c>
      <c r="C124">
        <f t="shared" si="14"/>
        <v>0</v>
      </c>
      <c r="D124">
        <f t="shared" si="14"/>
        <v>0</v>
      </c>
      <c r="E124">
        <f t="shared" si="14"/>
        <v>0</v>
      </c>
      <c r="G124" s="46">
        <f t="shared" si="15"/>
        <v>0</v>
      </c>
      <c r="H124" s="46">
        <f t="shared" si="11"/>
        <v>0</v>
      </c>
      <c r="I124" s="46">
        <f t="shared" si="12"/>
        <v>0</v>
      </c>
      <c r="K124" s="46">
        <f>IF(B124,Dose!E126,0)</f>
        <v>0</v>
      </c>
      <c r="L124" s="46">
        <f>IF(C124,Dose!F126,0)</f>
        <v>0</v>
      </c>
      <c r="M124" s="46">
        <f>IF(D124,Dose!G126,0)</f>
        <v>0</v>
      </c>
      <c r="O124">
        <f t="shared" si="16"/>
        <v>0</v>
      </c>
      <c r="P124">
        <f t="shared" si="17"/>
        <v>0</v>
      </c>
      <c r="Q124">
        <f t="shared" si="18"/>
        <v>0</v>
      </c>
    </row>
    <row r="125" spans="1:17" x14ac:dyDescent="0.4">
      <c r="A125">
        <f>Dose!B127</f>
        <v>2.767778587730763</v>
      </c>
      <c r="B125" t="b">
        <f t="shared" si="13"/>
        <v>0</v>
      </c>
      <c r="C125">
        <f t="shared" si="14"/>
        <v>0</v>
      </c>
      <c r="D125">
        <f t="shared" si="14"/>
        <v>0</v>
      </c>
      <c r="E125">
        <f t="shared" si="14"/>
        <v>0</v>
      </c>
      <c r="G125" s="46">
        <f t="shared" si="15"/>
        <v>0</v>
      </c>
      <c r="H125" s="46">
        <f t="shared" si="11"/>
        <v>0</v>
      </c>
      <c r="I125" s="46">
        <f t="shared" si="12"/>
        <v>0</v>
      </c>
      <c r="K125" s="46">
        <f>IF(B125,Dose!E127,0)</f>
        <v>0</v>
      </c>
      <c r="L125" s="46">
        <f>IF(C125,Dose!F127,0)</f>
        <v>0</v>
      </c>
      <c r="M125" s="46">
        <f>IF(D125,Dose!G127,0)</f>
        <v>0</v>
      </c>
      <c r="O125">
        <f t="shared" si="16"/>
        <v>0</v>
      </c>
      <c r="P125">
        <f t="shared" si="17"/>
        <v>0</v>
      </c>
      <c r="Q125">
        <f t="shared" si="18"/>
        <v>0</v>
      </c>
    </row>
    <row r="126" spans="1:17" x14ac:dyDescent="0.4">
      <c r="A126">
        <f>Dose!B128</f>
        <v>2.8648718566841889</v>
      </c>
      <c r="B126" t="b">
        <f t="shared" si="13"/>
        <v>0</v>
      </c>
      <c r="C126">
        <f t="shared" si="14"/>
        <v>0</v>
      </c>
      <c r="D126">
        <f t="shared" si="14"/>
        <v>0</v>
      </c>
      <c r="E126">
        <f t="shared" si="14"/>
        <v>0</v>
      </c>
      <c r="G126" s="46">
        <f t="shared" si="15"/>
        <v>0</v>
      </c>
      <c r="H126" s="46">
        <f t="shared" si="11"/>
        <v>0</v>
      </c>
      <c r="I126" s="46">
        <f t="shared" si="12"/>
        <v>0</v>
      </c>
      <c r="K126" s="46">
        <f>IF(B126,Dose!E128,0)</f>
        <v>0</v>
      </c>
      <c r="L126" s="46">
        <f>IF(C126,Dose!F128,0)</f>
        <v>0</v>
      </c>
      <c r="M126" s="46">
        <f>IF(D126,Dose!G128,0)</f>
        <v>0</v>
      </c>
      <c r="O126">
        <f t="shared" si="16"/>
        <v>0</v>
      </c>
      <c r="P126">
        <f t="shared" si="17"/>
        <v>0</v>
      </c>
      <c r="Q126">
        <f t="shared" si="18"/>
        <v>0</v>
      </c>
    </row>
    <row r="127" spans="1:17" x14ac:dyDescent="0.4">
      <c r="A127">
        <f>Dose!B129</f>
        <v>2.9653711433436016</v>
      </c>
      <c r="B127" t="b">
        <f t="shared" si="13"/>
        <v>0</v>
      </c>
      <c r="C127">
        <f t="shared" si="14"/>
        <v>0</v>
      </c>
      <c r="D127">
        <f t="shared" si="14"/>
        <v>0</v>
      </c>
      <c r="E127">
        <f t="shared" si="14"/>
        <v>0</v>
      </c>
      <c r="G127" s="46">
        <f t="shared" si="15"/>
        <v>0</v>
      </c>
      <c r="H127" s="46">
        <f t="shared" si="11"/>
        <v>0</v>
      </c>
      <c r="I127" s="46">
        <f t="shared" si="12"/>
        <v>0</v>
      </c>
      <c r="K127" s="46">
        <f>IF(B127,Dose!E129,0)</f>
        <v>0</v>
      </c>
      <c r="L127" s="46">
        <f>IF(C127,Dose!F129,0)</f>
        <v>0</v>
      </c>
      <c r="M127" s="46">
        <f>IF(D127,Dose!G129,0)</f>
        <v>0</v>
      </c>
      <c r="O127">
        <f t="shared" si="16"/>
        <v>0</v>
      </c>
      <c r="P127">
        <f t="shared" si="17"/>
        <v>0</v>
      </c>
      <c r="Q127">
        <f t="shared" si="18"/>
        <v>0</v>
      </c>
    </row>
    <row r="128" spans="1:17" x14ac:dyDescent="0.4">
      <c r="A128">
        <f>Dose!B130</f>
        <v>3.0693959303130844</v>
      </c>
      <c r="B128" t="b">
        <f t="shared" si="13"/>
        <v>0</v>
      </c>
      <c r="C128">
        <f t="shared" si="14"/>
        <v>0</v>
      </c>
      <c r="D128">
        <f t="shared" si="14"/>
        <v>0</v>
      </c>
      <c r="E128">
        <f t="shared" si="14"/>
        <v>0</v>
      </c>
      <c r="G128" s="46">
        <f t="shared" si="15"/>
        <v>0</v>
      </c>
      <c r="H128" s="46">
        <f t="shared" si="11"/>
        <v>0</v>
      </c>
      <c r="I128" s="46">
        <f t="shared" si="12"/>
        <v>0</v>
      </c>
      <c r="K128" s="46">
        <f>IF(B128,Dose!E130,0)</f>
        <v>0</v>
      </c>
      <c r="L128" s="46">
        <f>IF(C128,Dose!F130,0)</f>
        <v>0</v>
      </c>
      <c r="M128" s="46">
        <f>IF(D128,Dose!G130,0)</f>
        <v>0</v>
      </c>
      <c r="O128">
        <f t="shared" si="16"/>
        <v>0</v>
      </c>
      <c r="P128">
        <f t="shared" si="17"/>
        <v>0</v>
      </c>
      <c r="Q128">
        <f t="shared" si="18"/>
        <v>0</v>
      </c>
    </row>
    <row r="129" spans="1:17" x14ac:dyDescent="0.4">
      <c r="A129">
        <f>Dose!B131</f>
        <v>3.1770698916290354</v>
      </c>
      <c r="B129" t="b">
        <f t="shared" si="13"/>
        <v>0</v>
      </c>
      <c r="C129">
        <f t="shared" si="14"/>
        <v>0</v>
      </c>
      <c r="D129">
        <f t="shared" si="14"/>
        <v>0</v>
      </c>
      <c r="E129">
        <f t="shared" si="14"/>
        <v>0</v>
      </c>
      <c r="G129" s="46">
        <f t="shared" si="15"/>
        <v>0</v>
      </c>
      <c r="H129" s="46">
        <f t="shared" si="11"/>
        <v>0</v>
      </c>
      <c r="I129" s="46">
        <f t="shared" si="12"/>
        <v>0</v>
      </c>
      <c r="K129" s="46">
        <f>IF(B129,Dose!E131,0)</f>
        <v>0</v>
      </c>
      <c r="L129" s="46">
        <f>IF(C129,Dose!F131,0)</f>
        <v>0</v>
      </c>
      <c r="M129" s="46">
        <f>IF(D129,Dose!G131,0)</f>
        <v>0</v>
      </c>
      <c r="O129">
        <f t="shared" si="16"/>
        <v>0</v>
      </c>
      <c r="P129">
        <f t="shared" si="17"/>
        <v>0</v>
      </c>
      <c r="Q129">
        <f t="shared" si="18"/>
        <v>0</v>
      </c>
    </row>
    <row r="130" spans="1:17" x14ac:dyDescent="0.4">
      <c r="A130">
        <f>Dose!B132</f>
        <v>3.2885210397950018</v>
      </c>
      <c r="B130" t="b">
        <f t="shared" si="13"/>
        <v>0</v>
      </c>
      <c r="C130">
        <f t="shared" si="14"/>
        <v>0</v>
      </c>
      <c r="D130">
        <f t="shared" si="14"/>
        <v>0</v>
      </c>
      <c r="E130">
        <f t="shared" si="14"/>
        <v>0</v>
      </c>
      <c r="G130" s="46">
        <f t="shared" si="15"/>
        <v>0</v>
      </c>
      <c r="H130" s="46">
        <f t="shared" si="11"/>
        <v>0</v>
      </c>
      <c r="I130" s="46">
        <f t="shared" si="12"/>
        <v>0</v>
      </c>
      <c r="K130" s="46">
        <f>IF(B130,Dose!E132,0)</f>
        <v>0</v>
      </c>
      <c r="L130" s="46">
        <f>IF(C130,Dose!F132,0)</f>
        <v>0</v>
      </c>
      <c r="M130" s="46">
        <f>IF(D130,Dose!G132,0)</f>
        <v>0</v>
      </c>
      <c r="O130">
        <f t="shared" si="16"/>
        <v>0</v>
      </c>
      <c r="P130">
        <f t="shared" si="17"/>
        <v>0</v>
      </c>
      <c r="Q130">
        <f t="shared" si="18"/>
        <v>0</v>
      </c>
    </row>
    <row r="131" spans="1:17" x14ac:dyDescent="0.4">
      <c r="A131">
        <f>Dose!B133</f>
        <v>3.4038818779744737</v>
      </c>
      <c r="B131" t="b">
        <f t="shared" si="13"/>
        <v>0</v>
      </c>
      <c r="C131">
        <f t="shared" si="14"/>
        <v>0</v>
      </c>
      <c r="D131">
        <f t="shared" si="14"/>
        <v>0</v>
      </c>
      <c r="E131">
        <f t="shared" si="14"/>
        <v>0</v>
      </c>
      <c r="G131" s="46">
        <f t="shared" si="15"/>
        <v>0</v>
      </c>
      <c r="H131" s="46">
        <f t="shared" si="11"/>
        <v>0</v>
      </c>
      <c r="I131" s="46">
        <f t="shared" si="12"/>
        <v>0</v>
      </c>
      <c r="K131" s="46">
        <f>IF(B131,Dose!E133,0)</f>
        <v>0</v>
      </c>
      <c r="L131" s="46">
        <f>IF(C131,Dose!F133,0)</f>
        <v>0</v>
      </c>
      <c r="M131" s="46">
        <f>IF(D131,Dose!G133,0)</f>
        <v>0</v>
      </c>
      <c r="O131">
        <f t="shared" si="16"/>
        <v>0</v>
      </c>
      <c r="P131">
        <f t="shared" si="17"/>
        <v>0</v>
      </c>
      <c r="Q131">
        <f t="shared" si="18"/>
        <v>0</v>
      </c>
    </row>
    <row r="132" spans="1:17" x14ac:dyDescent="0.4">
      <c r="A132">
        <f>Dose!B134</f>
        <v>3.5232895575225811</v>
      </c>
      <c r="B132" t="b">
        <f t="shared" si="13"/>
        <v>0</v>
      </c>
      <c r="C132">
        <f t="shared" si="14"/>
        <v>0</v>
      </c>
      <c r="D132">
        <f t="shared" si="14"/>
        <v>0</v>
      </c>
      <c r="E132">
        <f t="shared" si="14"/>
        <v>0</v>
      </c>
      <c r="G132" s="46">
        <f t="shared" si="15"/>
        <v>0</v>
      </c>
      <c r="H132" s="46">
        <f t="shared" si="11"/>
        <v>0</v>
      </c>
      <c r="I132" s="46">
        <f t="shared" si="12"/>
        <v>0</v>
      </c>
      <c r="K132" s="46">
        <f>IF(B132,Dose!E134,0)</f>
        <v>0</v>
      </c>
      <c r="L132" s="46">
        <f>IF(C132,Dose!F134,0)</f>
        <v>0</v>
      </c>
      <c r="M132" s="46">
        <f>IF(D132,Dose!G134,0)</f>
        <v>0</v>
      </c>
      <c r="O132">
        <f t="shared" si="16"/>
        <v>0</v>
      </c>
      <c r="P132">
        <f t="shared" si="17"/>
        <v>0</v>
      </c>
      <c r="Q132">
        <f t="shared" si="18"/>
        <v>0</v>
      </c>
    </row>
    <row r="133" spans="1:17" x14ac:dyDescent="0.4">
      <c r="A133">
        <f>Dose!B135</f>
        <v>3.6468860410439765</v>
      </c>
      <c r="B133" t="b">
        <f t="shared" si="13"/>
        <v>0</v>
      </c>
      <c r="C133">
        <f t="shared" si="14"/>
        <v>0</v>
      </c>
      <c r="D133">
        <f t="shared" si="14"/>
        <v>0</v>
      </c>
      <c r="E133">
        <f t="shared" si="14"/>
        <v>0</v>
      </c>
      <c r="G133" s="46">
        <f t="shared" si="15"/>
        <v>0</v>
      </c>
      <c r="H133" s="46">
        <f t="shared" si="11"/>
        <v>0</v>
      </c>
      <c r="I133" s="46">
        <f t="shared" si="12"/>
        <v>0</v>
      </c>
      <c r="K133" s="46">
        <f>IF(B133,Dose!E135,0)</f>
        <v>0</v>
      </c>
      <c r="L133" s="46">
        <f>IF(C133,Dose!F135,0)</f>
        <v>0</v>
      </c>
      <c r="M133" s="46">
        <f>IF(D133,Dose!G135,0)</f>
        <v>0</v>
      </c>
      <c r="O133">
        <f t="shared" si="16"/>
        <v>0</v>
      </c>
      <c r="P133">
        <f t="shared" si="17"/>
        <v>0</v>
      </c>
      <c r="Q133">
        <f t="shared" si="18"/>
        <v>0</v>
      </c>
    </row>
    <row r="134" spans="1:17" x14ac:dyDescent="0.4">
      <c r="A134">
        <f>Dose!B136</f>
        <v>3.7748182711707674</v>
      </c>
      <c r="B134" t="b">
        <f t="shared" si="13"/>
        <v>0</v>
      </c>
      <c r="C134">
        <f t="shared" si="14"/>
        <v>0</v>
      </c>
      <c r="D134">
        <f t="shared" si="14"/>
        <v>0</v>
      </c>
      <c r="E134">
        <f t="shared" si="14"/>
        <v>0</v>
      </c>
      <c r="G134" s="46">
        <f t="shared" si="15"/>
        <v>0</v>
      </c>
      <c r="H134" s="46">
        <f t="shared" si="11"/>
        <v>0</v>
      </c>
      <c r="I134" s="46">
        <f t="shared" si="12"/>
        <v>0</v>
      </c>
      <c r="K134" s="46">
        <f>IF(B134,Dose!E136,0)</f>
        <v>0</v>
      </c>
      <c r="L134" s="46">
        <f>IF(C134,Dose!F136,0)</f>
        <v>0</v>
      </c>
      <c r="M134" s="46">
        <f>IF(D134,Dose!G136,0)</f>
        <v>0</v>
      </c>
      <c r="O134">
        <f t="shared" si="16"/>
        <v>0</v>
      </c>
      <c r="P134">
        <f t="shared" si="17"/>
        <v>0</v>
      </c>
      <c r="Q134">
        <f t="shared" si="18"/>
        <v>0</v>
      </c>
    </row>
    <row r="135" spans="1:17" x14ac:dyDescent="0.4">
      <c r="A135">
        <f>Dose!B137</f>
        <v>3.9072383452611525</v>
      </c>
      <c r="B135" t="b">
        <f t="shared" si="13"/>
        <v>0</v>
      </c>
      <c r="C135">
        <f t="shared" si="14"/>
        <v>0</v>
      </c>
      <c r="D135">
        <f t="shared" si="14"/>
        <v>0</v>
      </c>
      <c r="E135">
        <f t="shared" si="14"/>
        <v>0</v>
      </c>
      <c r="G135" s="46">
        <f t="shared" si="15"/>
        <v>0</v>
      </c>
      <c r="H135" s="46">
        <f t="shared" si="11"/>
        <v>0</v>
      </c>
      <c r="I135" s="46">
        <f t="shared" si="12"/>
        <v>0</v>
      </c>
      <c r="K135" s="46">
        <f>IF(B135,Dose!E137,0)</f>
        <v>0</v>
      </c>
      <c r="L135" s="46">
        <f>IF(C135,Dose!F137,0)</f>
        <v>0</v>
      </c>
      <c r="M135" s="46">
        <f>IF(D135,Dose!G137,0)</f>
        <v>0</v>
      </c>
      <c r="O135">
        <f t="shared" si="16"/>
        <v>0</v>
      </c>
      <c r="P135">
        <f t="shared" si="17"/>
        <v>0</v>
      </c>
      <c r="Q135">
        <f t="shared" si="18"/>
        <v>0</v>
      </c>
    </row>
    <row r="136" spans="1:17" x14ac:dyDescent="0.4">
      <c r="A136">
        <f>Dose!B138</f>
        <v>4.0443036962264589</v>
      </c>
      <c r="B136" t="b">
        <f t="shared" si="13"/>
        <v>0</v>
      </c>
      <c r="C136">
        <f t="shared" si="14"/>
        <v>0</v>
      </c>
      <c r="D136">
        <f t="shared" si="14"/>
        <v>0</v>
      </c>
      <c r="E136">
        <f t="shared" si="14"/>
        <v>0</v>
      </c>
      <c r="G136" s="46">
        <f t="shared" si="15"/>
        <v>0</v>
      </c>
      <c r="H136" s="46">
        <f t="shared" si="11"/>
        <v>0</v>
      </c>
      <c r="I136" s="46">
        <f t="shared" si="12"/>
        <v>0</v>
      </c>
      <c r="K136" s="46">
        <f>IF(B136,Dose!E138,0)</f>
        <v>0</v>
      </c>
      <c r="L136" s="46">
        <f>IF(C136,Dose!F138,0)</f>
        <v>0</v>
      </c>
      <c r="M136" s="46">
        <f>IF(D136,Dose!G138,0)</f>
        <v>0</v>
      </c>
      <c r="O136">
        <f t="shared" si="16"/>
        <v>0</v>
      </c>
      <c r="P136">
        <f t="shared" si="17"/>
        <v>0</v>
      </c>
      <c r="Q136">
        <f t="shared" si="18"/>
        <v>0</v>
      </c>
    </row>
    <row r="137" spans="1:17" x14ac:dyDescent="0.4">
      <c r="A137">
        <f>Dose!B139</f>
        <v>4.1861772797015711</v>
      </c>
      <c r="B137" t="b">
        <f t="shared" si="13"/>
        <v>0</v>
      </c>
      <c r="C137">
        <f t="shared" si="14"/>
        <v>0</v>
      </c>
      <c r="D137">
        <f t="shared" si="14"/>
        <v>0</v>
      </c>
      <c r="E137">
        <f t="shared" si="14"/>
        <v>0</v>
      </c>
      <c r="G137" s="46">
        <f t="shared" si="15"/>
        <v>0</v>
      </c>
      <c r="H137" s="46">
        <f t="shared" si="11"/>
        <v>0</v>
      </c>
      <c r="I137" s="46">
        <f t="shared" si="12"/>
        <v>0</v>
      </c>
      <c r="K137" s="46">
        <f>IF(B137,Dose!E139,0)</f>
        <v>0</v>
      </c>
      <c r="L137" s="46">
        <f>IF(C137,Dose!F139,0)</f>
        <v>0</v>
      </c>
      <c r="M137" s="46">
        <f>IF(D137,Dose!G139,0)</f>
        <v>0</v>
      </c>
      <c r="O137">
        <f t="shared" si="16"/>
        <v>0</v>
      </c>
      <c r="P137">
        <f t="shared" si="17"/>
        <v>0</v>
      </c>
      <c r="Q137">
        <f t="shared" si="18"/>
        <v>0</v>
      </c>
    </row>
    <row r="138" spans="1:17" x14ac:dyDescent="0.4">
      <c r="A138">
        <f>Dose!B140</f>
        <v>4.3330277677812639</v>
      </c>
      <c r="B138" t="b">
        <f t="shared" si="13"/>
        <v>0</v>
      </c>
      <c r="C138">
        <f t="shared" si="14"/>
        <v>0</v>
      </c>
      <c r="D138">
        <f t="shared" si="14"/>
        <v>0</v>
      </c>
      <c r="E138">
        <f t="shared" si="14"/>
        <v>0</v>
      </c>
      <c r="G138" s="46">
        <f t="shared" si="15"/>
        <v>0</v>
      </c>
      <c r="H138" s="46">
        <f t="shared" si="11"/>
        <v>0</v>
      </c>
      <c r="I138" s="46">
        <f t="shared" si="12"/>
        <v>0</v>
      </c>
      <c r="K138" s="46">
        <f>IF(B138,Dose!E140,0)</f>
        <v>0</v>
      </c>
      <c r="L138" s="46">
        <f>IF(C138,Dose!F140,0)</f>
        <v>0</v>
      </c>
      <c r="M138" s="46">
        <f>IF(D138,Dose!G140,0)</f>
        <v>0</v>
      </c>
      <c r="O138">
        <f t="shared" si="16"/>
        <v>0</v>
      </c>
      <c r="P138">
        <f t="shared" si="17"/>
        <v>0</v>
      </c>
      <c r="Q138">
        <f t="shared" si="18"/>
        <v>0</v>
      </c>
    </row>
    <row r="139" spans="1:17" x14ac:dyDescent="0.4">
      <c r="A139">
        <f>Dose!B141</f>
        <v>4.4850297495527807</v>
      </c>
      <c r="B139" t="b">
        <f t="shared" si="13"/>
        <v>0</v>
      </c>
      <c r="C139">
        <f t="shared" si="14"/>
        <v>0</v>
      </c>
      <c r="D139">
        <f t="shared" si="14"/>
        <v>0</v>
      </c>
      <c r="E139">
        <f t="shared" si="14"/>
        <v>0</v>
      </c>
      <c r="G139" s="46">
        <f t="shared" si="15"/>
        <v>0</v>
      </c>
      <c r="H139" s="46">
        <f t="shared" ref="H139:H202" si="19">IF(D139&gt;0,H$5*(1-1/(1+EXP(10.32)*(D139^(0.4343*-7.17))))+H$4*(1+0.44)/(1+0.44*EXP(0.0195*D139)),0)</f>
        <v>0</v>
      </c>
      <c r="I139" s="46">
        <f t="shared" ref="I139:I202" si="20">IF(E139&gt;0,I$5*(1-1/(1+EXP(10.32)*(E139^(0.4343*-7.17))))+I$4*(1+0.44)/(1+0.44*EXP(0.0195*E139)),0)</f>
        <v>0</v>
      </c>
      <c r="K139" s="46">
        <f>IF(B139,Dose!E141,0)</f>
        <v>0</v>
      </c>
      <c r="L139" s="46">
        <f>IF(C139,Dose!F141,0)</f>
        <v>0</v>
      </c>
      <c r="M139" s="46">
        <f>IF(D139,Dose!G141,0)</f>
        <v>0</v>
      </c>
      <c r="O139">
        <f t="shared" si="16"/>
        <v>0</v>
      </c>
      <c r="P139">
        <f t="shared" si="17"/>
        <v>0</v>
      </c>
      <c r="Q139">
        <f t="shared" si="18"/>
        <v>0</v>
      </c>
    </row>
    <row r="140" spans="1:17" x14ac:dyDescent="0.4">
      <c r="A140">
        <f>Dose!B142</f>
        <v>4.6423639386630704</v>
      </c>
      <c r="B140" t="b">
        <f t="shared" ref="B140:B203" si="21">A140&gt;100</f>
        <v>0</v>
      </c>
      <c r="C140">
        <f t="shared" ref="C140:E171" si="22">IF($B140,$A140*SQRT(C$7),0)</f>
        <v>0</v>
      </c>
      <c r="D140">
        <f t="shared" si="22"/>
        <v>0</v>
      </c>
      <c r="E140">
        <f t="shared" si="22"/>
        <v>0</v>
      </c>
      <c r="G140" s="46">
        <f t="shared" ref="G140:G203" si="23">IF(C140&gt;0,G$5*(1-1/(1+EXP(10.32)*(C140^(0.4343*-7.17))))+G$4*(1+0.44)/(1+0.44*EXP(0.0195*C140)),0)</f>
        <v>0</v>
      </c>
      <c r="H140" s="46">
        <f t="shared" si="19"/>
        <v>0</v>
      </c>
      <c r="I140" s="46">
        <f t="shared" si="20"/>
        <v>0</v>
      </c>
      <c r="K140" s="46">
        <f>IF(B140,Dose!E142,0)</f>
        <v>0</v>
      </c>
      <c r="L140" s="46">
        <f>IF(C140,Dose!F142,0)</f>
        <v>0</v>
      </c>
      <c r="M140" s="46">
        <f>IF(D140,Dose!G142,0)</f>
        <v>0</v>
      </c>
      <c r="O140">
        <f t="shared" ref="O140:O203" si="24">G140*K140</f>
        <v>0</v>
      </c>
      <c r="P140">
        <f t="shared" ref="P140:P203" si="25">H140*L140</f>
        <v>0</v>
      </c>
      <c r="Q140">
        <f t="shared" ref="Q140:Q203" si="26">I140*M140</f>
        <v>0</v>
      </c>
    </row>
    <row r="141" spans="1:17" x14ac:dyDescent="0.4">
      <c r="A141">
        <f>Dose!B143</f>
        <v>4.8052173881674447</v>
      </c>
      <c r="B141" t="b">
        <f t="shared" si="21"/>
        <v>0</v>
      </c>
      <c r="C141">
        <f t="shared" si="22"/>
        <v>0</v>
      </c>
      <c r="D141">
        <f t="shared" si="22"/>
        <v>0</v>
      </c>
      <c r="E141">
        <f t="shared" si="22"/>
        <v>0</v>
      </c>
      <c r="G141" s="46">
        <f t="shared" si="23"/>
        <v>0</v>
      </c>
      <c r="H141" s="46">
        <f t="shared" si="19"/>
        <v>0</v>
      </c>
      <c r="I141" s="46">
        <f t="shared" si="20"/>
        <v>0</v>
      </c>
      <c r="K141" s="46">
        <f>IF(B141,Dose!E143,0)</f>
        <v>0</v>
      </c>
      <c r="L141" s="46">
        <f>IF(C141,Dose!F143,0)</f>
        <v>0</v>
      </c>
      <c r="M141" s="46">
        <f>IF(D141,Dose!G143,0)</f>
        <v>0</v>
      </c>
      <c r="O141">
        <f t="shared" si="24"/>
        <v>0</v>
      </c>
      <c r="P141">
        <f t="shared" si="25"/>
        <v>0</v>
      </c>
      <c r="Q141">
        <f t="shared" si="26"/>
        <v>0</v>
      </c>
    </row>
    <row r="142" spans="1:17" x14ac:dyDescent="0.4">
      <c r="A142">
        <f>Dose!B144</f>
        <v>4.9737837129150959</v>
      </c>
      <c r="B142" t="b">
        <f t="shared" si="21"/>
        <v>0</v>
      </c>
      <c r="C142">
        <f t="shared" si="22"/>
        <v>0</v>
      </c>
      <c r="D142">
        <f t="shared" si="22"/>
        <v>0</v>
      </c>
      <c r="E142">
        <f t="shared" si="22"/>
        <v>0</v>
      </c>
      <c r="G142" s="46">
        <f t="shared" si="23"/>
        <v>0</v>
      </c>
      <c r="H142" s="46">
        <f t="shared" si="19"/>
        <v>0</v>
      </c>
      <c r="I142" s="46">
        <f t="shared" si="20"/>
        <v>0</v>
      </c>
      <c r="K142" s="46">
        <f>IF(B142,Dose!E144,0)</f>
        <v>0</v>
      </c>
      <c r="L142" s="46">
        <f>IF(C142,Dose!F144,0)</f>
        <v>0</v>
      </c>
      <c r="M142" s="46">
        <f>IF(D142,Dose!G144,0)</f>
        <v>0</v>
      </c>
      <c r="O142">
        <f t="shared" si="24"/>
        <v>0</v>
      </c>
      <c r="P142">
        <f t="shared" si="25"/>
        <v>0</v>
      </c>
      <c r="Q142">
        <f t="shared" si="26"/>
        <v>0</v>
      </c>
    </row>
    <row r="143" spans="1:17" x14ac:dyDescent="0.4">
      <c r="A143">
        <f>Dose!B145</f>
        <v>5.1482633197358743</v>
      </c>
      <c r="B143" t="b">
        <f t="shared" si="21"/>
        <v>0</v>
      </c>
      <c r="C143">
        <f t="shared" si="22"/>
        <v>0</v>
      </c>
      <c r="D143">
        <f t="shared" si="22"/>
        <v>0</v>
      </c>
      <c r="E143">
        <f t="shared" si="22"/>
        <v>0</v>
      </c>
      <c r="G143" s="46">
        <f t="shared" si="23"/>
        <v>0</v>
      </c>
      <c r="H143" s="46">
        <f t="shared" si="19"/>
        <v>0</v>
      </c>
      <c r="I143" s="46">
        <f t="shared" si="20"/>
        <v>0</v>
      </c>
      <c r="K143" s="46">
        <f>IF(B143,Dose!E145,0)</f>
        <v>0</v>
      </c>
      <c r="L143" s="46">
        <f>IF(C143,Dose!F145,0)</f>
        <v>0</v>
      </c>
      <c r="M143" s="46">
        <f>IF(D143,Dose!G145,0)</f>
        <v>0</v>
      </c>
      <c r="O143">
        <f t="shared" si="24"/>
        <v>0</v>
      </c>
      <c r="P143">
        <f t="shared" si="25"/>
        <v>0</v>
      </c>
      <c r="Q143">
        <f t="shared" si="26"/>
        <v>0</v>
      </c>
    </row>
    <row r="144" spans="1:17" x14ac:dyDescent="0.4">
      <c r="A144">
        <f>Dose!B146</f>
        <v>5.3288636457019765</v>
      </c>
      <c r="B144" t="b">
        <f t="shared" si="21"/>
        <v>0</v>
      </c>
      <c r="C144">
        <f t="shared" si="22"/>
        <v>0</v>
      </c>
      <c r="D144">
        <f t="shared" si="22"/>
        <v>0</v>
      </c>
      <c r="E144">
        <f t="shared" si="22"/>
        <v>0</v>
      </c>
      <c r="G144" s="46">
        <f t="shared" si="23"/>
        <v>0</v>
      </c>
      <c r="H144" s="46">
        <f t="shared" si="19"/>
        <v>0</v>
      </c>
      <c r="I144" s="46">
        <f t="shared" si="20"/>
        <v>0</v>
      </c>
      <c r="K144" s="46">
        <f>IF(B144,Dose!E146,0)</f>
        <v>0</v>
      </c>
      <c r="L144" s="46">
        <f>IF(C144,Dose!F146,0)</f>
        <v>0</v>
      </c>
      <c r="M144" s="46">
        <f>IF(D144,Dose!G146,0)</f>
        <v>0</v>
      </c>
      <c r="O144">
        <f t="shared" si="24"/>
        <v>0</v>
      </c>
      <c r="P144">
        <f t="shared" si="25"/>
        <v>0</v>
      </c>
      <c r="Q144">
        <f t="shared" si="26"/>
        <v>0</v>
      </c>
    </row>
    <row r="145" spans="1:17" x14ac:dyDescent="0.4">
      <c r="A145">
        <f>Dose!B147</f>
        <v>5.5157994047478169</v>
      </c>
      <c r="B145" t="b">
        <f t="shared" si="21"/>
        <v>0</v>
      </c>
      <c r="C145">
        <f t="shared" si="22"/>
        <v>0</v>
      </c>
      <c r="D145">
        <f t="shared" si="22"/>
        <v>0</v>
      </c>
      <c r="E145">
        <f t="shared" si="22"/>
        <v>0</v>
      </c>
      <c r="G145" s="46">
        <f t="shared" si="23"/>
        <v>0</v>
      </c>
      <c r="H145" s="46">
        <f t="shared" si="19"/>
        <v>0</v>
      </c>
      <c r="I145" s="46">
        <f t="shared" si="20"/>
        <v>0</v>
      </c>
      <c r="K145" s="46">
        <f>IF(B145,Dose!E147,0)</f>
        <v>0</v>
      </c>
      <c r="L145" s="46">
        <f>IF(C145,Dose!F147,0)</f>
        <v>0</v>
      </c>
      <c r="M145" s="46">
        <f>IF(D145,Dose!G147,0)</f>
        <v>0</v>
      </c>
      <c r="O145">
        <f t="shared" si="24"/>
        <v>0</v>
      </c>
      <c r="P145">
        <f t="shared" si="25"/>
        <v>0</v>
      </c>
      <c r="Q145">
        <f t="shared" si="26"/>
        <v>0</v>
      </c>
    </row>
    <row r="146" spans="1:17" x14ac:dyDescent="0.4">
      <c r="A146">
        <f>Dose!B148</f>
        <v>5.7092928429412986</v>
      </c>
      <c r="B146" t="b">
        <f t="shared" si="21"/>
        <v>0</v>
      </c>
      <c r="C146">
        <f t="shared" si="22"/>
        <v>0</v>
      </c>
      <c r="D146">
        <f t="shared" si="22"/>
        <v>0</v>
      </c>
      <c r="E146">
        <f t="shared" si="22"/>
        <v>0</v>
      </c>
      <c r="G146" s="46">
        <f t="shared" si="23"/>
        <v>0</v>
      </c>
      <c r="H146" s="46">
        <f t="shared" si="19"/>
        <v>0</v>
      </c>
      <c r="I146" s="46">
        <f t="shared" si="20"/>
        <v>0</v>
      </c>
      <c r="K146" s="46">
        <f>IF(B146,Dose!E148,0)</f>
        <v>0</v>
      </c>
      <c r="L146" s="46">
        <f>IF(C146,Dose!F148,0)</f>
        <v>0</v>
      </c>
      <c r="M146" s="46">
        <f>IF(D146,Dose!G148,0)</f>
        <v>0</v>
      </c>
      <c r="O146">
        <f t="shared" si="24"/>
        <v>0</v>
      </c>
      <c r="P146">
        <f t="shared" si="25"/>
        <v>0</v>
      </c>
      <c r="Q146">
        <f t="shared" si="26"/>
        <v>0</v>
      </c>
    </row>
    <row r="147" spans="1:17" x14ac:dyDescent="0.4">
      <c r="A147">
        <f>Dose!B149</f>
        <v>5.9095740027099541</v>
      </c>
      <c r="B147" t="b">
        <f t="shared" si="21"/>
        <v>0</v>
      </c>
      <c r="C147">
        <f t="shared" si="22"/>
        <v>0</v>
      </c>
      <c r="D147">
        <f t="shared" si="22"/>
        <v>0</v>
      </c>
      <c r="E147">
        <f t="shared" si="22"/>
        <v>0</v>
      </c>
      <c r="G147" s="46">
        <f t="shared" si="23"/>
        <v>0</v>
      </c>
      <c r="H147" s="46">
        <f t="shared" si="19"/>
        <v>0</v>
      </c>
      <c r="I147" s="46">
        <f t="shared" si="20"/>
        <v>0</v>
      </c>
      <c r="K147" s="46">
        <f>IF(B147,Dose!E149,0)</f>
        <v>0</v>
      </c>
      <c r="L147" s="46">
        <f>IF(C147,Dose!F149,0)</f>
        <v>0</v>
      </c>
      <c r="M147" s="46">
        <f>IF(D147,Dose!G149,0)</f>
        <v>0</v>
      </c>
      <c r="O147">
        <f t="shared" si="24"/>
        <v>0</v>
      </c>
      <c r="P147">
        <f t="shared" si="25"/>
        <v>0</v>
      </c>
      <c r="Q147">
        <f t="shared" si="26"/>
        <v>0</v>
      </c>
    </row>
    <row r="148" spans="1:17" x14ac:dyDescent="0.4">
      <c r="A148">
        <f>Dose!B150</f>
        <v>6.1168809963361008</v>
      </c>
      <c r="B148" t="b">
        <f t="shared" si="21"/>
        <v>0</v>
      </c>
      <c r="C148">
        <f t="shared" si="22"/>
        <v>0</v>
      </c>
      <c r="D148">
        <f t="shared" si="22"/>
        <v>0</v>
      </c>
      <c r="E148">
        <f t="shared" si="22"/>
        <v>0</v>
      </c>
      <c r="G148" s="46">
        <f t="shared" si="23"/>
        <v>0</v>
      </c>
      <c r="H148" s="46">
        <f t="shared" si="19"/>
        <v>0</v>
      </c>
      <c r="I148" s="46">
        <f t="shared" si="20"/>
        <v>0</v>
      </c>
      <c r="K148" s="46">
        <f>IF(B148,Dose!E150,0)</f>
        <v>0</v>
      </c>
      <c r="L148" s="46">
        <f>IF(C148,Dose!F150,0)</f>
        <v>0</v>
      </c>
      <c r="M148" s="46">
        <f>IF(D148,Dose!G150,0)</f>
        <v>0</v>
      </c>
      <c r="O148">
        <f t="shared" si="24"/>
        <v>0</v>
      </c>
      <c r="P148">
        <f t="shared" si="25"/>
        <v>0</v>
      </c>
      <c r="Q148">
        <f t="shared" si="26"/>
        <v>0</v>
      </c>
    </row>
    <row r="149" spans="1:17" x14ac:dyDescent="0.4">
      <c r="A149">
        <f>Dose!B151</f>
        <v>6.3314602890461762</v>
      </c>
      <c r="B149" t="b">
        <f t="shared" si="21"/>
        <v>0</v>
      </c>
      <c r="C149">
        <f t="shared" si="22"/>
        <v>0</v>
      </c>
      <c r="D149">
        <f t="shared" si="22"/>
        <v>0</v>
      </c>
      <c r="E149">
        <f t="shared" si="22"/>
        <v>0</v>
      </c>
      <c r="G149" s="46">
        <f t="shared" si="23"/>
        <v>0</v>
      </c>
      <c r="H149" s="46">
        <f t="shared" si="19"/>
        <v>0</v>
      </c>
      <c r="I149" s="46">
        <f t="shared" si="20"/>
        <v>0</v>
      </c>
      <c r="K149" s="46">
        <f>IF(B149,Dose!E151,0)</f>
        <v>0</v>
      </c>
      <c r="L149" s="46">
        <f>IF(C149,Dose!F151,0)</f>
        <v>0</v>
      </c>
      <c r="M149" s="46">
        <f>IF(D149,Dose!G151,0)</f>
        <v>0</v>
      </c>
      <c r="O149">
        <f t="shared" si="24"/>
        <v>0</v>
      </c>
      <c r="P149">
        <f t="shared" si="25"/>
        <v>0</v>
      </c>
      <c r="Q149">
        <f t="shared" si="26"/>
        <v>0</v>
      </c>
    </row>
    <row r="150" spans="1:17" x14ac:dyDescent="0.4">
      <c r="A150">
        <f>Dose!B152</f>
        <v>6.5535669920307917</v>
      </c>
      <c r="B150" t="b">
        <f t="shared" si="21"/>
        <v>0</v>
      </c>
      <c r="C150">
        <f t="shared" si="22"/>
        <v>0</v>
      </c>
      <c r="D150">
        <f t="shared" si="22"/>
        <v>0</v>
      </c>
      <c r="E150">
        <f t="shared" si="22"/>
        <v>0</v>
      </c>
      <c r="G150" s="46">
        <f t="shared" si="23"/>
        <v>0</v>
      </c>
      <c r="H150" s="46">
        <f t="shared" si="19"/>
        <v>0</v>
      </c>
      <c r="I150" s="46">
        <f t="shared" si="20"/>
        <v>0</v>
      </c>
      <c r="K150" s="46">
        <f>IF(B150,Dose!E152,0)</f>
        <v>0</v>
      </c>
      <c r="L150" s="46">
        <f>IF(C150,Dose!F152,0)</f>
        <v>0</v>
      </c>
      <c r="M150" s="46">
        <f>IF(D150,Dose!G152,0)</f>
        <v>0</v>
      </c>
      <c r="O150">
        <f t="shared" si="24"/>
        <v>0</v>
      </c>
      <c r="P150">
        <f t="shared" si="25"/>
        <v>0</v>
      </c>
      <c r="Q150">
        <f t="shared" si="26"/>
        <v>0</v>
      </c>
    </row>
    <row r="151" spans="1:17" x14ac:dyDescent="0.4">
      <c r="A151">
        <f>Dose!B153</f>
        <v>6.7834651657438956</v>
      </c>
      <c r="B151" t="b">
        <f t="shared" si="21"/>
        <v>0</v>
      </c>
      <c r="C151">
        <f t="shared" si="22"/>
        <v>0</v>
      </c>
      <c r="D151">
        <f t="shared" si="22"/>
        <v>0</v>
      </c>
      <c r="E151">
        <f t="shared" si="22"/>
        <v>0</v>
      </c>
      <c r="G151" s="46">
        <f t="shared" si="23"/>
        <v>0</v>
      </c>
      <c r="H151" s="46">
        <f t="shared" si="19"/>
        <v>0</v>
      </c>
      <c r="I151" s="46">
        <f t="shared" si="20"/>
        <v>0</v>
      </c>
      <c r="K151" s="46">
        <f>IF(B151,Dose!E153,0)</f>
        <v>0</v>
      </c>
      <c r="L151" s="46">
        <f>IF(C151,Dose!F153,0)</f>
        <v>0</v>
      </c>
      <c r="M151" s="46">
        <f>IF(D151,Dose!G153,0)</f>
        <v>0</v>
      </c>
      <c r="O151">
        <f t="shared" si="24"/>
        <v>0</v>
      </c>
      <c r="P151">
        <f t="shared" si="25"/>
        <v>0</v>
      </c>
      <c r="Q151">
        <f t="shared" si="26"/>
        <v>0</v>
      </c>
    </row>
    <row r="152" spans="1:17" x14ac:dyDescent="0.4">
      <c r="A152">
        <f>Dose!B154</f>
        <v>7.0214281338416287</v>
      </c>
      <c r="B152" t="b">
        <f t="shared" si="21"/>
        <v>0</v>
      </c>
      <c r="C152">
        <f t="shared" si="22"/>
        <v>0</v>
      </c>
      <c r="D152">
        <f t="shared" si="22"/>
        <v>0</v>
      </c>
      <c r="E152">
        <f t="shared" si="22"/>
        <v>0</v>
      </c>
      <c r="G152" s="46">
        <f t="shared" si="23"/>
        <v>0</v>
      </c>
      <c r="H152" s="46">
        <f t="shared" si="19"/>
        <v>0</v>
      </c>
      <c r="I152" s="46">
        <f t="shared" si="20"/>
        <v>0</v>
      </c>
      <c r="K152" s="46">
        <f>IF(B152,Dose!E154,0)</f>
        <v>0</v>
      </c>
      <c r="L152" s="46">
        <f>IF(C152,Dose!F154,0)</f>
        <v>0</v>
      </c>
      <c r="M152" s="46">
        <f>IF(D152,Dose!G154,0)</f>
        <v>0</v>
      </c>
      <c r="O152">
        <f t="shared" si="24"/>
        <v>0</v>
      </c>
      <c r="P152">
        <f t="shared" si="25"/>
        <v>0</v>
      </c>
      <c r="Q152">
        <f t="shared" si="26"/>
        <v>0</v>
      </c>
    </row>
    <row r="153" spans="1:17" x14ac:dyDescent="0.4">
      <c r="A153">
        <f>Dose!B155</f>
        <v>7.2677388081341014</v>
      </c>
      <c r="B153" t="b">
        <f t="shared" si="21"/>
        <v>0</v>
      </c>
      <c r="C153">
        <f t="shared" si="22"/>
        <v>0</v>
      </c>
      <c r="D153">
        <f t="shared" si="22"/>
        <v>0</v>
      </c>
      <c r="E153">
        <f t="shared" si="22"/>
        <v>0</v>
      </c>
      <c r="G153" s="46">
        <f t="shared" si="23"/>
        <v>0</v>
      </c>
      <c r="H153" s="46">
        <f t="shared" si="19"/>
        <v>0</v>
      </c>
      <c r="I153" s="46">
        <f t="shared" si="20"/>
        <v>0</v>
      </c>
      <c r="K153" s="46">
        <f>IF(B153,Dose!E155,0)</f>
        <v>0</v>
      </c>
      <c r="L153" s="46">
        <f>IF(C153,Dose!F155,0)</f>
        <v>0</v>
      </c>
      <c r="M153" s="46">
        <f>IF(D153,Dose!G155,0)</f>
        <v>0</v>
      </c>
      <c r="O153">
        <f t="shared" si="24"/>
        <v>0</v>
      </c>
      <c r="P153">
        <f t="shared" si="25"/>
        <v>0</v>
      </c>
      <c r="Q153">
        <f t="shared" si="26"/>
        <v>0</v>
      </c>
    </row>
    <row r="154" spans="1:17" x14ac:dyDescent="0.4">
      <c r="A154">
        <f>Dose!B156</f>
        <v>7.5226900249364386</v>
      </c>
      <c r="B154" t="b">
        <f t="shared" si="21"/>
        <v>0</v>
      </c>
      <c r="C154">
        <f t="shared" si="22"/>
        <v>0</v>
      </c>
      <c r="D154">
        <f t="shared" si="22"/>
        <v>0</v>
      </c>
      <c r="E154">
        <f t="shared" si="22"/>
        <v>0</v>
      </c>
      <c r="G154" s="46">
        <f t="shared" si="23"/>
        <v>0</v>
      </c>
      <c r="H154" s="46">
        <f t="shared" si="19"/>
        <v>0</v>
      </c>
      <c r="I154" s="46">
        <f t="shared" si="20"/>
        <v>0</v>
      </c>
      <c r="K154" s="46">
        <f>IF(B154,Dose!E156,0)</f>
        <v>0</v>
      </c>
      <c r="L154" s="46">
        <f>IF(C154,Dose!F156,0)</f>
        <v>0</v>
      </c>
      <c r="M154" s="46">
        <f>IF(D154,Dose!G156,0)</f>
        <v>0</v>
      </c>
      <c r="O154">
        <f t="shared" si="24"/>
        <v>0</v>
      </c>
      <c r="P154">
        <f t="shared" si="25"/>
        <v>0</v>
      </c>
      <c r="Q154">
        <f t="shared" si="26"/>
        <v>0</v>
      </c>
    </row>
    <row r="155" spans="1:17" x14ac:dyDescent="0.4">
      <c r="A155">
        <f>Dose!B157</f>
        <v>7.7865848932189659</v>
      </c>
      <c r="B155" t="b">
        <f t="shared" si="21"/>
        <v>0</v>
      </c>
      <c r="C155">
        <f t="shared" si="22"/>
        <v>0</v>
      </c>
      <c r="D155">
        <f t="shared" si="22"/>
        <v>0</v>
      </c>
      <c r="E155">
        <f t="shared" si="22"/>
        <v>0</v>
      </c>
      <c r="G155" s="46">
        <f t="shared" si="23"/>
        <v>0</v>
      </c>
      <c r="H155" s="46">
        <f t="shared" si="19"/>
        <v>0</v>
      </c>
      <c r="I155" s="46">
        <f t="shared" si="20"/>
        <v>0</v>
      </c>
      <c r="K155" s="46">
        <f>IF(B155,Dose!E157,0)</f>
        <v>0</v>
      </c>
      <c r="L155" s="46">
        <f>IF(C155,Dose!F157,0)</f>
        <v>0</v>
      </c>
      <c r="M155" s="46">
        <f>IF(D155,Dose!G157,0)</f>
        <v>0</v>
      </c>
      <c r="O155">
        <f t="shared" si="24"/>
        <v>0</v>
      </c>
      <c r="P155">
        <f t="shared" si="25"/>
        <v>0</v>
      </c>
      <c r="Q155">
        <f t="shared" si="26"/>
        <v>0</v>
      </c>
    </row>
    <row r="156" spans="1:17" x14ac:dyDescent="0.4">
      <c r="A156">
        <f>Dose!B158</f>
        <v>8.0597371549704526</v>
      </c>
      <c r="B156" t="b">
        <f t="shared" si="21"/>
        <v>0</v>
      </c>
      <c r="C156">
        <f t="shared" si="22"/>
        <v>0</v>
      </c>
      <c r="D156">
        <f t="shared" si="22"/>
        <v>0</v>
      </c>
      <c r="E156">
        <f t="shared" si="22"/>
        <v>0</v>
      </c>
      <c r="G156" s="46">
        <f t="shared" si="23"/>
        <v>0</v>
      </c>
      <c r="H156" s="46">
        <f t="shared" si="19"/>
        <v>0</v>
      </c>
      <c r="I156" s="46">
        <f t="shared" si="20"/>
        <v>0</v>
      </c>
      <c r="K156" s="46">
        <f>IF(B156,Dose!E158,0)</f>
        <v>0</v>
      </c>
      <c r="L156" s="46">
        <f>IF(C156,Dose!F158,0)</f>
        <v>0</v>
      </c>
      <c r="M156" s="46">
        <f>IF(D156,Dose!G158,0)</f>
        <v>0</v>
      </c>
      <c r="O156">
        <f t="shared" si="24"/>
        <v>0</v>
      </c>
      <c r="P156">
        <f t="shared" si="25"/>
        <v>0</v>
      </c>
      <c r="Q156">
        <f t="shared" si="26"/>
        <v>0</v>
      </c>
    </row>
    <row r="157" spans="1:17" x14ac:dyDescent="0.4">
      <c r="A157">
        <f>Dose!B159</f>
        <v>8.342471558202849</v>
      </c>
      <c r="B157" t="b">
        <f t="shared" si="21"/>
        <v>0</v>
      </c>
      <c r="C157">
        <f t="shared" si="22"/>
        <v>0</v>
      </c>
      <c r="D157">
        <f t="shared" si="22"/>
        <v>0</v>
      </c>
      <c r="E157">
        <f t="shared" si="22"/>
        <v>0</v>
      </c>
      <c r="G157" s="46">
        <f t="shared" si="23"/>
        <v>0</v>
      </c>
      <c r="H157" s="46">
        <f t="shared" si="19"/>
        <v>0</v>
      </c>
      <c r="I157" s="46">
        <f t="shared" si="20"/>
        <v>0</v>
      </c>
      <c r="K157" s="46">
        <f>IF(B157,Dose!E159,0)</f>
        <v>0</v>
      </c>
      <c r="L157" s="46">
        <f>IF(C157,Dose!F159,0)</f>
        <v>0</v>
      </c>
      <c r="M157" s="46">
        <f>IF(D157,Dose!G159,0)</f>
        <v>0</v>
      </c>
      <c r="O157">
        <f t="shared" si="24"/>
        <v>0</v>
      </c>
      <c r="P157">
        <f t="shared" si="25"/>
        <v>0</v>
      </c>
      <c r="Q157">
        <f t="shared" si="26"/>
        <v>0</v>
      </c>
    </row>
    <row r="158" spans="1:17" x14ac:dyDescent="0.4">
      <c r="A158">
        <f>Dose!B160</f>
        <v>8.6351242430409805</v>
      </c>
      <c r="B158" t="b">
        <f t="shared" si="21"/>
        <v>0</v>
      </c>
      <c r="C158">
        <f t="shared" si="22"/>
        <v>0</v>
      </c>
      <c r="D158">
        <f t="shared" si="22"/>
        <v>0</v>
      </c>
      <c r="E158">
        <f t="shared" si="22"/>
        <v>0</v>
      </c>
      <c r="G158" s="46">
        <f t="shared" si="23"/>
        <v>0</v>
      </c>
      <c r="H158" s="46">
        <f t="shared" si="19"/>
        <v>0</v>
      </c>
      <c r="I158" s="46">
        <f t="shared" si="20"/>
        <v>0</v>
      </c>
      <c r="K158" s="46">
        <f>IF(B158,Dose!E160,0)</f>
        <v>0</v>
      </c>
      <c r="L158" s="46">
        <f>IF(C158,Dose!F160,0)</f>
        <v>0</v>
      </c>
      <c r="M158" s="46">
        <f>IF(D158,Dose!G160,0)</f>
        <v>0</v>
      </c>
      <c r="O158">
        <f t="shared" si="24"/>
        <v>0</v>
      </c>
      <c r="P158">
        <f t="shared" si="25"/>
        <v>0</v>
      </c>
      <c r="Q158">
        <f t="shared" si="26"/>
        <v>0</v>
      </c>
    </row>
    <row r="159" spans="1:17" x14ac:dyDescent="0.4">
      <c r="A159">
        <f>Dose!B161</f>
        <v>8.9380431413561876</v>
      </c>
      <c r="B159" t="b">
        <f t="shared" si="21"/>
        <v>0</v>
      </c>
      <c r="C159">
        <f t="shared" si="22"/>
        <v>0</v>
      </c>
      <c r="D159">
        <f t="shared" si="22"/>
        <v>0</v>
      </c>
      <c r="E159">
        <f t="shared" si="22"/>
        <v>0</v>
      </c>
      <c r="G159" s="46">
        <f t="shared" si="23"/>
        <v>0</v>
      </c>
      <c r="H159" s="46">
        <f t="shared" si="19"/>
        <v>0</v>
      </c>
      <c r="I159" s="46">
        <f t="shared" si="20"/>
        <v>0</v>
      </c>
      <c r="K159" s="46">
        <f>IF(B159,Dose!E161,0)</f>
        <v>0</v>
      </c>
      <c r="L159" s="46">
        <f>IF(C159,Dose!F161,0)</f>
        <v>0</v>
      </c>
      <c r="M159" s="46">
        <f>IF(D159,Dose!G161,0)</f>
        <v>0</v>
      </c>
      <c r="O159">
        <f t="shared" si="24"/>
        <v>0</v>
      </c>
      <c r="P159">
        <f t="shared" si="25"/>
        <v>0</v>
      </c>
      <c r="Q159">
        <f t="shared" si="26"/>
        <v>0</v>
      </c>
    </row>
    <row r="160" spans="1:17" x14ac:dyDescent="0.4">
      <c r="A160">
        <f>Dose!B162</f>
        <v>9.2515883904190943</v>
      </c>
      <c r="B160" t="b">
        <f t="shared" si="21"/>
        <v>0</v>
      </c>
      <c r="C160">
        <f t="shared" si="22"/>
        <v>0</v>
      </c>
      <c r="D160">
        <f t="shared" si="22"/>
        <v>0</v>
      </c>
      <c r="E160">
        <f t="shared" si="22"/>
        <v>0</v>
      </c>
      <c r="G160" s="46">
        <f t="shared" si="23"/>
        <v>0</v>
      </c>
      <c r="H160" s="46">
        <f t="shared" si="19"/>
        <v>0</v>
      </c>
      <c r="I160" s="46">
        <f t="shared" si="20"/>
        <v>0</v>
      </c>
      <c r="K160" s="46">
        <f>IF(B160,Dose!E162,0)</f>
        <v>0</v>
      </c>
      <c r="L160" s="46">
        <f>IF(C160,Dose!F162,0)</f>
        <v>0</v>
      </c>
      <c r="M160" s="46">
        <f>IF(D160,Dose!G162,0)</f>
        <v>0</v>
      </c>
      <c r="O160">
        <f t="shared" si="24"/>
        <v>0</v>
      </c>
      <c r="P160">
        <f t="shared" si="25"/>
        <v>0</v>
      </c>
      <c r="Q160">
        <f t="shared" si="26"/>
        <v>0</v>
      </c>
    </row>
    <row r="161" spans="1:17" x14ac:dyDescent="0.4">
      <c r="A161">
        <f>Dose!B163</f>
        <v>9.5761327610632154</v>
      </c>
      <c r="B161" t="b">
        <f t="shared" si="21"/>
        <v>0</v>
      </c>
      <c r="C161">
        <f t="shared" si="22"/>
        <v>0</v>
      </c>
      <c r="D161">
        <f t="shared" si="22"/>
        <v>0</v>
      </c>
      <c r="E161">
        <f t="shared" si="22"/>
        <v>0</v>
      </c>
      <c r="G161" s="46">
        <f t="shared" si="23"/>
        <v>0</v>
      </c>
      <c r="H161" s="46">
        <f t="shared" si="19"/>
        <v>0</v>
      </c>
      <c r="I161" s="46">
        <f t="shared" si="20"/>
        <v>0</v>
      </c>
      <c r="K161" s="46">
        <f>IF(B161,Dose!E163,0)</f>
        <v>0</v>
      </c>
      <c r="L161" s="46">
        <f>IF(C161,Dose!F163,0)</f>
        <v>0</v>
      </c>
      <c r="M161" s="46">
        <f>IF(D161,Dose!G163,0)</f>
        <v>0</v>
      </c>
      <c r="O161">
        <f t="shared" si="24"/>
        <v>0</v>
      </c>
      <c r="P161">
        <f t="shared" si="25"/>
        <v>0</v>
      </c>
      <c r="Q161">
        <f t="shared" si="26"/>
        <v>0</v>
      </c>
    </row>
    <row r="162" spans="1:17" x14ac:dyDescent="0.4">
      <c r="A162">
        <f>Dose!B164</f>
        <v>9.9120621008685088</v>
      </c>
      <c r="B162" t="b">
        <f t="shared" si="21"/>
        <v>0</v>
      </c>
      <c r="C162">
        <f t="shared" si="22"/>
        <v>0</v>
      </c>
      <c r="D162">
        <f t="shared" si="22"/>
        <v>0</v>
      </c>
      <c r="E162">
        <f t="shared" si="22"/>
        <v>0</v>
      </c>
      <c r="G162" s="46">
        <f t="shared" si="23"/>
        <v>0</v>
      </c>
      <c r="H162" s="46">
        <f t="shared" si="19"/>
        <v>0</v>
      </c>
      <c r="I162" s="46">
        <f t="shared" si="20"/>
        <v>0</v>
      </c>
      <c r="K162" s="46">
        <f>IF(B162,Dose!E164,0)</f>
        <v>0</v>
      </c>
      <c r="L162" s="46">
        <f>IF(C162,Dose!F164,0)</f>
        <v>0</v>
      </c>
      <c r="M162" s="46">
        <f>IF(D162,Dose!G164,0)</f>
        <v>0</v>
      </c>
      <c r="O162">
        <f t="shared" si="24"/>
        <v>0</v>
      </c>
      <c r="P162">
        <f t="shared" si="25"/>
        <v>0</v>
      </c>
      <c r="Q162">
        <f t="shared" si="26"/>
        <v>0</v>
      </c>
    </row>
    <row r="163" spans="1:17" x14ac:dyDescent="0.4">
      <c r="A163">
        <f>Dose!B165</f>
        <v>10.259775792891732</v>
      </c>
      <c r="B163" t="b">
        <f t="shared" si="21"/>
        <v>0</v>
      </c>
      <c r="C163">
        <f t="shared" si="22"/>
        <v>0</v>
      </c>
      <c r="D163">
        <f t="shared" si="22"/>
        <v>0</v>
      </c>
      <c r="E163">
        <f t="shared" si="22"/>
        <v>0</v>
      </c>
      <c r="G163" s="46">
        <f t="shared" si="23"/>
        <v>0</v>
      </c>
      <c r="H163" s="46">
        <f t="shared" si="19"/>
        <v>0</v>
      </c>
      <c r="I163" s="46">
        <f t="shared" si="20"/>
        <v>0</v>
      </c>
      <c r="K163" s="46">
        <f>IF(B163,Dose!E165,0)</f>
        <v>0</v>
      </c>
      <c r="L163" s="46">
        <f>IF(C163,Dose!F165,0)</f>
        <v>0</v>
      </c>
      <c r="M163" s="46">
        <f>IF(D163,Dose!G165,0)</f>
        <v>0</v>
      </c>
      <c r="O163">
        <f t="shared" si="24"/>
        <v>0</v>
      </c>
      <c r="P163">
        <f t="shared" si="25"/>
        <v>0</v>
      </c>
      <c r="Q163">
        <f t="shared" si="26"/>
        <v>0</v>
      </c>
    </row>
    <row r="164" spans="1:17" x14ac:dyDescent="0.4">
      <c r="A164">
        <f>Dose!B166</f>
        <v>10.619687230488996</v>
      </c>
      <c r="B164" t="b">
        <f t="shared" si="21"/>
        <v>0</v>
      </c>
      <c r="C164">
        <f t="shared" si="22"/>
        <v>0</v>
      </c>
      <c r="D164">
        <f t="shared" si="22"/>
        <v>0</v>
      </c>
      <c r="E164">
        <f t="shared" si="22"/>
        <v>0</v>
      </c>
      <c r="G164" s="46">
        <f t="shared" si="23"/>
        <v>0</v>
      </c>
      <c r="H164" s="46">
        <f t="shared" si="19"/>
        <v>0</v>
      </c>
      <c r="I164" s="46">
        <f t="shared" si="20"/>
        <v>0</v>
      </c>
      <c r="K164" s="46">
        <f>IF(B164,Dose!E166,0)</f>
        <v>0</v>
      </c>
      <c r="L164" s="46">
        <f>IF(C164,Dose!F166,0)</f>
        <v>0</v>
      </c>
      <c r="M164" s="46">
        <f>IF(D164,Dose!G166,0)</f>
        <v>0</v>
      </c>
      <c r="O164">
        <f t="shared" si="24"/>
        <v>0</v>
      </c>
      <c r="P164">
        <f t="shared" si="25"/>
        <v>0</v>
      </c>
      <c r="Q164">
        <f t="shared" si="26"/>
        <v>0</v>
      </c>
    </row>
    <row r="165" spans="1:17" x14ac:dyDescent="0.4">
      <c r="A165">
        <f>Dose!B167</f>
        <v>10.992224308795002</v>
      </c>
      <c r="B165" t="b">
        <f t="shared" si="21"/>
        <v>0</v>
      </c>
      <c r="C165">
        <f t="shared" si="22"/>
        <v>0</v>
      </c>
      <c r="D165">
        <f t="shared" si="22"/>
        <v>0</v>
      </c>
      <c r="E165">
        <f t="shared" si="22"/>
        <v>0</v>
      </c>
      <c r="G165" s="46">
        <f t="shared" si="23"/>
        <v>0</v>
      </c>
      <c r="H165" s="46">
        <f t="shared" si="19"/>
        <v>0</v>
      </c>
      <c r="I165" s="46">
        <f t="shared" si="20"/>
        <v>0</v>
      </c>
      <c r="K165" s="46">
        <f>IF(B165,Dose!E167,0)</f>
        <v>0</v>
      </c>
      <c r="L165" s="46">
        <f>IF(C165,Dose!F167,0)</f>
        <v>0</v>
      </c>
      <c r="M165" s="46">
        <f>IF(D165,Dose!G167,0)</f>
        <v>0</v>
      </c>
      <c r="O165">
        <f t="shared" si="24"/>
        <v>0</v>
      </c>
      <c r="P165">
        <f t="shared" si="25"/>
        <v>0</v>
      </c>
      <c r="Q165">
        <f t="shared" si="26"/>
        <v>0</v>
      </c>
    </row>
    <row r="166" spans="1:17" x14ac:dyDescent="0.4">
      <c r="A166">
        <f>Dose!B168</f>
        <v>11.377829933443346</v>
      </c>
      <c r="B166" t="b">
        <f t="shared" si="21"/>
        <v>0</v>
      </c>
      <c r="C166">
        <f t="shared" si="22"/>
        <v>0</v>
      </c>
      <c r="D166">
        <f t="shared" si="22"/>
        <v>0</v>
      </c>
      <c r="E166">
        <f t="shared" si="22"/>
        <v>0</v>
      </c>
      <c r="G166" s="46">
        <f t="shared" si="23"/>
        <v>0</v>
      </c>
      <c r="H166" s="46">
        <f t="shared" si="19"/>
        <v>0</v>
      </c>
      <c r="I166" s="46">
        <f t="shared" si="20"/>
        <v>0</v>
      </c>
      <c r="K166" s="46">
        <f>IF(B166,Dose!E168,0)</f>
        <v>0</v>
      </c>
      <c r="L166" s="46">
        <f>IF(C166,Dose!F168,0)</f>
        <v>0</v>
      </c>
      <c r="M166" s="46">
        <f>IF(D166,Dose!G168,0)</f>
        <v>0</v>
      </c>
      <c r="O166">
        <f t="shared" si="24"/>
        <v>0</v>
      </c>
      <c r="P166">
        <f t="shared" si="25"/>
        <v>0</v>
      </c>
      <c r="Q166">
        <f t="shared" si="26"/>
        <v>0</v>
      </c>
    </row>
    <row r="167" spans="1:17" x14ac:dyDescent="0.4">
      <c r="A167">
        <f>Dose!B169</f>
        <v>11.776962547132609</v>
      </c>
      <c r="B167" t="b">
        <f t="shared" si="21"/>
        <v>0</v>
      </c>
      <c r="C167">
        <f t="shared" si="22"/>
        <v>0</v>
      </c>
      <c r="D167">
        <f t="shared" si="22"/>
        <v>0</v>
      </c>
      <c r="E167">
        <f t="shared" si="22"/>
        <v>0</v>
      </c>
      <c r="G167" s="46">
        <f t="shared" si="23"/>
        <v>0</v>
      </c>
      <c r="H167" s="46">
        <f t="shared" si="19"/>
        <v>0</v>
      </c>
      <c r="I167" s="46">
        <f t="shared" si="20"/>
        <v>0</v>
      </c>
      <c r="K167" s="46">
        <f>IF(B167,Dose!E169,0)</f>
        <v>0</v>
      </c>
      <c r="L167" s="46">
        <f>IF(C167,Dose!F169,0)</f>
        <v>0</v>
      </c>
      <c r="M167" s="46">
        <f>IF(D167,Dose!G169,0)</f>
        <v>0</v>
      </c>
      <c r="O167">
        <f t="shared" si="24"/>
        <v>0</v>
      </c>
      <c r="P167">
        <f t="shared" si="25"/>
        <v>0</v>
      </c>
      <c r="Q167">
        <f t="shared" si="26"/>
        <v>0</v>
      </c>
    </row>
    <row r="168" spans="1:17" x14ac:dyDescent="0.4">
      <c r="A168">
        <f>Dose!B170</f>
        <v>12.190096674664346</v>
      </c>
      <c r="B168" t="b">
        <f t="shared" si="21"/>
        <v>0</v>
      </c>
      <c r="C168">
        <f t="shared" si="22"/>
        <v>0</v>
      </c>
      <c r="D168">
        <f t="shared" si="22"/>
        <v>0</v>
      </c>
      <c r="E168">
        <f t="shared" si="22"/>
        <v>0</v>
      </c>
      <c r="G168" s="46">
        <f t="shared" si="23"/>
        <v>0</v>
      </c>
      <c r="H168" s="46">
        <f t="shared" si="19"/>
        <v>0</v>
      </c>
      <c r="I168" s="46">
        <f t="shared" si="20"/>
        <v>0</v>
      </c>
      <c r="K168" s="46">
        <f>IF(B168,Dose!E170,0)</f>
        <v>0</v>
      </c>
      <c r="L168" s="46">
        <f>IF(C168,Dose!F170,0)</f>
        <v>0</v>
      </c>
      <c r="M168" s="46">
        <f>IF(D168,Dose!G170,0)</f>
        <v>0</v>
      </c>
      <c r="O168">
        <f t="shared" si="24"/>
        <v>0</v>
      </c>
      <c r="P168">
        <f t="shared" si="25"/>
        <v>0</v>
      </c>
      <c r="Q168">
        <f t="shared" si="26"/>
        <v>0</v>
      </c>
    </row>
    <row r="169" spans="1:17" x14ac:dyDescent="0.4">
      <c r="A169">
        <f>Dose!B171</f>
        <v>12.617723487100898</v>
      </c>
      <c r="B169" t="b">
        <f t="shared" si="21"/>
        <v>0</v>
      </c>
      <c r="C169">
        <f t="shared" si="22"/>
        <v>0</v>
      </c>
      <c r="D169">
        <f t="shared" si="22"/>
        <v>0</v>
      </c>
      <c r="E169">
        <f t="shared" si="22"/>
        <v>0</v>
      </c>
      <c r="G169" s="46">
        <f t="shared" si="23"/>
        <v>0</v>
      </c>
      <c r="H169" s="46">
        <f t="shared" si="19"/>
        <v>0</v>
      </c>
      <c r="I169" s="46">
        <f t="shared" si="20"/>
        <v>0</v>
      </c>
      <c r="K169" s="46">
        <f>IF(B169,Dose!E171,0)</f>
        <v>0</v>
      </c>
      <c r="L169" s="46">
        <f>IF(C169,Dose!F171,0)</f>
        <v>0</v>
      </c>
      <c r="M169" s="46">
        <f>IF(D169,Dose!G171,0)</f>
        <v>0</v>
      </c>
      <c r="O169">
        <f t="shared" si="24"/>
        <v>0</v>
      </c>
      <c r="P169">
        <f t="shared" si="25"/>
        <v>0</v>
      </c>
      <c r="Q169">
        <f t="shared" si="26"/>
        <v>0</v>
      </c>
    </row>
    <row r="170" spans="1:17" x14ac:dyDescent="0.4">
      <c r="A170">
        <f>Dose!B172</f>
        <v>13.060351385713798</v>
      </c>
      <c r="B170" t="b">
        <f t="shared" si="21"/>
        <v>0</v>
      </c>
      <c r="C170">
        <f t="shared" si="22"/>
        <v>0</v>
      </c>
      <c r="D170">
        <f t="shared" si="22"/>
        <v>0</v>
      </c>
      <c r="E170">
        <f t="shared" si="22"/>
        <v>0</v>
      </c>
      <c r="G170" s="46">
        <f t="shared" si="23"/>
        <v>0</v>
      </c>
      <c r="H170" s="46">
        <f t="shared" si="19"/>
        <v>0</v>
      </c>
      <c r="I170" s="46">
        <f t="shared" si="20"/>
        <v>0</v>
      </c>
      <c r="K170" s="46">
        <f>IF(B170,Dose!E172,0)</f>
        <v>0</v>
      </c>
      <c r="L170" s="46">
        <f>IF(C170,Dose!F172,0)</f>
        <v>0</v>
      </c>
      <c r="M170" s="46">
        <f>IF(D170,Dose!G172,0)</f>
        <v>0</v>
      </c>
      <c r="O170">
        <f t="shared" si="24"/>
        <v>0</v>
      </c>
      <c r="P170">
        <f t="shared" si="25"/>
        <v>0</v>
      </c>
      <c r="Q170">
        <f t="shared" si="26"/>
        <v>0</v>
      </c>
    </row>
    <row r="171" spans="1:17" x14ac:dyDescent="0.4">
      <c r="A171">
        <f>Dose!B173</f>
        <v>13.518506606416992</v>
      </c>
      <c r="B171" t="b">
        <f t="shared" si="21"/>
        <v>0</v>
      </c>
      <c r="C171">
        <f t="shared" si="22"/>
        <v>0</v>
      </c>
      <c r="D171">
        <f t="shared" si="22"/>
        <v>0</v>
      </c>
      <c r="E171">
        <f t="shared" si="22"/>
        <v>0</v>
      </c>
      <c r="G171" s="46">
        <f t="shared" si="23"/>
        <v>0</v>
      </c>
      <c r="H171" s="46">
        <f t="shared" si="19"/>
        <v>0</v>
      </c>
      <c r="I171" s="46">
        <f t="shared" si="20"/>
        <v>0</v>
      </c>
      <c r="K171" s="46">
        <f>IF(B171,Dose!E173,0)</f>
        <v>0</v>
      </c>
      <c r="L171" s="46">
        <f>IF(C171,Dose!F173,0)</f>
        <v>0</v>
      </c>
      <c r="M171" s="46">
        <f>IF(D171,Dose!G173,0)</f>
        <v>0</v>
      </c>
      <c r="O171">
        <f t="shared" si="24"/>
        <v>0</v>
      </c>
      <c r="P171">
        <f t="shared" si="25"/>
        <v>0</v>
      </c>
      <c r="Q171">
        <f t="shared" si="26"/>
        <v>0</v>
      </c>
    </row>
    <row r="172" spans="1:17" x14ac:dyDescent="0.4">
      <c r="A172">
        <f>Dose!B174</f>
        <v>13.992733845403491</v>
      </c>
      <c r="B172" t="b">
        <f t="shared" si="21"/>
        <v>0</v>
      </c>
      <c r="C172">
        <f t="shared" ref="C172:E203" si="27">IF($B172,$A172*SQRT(C$7),0)</f>
        <v>0</v>
      </c>
      <c r="D172">
        <f t="shared" si="27"/>
        <v>0</v>
      </c>
      <c r="E172">
        <f t="shared" si="27"/>
        <v>0</v>
      </c>
      <c r="G172" s="46">
        <f t="shared" si="23"/>
        <v>0</v>
      </c>
      <c r="H172" s="46">
        <f t="shared" si="19"/>
        <v>0</v>
      </c>
      <c r="I172" s="46">
        <f t="shared" si="20"/>
        <v>0</v>
      </c>
      <c r="K172" s="46">
        <f>IF(B172,Dose!E174,0)</f>
        <v>0</v>
      </c>
      <c r="L172" s="46">
        <f>IF(C172,Dose!F174,0)</f>
        <v>0</v>
      </c>
      <c r="M172" s="46">
        <f>IF(D172,Dose!G174,0)</f>
        <v>0</v>
      </c>
      <c r="O172">
        <f t="shared" si="24"/>
        <v>0</v>
      </c>
      <c r="P172">
        <f t="shared" si="25"/>
        <v>0</v>
      </c>
      <c r="Q172">
        <f t="shared" si="26"/>
        <v>0</v>
      </c>
    </row>
    <row r="173" spans="1:17" x14ac:dyDescent="0.4">
      <c r="A173">
        <f>Dose!B175</f>
        <v>14.48359690672927</v>
      </c>
      <c r="B173" t="b">
        <f t="shared" si="21"/>
        <v>0</v>
      </c>
      <c r="C173">
        <f t="shared" si="27"/>
        <v>0</v>
      </c>
      <c r="D173">
        <f t="shared" si="27"/>
        <v>0</v>
      </c>
      <c r="E173">
        <f t="shared" si="27"/>
        <v>0</v>
      </c>
      <c r="G173" s="46">
        <f t="shared" si="23"/>
        <v>0</v>
      </c>
      <c r="H173" s="46">
        <f t="shared" si="19"/>
        <v>0</v>
      </c>
      <c r="I173" s="46">
        <f t="shared" si="20"/>
        <v>0</v>
      </c>
      <c r="K173" s="46">
        <f>IF(B173,Dose!E175,0)</f>
        <v>0</v>
      </c>
      <c r="L173" s="46">
        <f>IF(C173,Dose!F175,0)</f>
        <v>0</v>
      </c>
      <c r="M173" s="46">
        <f>IF(D173,Dose!G175,0)</f>
        <v>0</v>
      </c>
      <c r="O173">
        <f t="shared" si="24"/>
        <v>0</v>
      </c>
      <c r="P173">
        <f t="shared" si="25"/>
        <v>0</v>
      </c>
      <c r="Q173">
        <f t="shared" si="26"/>
        <v>0</v>
      </c>
    </row>
    <row r="174" spans="1:17" x14ac:dyDescent="0.4">
      <c r="A174">
        <f>Dose!B176</f>
        <v>14.991679372614316</v>
      </c>
      <c r="B174" t="b">
        <f t="shared" si="21"/>
        <v>0</v>
      </c>
      <c r="C174">
        <f t="shared" si="27"/>
        <v>0</v>
      </c>
      <c r="D174">
        <f t="shared" si="27"/>
        <v>0</v>
      </c>
      <c r="E174">
        <f t="shared" si="27"/>
        <v>0</v>
      </c>
      <c r="G174" s="46">
        <f t="shared" si="23"/>
        <v>0</v>
      </c>
      <c r="H174" s="46">
        <f t="shared" si="19"/>
        <v>0</v>
      </c>
      <c r="I174" s="46">
        <f t="shared" si="20"/>
        <v>0</v>
      </c>
      <c r="K174" s="46">
        <f>IF(B174,Dose!E176,0)</f>
        <v>0</v>
      </c>
      <c r="L174" s="46">
        <f>IF(C174,Dose!F176,0)</f>
        <v>0</v>
      </c>
      <c r="M174" s="46">
        <f>IF(D174,Dose!G176,0)</f>
        <v>0</v>
      </c>
      <c r="O174">
        <f t="shared" si="24"/>
        <v>0</v>
      </c>
      <c r="P174">
        <f t="shared" si="25"/>
        <v>0</v>
      </c>
      <c r="Q174">
        <f t="shared" si="26"/>
        <v>0</v>
      </c>
    </row>
    <row r="175" spans="1:17" x14ac:dyDescent="0.4">
      <c r="A175">
        <f>Dose!B177</f>
        <v>15.517585297257723</v>
      </c>
      <c r="B175" t="b">
        <f t="shared" si="21"/>
        <v>0</v>
      </c>
      <c r="C175">
        <f t="shared" si="27"/>
        <v>0</v>
      </c>
      <c r="D175">
        <f t="shared" si="27"/>
        <v>0</v>
      </c>
      <c r="E175">
        <f t="shared" si="27"/>
        <v>0</v>
      </c>
      <c r="G175" s="46">
        <f t="shared" si="23"/>
        <v>0</v>
      </c>
      <c r="H175" s="46">
        <f t="shared" si="19"/>
        <v>0</v>
      </c>
      <c r="I175" s="46">
        <f t="shared" si="20"/>
        <v>0</v>
      </c>
      <c r="K175" s="46">
        <f>IF(B175,Dose!E177,0)</f>
        <v>0</v>
      </c>
      <c r="L175" s="46">
        <f>IF(C175,Dose!F177,0)</f>
        <v>0</v>
      </c>
      <c r="M175" s="46">
        <f>IF(D175,Dose!G177,0)</f>
        <v>0</v>
      </c>
      <c r="O175">
        <f t="shared" si="24"/>
        <v>0</v>
      </c>
      <c r="P175">
        <f t="shared" si="25"/>
        <v>0</v>
      </c>
      <c r="Q175">
        <f t="shared" si="26"/>
        <v>0</v>
      </c>
    </row>
    <row r="176" spans="1:17" x14ac:dyDescent="0.4">
      <c r="A176">
        <f>Dose!B178</f>
        <v>16.061939924991741</v>
      </c>
      <c r="B176" t="b">
        <f t="shared" si="21"/>
        <v>0</v>
      </c>
      <c r="C176">
        <f t="shared" si="27"/>
        <v>0</v>
      </c>
      <c r="D176">
        <f t="shared" si="27"/>
        <v>0</v>
      </c>
      <c r="E176">
        <f t="shared" si="27"/>
        <v>0</v>
      </c>
      <c r="G176" s="46">
        <f t="shared" si="23"/>
        <v>0</v>
      </c>
      <c r="H176" s="46">
        <f t="shared" si="19"/>
        <v>0</v>
      </c>
      <c r="I176" s="46">
        <f t="shared" si="20"/>
        <v>0</v>
      </c>
      <c r="K176" s="46">
        <f>IF(B176,Dose!E178,0)</f>
        <v>0</v>
      </c>
      <c r="L176" s="46">
        <f>IF(C176,Dose!F178,0)</f>
        <v>0</v>
      </c>
      <c r="M176" s="46">
        <f>IF(D176,Dose!G178,0)</f>
        <v>0</v>
      </c>
      <c r="O176">
        <f t="shared" si="24"/>
        <v>0</v>
      </c>
      <c r="P176">
        <f t="shared" si="25"/>
        <v>0</v>
      </c>
      <c r="Q176">
        <f t="shared" si="26"/>
        <v>0</v>
      </c>
    </row>
    <row r="177" spans="1:17" x14ac:dyDescent="0.4">
      <c r="A177">
        <f>Dose!B179</f>
        <v>16.62539043362856</v>
      </c>
      <c r="B177" t="b">
        <f t="shared" si="21"/>
        <v>0</v>
      </c>
      <c r="C177">
        <f t="shared" si="27"/>
        <v>0</v>
      </c>
      <c r="D177">
        <f t="shared" si="27"/>
        <v>0</v>
      </c>
      <c r="E177">
        <f t="shared" si="27"/>
        <v>0</v>
      </c>
      <c r="G177" s="46">
        <f t="shared" si="23"/>
        <v>0</v>
      </c>
      <c r="H177" s="46">
        <f t="shared" si="19"/>
        <v>0</v>
      </c>
      <c r="I177" s="46">
        <f t="shared" si="20"/>
        <v>0</v>
      </c>
      <c r="K177" s="46">
        <f>IF(B177,Dose!E179,0)</f>
        <v>0</v>
      </c>
      <c r="L177" s="46">
        <f>IF(C177,Dose!F179,0)</f>
        <v>0</v>
      </c>
      <c r="M177" s="46">
        <f>IF(D177,Dose!G179,0)</f>
        <v>0</v>
      </c>
      <c r="O177">
        <f t="shared" si="24"/>
        <v>0</v>
      </c>
      <c r="P177">
        <f t="shared" si="25"/>
        <v>0</v>
      </c>
      <c r="Q177">
        <f t="shared" si="26"/>
        <v>0</v>
      </c>
    </row>
    <row r="178" spans="1:17" x14ac:dyDescent="0.4">
      <c r="A178">
        <f>Dose!B180</f>
        <v>17.208606703883571</v>
      </c>
      <c r="B178" t="b">
        <f t="shared" si="21"/>
        <v>0</v>
      </c>
      <c r="C178">
        <f t="shared" si="27"/>
        <v>0</v>
      </c>
      <c r="D178">
        <f t="shared" si="27"/>
        <v>0</v>
      </c>
      <c r="E178">
        <f t="shared" si="27"/>
        <v>0</v>
      </c>
      <c r="G178" s="46">
        <f t="shared" si="23"/>
        <v>0</v>
      </c>
      <c r="H178" s="46">
        <f t="shared" si="19"/>
        <v>0</v>
      </c>
      <c r="I178" s="46">
        <f t="shared" si="20"/>
        <v>0</v>
      </c>
      <c r="K178" s="46">
        <f>IF(B178,Dose!E180,0)</f>
        <v>0</v>
      </c>
      <c r="L178" s="46">
        <f>IF(C178,Dose!F180,0)</f>
        <v>0</v>
      </c>
      <c r="M178" s="46">
        <f>IF(D178,Dose!G180,0)</f>
        <v>0</v>
      </c>
      <c r="O178">
        <f t="shared" si="24"/>
        <v>0</v>
      </c>
      <c r="P178">
        <f t="shared" si="25"/>
        <v>0</v>
      </c>
      <c r="Q178">
        <f t="shared" si="26"/>
        <v>0</v>
      </c>
    </row>
    <row r="179" spans="1:17" x14ac:dyDescent="0.4">
      <c r="A179">
        <f>Dose!B181</f>
        <v>17.812282115789912</v>
      </c>
      <c r="B179" t="b">
        <f t="shared" si="21"/>
        <v>0</v>
      </c>
      <c r="C179">
        <f t="shared" si="27"/>
        <v>0</v>
      </c>
      <c r="D179">
        <f t="shared" si="27"/>
        <v>0</v>
      </c>
      <c r="E179">
        <f t="shared" si="27"/>
        <v>0</v>
      </c>
      <c r="G179" s="46">
        <f t="shared" si="23"/>
        <v>0</v>
      </c>
      <c r="H179" s="46">
        <f t="shared" si="19"/>
        <v>0</v>
      </c>
      <c r="I179" s="46">
        <f t="shared" si="20"/>
        <v>0</v>
      </c>
      <c r="K179" s="46">
        <f>IF(B179,Dose!E181,0)</f>
        <v>0</v>
      </c>
      <c r="L179" s="46">
        <f>IF(C179,Dose!F181,0)</f>
        <v>0</v>
      </c>
      <c r="M179" s="46">
        <f>IF(D179,Dose!G181,0)</f>
        <v>0</v>
      </c>
      <c r="O179">
        <f t="shared" si="24"/>
        <v>0</v>
      </c>
      <c r="P179">
        <f t="shared" si="25"/>
        <v>0</v>
      </c>
      <c r="Q179">
        <f t="shared" si="26"/>
        <v>0</v>
      </c>
    </row>
    <row r="180" spans="1:17" x14ac:dyDescent="0.4">
      <c r="A180">
        <f>Dose!B182</f>
        <v>18.437134373051084</v>
      </c>
      <c r="B180" t="b">
        <f t="shared" si="21"/>
        <v>0</v>
      </c>
      <c r="C180">
        <f t="shared" si="27"/>
        <v>0</v>
      </c>
      <c r="D180">
        <f t="shared" si="27"/>
        <v>0</v>
      </c>
      <c r="E180">
        <f t="shared" si="27"/>
        <v>0</v>
      </c>
      <c r="G180" s="46">
        <f t="shared" si="23"/>
        <v>0</v>
      </c>
      <c r="H180" s="46">
        <f t="shared" si="19"/>
        <v>0</v>
      </c>
      <c r="I180" s="46">
        <f t="shared" si="20"/>
        <v>0</v>
      </c>
      <c r="K180" s="46">
        <f>IF(B180,Dose!E182,0)</f>
        <v>0</v>
      </c>
      <c r="L180" s="46">
        <f>IF(C180,Dose!F182,0)</f>
        <v>0</v>
      </c>
      <c r="M180" s="46">
        <f>IF(D180,Dose!G182,0)</f>
        <v>0</v>
      </c>
      <c r="O180">
        <f t="shared" si="24"/>
        <v>0</v>
      </c>
      <c r="P180">
        <f t="shared" si="25"/>
        <v>0</v>
      </c>
      <c r="Q180">
        <f t="shared" si="26"/>
        <v>0</v>
      </c>
    </row>
    <row r="181" spans="1:17" x14ac:dyDescent="0.4">
      <c r="A181">
        <f>Dose!B183</f>
        <v>19.083906356311786</v>
      </c>
      <c r="B181" t="b">
        <f t="shared" si="21"/>
        <v>0</v>
      </c>
      <c r="C181">
        <f t="shared" si="27"/>
        <v>0</v>
      </c>
      <c r="D181">
        <f t="shared" si="27"/>
        <v>0</v>
      </c>
      <c r="E181">
        <f t="shared" si="27"/>
        <v>0</v>
      </c>
      <c r="G181" s="46">
        <f t="shared" si="23"/>
        <v>0</v>
      </c>
      <c r="H181" s="46">
        <f t="shared" si="19"/>
        <v>0</v>
      </c>
      <c r="I181" s="46">
        <f t="shared" si="20"/>
        <v>0</v>
      </c>
      <c r="K181" s="46">
        <f>IF(B181,Dose!E183,0)</f>
        <v>0</v>
      </c>
      <c r="L181" s="46">
        <f>IF(C181,Dose!F183,0)</f>
        <v>0</v>
      </c>
      <c r="M181" s="46">
        <f>IF(D181,Dose!G183,0)</f>
        <v>0</v>
      </c>
      <c r="O181">
        <f t="shared" si="24"/>
        <v>0</v>
      </c>
      <c r="P181">
        <f t="shared" si="25"/>
        <v>0</v>
      </c>
      <c r="Q181">
        <f t="shared" si="26"/>
        <v>0</v>
      </c>
    </row>
    <row r="182" spans="1:17" x14ac:dyDescent="0.4">
      <c r="A182">
        <f>Dose!B184</f>
        <v>19.753367006361312</v>
      </c>
      <c r="B182" t="b">
        <f t="shared" si="21"/>
        <v>0</v>
      </c>
      <c r="C182">
        <f t="shared" si="27"/>
        <v>0</v>
      </c>
      <c r="D182">
        <f t="shared" si="27"/>
        <v>0</v>
      </c>
      <c r="E182">
        <f t="shared" si="27"/>
        <v>0</v>
      </c>
      <c r="G182" s="46">
        <f t="shared" si="23"/>
        <v>0</v>
      </c>
      <c r="H182" s="46">
        <f t="shared" si="19"/>
        <v>0</v>
      </c>
      <c r="I182" s="46">
        <f t="shared" si="20"/>
        <v>0</v>
      </c>
      <c r="K182" s="46">
        <f>IF(B182,Dose!E184,0)</f>
        <v>0</v>
      </c>
      <c r="L182" s="46">
        <f>IF(C182,Dose!F184,0)</f>
        <v>0</v>
      </c>
      <c r="M182" s="46">
        <f>IF(D182,Dose!G184,0)</f>
        <v>0</v>
      </c>
      <c r="O182">
        <f t="shared" si="24"/>
        <v>0</v>
      </c>
      <c r="P182">
        <f t="shared" si="25"/>
        <v>0</v>
      </c>
      <c r="Q182">
        <f t="shared" si="26"/>
        <v>0</v>
      </c>
    </row>
    <row r="183" spans="1:17" x14ac:dyDescent="0.4">
      <c r="A183">
        <f>Dose!B185</f>
        <v>20.446312238319635</v>
      </c>
      <c r="B183" t="b">
        <f t="shared" si="21"/>
        <v>0</v>
      </c>
      <c r="C183">
        <f t="shared" si="27"/>
        <v>0</v>
      </c>
      <c r="D183">
        <f t="shared" si="27"/>
        <v>0</v>
      </c>
      <c r="E183">
        <f t="shared" si="27"/>
        <v>0</v>
      </c>
      <c r="G183" s="46">
        <f t="shared" si="23"/>
        <v>0</v>
      </c>
      <c r="H183" s="46">
        <f t="shared" si="19"/>
        <v>0</v>
      </c>
      <c r="I183" s="46">
        <f t="shared" si="20"/>
        <v>0</v>
      </c>
      <c r="K183" s="46">
        <f>IF(B183,Dose!E185,0)</f>
        <v>0</v>
      </c>
      <c r="L183" s="46">
        <f>IF(C183,Dose!F185,0)</f>
        <v>0</v>
      </c>
      <c r="M183" s="46">
        <f>IF(D183,Dose!G185,0)</f>
        <v>0</v>
      </c>
      <c r="O183">
        <f t="shared" si="24"/>
        <v>0</v>
      </c>
      <c r="P183">
        <f t="shared" si="25"/>
        <v>0</v>
      </c>
      <c r="Q183">
        <f t="shared" si="26"/>
        <v>0</v>
      </c>
    </row>
    <row r="184" spans="1:17" x14ac:dyDescent="0.4">
      <c r="A184">
        <f>Dose!B186</f>
        <v>21.163565887892997</v>
      </c>
      <c r="B184" t="b">
        <f t="shared" si="21"/>
        <v>0</v>
      </c>
      <c r="C184">
        <f t="shared" si="27"/>
        <v>0</v>
      </c>
      <c r="D184">
        <f t="shared" si="27"/>
        <v>0</v>
      </c>
      <c r="E184">
        <f t="shared" si="27"/>
        <v>0</v>
      </c>
      <c r="G184" s="46">
        <f t="shared" si="23"/>
        <v>0</v>
      </c>
      <c r="H184" s="46">
        <f t="shared" si="19"/>
        <v>0</v>
      </c>
      <c r="I184" s="46">
        <f t="shared" si="20"/>
        <v>0</v>
      </c>
      <c r="K184" s="46">
        <f>IF(B184,Dose!E186,0)</f>
        <v>0</v>
      </c>
      <c r="L184" s="46">
        <f>IF(C184,Dose!F186,0)</f>
        <v>0</v>
      </c>
      <c r="M184" s="46">
        <f>IF(D184,Dose!G186,0)</f>
        <v>0</v>
      </c>
      <c r="O184">
        <f t="shared" si="24"/>
        <v>0</v>
      </c>
      <c r="P184">
        <f t="shared" si="25"/>
        <v>0</v>
      </c>
      <c r="Q184">
        <f t="shared" si="26"/>
        <v>0</v>
      </c>
    </row>
    <row r="185" spans="1:17" x14ac:dyDescent="0.4">
      <c r="A185">
        <f>Dose!B187</f>
        <v>21.905980690823984</v>
      </c>
      <c r="B185" t="b">
        <f t="shared" si="21"/>
        <v>0</v>
      </c>
      <c r="C185">
        <f t="shared" si="27"/>
        <v>0</v>
      </c>
      <c r="D185">
        <f t="shared" si="27"/>
        <v>0</v>
      </c>
      <c r="E185">
        <f t="shared" si="27"/>
        <v>0</v>
      </c>
      <c r="G185" s="46">
        <f t="shared" si="23"/>
        <v>0</v>
      </c>
      <c r="H185" s="46">
        <f t="shared" si="19"/>
        <v>0</v>
      </c>
      <c r="I185" s="46">
        <f t="shared" si="20"/>
        <v>0</v>
      </c>
      <c r="K185" s="46">
        <f>IF(B185,Dose!E187,0)</f>
        <v>0</v>
      </c>
      <c r="L185" s="46">
        <f>IF(C185,Dose!F187,0)</f>
        <v>0</v>
      </c>
      <c r="M185" s="46">
        <f>IF(D185,Dose!G187,0)</f>
        <v>0</v>
      </c>
      <c r="O185">
        <f t="shared" si="24"/>
        <v>0</v>
      </c>
      <c r="P185">
        <f t="shared" si="25"/>
        <v>0</v>
      </c>
      <c r="Q185">
        <f t="shared" si="26"/>
        <v>0</v>
      </c>
    </row>
    <row r="186" spans="1:17" x14ac:dyDescent="0.4">
      <c r="A186">
        <f>Dose!B188</f>
        <v>22.674439296700601</v>
      </c>
      <c r="B186" t="b">
        <f t="shared" si="21"/>
        <v>0</v>
      </c>
      <c r="C186">
        <f t="shared" si="27"/>
        <v>0</v>
      </c>
      <c r="D186">
        <f t="shared" si="27"/>
        <v>0</v>
      </c>
      <c r="E186">
        <f t="shared" si="27"/>
        <v>0</v>
      </c>
      <c r="G186" s="46">
        <f t="shared" si="23"/>
        <v>0</v>
      </c>
      <c r="H186" s="46">
        <f t="shared" si="19"/>
        <v>0</v>
      </c>
      <c r="I186" s="46">
        <f t="shared" si="20"/>
        <v>0</v>
      </c>
      <c r="K186" s="46">
        <f>IF(B186,Dose!E188,0)</f>
        <v>0</v>
      </c>
      <c r="L186" s="46">
        <f>IF(C186,Dose!F188,0)</f>
        <v>0</v>
      </c>
      <c r="M186" s="46">
        <f>IF(D186,Dose!G188,0)</f>
        <v>0</v>
      </c>
      <c r="O186">
        <f t="shared" si="24"/>
        <v>0</v>
      </c>
      <c r="P186">
        <f t="shared" si="25"/>
        <v>0</v>
      </c>
      <c r="Q186">
        <f t="shared" si="26"/>
        <v>0</v>
      </c>
    </row>
    <row r="187" spans="1:17" x14ac:dyDescent="0.4">
      <c r="A187">
        <f>Dose!B189</f>
        <v>23.469855318329582</v>
      </c>
      <c r="B187" t="b">
        <f t="shared" si="21"/>
        <v>0</v>
      </c>
      <c r="C187">
        <f t="shared" si="27"/>
        <v>0</v>
      </c>
      <c r="D187">
        <f t="shared" si="27"/>
        <v>0</v>
      </c>
      <c r="E187">
        <f t="shared" si="27"/>
        <v>0</v>
      </c>
      <c r="G187" s="46">
        <f t="shared" si="23"/>
        <v>0</v>
      </c>
      <c r="H187" s="46">
        <f t="shared" si="19"/>
        <v>0</v>
      </c>
      <c r="I187" s="46">
        <f t="shared" si="20"/>
        <v>0</v>
      </c>
      <c r="K187" s="46">
        <f>IF(B187,Dose!E189,0)</f>
        <v>0</v>
      </c>
      <c r="L187" s="46">
        <f>IF(C187,Dose!F189,0)</f>
        <v>0</v>
      </c>
      <c r="M187" s="46">
        <f>IF(D187,Dose!G189,0)</f>
        <v>0</v>
      </c>
      <c r="O187">
        <f t="shared" si="24"/>
        <v>0</v>
      </c>
      <c r="P187">
        <f t="shared" si="25"/>
        <v>0</v>
      </c>
      <c r="Q187">
        <f t="shared" si="26"/>
        <v>0</v>
      </c>
    </row>
    <row r="188" spans="1:17" x14ac:dyDescent="0.4">
      <c r="A188">
        <f>Dose!B190</f>
        <v>24.293174417921602</v>
      </c>
      <c r="B188" t="b">
        <f t="shared" si="21"/>
        <v>0</v>
      </c>
      <c r="C188">
        <f t="shared" si="27"/>
        <v>0</v>
      </c>
      <c r="D188">
        <f t="shared" si="27"/>
        <v>0</v>
      </c>
      <c r="E188">
        <f t="shared" si="27"/>
        <v>0</v>
      </c>
      <c r="G188" s="46">
        <f t="shared" si="23"/>
        <v>0</v>
      </c>
      <c r="H188" s="46">
        <f t="shared" si="19"/>
        <v>0</v>
      </c>
      <c r="I188" s="46">
        <f t="shared" si="20"/>
        <v>0</v>
      </c>
      <c r="K188" s="46">
        <f>IF(B188,Dose!E190,0)</f>
        <v>0</v>
      </c>
      <c r="L188" s="46">
        <f>IF(C188,Dose!F190,0)</f>
        <v>0</v>
      </c>
      <c r="M188" s="46">
        <f>IF(D188,Dose!G190,0)</f>
        <v>0</v>
      </c>
      <c r="O188">
        <f t="shared" si="24"/>
        <v>0</v>
      </c>
      <c r="P188">
        <f t="shared" si="25"/>
        <v>0</v>
      </c>
      <c r="Q188">
        <f t="shared" si="26"/>
        <v>0</v>
      </c>
    </row>
    <row r="189" spans="1:17" x14ac:dyDescent="0.4">
      <c r="A189">
        <f>Dose!B191</f>
        <v>25.145375431379691</v>
      </c>
      <c r="B189" t="b">
        <f t="shared" si="21"/>
        <v>0</v>
      </c>
      <c r="C189">
        <f t="shared" si="27"/>
        <v>0</v>
      </c>
      <c r="D189">
        <f t="shared" si="27"/>
        <v>0</v>
      </c>
      <c r="E189">
        <f t="shared" si="27"/>
        <v>0</v>
      </c>
      <c r="G189" s="46">
        <f t="shared" si="23"/>
        <v>0</v>
      </c>
      <c r="H189" s="46">
        <f t="shared" si="19"/>
        <v>0</v>
      </c>
      <c r="I189" s="46">
        <f t="shared" si="20"/>
        <v>0</v>
      </c>
      <c r="K189" s="46">
        <f>IF(B189,Dose!E191,0)</f>
        <v>0</v>
      </c>
      <c r="L189" s="46">
        <f>IF(C189,Dose!F191,0)</f>
        <v>0</v>
      </c>
      <c r="M189" s="46">
        <f>IF(D189,Dose!G191,0)</f>
        <v>0</v>
      </c>
      <c r="O189">
        <f t="shared" si="24"/>
        <v>0</v>
      </c>
      <c r="P189">
        <f t="shared" si="25"/>
        <v>0</v>
      </c>
      <c r="Q189">
        <f t="shared" si="26"/>
        <v>0</v>
      </c>
    </row>
    <row r="190" spans="1:17" x14ac:dyDescent="0.4">
      <c r="A190">
        <f>Dose!B192</f>
        <v>26.027471532027516</v>
      </c>
      <c r="B190" t="b">
        <f t="shared" si="21"/>
        <v>0</v>
      </c>
      <c r="C190">
        <f t="shared" si="27"/>
        <v>0</v>
      </c>
      <c r="D190">
        <f t="shared" si="27"/>
        <v>0</v>
      </c>
      <c r="E190">
        <f t="shared" si="27"/>
        <v>0</v>
      </c>
      <c r="G190" s="46">
        <f t="shared" si="23"/>
        <v>0</v>
      </c>
      <c r="H190" s="46">
        <f t="shared" si="19"/>
        <v>0</v>
      </c>
      <c r="I190" s="46">
        <f t="shared" si="20"/>
        <v>0</v>
      </c>
      <c r="K190" s="46">
        <f>IF(B190,Dose!E192,0)</f>
        <v>0</v>
      </c>
      <c r="L190" s="46">
        <f>IF(C190,Dose!F192,0)</f>
        <v>0</v>
      </c>
      <c r="M190" s="46">
        <f>IF(D190,Dose!G192,0)</f>
        <v>0</v>
      </c>
      <c r="O190">
        <f t="shared" si="24"/>
        <v>0</v>
      </c>
      <c r="P190">
        <f t="shared" si="25"/>
        <v>0</v>
      </c>
      <c r="Q190">
        <f t="shared" si="26"/>
        <v>0</v>
      </c>
    </row>
    <row r="191" spans="1:17" x14ac:dyDescent="0.4">
      <c r="A191">
        <f>Dose!B193</f>
        <v>26.940511435161067</v>
      </c>
      <c r="B191" t="b">
        <f t="shared" si="21"/>
        <v>0</v>
      </c>
      <c r="C191">
        <f t="shared" si="27"/>
        <v>0</v>
      </c>
      <c r="D191">
        <f t="shared" si="27"/>
        <v>0</v>
      </c>
      <c r="E191">
        <f t="shared" si="27"/>
        <v>0</v>
      </c>
      <c r="G191" s="46">
        <f t="shared" si="23"/>
        <v>0</v>
      </c>
      <c r="H191" s="46">
        <f t="shared" si="19"/>
        <v>0</v>
      </c>
      <c r="I191" s="46">
        <f t="shared" si="20"/>
        <v>0</v>
      </c>
      <c r="K191" s="46">
        <f>IF(B191,Dose!E193,0)</f>
        <v>0</v>
      </c>
      <c r="L191" s="46">
        <f>IF(C191,Dose!F193,0)</f>
        <v>0</v>
      </c>
      <c r="M191" s="46">
        <f>IF(D191,Dose!G193,0)</f>
        <v>0</v>
      </c>
      <c r="O191">
        <f t="shared" si="24"/>
        <v>0</v>
      </c>
      <c r="P191">
        <f t="shared" si="25"/>
        <v>0</v>
      </c>
      <c r="Q191">
        <f t="shared" si="26"/>
        <v>0</v>
      </c>
    </row>
    <row r="192" spans="1:17" x14ac:dyDescent="0.4">
      <c r="A192">
        <f>Dose!B194</f>
        <v>27.885580644855892</v>
      </c>
      <c r="B192" t="b">
        <f t="shared" si="21"/>
        <v>0</v>
      </c>
      <c r="C192">
        <f t="shared" si="27"/>
        <v>0</v>
      </c>
      <c r="D192">
        <f t="shared" si="27"/>
        <v>0</v>
      </c>
      <c r="E192">
        <f t="shared" si="27"/>
        <v>0</v>
      </c>
      <c r="G192" s="46">
        <f t="shared" si="23"/>
        <v>0</v>
      </c>
      <c r="H192" s="46">
        <f t="shared" si="19"/>
        <v>0</v>
      </c>
      <c r="I192" s="46">
        <f t="shared" si="20"/>
        <v>0</v>
      </c>
      <c r="K192" s="46">
        <f>IF(B192,Dose!E194,0)</f>
        <v>0</v>
      </c>
      <c r="L192" s="46">
        <f>IF(C192,Dose!F194,0)</f>
        <v>0</v>
      </c>
      <c r="M192" s="46">
        <f>IF(D192,Dose!G194,0)</f>
        <v>0</v>
      </c>
      <c r="O192">
        <f t="shared" si="24"/>
        <v>0</v>
      </c>
      <c r="P192">
        <f t="shared" si="25"/>
        <v>0</v>
      </c>
      <c r="Q192">
        <f t="shared" si="26"/>
        <v>0</v>
      </c>
    </row>
    <row r="193" spans="1:17" x14ac:dyDescent="0.4">
      <c r="A193">
        <f>Dose!B195</f>
        <v>28.8638027445121</v>
      </c>
      <c r="B193" t="b">
        <f t="shared" si="21"/>
        <v>0</v>
      </c>
      <c r="C193">
        <f t="shared" si="27"/>
        <v>0</v>
      </c>
      <c r="D193">
        <f t="shared" si="27"/>
        <v>0</v>
      </c>
      <c r="E193">
        <f t="shared" si="27"/>
        <v>0</v>
      </c>
      <c r="G193" s="46">
        <f t="shared" si="23"/>
        <v>0</v>
      </c>
      <c r="H193" s="46">
        <f t="shared" si="19"/>
        <v>0</v>
      </c>
      <c r="I193" s="46">
        <f t="shared" si="20"/>
        <v>0</v>
      </c>
      <c r="K193" s="46">
        <f>IF(B193,Dose!E195,0)</f>
        <v>0</v>
      </c>
      <c r="L193" s="46">
        <f>IF(C193,Dose!F195,0)</f>
        <v>0</v>
      </c>
      <c r="M193" s="46">
        <f>IF(D193,Dose!G195,0)</f>
        <v>0</v>
      </c>
      <c r="O193">
        <f t="shared" si="24"/>
        <v>0</v>
      </c>
      <c r="P193">
        <f t="shared" si="25"/>
        <v>0</v>
      </c>
      <c r="Q193">
        <f t="shared" si="26"/>
        <v>0</v>
      </c>
    </row>
    <row r="194" spans="1:17" x14ac:dyDescent="0.4">
      <c r="A194">
        <f>Dose!B196</f>
        <v>29.87634073267149</v>
      </c>
      <c r="B194" t="b">
        <f t="shared" si="21"/>
        <v>0</v>
      </c>
      <c r="C194">
        <f t="shared" si="27"/>
        <v>0</v>
      </c>
      <c r="D194">
        <f t="shared" si="27"/>
        <v>0</v>
      </c>
      <c r="E194">
        <f t="shared" si="27"/>
        <v>0</v>
      </c>
      <c r="G194" s="46">
        <f t="shared" si="23"/>
        <v>0</v>
      </c>
      <c r="H194" s="46">
        <f t="shared" si="19"/>
        <v>0</v>
      </c>
      <c r="I194" s="46">
        <f t="shared" si="20"/>
        <v>0</v>
      </c>
      <c r="K194" s="46">
        <f>IF(B194,Dose!E196,0)</f>
        <v>0</v>
      </c>
      <c r="L194" s="46">
        <f>IF(C194,Dose!F196,0)</f>
        <v>0</v>
      </c>
      <c r="M194" s="46">
        <f>IF(D194,Dose!G196,0)</f>
        <v>0</v>
      </c>
      <c r="O194">
        <f t="shared" si="24"/>
        <v>0</v>
      </c>
      <c r="P194">
        <f t="shared" si="25"/>
        <v>0</v>
      </c>
      <c r="Q194">
        <f t="shared" si="26"/>
        <v>0</v>
      </c>
    </row>
    <row r="195" spans="1:17" x14ac:dyDescent="0.4">
      <c r="A195">
        <f>Dose!B197</f>
        <v>30.924398405695026</v>
      </c>
      <c r="B195" t="b">
        <f t="shared" si="21"/>
        <v>0</v>
      </c>
      <c r="C195">
        <f t="shared" si="27"/>
        <v>0</v>
      </c>
      <c r="D195">
        <f t="shared" si="27"/>
        <v>0</v>
      </c>
      <c r="E195">
        <f t="shared" si="27"/>
        <v>0</v>
      </c>
      <c r="G195" s="46">
        <f t="shared" si="23"/>
        <v>0</v>
      </c>
      <c r="H195" s="46">
        <f t="shared" si="19"/>
        <v>0</v>
      </c>
      <c r="I195" s="46">
        <f t="shared" si="20"/>
        <v>0</v>
      </c>
      <c r="K195" s="46">
        <f>IF(B195,Dose!E197,0)</f>
        <v>0</v>
      </c>
      <c r="L195" s="46">
        <f>IF(C195,Dose!F197,0)</f>
        <v>0</v>
      </c>
      <c r="M195" s="46">
        <f>IF(D195,Dose!G197,0)</f>
        <v>0</v>
      </c>
      <c r="O195">
        <f t="shared" si="24"/>
        <v>0</v>
      </c>
      <c r="P195">
        <f t="shared" si="25"/>
        <v>0</v>
      </c>
      <c r="Q195">
        <f t="shared" si="26"/>
        <v>0</v>
      </c>
    </row>
    <row r="196" spans="1:17" x14ac:dyDescent="0.4">
      <c r="A196">
        <f>Dose!B198</f>
        <v>32.009221788944323</v>
      </c>
      <c r="B196" t="b">
        <f t="shared" si="21"/>
        <v>0</v>
      </c>
      <c r="C196">
        <f t="shared" si="27"/>
        <v>0</v>
      </c>
      <c r="D196">
        <f t="shared" si="27"/>
        <v>0</v>
      </c>
      <c r="E196">
        <f t="shared" si="27"/>
        <v>0</v>
      </c>
      <c r="G196" s="46">
        <f t="shared" si="23"/>
        <v>0</v>
      </c>
      <c r="H196" s="46">
        <f t="shared" si="19"/>
        <v>0</v>
      </c>
      <c r="I196" s="46">
        <f t="shared" si="20"/>
        <v>0</v>
      </c>
      <c r="K196" s="46">
        <f>IF(B196,Dose!E198,0)</f>
        <v>0</v>
      </c>
      <c r="L196" s="46">
        <f>IF(C196,Dose!F198,0)</f>
        <v>0</v>
      </c>
      <c r="M196" s="46">
        <f>IF(D196,Dose!G198,0)</f>
        <v>0</v>
      </c>
      <c r="O196">
        <f t="shared" si="24"/>
        <v>0</v>
      </c>
      <c r="P196">
        <f t="shared" si="25"/>
        <v>0</v>
      </c>
      <c r="Q196">
        <f t="shared" si="26"/>
        <v>0</v>
      </c>
    </row>
    <row r="197" spans="1:17" x14ac:dyDescent="0.4">
      <c r="A197">
        <f>Dose!B199</f>
        <v>33.132100618168849</v>
      </c>
      <c r="B197" t="b">
        <f t="shared" si="21"/>
        <v>0</v>
      </c>
      <c r="C197">
        <f t="shared" si="27"/>
        <v>0</v>
      </c>
      <c r="D197">
        <f t="shared" si="27"/>
        <v>0</v>
      </c>
      <c r="E197">
        <f t="shared" si="27"/>
        <v>0</v>
      </c>
      <c r="G197" s="46">
        <f t="shared" si="23"/>
        <v>0</v>
      </c>
      <c r="H197" s="46">
        <f t="shared" si="19"/>
        <v>0</v>
      </c>
      <c r="I197" s="46">
        <f t="shared" si="20"/>
        <v>0</v>
      </c>
      <c r="K197" s="46">
        <f>IF(B197,Dose!E199,0)</f>
        <v>0</v>
      </c>
      <c r="L197" s="46">
        <f>IF(C197,Dose!F199,0)</f>
        <v>0</v>
      </c>
      <c r="M197" s="46">
        <f>IF(D197,Dose!G199,0)</f>
        <v>0</v>
      </c>
      <c r="O197">
        <f t="shared" si="24"/>
        <v>0</v>
      </c>
      <c r="P197">
        <f t="shared" si="25"/>
        <v>0</v>
      </c>
      <c r="Q197">
        <f t="shared" si="26"/>
        <v>0</v>
      </c>
    </row>
    <row r="198" spans="1:17" x14ac:dyDescent="0.4">
      <c r="A198">
        <f>Dose!B200</f>
        <v>34.294369872859953</v>
      </c>
      <c r="B198" t="b">
        <f t="shared" si="21"/>
        <v>0</v>
      </c>
      <c r="C198">
        <f t="shared" si="27"/>
        <v>0</v>
      </c>
      <c r="D198">
        <f t="shared" si="27"/>
        <v>0</v>
      </c>
      <c r="E198">
        <f t="shared" si="27"/>
        <v>0</v>
      </c>
      <c r="G198" s="46">
        <f t="shared" si="23"/>
        <v>0</v>
      </c>
      <c r="H198" s="46">
        <f t="shared" si="19"/>
        <v>0</v>
      </c>
      <c r="I198" s="46">
        <f t="shared" si="20"/>
        <v>0</v>
      </c>
      <c r="K198" s="46">
        <f>IF(B198,Dose!E200,0)</f>
        <v>0</v>
      </c>
      <c r="L198" s="46">
        <f>IF(C198,Dose!F200,0)</f>
        <v>0</v>
      </c>
      <c r="M198" s="46">
        <f>IF(D198,Dose!G200,0)</f>
        <v>0</v>
      </c>
      <c r="O198">
        <f t="shared" si="24"/>
        <v>0</v>
      </c>
      <c r="P198">
        <f t="shared" si="25"/>
        <v>0</v>
      </c>
      <c r="Q198">
        <f t="shared" si="26"/>
        <v>0</v>
      </c>
    </row>
    <row r="199" spans="1:17" x14ac:dyDescent="0.4">
      <c r="A199">
        <f>Dose!B201</f>
        <v>35.497411363394733</v>
      </c>
      <c r="B199" t="b">
        <f t="shared" si="21"/>
        <v>0</v>
      </c>
      <c r="C199">
        <f t="shared" si="27"/>
        <v>0</v>
      </c>
      <c r="D199">
        <f t="shared" si="27"/>
        <v>0</v>
      </c>
      <c r="E199">
        <f t="shared" si="27"/>
        <v>0</v>
      </c>
      <c r="G199" s="46">
        <f t="shared" si="23"/>
        <v>0</v>
      </c>
      <c r="H199" s="46">
        <f t="shared" si="19"/>
        <v>0</v>
      </c>
      <c r="I199" s="46">
        <f t="shared" si="20"/>
        <v>0</v>
      </c>
      <c r="K199" s="46">
        <f>IF(B199,Dose!E201,0)</f>
        <v>0</v>
      </c>
      <c r="L199" s="46">
        <f>IF(C199,Dose!F201,0)</f>
        <v>0</v>
      </c>
      <c r="M199" s="46">
        <f>IF(D199,Dose!G201,0)</f>
        <v>0</v>
      </c>
      <c r="O199">
        <f t="shared" si="24"/>
        <v>0</v>
      </c>
      <c r="P199">
        <f t="shared" si="25"/>
        <v>0</v>
      </c>
      <c r="Q199">
        <f t="shared" si="26"/>
        <v>0</v>
      </c>
    </row>
    <row r="200" spans="1:17" x14ac:dyDescent="0.4">
      <c r="A200">
        <f>Dose!B202</f>
        <v>36.742655373856657</v>
      </c>
      <c r="B200" t="b">
        <f t="shared" si="21"/>
        <v>0</v>
      </c>
      <c r="C200">
        <f t="shared" si="27"/>
        <v>0</v>
      </c>
      <c r="D200">
        <f t="shared" si="27"/>
        <v>0</v>
      </c>
      <c r="E200">
        <f t="shared" si="27"/>
        <v>0</v>
      </c>
      <c r="G200" s="46">
        <f t="shared" si="23"/>
        <v>0</v>
      </c>
      <c r="H200" s="46">
        <f t="shared" si="19"/>
        <v>0</v>
      </c>
      <c r="I200" s="46">
        <f t="shared" si="20"/>
        <v>0</v>
      </c>
      <c r="K200" s="46">
        <f>IF(B200,Dose!E202,0)</f>
        <v>0</v>
      </c>
      <c r="L200" s="46">
        <f>IF(C200,Dose!F202,0)</f>
        <v>0</v>
      </c>
      <c r="M200" s="46">
        <f>IF(D200,Dose!G202,0)</f>
        <v>0</v>
      </c>
      <c r="O200">
        <f t="shared" si="24"/>
        <v>0</v>
      </c>
      <c r="P200">
        <f t="shared" si="25"/>
        <v>0</v>
      </c>
      <c r="Q200">
        <f t="shared" si="26"/>
        <v>0</v>
      </c>
    </row>
    <row r="201" spans="1:17" x14ac:dyDescent="0.4">
      <c r="A201">
        <f>Dose!B203</f>
        <v>38.031582362486112</v>
      </c>
      <c r="B201" t="b">
        <f t="shared" si="21"/>
        <v>0</v>
      </c>
      <c r="C201">
        <f t="shared" si="27"/>
        <v>0</v>
      </c>
      <c r="D201">
        <f t="shared" si="27"/>
        <v>0</v>
      </c>
      <c r="E201">
        <f t="shared" si="27"/>
        <v>0</v>
      </c>
      <c r="G201" s="46">
        <f t="shared" si="23"/>
        <v>0</v>
      </c>
      <c r="H201" s="46">
        <f t="shared" si="19"/>
        <v>0</v>
      </c>
      <c r="I201" s="46">
        <f t="shared" si="20"/>
        <v>0</v>
      </c>
      <c r="K201" s="46">
        <f>IF(B201,Dose!E203,0)</f>
        <v>0</v>
      </c>
      <c r="L201" s="46">
        <f>IF(C201,Dose!F203,0)</f>
        <v>0</v>
      </c>
      <c r="M201" s="46">
        <f>IF(D201,Dose!G203,0)</f>
        <v>0</v>
      </c>
      <c r="O201">
        <f t="shared" si="24"/>
        <v>0</v>
      </c>
      <c r="P201">
        <f t="shared" si="25"/>
        <v>0</v>
      </c>
      <c r="Q201">
        <f t="shared" si="26"/>
        <v>0</v>
      </c>
    </row>
    <row r="202" spans="1:17" x14ac:dyDescent="0.4">
      <c r="A202">
        <f>Dose!B204</f>
        <v>39.365724721782549</v>
      </c>
      <c r="B202" t="b">
        <f t="shared" si="21"/>
        <v>0</v>
      </c>
      <c r="C202">
        <f t="shared" si="27"/>
        <v>0</v>
      </c>
      <c r="D202">
        <f t="shared" si="27"/>
        <v>0</v>
      </c>
      <c r="E202">
        <f t="shared" si="27"/>
        <v>0</v>
      </c>
      <c r="G202" s="46">
        <f t="shared" si="23"/>
        <v>0</v>
      </c>
      <c r="H202" s="46">
        <f t="shared" si="19"/>
        <v>0</v>
      </c>
      <c r="I202" s="46">
        <f t="shared" si="20"/>
        <v>0</v>
      </c>
      <c r="K202" s="46">
        <f>IF(B202,Dose!E204,0)</f>
        <v>0</v>
      </c>
      <c r="L202" s="46">
        <f>IF(C202,Dose!F204,0)</f>
        <v>0</v>
      </c>
      <c r="M202" s="46">
        <f>IF(D202,Dose!G204,0)</f>
        <v>0</v>
      </c>
      <c r="O202">
        <f t="shared" si="24"/>
        <v>0</v>
      </c>
      <c r="P202">
        <f t="shared" si="25"/>
        <v>0</v>
      </c>
      <c r="Q202">
        <f t="shared" si="26"/>
        <v>0</v>
      </c>
    </row>
    <row r="203" spans="1:17" x14ac:dyDescent="0.4">
      <c r="A203">
        <f>Dose!B205</f>
        <v>40.746668600350631</v>
      </c>
      <c r="B203" t="b">
        <f t="shared" si="21"/>
        <v>0</v>
      </c>
      <c r="C203">
        <f t="shared" si="27"/>
        <v>0</v>
      </c>
      <c r="D203">
        <f t="shared" si="27"/>
        <v>0</v>
      </c>
      <c r="E203">
        <f t="shared" si="27"/>
        <v>0</v>
      </c>
      <c r="G203" s="46">
        <f t="shared" si="23"/>
        <v>0</v>
      </c>
      <c r="H203" s="46">
        <f t="shared" ref="G203:H266" si="28">IF(D203&gt;0,H$5*(1-1/(1+EXP(10.32)*(D203^(0.4343*-7.17))))+H$4*(1+0.44)/(1+0.44*EXP(0.0195*D203)),0)</f>
        <v>0</v>
      </c>
      <c r="I203" s="46">
        <f t="shared" ref="I203:I266" si="29">IF(E203&gt;0,I$5*(1-1/(1+EXP(10.32)*(E203^(0.4343*-7.17))))+I$4*(1+0.44)/(1+0.44*EXP(0.0195*E203)),0)</f>
        <v>0</v>
      </c>
      <c r="K203" s="46">
        <f>IF(B203,Dose!E205,0)</f>
        <v>0</v>
      </c>
      <c r="L203" s="46">
        <f>IF(C203,Dose!F205,0)</f>
        <v>0</v>
      </c>
      <c r="M203" s="46">
        <f>IF(D203,Dose!G205,0)</f>
        <v>0</v>
      </c>
      <c r="O203">
        <f t="shared" si="24"/>
        <v>0</v>
      </c>
      <c r="P203">
        <f t="shared" si="25"/>
        <v>0</v>
      </c>
      <c r="Q203">
        <f t="shared" si="26"/>
        <v>0</v>
      </c>
    </row>
    <row r="204" spans="1:17" x14ac:dyDescent="0.4">
      <c r="A204">
        <f>Dose!B206</f>
        <v>42.176055788656626</v>
      </c>
      <c r="B204" t="b">
        <f t="shared" ref="B204:B267" si="30">A204&gt;100</f>
        <v>0</v>
      </c>
      <c r="C204">
        <f t="shared" ref="C204:E235" si="31">IF($B204,$A204*SQRT(C$7),0)</f>
        <v>0</v>
      </c>
      <c r="D204">
        <f t="shared" si="31"/>
        <v>0</v>
      </c>
      <c r="E204">
        <f t="shared" si="31"/>
        <v>0</v>
      </c>
      <c r="G204" s="46">
        <f t="shared" ref="G204:G267" si="32">IF(C204&gt;0,G$5*(1-1/(1+EXP(10.32)*(C204^(0.4343*-7.17))))+G$4*(1+0.44)/(1+0.44*EXP(0.0195*C204)),0)</f>
        <v>0</v>
      </c>
      <c r="H204" s="46">
        <f t="shared" si="28"/>
        <v>0</v>
      </c>
      <c r="I204" s="46">
        <f t="shared" si="29"/>
        <v>0</v>
      </c>
      <c r="K204" s="46">
        <f>IF(B204,Dose!E206,0)</f>
        <v>0</v>
      </c>
      <c r="L204" s="46">
        <f>IF(C204,Dose!F206,0)</f>
        <v>0</v>
      </c>
      <c r="M204" s="46">
        <f>IF(D204,Dose!G206,0)</f>
        <v>0</v>
      </c>
      <c r="O204">
        <f t="shared" ref="O204:O267" si="33">G204*K204</f>
        <v>0</v>
      </c>
      <c r="P204">
        <f t="shared" ref="P204:P267" si="34">H204*L204</f>
        <v>0</v>
      </c>
      <c r="Q204">
        <f t="shared" ref="Q204:Q267" si="35">I204*M204</f>
        <v>0</v>
      </c>
    </row>
    <row r="205" spans="1:17" x14ac:dyDescent="0.4">
      <c r="A205">
        <f>Dose!B207</f>
        <v>43.655585670936766</v>
      </c>
      <c r="B205" t="b">
        <f t="shared" si="30"/>
        <v>0</v>
      </c>
      <c r="C205">
        <f t="shared" si="31"/>
        <v>0</v>
      </c>
      <c r="D205">
        <f t="shared" si="31"/>
        <v>0</v>
      </c>
      <c r="E205">
        <f t="shared" si="31"/>
        <v>0</v>
      </c>
      <c r="G205" s="46">
        <f t="shared" si="32"/>
        <v>0</v>
      </c>
      <c r="H205" s="46">
        <f t="shared" si="28"/>
        <v>0</v>
      </c>
      <c r="I205" s="46">
        <f t="shared" si="29"/>
        <v>0</v>
      </c>
      <c r="K205" s="46">
        <f>IF(B205,Dose!E207,0)</f>
        <v>0</v>
      </c>
      <c r="L205" s="46">
        <f>IF(C205,Dose!F207,0)</f>
        <v>0</v>
      </c>
      <c r="M205" s="46">
        <f>IF(D205,Dose!G207,0)</f>
        <v>0</v>
      </c>
      <c r="O205">
        <f t="shared" si="33"/>
        <v>0</v>
      </c>
      <c r="P205">
        <f t="shared" si="34"/>
        <v>0</v>
      </c>
      <c r="Q205">
        <f t="shared" si="35"/>
        <v>0</v>
      </c>
    </row>
    <row r="206" spans="1:17" x14ac:dyDescent="0.4">
      <c r="A206">
        <f>Dose!B208</f>
        <v>45.187017245578282</v>
      </c>
      <c r="B206" t="b">
        <f t="shared" si="30"/>
        <v>0</v>
      </c>
      <c r="C206">
        <f t="shared" si="31"/>
        <v>0</v>
      </c>
      <c r="D206">
        <f t="shared" si="31"/>
        <v>0</v>
      </c>
      <c r="E206">
        <f t="shared" si="31"/>
        <v>0</v>
      </c>
      <c r="G206" s="46">
        <f t="shared" si="32"/>
        <v>0</v>
      </c>
      <c r="H206" s="46">
        <f t="shared" si="28"/>
        <v>0</v>
      </c>
      <c r="I206" s="46">
        <f t="shared" si="29"/>
        <v>0</v>
      </c>
      <c r="K206" s="46">
        <f>IF(B206,Dose!E208,0)</f>
        <v>0</v>
      </c>
      <c r="L206" s="46">
        <f>IF(C206,Dose!F208,0)</f>
        <v>0</v>
      </c>
      <c r="M206" s="46">
        <f>IF(D206,Dose!G208,0)</f>
        <v>0</v>
      </c>
      <c r="O206">
        <f t="shared" si="33"/>
        <v>0</v>
      </c>
      <c r="P206">
        <f t="shared" si="34"/>
        <v>0</v>
      </c>
      <c r="Q206">
        <f t="shared" si="35"/>
        <v>0</v>
      </c>
    </row>
    <row r="207" spans="1:17" x14ac:dyDescent="0.4">
      <c r="A207">
        <f>Dose!B209</f>
        <v>46.772171216375177</v>
      </c>
      <c r="B207" t="b">
        <f t="shared" si="30"/>
        <v>0</v>
      </c>
      <c r="C207">
        <f t="shared" si="31"/>
        <v>0</v>
      </c>
      <c r="D207">
        <f t="shared" si="31"/>
        <v>0</v>
      </c>
      <c r="E207">
        <f t="shared" si="31"/>
        <v>0</v>
      </c>
      <c r="G207" s="46">
        <f t="shared" si="32"/>
        <v>0</v>
      </c>
      <c r="H207" s="46">
        <f t="shared" si="28"/>
        <v>0</v>
      </c>
      <c r="I207" s="46">
        <f t="shared" si="29"/>
        <v>0</v>
      </c>
      <c r="K207" s="46">
        <f>IF(B207,Dose!E209,0)</f>
        <v>0</v>
      </c>
      <c r="L207" s="46">
        <f>IF(C207,Dose!F209,0)</f>
        <v>0</v>
      </c>
      <c r="M207" s="46">
        <f>IF(D207,Dose!G209,0)</f>
        <v>0</v>
      </c>
      <c r="O207">
        <f t="shared" si="33"/>
        <v>0</v>
      </c>
      <c r="P207">
        <f t="shared" si="34"/>
        <v>0</v>
      </c>
      <c r="Q207">
        <f t="shared" si="35"/>
        <v>0</v>
      </c>
    </row>
    <row r="208" spans="1:17" x14ac:dyDescent="0.4">
      <c r="A208">
        <f>Dose!B210</f>
        <v>48.412932157144837</v>
      </c>
      <c r="B208" t="b">
        <f t="shared" si="30"/>
        <v>0</v>
      </c>
      <c r="C208">
        <f t="shared" si="31"/>
        <v>0</v>
      </c>
      <c r="D208">
        <f t="shared" si="31"/>
        <v>0</v>
      </c>
      <c r="E208">
        <f t="shared" si="31"/>
        <v>0</v>
      </c>
      <c r="G208" s="46">
        <f t="shared" si="32"/>
        <v>0</v>
      </c>
      <c r="H208" s="46">
        <f t="shared" si="28"/>
        <v>0</v>
      </c>
      <c r="I208" s="46">
        <f t="shared" si="29"/>
        <v>0</v>
      </c>
      <c r="K208" s="46">
        <f>IF(B208,Dose!E210,0)</f>
        <v>0</v>
      </c>
      <c r="L208" s="46">
        <f>IF(C208,Dose!F210,0)</f>
        <v>0</v>
      </c>
      <c r="M208" s="46">
        <f>IF(D208,Dose!G210,0)</f>
        <v>0</v>
      </c>
      <c r="O208">
        <f t="shared" si="33"/>
        <v>0</v>
      </c>
      <c r="P208">
        <f t="shared" si="34"/>
        <v>0</v>
      </c>
      <c r="Q208">
        <f t="shared" si="35"/>
        <v>0</v>
      </c>
    </row>
    <row r="209" spans="1:17" x14ac:dyDescent="0.4">
      <c r="A209">
        <f>Dose!B211</f>
        <v>50.111250752279112</v>
      </c>
      <c r="B209" t="b">
        <f t="shared" si="30"/>
        <v>0</v>
      </c>
      <c r="C209">
        <f t="shared" si="31"/>
        <v>0</v>
      </c>
      <c r="D209">
        <f t="shared" si="31"/>
        <v>0</v>
      </c>
      <c r="E209">
        <f t="shared" si="31"/>
        <v>0</v>
      </c>
      <c r="G209" s="46">
        <f t="shared" si="32"/>
        <v>0</v>
      </c>
      <c r="H209" s="46">
        <f t="shared" si="28"/>
        <v>0</v>
      </c>
      <c r="I209" s="46">
        <f t="shared" si="29"/>
        <v>0</v>
      </c>
      <c r="K209" s="46">
        <f>IF(B209,Dose!E211,0)</f>
        <v>0</v>
      </c>
      <c r="L209" s="46">
        <f>IF(C209,Dose!F211,0)</f>
        <v>0</v>
      </c>
      <c r="M209" s="46">
        <f>IF(D209,Dose!G211,0)</f>
        <v>0</v>
      </c>
      <c r="O209">
        <f t="shared" si="33"/>
        <v>0</v>
      </c>
      <c r="P209">
        <f t="shared" si="34"/>
        <v>0</v>
      </c>
      <c r="Q209">
        <f t="shared" si="35"/>
        <v>0</v>
      </c>
    </row>
    <row r="210" spans="1:17" x14ac:dyDescent="0.4">
      <c r="A210">
        <f>Dose!B212</f>
        <v>51.869146115893713</v>
      </c>
      <c r="B210" t="b">
        <f t="shared" si="30"/>
        <v>0</v>
      </c>
      <c r="C210">
        <f t="shared" si="31"/>
        <v>0</v>
      </c>
      <c r="D210">
        <f t="shared" si="31"/>
        <v>0</v>
      </c>
      <c r="E210">
        <f t="shared" si="31"/>
        <v>0</v>
      </c>
      <c r="G210" s="46">
        <f t="shared" si="32"/>
        <v>0</v>
      </c>
      <c r="H210" s="46">
        <f t="shared" si="28"/>
        <v>0</v>
      </c>
      <c r="I210" s="46">
        <f t="shared" si="29"/>
        <v>0</v>
      </c>
      <c r="K210" s="46">
        <f>IF(B210,Dose!E212,0)</f>
        <v>0</v>
      </c>
      <c r="L210" s="46">
        <f>IF(C210,Dose!F212,0)</f>
        <v>0</v>
      </c>
      <c r="M210" s="46">
        <f>IF(D210,Dose!G212,0)</f>
        <v>0</v>
      </c>
      <c r="O210">
        <f t="shared" si="33"/>
        <v>0</v>
      </c>
      <c r="P210">
        <f t="shared" si="34"/>
        <v>0</v>
      </c>
      <c r="Q210">
        <f t="shared" si="35"/>
        <v>0</v>
      </c>
    </row>
    <row r="211" spans="1:17" x14ac:dyDescent="0.4">
      <c r="A211">
        <f>Dose!B213</f>
        <v>53.688708192332818</v>
      </c>
      <c r="B211" t="b">
        <f t="shared" si="30"/>
        <v>0</v>
      </c>
      <c r="C211">
        <f t="shared" si="31"/>
        <v>0</v>
      </c>
      <c r="D211">
        <f t="shared" si="31"/>
        <v>0</v>
      </c>
      <c r="E211">
        <f t="shared" si="31"/>
        <v>0</v>
      </c>
      <c r="G211" s="46">
        <f t="shared" si="32"/>
        <v>0</v>
      </c>
      <c r="H211" s="46">
        <f t="shared" si="28"/>
        <v>0</v>
      </c>
      <c r="I211" s="46">
        <f t="shared" si="29"/>
        <v>0</v>
      </c>
      <c r="K211" s="46">
        <f>IF(B211,Dose!E213,0)</f>
        <v>0</v>
      </c>
      <c r="L211" s="46">
        <f>IF(C211,Dose!F213,0)</f>
        <v>0</v>
      </c>
      <c r="M211" s="46">
        <f>IF(D211,Dose!G213,0)</f>
        <v>0</v>
      </c>
      <c r="O211">
        <f t="shared" si="33"/>
        <v>0</v>
      </c>
      <c r="P211">
        <f t="shared" si="34"/>
        <v>0</v>
      </c>
      <c r="Q211">
        <f t="shared" si="35"/>
        <v>0</v>
      </c>
    </row>
    <row r="212" spans="1:17" x14ac:dyDescent="0.4">
      <c r="A212">
        <f>Dose!B214</f>
        <v>55.572100240883238</v>
      </c>
      <c r="B212" t="b">
        <f t="shared" si="30"/>
        <v>0</v>
      </c>
      <c r="C212">
        <f t="shared" si="31"/>
        <v>0</v>
      </c>
      <c r="D212">
        <f t="shared" si="31"/>
        <v>0</v>
      </c>
      <c r="E212">
        <f t="shared" si="31"/>
        <v>0</v>
      </c>
      <c r="G212" s="46">
        <f t="shared" si="32"/>
        <v>0</v>
      </c>
      <c r="H212" s="46">
        <f t="shared" si="28"/>
        <v>0</v>
      </c>
      <c r="I212" s="46">
        <f t="shared" si="29"/>
        <v>0</v>
      </c>
      <c r="K212" s="46">
        <f>IF(B212,Dose!E214,0)</f>
        <v>0</v>
      </c>
      <c r="L212" s="46">
        <f>IF(C212,Dose!F214,0)</f>
        <v>0</v>
      </c>
      <c r="M212" s="46">
        <f>IF(D212,Dose!G214,0)</f>
        <v>0</v>
      </c>
      <c r="O212">
        <f t="shared" si="33"/>
        <v>0</v>
      </c>
      <c r="P212">
        <f t="shared" si="34"/>
        <v>0</v>
      </c>
      <c r="Q212">
        <f t="shared" si="35"/>
        <v>0</v>
      </c>
    </row>
    <row r="213" spans="1:17" x14ac:dyDescent="0.4">
      <c r="A213">
        <f>Dose!B215</f>
        <v>57.521561407651888</v>
      </c>
      <c r="B213" t="b">
        <f t="shared" si="30"/>
        <v>0</v>
      </c>
      <c r="C213">
        <f t="shared" si="31"/>
        <v>0</v>
      </c>
      <c r="D213">
        <f t="shared" si="31"/>
        <v>0</v>
      </c>
      <c r="E213">
        <f t="shared" si="31"/>
        <v>0</v>
      </c>
      <c r="G213" s="46">
        <f t="shared" si="32"/>
        <v>0</v>
      </c>
      <c r="H213" s="46">
        <f t="shared" si="28"/>
        <v>0</v>
      </c>
      <c r="I213" s="46">
        <f t="shared" si="29"/>
        <v>0</v>
      </c>
      <c r="K213" s="46">
        <f>IF(B213,Dose!E215,0)</f>
        <v>0</v>
      </c>
      <c r="L213" s="46">
        <f>IF(C213,Dose!F215,0)</f>
        <v>0</v>
      </c>
      <c r="M213" s="46">
        <f>IF(D213,Dose!G215,0)</f>
        <v>0</v>
      </c>
      <c r="O213">
        <f t="shared" si="33"/>
        <v>0</v>
      </c>
      <c r="P213">
        <f t="shared" si="34"/>
        <v>0</v>
      </c>
      <c r="Q213">
        <f t="shared" si="35"/>
        <v>0</v>
      </c>
    </row>
    <row r="214" spans="1:17" x14ac:dyDescent="0.4">
      <c r="A214">
        <f>Dose!B216</f>
        <v>59.539409387664335</v>
      </c>
      <c r="B214" t="b">
        <f t="shared" si="30"/>
        <v>0</v>
      </c>
      <c r="C214">
        <f t="shared" si="31"/>
        <v>0</v>
      </c>
      <c r="D214">
        <f t="shared" si="31"/>
        <v>0</v>
      </c>
      <c r="E214">
        <f t="shared" si="31"/>
        <v>0</v>
      </c>
      <c r="G214" s="46">
        <f t="shared" si="32"/>
        <v>0</v>
      </c>
      <c r="H214" s="46">
        <f t="shared" si="28"/>
        <v>0</v>
      </c>
      <c r="I214" s="46">
        <f t="shared" si="29"/>
        <v>0</v>
      </c>
      <c r="K214" s="46">
        <f>IF(B214,Dose!E216,0)</f>
        <v>0</v>
      </c>
      <c r="L214" s="46">
        <f>IF(C214,Dose!F216,0)</f>
        <v>0</v>
      </c>
      <c r="M214" s="46">
        <f>IF(D214,Dose!G216,0)</f>
        <v>0</v>
      </c>
      <c r="O214">
        <f t="shared" si="33"/>
        <v>0</v>
      </c>
      <c r="P214">
        <f t="shared" si="34"/>
        <v>0</v>
      </c>
      <c r="Q214">
        <f t="shared" si="35"/>
        <v>0</v>
      </c>
    </row>
    <row r="215" spans="1:17" x14ac:dyDescent="0.4">
      <c r="A215">
        <f>Dose!B217</f>
        <v>61.628043180349437</v>
      </c>
      <c r="B215" t="b">
        <f t="shared" si="30"/>
        <v>0</v>
      </c>
      <c r="C215">
        <f t="shared" si="31"/>
        <v>0</v>
      </c>
      <c r="D215">
        <f t="shared" si="31"/>
        <v>0</v>
      </c>
      <c r="E215">
        <f t="shared" si="31"/>
        <v>0</v>
      </c>
      <c r="G215" s="46">
        <f t="shared" si="32"/>
        <v>0</v>
      </c>
      <c r="H215" s="46">
        <f t="shared" si="28"/>
        <v>0</v>
      </c>
      <c r="I215" s="46">
        <f t="shared" si="29"/>
        <v>0</v>
      </c>
      <c r="K215" s="46">
        <f>IF(B215,Dose!E217,0)</f>
        <v>0</v>
      </c>
      <c r="L215" s="46">
        <f>IF(C215,Dose!F217,0)</f>
        <v>0</v>
      </c>
      <c r="M215" s="46">
        <f>IF(D215,Dose!G217,0)</f>
        <v>0</v>
      </c>
      <c r="O215">
        <f t="shared" si="33"/>
        <v>0</v>
      </c>
      <c r="P215">
        <f t="shared" si="34"/>
        <v>0</v>
      </c>
      <c r="Q215">
        <f t="shared" si="35"/>
        <v>0</v>
      </c>
    </row>
    <row r="216" spans="1:17" x14ac:dyDescent="0.4">
      <c r="A216">
        <f>Dose!B218</f>
        <v>63.789945941685907</v>
      </c>
      <c r="B216" t="b">
        <f t="shared" si="30"/>
        <v>0</v>
      </c>
      <c r="C216">
        <f t="shared" si="31"/>
        <v>0</v>
      </c>
      <c r="D216">
        <f t="shared" si="31"/>
        <v>0</v>
      </c>
      <c r="E216">
        <f t="shared" si="31"/>
        <v>0</v>
      </c>
      <c r="G216" s="46">
        <f t="shared" si="32"/>
        <v>0</v>
      </c>
      <c r="H216" s="46">
        <f t="shared" si="28"/>
        <v>0</v>
      </c>
      <c r="I216" s="46">
        <f t="shared" si="29"/>
        <v>0</v>
      </c>
      <c r="K216" s="46">
        <f>IF(B216,Dose!E218,0)</f>
        <v>0</v>
      </c>
      <c r="L216" s="46">
        <f>IF(C216,Dose!F218,0)</f>
        <v>0</v>
      </c>
      <c r="M216" s="46">
        <f>IF(D216,Dose!G218,0)</f>
        <v>0</v>
      </c>
      <c r="O216">
        <f t="shared" si="33"/>
        <v>0</v>
      </c>
      <c r="P216">
        <f t="shared" si="34"/>
        <v>0</v>
      </c>
      <c r="Q216">
        <f t="shared" si="35"/>
        <v>0</v>
      </c>
    </row>
    <row r="217" spans="1:17" x14ac:dyDescent="0.4">
      <c r="A217">
        <f>Dose!B219</f>
        <v>66.027687936401847</v>
      </c>
      <c r="B217" t="b">
        <f t="shared" si="30"/>
        <v>0</v>
      </c>
      <c r="C217">
        <f t="shared" si="31"/>
        <v>0</v>
      </c>
      <c r="D217">
        <f t="shared" si="31"/>
        <v>0</v>
      </c>
      <c r="E217">
        <f t="shared" si="31"/>
        <v>0</v>
      </c>
      <c r="G217" s="46">
        <f t="shared" si="32"/>
        <v>0</v>
      </c>
      <c r="H217" s="46">
        <f t="shared" si="28"/>
        <v>0</v>
      </c>
      <c r="I217" s="46">
        <f t="shared" si="29"/>
        <v>0</v>
      </c>
      <c r="K217" s="46">
        <f>IF(B217,Dose!E219,0)</f>
        <v>0</v>
      </c>
      <c r="L217" s="46">
        <f>IF(C217,Dose!F219,0)</f>
        <v>0</v>
      </c>
      <c r="M217" s="46">
        <f>IF(D217,Dose!G219,0)</f>
        <v>0</v>
      </c>
      <c r="O217">
        <f t="shared" si="33"/>
        <v>0</v>
      </c>
      <c r="P217">
        <f t="shared" si="34"/>
        <v>0</v>
      </c>
      <c r="Q217">
        <f t="shared" si="35"/>
        <v>0</v>
      </c>
    </row>
    <row r="218" spans="1:17" x14ac:dyDescent="0.4">
      <c r="A218">
        <f>Dose!B220</f>
        <v>68.343929593736917</v>
      </c>
      <c r="B218" t="b">
        <f t="shared" si="30"/>
        <v>0</v>
      </c>
      <c r="C218">
        <f t="shared" si="31"/>
        <v>0</v>
      </c>
      <c r="D218">
        <f t="shared" si="31"/>
        <v>0</v>
      </c>
      <c r="E218">
        <f t="shared" si="31"/>
        <v>0</v>
      </c>
      <c r="G218" s="46">
        <f t="shared" si="32"/>
        <v>0</v>
      </c>
      <c r="H218" s="46">
        <f t="shared" si="28"/>
        <v>0</v>
      </c>
      <c r="I218" s="46">
        <f t="shared" si="29"/>
        <v>0</v>
      </c>
      <c r="K218" s="46">
        <f>IF(B218,Dose!E220,0)</f>
        <v>0</v>
      </c>
      <c r="L218" s="46">
        <f>IF(C218,Dose!F220,0)</f>
        <v>0</v>
      </c>
      <c r="M218" s="46">
        <f>IF(D218,Dose!G220,0)</f>
        <v>0</v>
      </c>
      <c r="O218">
        <f t="shared" si="33"/>
        <v>0</v>
      </c>
      <c r="P218">
        <f t="shared" si="34"/>
        <v>0</v>
      </c>
      <c r="Q218">
        <f t="shared" si="35"/>
        <v>0</v>
      </c>
    </row>
    <row r="219" spans="1:17" x14ac:dyDescent="0.4">
      <c r="A219">
        <f>Dose!B221</f>
        <v>70.741424670400278</v>
      </c>
      <c r="B219" t="b">
        <f t="shared" si="30"/>
        <v>0</v>
      </c>
      <c r="C219">
        <f t="shared" si="31"/>
        <v>0</v>
      </c>
      <c r="D219">
        <f t="shared" si="31"/>
        <v>0</v>
      </c>
      <c r="E219">
        <f t="shared" si="31"/>
        <v>0</v>
      </c>
      <c r="G219" s="46">
        <f t="shared" si="32"/>
        <v>0</v>
      </c>
      <c r="H219" s="46">
        <f t="shared" si="28"/>
        <v>0</v>
      </c>
      <c r="I219" s="46">
        <f t="shared" si="29"/>
        <v>0</v>
      </c>
      <c r="K219" s="46">
        <f>IF(B219,Dose!E221,0)</f>
        <v>0</v>
      </c>
      <c r="L219" s="46">
        <f>IF(C219,Dose!F221,0)</f>
        <v>0</v>
      </c>
      <c r="M219" s="46">
        <f>IF(D219,Dose!G221,0)</f>
        <v>0</v>
      </c>
      <c r="O219">
        <f t="shared" si="33"/>
        <v>0</v>
      </c>
      <c r="P219">
        <f t="shared" si="34"/>
        <v>0</v>
      </c>
      <c r="Q219">
        <f t="shared" si="35"/>
        <v>0</v>
      </c>
    </row>
    <row r="220" spans="1:17" x14ac:dyDescent="0.4">
      <c r="A220">
        <f>Dose!B222</f>
        <v>73.223023524484603</v>
      </c>
      <c r="B220" t="b">
        <f t="shared" si="30"/>
        <v>0</v>
      </c>
      <c r="C220">
        <f t="shared" si="31"/>
        <v>0</v>
      </c>
      <c r="D220">
        <f t="shared" si="31"/>
        <v>0</v>
      </c>
      <c r="E220">
        <f t="shared" si="31"/>
        <v>0</v>
      </c>
      <c r="G220" s="46">
        <f t="shared" si="32"/>
        <v>0</v>
      </c>
      <c r="H220" s="46">
        <f t="shared" si="28"/>
        <v>0</v>
      </c>
      <c r="I220" s="46">
        <f t="shared" si="29"/>
        <v>0</v>
      </c>
      <c r="K220" s="46">
        <f>IF(B220,Dose!E222,0)</f>
        <v>0</v>
      </c>
      <c r="L220" s="46">
        <f>IF(C220,Dose!F222,0)</f>
        <v>0</v>
      </c>
      <c r="M220" s="46">
        <f>IF(D220,Dose!G222,0)</f>
        <v>0</v>
      </c>
      <c r="O220">
        <f t="shared" si="33"/>
        <v>0</v>
      </c>
      <c r="P220">
        <f t="shared" si="34"/>
        <v>0</v>
      </c>
      <c r="Q220">
        <f t="shared" si="35"/>
        <v>0</v>
      </c>
    </row>
    <row r="221" spans="1:17" x14ac:dyDescent="0.4">
      <c r="A221">
        <f>Dose!B223</f>
        <v>75.791676504228477</v>
      </c>
      <c r="B221" t="b">
        <f t="shared" si="30"/>
        <v>0</v>
      </c>
      <c r="C221">
        <f t="shared" si="31"/>
        <v>0</v>
      </c>
      <c r="D221">
        <f t="shared" si="31"/>
        <v>0</v>
      </c>
      <c r="E221">
        <f t="shared" si="31"/>
        <v>0</v>
      </c>
      <c r="G221" s="46">
        <f t="shared" si="32"/>
        <v>0</v>
      </c>
      <c r="H221" s="46">
        <f t="shared" si="28"/>
        <v>0</v>
      </c>
      <c r="I221" s="46">
        <f t="shared" si="29"/>
        <v>0</v>
      </c>
      <c r="K221" s="46">
        <f>IF(B221,Dose!E223,0)</f>
        <v>0</v>
      </c>
      <c r="L221" s="46">
        <f>IF(C221,Dose!F223,0)</f>
        <v>0</v>
      </c>
      <c r="M221" s="46">
        <f>IF(D221,Dose!G223,0)</f>
        <v>0</v>
      </c>
      <c r="O221">
        <f t="shared" si="33"/>
        <v>0</v>
      </c>
      <c r="P221">
        <f t="shared" si="34"/>
        <v>0</v>
      </c>
      <c r="Q221">
        <f t="shared" si="35"/>
        <v>0</v>
      </c>
    </row>
    <row r="222" spans="1:17" x14ac:dyDescent="0.4">
      <c r="A222">
        <f>Dose!B224</f>
        <v>78.450437455656157</v>
      </c>
      <c r="B222" t="b">
        <f t="shared" si="30"/>
        <v>0</v>
      </c>
      <c r="C222">
        <f t="shared" si="31"/>
        <v>0</v>
      </c>
      <c r="D222">
        <f t="shared" si="31"/>
        <v>0</v>
      </c>
      <c r="E222">
        <f t="shared" si="31"/>
        <v>0</v>
      </c>
      <c r="G222" s="46">
        <f t="shared" si="32"/>
        <v>0</v>
      </c>
      <c r="H222" s="46">
        <f t="shared" si="28"/>
        <v>0</v>
      </c>
      <c r="I222" s="46">
        <f t="shared" si="29"/>
        <v>0</v>
      </c>
      <c r="K222" s="46">
        <f>IF(B222,Dose!E224,0)</f>
        <v>0</v>
      </c>
      <c r="L222" s="46">
        <f>IF(C222,Dose!F224,0)</f>
        <v>0</v>
      </c>
      <c r="M222" s="46">
        <f>IF(D222,Dose!G224,0)</f>
        <v>0</v>
      </c>
      <c r="O222">
        <f t="shared" si="33"/>
        <v>0</v>
      </c>
      <c r="P222">
        <f t="shared" si="34"/>
        <v>0</v>
      </c>
      <c r="Q222">
        <f t="shared" si="35"/>
        <v>0</v>
      </c>
    </row>
    <row r="223" spans="1:17" x14ac:dyDescent="0.4">
      <c r="A223">
        <f>Dose!B225</f>
        <v>81.20246735326478</v>
      </c>
      <c r="B223" t="b">
        <f t="shared" si="30"/>
        <v>0</v>
      </c>
      <c r="C223">
        <f t="shared" si="31"/>
        <v>0</v>
      </c>
      <c r="D223">
        <f t="shared" si="31"/>
        <v>0</v>
      </c>
      <c r="E223">
        <f t="shared" si="31"/>
        <v>0</v>
      </c>
      <c r="G223" s="46">
        <f t="shared" si="32"/>
        <v>0</v>
      </c>
      <c r="H223" s="46">
        <f t="shared" si="28"/>
        <v>0</v>
      </c>
      <c r="I223" s="46">
        <f t="shared" si="29"/>
        <v>0</v>
      </c>
      <c r="K223" s="46">
        <f>IF(B223,Dose!E225,0)</f>
        <v>0</v>
      </c>
      <c r="L223" s="46">
        <f>IF(C223,Dose!F225,0)</f>
        <v>0</v>
      </c>
      <c r="M223" s="46">
        <f>IF(D223,Dose!G225,0)</f>
        <v>0</v>
      </c>
      <c r="O223">
        <f t="shared" si="33"/>
        <v>0</v>
      </c>
      <c r="P223">
        <f t="shared" si="34"/>
        <v>0</v>
      </c>
      <c r="Q223">
        <f t="shared" si="35"/>
        <v>0</v>
      </c>
    </row>
    <row r="224" spans="1:17" x14ac:dyDescent="0.4">
      <c r="A224">
        <f>Dose!B226</f>
        <v>84.051038058075576</v>
      </c>
      <c r="B224" t="b">
        <f t="shared" si="30"/>
        <v>0</v>
      </c>
      <c r="C224">
        <f t="shared" si="31"/>
        <v>0</v>
      </c>
      <c r="D224">
        <f t="shared" si="31"/>
        <v>0</v>
      </c>
      <c r="E224">
        <f t="shared" si="31"/>
        <v>0</v>
      </c>
      <c r="G224" s="46">
        <f t="shared" si="32"/>
        <v>0</v>
      </c>
      <c r="H224" s="46">
        <f t="shared" si="28"/>
        <v>0</v>
      </c>
      <c r="I224" s="46">
        <f t="shared" si="29"/>
        <v>0</v>
      </c>
      <c r="K224" s="46">
        <f>IF(B224,Dose!E226,0)</f>
        <v>0</v>
      </c>
      <c r="L224" s="46">
        <f>IF(C224,Dose!F226,0)</f>
        <v>0</v>
      </c>
      <c r="M224" s="46">
        <f>IF(D224,Dose!G226,0)</f>
        <v>0</v>
      </c>
      <c r="O224">
        <f t="shared" si="33"/>
        <v>0</v>
      </c>
      <c r="P224">
        <f t="shared" si="34"/>
        <v>0</v>
      </c>
      <c r="Q224">
        <f t="shared" si="35"/>
        <v>0</v>
      </c>
    </row>
    <row r="225" spans="1:17" x14ac:dyDescent="0.4">
      <c r="A225">
        <f>Dose!B227</f>
        <v>86.999536207516897</v>
      </c>
      <c r="B225" t="b">
        <f t="shared" si="30"/>
        <v>0</v>
      </c>
      <c r="C225">
        <f t="shared" si="31"/>
        <v>0</v>
      </c>
      <c r="D225">
        <f t="shared" si="31"/>
        <v>0</v>
      </c>
      <c r="E225">
        <f t="shared" si="31"/>
        <v>0</v>
      </c>
      <c r="G225" s="46">
        <f t="shared" si="32"/>
        <v>0</v>
      </c>
      <c r="H225" s="46">
        <f t="shared" si="28"/>
        <v>0</v>
      </c>
      <c r="I225" s="46">
        <f t="shared" si="29"/>
        <v>0</v>
      </c>
      <c r="K225" s="46">
        <f>IF(B225,Dose!E227,0)</f>
        <v>0</v>
      </c>
      <c r="L225" s="46">
        <f>IF(C225,Dose!F227,0)</f>
        <v>0</v>
      </c>
      <c r="M225" s="46">
        <f>IF(D225,Dose!G227,0)</f>
        <v>0</v>
      </c>
      <c r="O225">
        <f t="shared" si="33"/>
        <v>0</v>
      </c>
      <c r="P225">
        <f t="shared" si="34"/>
        <v>0</v>
      </c>
      <c r="Q225">
        <f t="shared" si="35"/>
        <v>0</v>
      </c>
    </row>
    <row r="226" spans="1:17" x14ac:dyDescent="0.4">
      <c r="A226">
        <f>Dose!B228</f>
        <v>90.051467241763902</v>
      </c>
      <c r="B226" t="b">
        <f t="shared" si="30"/>
        <v>0</v>
      </c>
      <c r="C226">
        <f t="shared" si="31"/>
        <v>0</v>
      </c>
      <c r="D226">
        <f t="shared" si="31"/>
        <v>0</v>
      </c>
      <c r="E226">
        <f t="shared" si="31"/>
        <v>0</v>
      </c>
      <c r="G226" s="46">
        <f t="shared" si="32"/>
        <v>0</v>
      </c>
      <c r="H226" s="46">
        <f t="shared" si="28"/>
        <v>0</v>
      </c>
      <c r="I226" s="46">
        <f t="shared" si="29"/>
        <v>0</v>
      </c>
      <c r="K226" s="46">
        <f>IF(B226,Dose!E228,0)</f>
        <v>0</v>
      </c>
      <c r="L226" s="46">
        <f>IF(C226,Dose!F228,0)</f>
        <v>0</v>
      </c>
      <c r="M226" s="46">
        <f>IF(D226,Dose!G228,0)</f>
        <v>0</v>
      </c>
      <c r="O226">
        <f t="shared" si="33"/>
        <v>0</v>
      </c>
      <c r="P226">
        <f t="shared" si="34"/>
        <v>0</v>
      </c>
      <c r="Q226">
        <f t="shared" si="35"/>
        <v>0</v>
      </c>
    </row>
    <row r="227" spans="1:17" x14ac:dyDescent="0.4">
      <c r="A227">
        <f>Dose!B229</f>
        <v>93.210459571321536</v>
      </c>
      <c r="B227" t="b">
        <f t="shared" si="30"/>
        <v>0</v>
      </c>
      <c r="C227">
        <f t="shared" si="31"/>
        <v>0</v>
      </c>
      <c r="D227">
        <f t="shared" si="31"/>
        <v>0</v>
      </c>
      <c r="E227">
        <f t="shared" si="31"/>
        <v>0</v>
      </c>
      <c r="G227" s="46">
        <f t="shared" si="32"/>
        <v>0</v>
      </c>
      <c r="H227" s="46">
        <f t="shared" si="28"/>
        <v>0</v>
      </c>
      <c r="I227" s="46">
        <f t="shared" si="29"/>
        <v>0</v>
      </c>
      <c r="K227" s="46">
        <f>IF(B227,Dose!E229,0)</f>
        <v>0</v>
      </c>
      <c r="L227" s="46">
        <f>IF(C227,Dose!F229,0)</f>
        <v>0</v>
      </c>
      <c r="M227" s="46">
        <f>IF(D227,Dose!G229,0)</f>
        <v>0</v>
      </c>
      <c r="O227">
        <f t="shared" si="33"/>
        <v>0</v>
      </c>
      <c r="P227">
        <f t="shared" si="34"/>
        <v>0</v>
      </c>
      <c r="Q227">
        <f t="shared" si="35"/>
        <v>0</v>
      </c>
    </row>
    <row r="228" spans="1:17" x14ac:dyDescent="0.4">
      <c r="A228">
        <f>Dose!B230</f>
        <v>96.480268890805732</v>
      </c>
      <c r="B228" t="b">
        <f t="shared" si="30"/>
        <v>0</v>
      </c>
      <c r="C228">
        <f t="shared" si="31"/>
        <v>0</v>
      </c>
      <c r="D228">
        <f t="shared" si="31"/>
        <v>0</v>
      </c>
      <c r="E228">
        <f t="shared" si="31"/>
        <v>0</v>
      </c>
      <c r="G228" s="46">
        <f t="shared" si="32"/>
        <v>0</v>
      </c>
      <c r="H228" s="46">
        <f t="shared" si="28"/>
        <v>0</v>
      </c>
      <c r="I228" s="46">
        <f t="shared" si="29"/>
        <v>0</v>
      </c>
      <c r="K228" s="46">
        <f>IF(B228,Dose!E230,0)</f>
        <v>0</v>
      </c>
      <c r="L228" s="46">
        <f>IF(C228,Dose!F230,0)</f>
        <v>0</v>
      </c>
      <c r="M228" s="46">
        <f>IF(D228,Dose!G230,0)</f>
        <v>0</v>
      </c>
      <c r="O228">
        <f t="shared" si="33"/>
        <v>0</v>
      </c>
      <c r="P228">
        <f t="shared" si="34"/>
        <v>0</v>
      </c>
      <c r="Q228">
        <f t="shared" si="35"/>
        <v>0</v>
      </c>
    </row>
    <row r="229" spans="1:17" x14ac:dyDescent="0.4">
      <c r="A229">
        <f>Dose!B231</f>
        <v>99.86478264405153</v>
      </c>
      <c r="B229" t="b">
        <f t="shared" si="30"/>
        <v>0</v>
      </c>
      <c r="C229">
        <f t="shared" si="31"/>
        <v>0</v>
      </c>
      <c r="D229">
        <f t="shared" si="31"/>
        <v>0</v>
      </c>
      <c r="E229">
        <f t="shared" si="31"/>
        <v>0</v>
      </c>
      <c r="G229" s="46">
        <f t="shared" si="28"/>
        <v>0</v>
      </c>
      <c r="H229" s="46">
        <f t="shared" si="28"/>
        <v>0</v>
      </c>
      <c r="I229" s="46">
        <f t="shared" si="29"/>
        <v>0</v>
      </c>
      <c r="K229" s="46">
        <f>IF(B229,Dose!E231,0)</f>
        <v>0</v>
      </c>
      <c r="L229" s="46">
        <f>IF(C229,Dose!F231,0)</f>
        <v>0</v>
      </c>
      <c r="M229" s="46">
        <f>IF(D229,Dose!G231,0)</f>
        <v>0</v>
      </c>
      <c r="O229">
        <f t="shared" si="33"/>
        <v>0</v>
      </c>
      <c r="P229">
        <f t="shared" si="34"/>
        <v>0</v>
      </c>
      <c r="Q229">
        <f t="shared" si="35"/>
        <v>0</v>
      </c>
    </row>
    <row r="230" spans="1:17" x14ac:dyDescent="0.4">
      <c r="A230">
        <f>Dose!B232</f>
        <v>103.36802464585627</v>
      </c>
      <c r="B230" t="b">
        <f t="shared" si="30"/>
        <v>1</v>
      </c>
      <c r="C230">
        <f t="shared" si="31"/>
        <v>186.34935655203006</v>
      </c>
      <c r="D230">
        <f t="shared" si="31"/>
        <v>186.34935655203006</v>
      </c>
      <c r="E230">
        <f t="shared" si="31"/>
        <v>186.34935655203006</v>
      </c>
      <c r="G230" s="46">
        <f t="shared" si="32"/>
        <v>2.7923970151687183E-2</v>
      </c>
      <c r="H230" s="46">
        <f t="shared" si="28"/>
        <v>4.7706788345487694E-2</v>
      </c>
      <c r="I230" s="46">
        <f t="shared" si="29"/>
        <v>5.397452426303545E-2</v>
      </c>
      <c r="K230" s="46">
        <f>IF(B230,Dose!E232,0)</f>
        <v>0.58110387488785609</v>
      </c>
      <c r="L230" s="46">
        <f>IF(C230,Dose!F232,0)</f>
        <v>0.58110387488785609</v>
      </c>
      <c r="M230" s="46">
        <f>IF(D230,Dose!G232,0)</f>
        <v>0.58110387488785609</v>
      </c>
      <c r="O230">
        <f t="shared" si="33"/>
        <v>1.6226727257398255E-2</v>
      </c>
      <c r="P230">
        <f t="shared" si="34"/>
        <v>2.7722599566017712E-2</v>
      </c>
      <c r="Q230">
        <f t="shared" si="35"/>
        <v>3.1364805194478505E-2</v>
      </c>
    </row>
    <row r="231" spans="1:17" x14ac:dyDescent="0.4">
      <c r="A231">
        <f>Dose!B233</f>
        <v>106.99415986585336</v>
      </c>
      <c r="B231" t="b">
        <f t="shared" si="30"/>
        <v>1</v>
      </c>
      <c r="C231">
        <f t="shared" si="31"/>
        <v>192.88646478576277</v>
      </c>
      <c r="D231">
        <f t="shared" si="31"/>
        <v>192.88646478576277</v>
      </c>
      <c r="E231">
        <f t="shared" si="31"/>
        <v>192.88646478576277</v>
      </c>
      <c r="G231" s="46">
        <f t="shared" si="32"/>
        <v>2.4770888765162584E-2</v>
      </c>
      <c r="H231" s="46">
        <f t="shared" si="28"/>
        <v>4.2297064455143987E-2</v>
      </c>
      <c r="I231" s="46">
        <f t="shared" si="29"/>
        <v>4.7849834530328386E-2</v>
      </c>
      <c r="K231" s="46">
        <f>IF(B231,Dose!E233,0)</f>
        <v>0.57073496978817806</v>
      </c>
      <c r="L231" s="46">
        <f>IF(C231,Dose!F233,0)</f>
        <v>0.57073496978817806</v>
      </c>
      <c r="M231" s="46">
        <f>IF(D231,Dose!G233,0)</f>
        <v>0.57073496978817806</v>
      </c>
      <c r="O231">
        <f t="shared" si="33"/>
        <v>1.4137612451011387E-2</v>
      </c>
      <c r="P231">
        <f t="shared" si="34"/>
        <v>2.4140413803935223E-2</v>
      </c>
      <c r="Q231">
        <f t="shared" si="35"/>
        <v>2.7309573865036289E-2</v>
      </c>
    </row>
    <row r="232" spans="1:17" x14ac:dyDescent="0.4">
      <c r="A232">
        <f>Dose!B234</f>
        <v>110.74749938020311</v>
      </c>
      <c r="B232" t="b">
        <f t="shared" si="30"/>
        <v>1</v>
      </c>
      <c r="C232">
        <f t="shared" si="31"/>
        <v>199.65289382236932</v>
      </c>
      <c r="D232">
        <f t="shared" si="31"/>
        <v>199.65289382236932</v>
      </c>
      <c r="E232">
        <f t="shared" si="31"/>
        <v>199.65289382236932</v>
      </c>
      <c r="G232" s="46">
        <f t="shared" si="32"/>
        <v>2.1870495544404973E-2</v>
      </c>
      <c r="H232" s="46">
        <f t="shared" si="28"/>
        <v>3.7316542295067055E-2</v>
      </c>
      <c r="I232" s="46">
        <f t="shared" si="29"/>
        <v>4.2210270835401381E-2</v>
      </c>
      <c r="K232" s="46">
        <f>IF(B232,Dose!E234,0)</f>
        <v>0.56030598282075239</v>
      </c>
      <c r="L232" s="46">
        <f>IF(C232,Dose!F234,0)</f>
        <v>0.56030598282075239</v>
      </c>
      <c r="M232" s="46">
        <f>IF(D232,Dose!G234,0)</f>
        <v>0.56030598282075239</v>
      </c>
      <c r="O232">
        <f t="shared" si="33"/>
        <v>1.2254169500784715E-2</v>
      </c>
      <c r="P232">
        <f t="shared" si="34"/>
        <v>2.090868190610972E-2</v>
      </c>
      <c r="Q232">
        <f t="shared" si="35"/>
        <v>2.3650667285559712E-2</v>
      </c>
    </row>
    <row r="233" spans="1:17" x14ac:dyDescent="0.4">
      <c r="A233">
        <f>Dose!B235</f>
        <v>114.63250549698837</v>
      </c>
      <c r="B233" t="b">
        <f t="shared" si="30"/>
        <v>1</v>
      </c>
      <c r="C233">
        <f t="shared" si="31"/>
        <v>206.65668820214958</v>
      </c>
      <c r="D233">
        <f t="shared" si="31"/>
        <v>206.65668820214958</v>
      </c>
      <c r="E233">
        <f t="shared" si="31"/>
        <v>206.65668820214958</v>
      </c>
      <c r="G233" s="46">
        <f t="shared" si="32"/>
        <v>1.921676362979265E-2</v>
      </c>
      <c r="H233" s="46">
        <f t="shared" si="28"/>
        <v>3.2756581443403508E-2</v>
      </c>
      <c r="I233" s="46">
        <f t="shared" si="29"/>
        <v>3.7046364708662266E-2</v>
      </c>
      <c r="K233" s="46">
        <f>IF(B233,Dose!E235,0)</f>
        <v>0.54982704860820908</v>
      </c>
      <c r="L233" s="46">
        <f>IF(C233,Dose!F235,0)</f>
        <v>0.54982704860820908</v>
      </c>
      <c r="M233" s="46">
        <f>IF(D233,Dose!G235,0)</f>
        <v>0.54982704860820908</v>
      </c>
      <c r="O233">
        <f t="shared" si="33"/>
        <v>1.0565896430370468E-2</v>
      </c>
      <c r="P233">
        <f t="shared" si="34"/>
        <v>1.8010454497520981E-2</v>
      </c>
      <c r="Q233">
        <f t="shared" si="35"/>
        <v>2.0369093369427087E-2</v>
      </c>
    </row>
    <row r="234" spans="1:17" x14ac:dyDescent="0.4">
      <c r="A234">
        <f>Dose!B236</f>
        <v>118.65379706140838</v>
      </c>
      <c r="B234" t="b">
        <f t="shared" si="30"/>
        <v>1</v>
      </c>
      <c r="C234">
        <f t="shared" si="31"/>
        <v>213.90617466670315</v>
      </c>
      <c r="D234">
        <f t="shared" si="31"/>
        <v>213.90617466670315</v>
      </c>
      <c r="E234">
        <f t="shared" si="31"/>
        <v>213.90617466670315</v>
      </c>
      <c r="G234" s="46">
        <f t="shared" si="32"/>
        <v>1.6801967442328026E-2</v>
      </c>
      <c r="H234" s="46">
        <f t="shared" si="28"/>
        <v>2.8605307520861312E-2</v>
      </c>
      <c r="I234" s="46">
        <f t="shared" si="29"/>
        <v>3.2344927317824214E-2</v>
      </c>
      <c r="K234" s="46">
        <f>IF(B234,Dose!E236,0)</f>
        <v>0.53930817933706132</v>
      </c>
      <c r="L234" s="46">
        <f>IF(C234,Dose!F236,0)</f>
        <v>0.53930817933706132</v>
      </c>
      <c r="M234" s="46">
        <f>IF(D234,Dose!G236,0)</f>
        <v>0.53930817933706132</v>
      </c>
      <c r="O234">
        <f t="shared" si="33"/>
        <v>9.0614384706025081E-3</v>
      </c>
      <c r="P234">
        <f t="shared" si="34"/>
        <v>1.5427076318452462E-2</v>
      </c>
      <c r="Q234">
        <f t="shared" si="35"/>
        <v>1.7443883862565356E-2</v>
      </c>
    </row>
    <row r="235" spans="1:17" x14ac:dyDescent="0.4">
      <c r="A235">
        <f>Dose!B237</f>
        <v>122.81615494707791</v>
      </c>
      <c r="B235" t="b">
        <f t="shared" si="30"/>
        <v>1</v>
      </c>
      <c r="C235">
        <f t="shared" si="31"/>
        <v>221.40997205850982</v>
      </c>
      <c r="D235">
        <f t="shared" si="31"/>
        <v>221.40997205850982</v>
      </c>
      <c r="E235">
        <f t="shared" si="31"/>
        <v>221.40997205850982</v>
      </c>
      <c r="G235" s="46">
        <f t="shared" si="32"/>
        <v>1.4616853205183739E-2</v>
      </c>
      <c r="H235" s="46">
        <f t="shared" si="28"/>
        <v>2.4847936469196138E-2</v>
      </c>
      <c r="I235" s="46">
        <f t="shared" si="29"/>
        <v>2.8089422460780888E-2</v>
      </c>
      <c r="K235" s="46">
        <f>IF(B235,Dose!E237,0)</f>
        <v>0.5287592497020932</v>
      </c>
      <c r="L235" s="46">
        <f>IF(C235,Dose!F237,0)</f>
        <v>0.5287592497020932</v>
      </c>
      <c r="M235" s="46">
        <f>IF(D235,Dose!G237,0)</f>
        <v>0.5287592497020932</v>
      </c>
      <c r="O235">
        <f t="shared" si="33"/>
        <v>7.7287963337785903E-3</v>
      </c>
      <c r="P235">
        <f t="shared" si="34"/>
        <v>1.3138576244097429E-2</v>
      </c>
      <c r="Q235">
        <f t="shared" si="35"/>
        <v>1.4852541944927628E-2</v>
      </c>
    </row>
    <row r="236" spans="1:17" x14ac:dyDescent="0.4">
      <c r="A236">
        <f>Dose!B238</f>
        <v>127.12452773996046</v>
      </c>
      <c r="B236" t="b">
        <f t="shared" si="30"/>
        <v>1</v>
      </c>
      <c r="C236">
        <f t="shared" ref="C236:E267" si="36">IF($B236,$A236*SQRT(C$7),0)</f>
        <v>229.17700156778585</v>
      </c>
      <c r="D236">
        <f t="shared" si="36"/>
        <v>229.17700156778585</v>
      </c>
      <c r="E236">
        <f t="shared" si="36"/>
        <v>229.17700156778585</v>
      </c>
      <c r="G236" s="46">
        <f t="shared" si="32"/>
        <v>1.2650838489929388E-2</v>
      </c>
      <c r="H236" s="46">
        <f t="shared" si="28"/>
        <v>2.1467148528594424E-2</v>
      </c>
      <c r="I236" s="46">
        <f t="shared" si="29"/>
        <v>2.4260395807533402E-2</v>
      </c>
      <c r="K236" s="46">
        <f>IF(B236,Dose!E238,0)</f>
        <v>0.51818998243329251</v>
      </c>
      <c r="L236" s="46">
        <f>IF(C236,Dose!F238,0)</f>
        <v>0.51818998243329251</v>
      </c>
      <c r="M236" s="46">
        <f>IF(D236,Dose!G238,0)</f>
        <v>0.51818998243329251</v>
      </c>
      <c r="O236">
        <f t="shared" si="33"/>
        <v>6.5555377748629301E-3</v>
      </c>
      <c r="P236">
        <f t="shared" si="34"/>
        <v>1.1124061318925226E-2</v>
      </c>
      <c r="Q236">
        <f t="shared" si="35"/>
        <v>1.2571494077330457E-2</v>
      </c>
    </row>
    <row r="237" spans="1:17" x14ac:dyDescent="0.4">
      <c r="A237">
        <f>Dose!B239</f>
        <v>131.584037621693</v>
      </c>
      <c r="B237" t="b">
        <f t="shared" si="30"/>
        <v>1</v>
      </c>
      <c r="C237">
        <f t="shared" si="36"/>
        <v>237.21649733879838</v>
      </c>
      <c r="D237">
        <f t="shared" si="36"/>
        <v>237.21649733879838</v>
      </c>
      <c r="E237">
        <f t="shared" si="36"/>
        <v>237.21649733879838</v>
      </c>
      <c r="G237" s="46">
        <f t="shared" si="32"/>
        <v>1.0892232914190225E-2</v>
      </c>
      <c r="H237" s="46">
        <f t="shared" si="28"/>
        <v>1.8443498073408893E-2</v>
      </c>
      <c r="I237" s="46">
        <f t="shared" si="29"/>
        <v>2.0835944660022816E-2</v>
      </c>
      <c r="K237" s="46">
        <f>IF(B237,Dose!E239,0)</f>
        <v>0.5076099344314855</v>
      </c>
      <c r="L237" s="46">
        <f>IF(C237,Dose!F239,0)</f>
        <v>0.5076099344314855</v>
      </c>
      <c r="M237" s="46">
        <f>IF(D237,Dose!G239,0)</f>
        <v>0.5076099344314855</v>
      </c>
      <c r="O237">
        <f t="shared" si="33"/>
        <v>5.5290056353845688E-3</v>
      </c>
      <c r="P237">
        <f t="shared" si="34"/>
        <v>9.3621028477303171E-3</v>
      </c>
      <c r="Q237">
        <f t="shared" si="35"/>
        <v>1.0576532502692242E-2</v>
      </c>
    </row>
    <row r="238" spans="1:17" x14ac:dyDescent="0.4">
      <c r="A238">
        <f>Dose!B240</f>
        <v>136.19998645929684</v>
      </c>
      <c r="B238" t="b">
        <f t="shared" si="30"/>
        <v>1</v>
      </c>
      <c r="C238">
        <f t="shared" si="36"/>
        <v>245.53801744824787</v>
      </c>
      <c r="D238">
        <f t="shared" si="36"/>
        <v>245.53801744824787</v>
      </c>
      <c r="E238">
        <f t="shared" si="36"/>
        <v>245.53801744824787</v>
      </c>
      <c r="G238" s="46">
        <f t="shared" si="32"/>
        <v>9.3284719001316321E-3</v>
      </c>
      <c r="H238" s="46">
        <f t="shared" si="28"/>
        <v>1.5755845065132765E-2</v>
      </c>
      <c r="I238" s="46">
        <f t="shared" si="29"/>
        <v>1.7792212040106267E-2</v>
      </c>
      <c r="K238" s="46">
        <f>IF(B238,Dose!E240,0)</f>
        <v>0.49702848353729845</v>
      </c>
      <c r="L238" s="46">
        <f>IF(C238,Dose!F240,0)</f>
        <v>0.49702848353729845</v>
      </c>
      <c r="M238" s="46">
        <f>IF(D238,Dose!G240,0)</f>
        <v>0.49702848353729845</v>
      </c>
      <c r="O238">
        <f t="shared" si="33"/>
        <v>4.6365162422427261E-3</v>
      </c>
      <c r="P238">
        <f t="shared" si="34"/>
        <v>7.831103779571566E-3</v>
      </c>
      <c r="Q238">
        <f t="shared" si="35"/>
        <v>8.8432361690680816E-3</v>
      </c>
    </row>
    <row r="239" spans="1:17" x14ac:dyDescent="0.4">
      <c r="A239">
        <f>Dose!B241</f>
        <v>140.97786210851478</v>
      </c>
      <c r="B239" t="b">
        <f t="shared" si="30"/>
        <v>1</v>
      </c>
      <c r="C239">
        <f t="shared" si="36"/>
        <v>254.15145526877095</v>
      </c>
      <c r="D239">
        <f t="shared" si="36"/>
        <v>254.15145526877095</v>
      </c>
      <c r="E239">
        <f t="shared" si="36"/>
        <v>254.15145526877095</v>
      </c>
      <c r="G239" s="46">
        <f t="shared" si="32"/>
        <v>7.9463555567356424E-3</v>
      </c>
      <c r="H239" s="46">
        <f t="shared" si="28"/>
        <v>1.3381794141888769E-2</v>
      </c>
      <c r="I239" s="46">
        <f t="shared" si="29"/>
        <v>1.5103889210146807E-2</v>
      </c>
      <c r="K239" s="46">
        <f>IF(B239,Dose!E241,0)</f>
        <v>0.48645481595447349</v>
      </c>
      <c r="L239" s="46">
        <f>IF(C239,Dose!F241,0)</f>
        <v>0.48645481595447349</v>
      </c>
      <c r="M239" s="46">
        <f>IF(D239,Dose!G241,0)</f>
        <v>0.48645481595447349</v>
      </c>
      <c r="O239">
        <f t="shared" si="33"/>
        <v>3.8655429298606447E-3</v>
      </c>
      <c r="P239">
        <f t="shared" si="34"/>
        <v>6.5096382064331526E-3</v>
      </c>
      <c r="Q239">
        <f t="shared" si="35"/>
        <v>7.3473596459187225E-3</v>
      </c>
    </row>
    <row r="240" spans="1:17" x14ac:dyDescent="0.4">
      <c r="A240">
        <f>Dose!B242</f>
        <v>145.92334493826789</v>
      </c>
      <c r="B240" t="b">
        <f t="shared" si="30"/>
        <v>1</v>
      </c>
      <c r="C240">
        <f t="shared" si="36"/>
        <v>263.06705123107173</v>
      </c>
      <c r="D240">
        <f t="shared" si="36"/>
        <v>263.06705123107173</v>
      </c>
      <c r="E240">
        <f t="shared" si="36"/>
        <v>263.06705123107173</v>
      </c>
      <c r="G240" s="46">
        <f t="shared" si="32"/>
        <v>6.7322852311299418E-3</v>
      </c>
      <c r="H240" s="46">
        <f t="shared" si="28"/>
        <v>1.129812821002903E-2</v>
      </c>
      <c r="I240" s="46">
        <f t="shared" si="29"/>
        <v>1.2744711692340826E-2</v>
      </c>
      <c r="K240" s="46">
        <f>IF(B240,Dose!E242,0)</f>
        <v>0.47589791434730078</v>
      </c>
      <c r="L240" s="46">
        <f>IF(C240,Dose!F242,0)</f>
        <v>0.47589791434730078</v>
      </c>
      <c r="M240" s="46">
        <f>IF(D240,Dose!G242,0)</f>
        <v>0.47589791434730078</v>
      </c>
      <c r="O240">
        <f t="shared" si="33"/>
        <v>3.2038805002858749E-3</v>
      </c>
      <c r="P240">
        <f t="shared" si="34"/>
        <v>5.3767556511812179E-3</v>
      </c>
      <c r="Q240">
        <f t="shared" si="35"/>
        <v>6.0651817133426569E-3</v>
      </c>
    </row>
    <row r="241" spans="1:17" x14ac:dyDescent="0.4">
      <c r="A241">
        <f>Dose!B243</f>
        <v>151.04231458399045</v>
      </c>
      <c r="B241" t="b">
        <f t="shared" si="30"/>
        <v>1</v>
      </c>
      <c r="C241">
        <f t="shared" si="36"/>
        <v>272.29540499866994</v>
      </c>
      <c r="D241">
        <f t="shared" si="36"/>
        <v>272.29540499866994</v>
      </c>
      <c r="E241">
        <f t="shared" si="36"/>
        <v>272.29540499866994</v>
      </c>
      <c r="G241" s="46">
        <f t="shared" si="32"/>
        <v>5.6724910269260161E-3</v>
      </c>
      <c r="H241" s="46">
        <f t="shared" si="28"/>
        <v>9.4812247319017891E-3</v>
      </c>
      <c r="I241" s="46">
        <f t="shared" si="29"/>
        <v>1.0687935363783978E-2</v>
      </c>
      <c r="K241" s="46">
        <f>IF(B241,Dose!E243,0)</f>
        <v>0.4653665466289536</v>
      </c>
      <c r="L241" s="46">
        <f>IF(C241,Dose!F243,0)</f>
        <v>0.4653665466289536</v>
      </c>
      <c r="M241" s="46">
        <f>IF(D241,Dose!G243,0)</f>
        <v>0.4653665466289536</v>
      </c>
      <c r="O241">
        <f t="shared" si="33"/>
        <v>2.6397875599842866E-3</v>
      </c>
      <c r="P241">
        <f t="shared" si="34"/>
        <v>4.4122448112981624E-3</v>
      </c>
      <c r="Q241">
        <f t="shared" si="35"/>
        <v>4.9738075708376187E-3</v>
      </c>
    </row>
    <row r="242" spans="1:17" x14ac:dyDescent="0.4">
      <c r="A242">
        <f>Dose!B244</f>
        <v>156.34085693786957</v>
      </c>
      <c r="B242" t="b">
        <f t="shared" si="30"/>
        <v>1</v>
      </c>
      <c r="C242">
        <f t="shared" si="36"/>
        <v>281.84748806973437</v>
      </c>
      <c r="D242">
        <f t="shared" si="36"/>
        <v>281.84748806973437</v>
      </c>
      <c r="E242">
        <f t="shared" si="36"/>
        <v>281.84748806973437</v>
      </c>
      <c r="G242" s="46">
        <f t="shared" si="32"/>
        <v>4.7532445427381073E-3</v>
      </c>
      <c r="H242" s="46">
        <f t="shared" si="28"/>
        <v>7.9074445936183919E-3</v>
      </c>
      <c r="I242" s="46">
        <f t="shared" si="29"/>
        <v>8.9067811267837596E-3</v>
      </c>
      <c r="K242" s="46">
        <f>IF(B242,Dose!E244,0)</f>
        <v>0.45486925545493717</v>
      </c>
      <c r="L242" s="46">
        <f>IF(C242,Dose!F244,0)</f>
        <v>0.45486925545493717</v>
      </c>
      <c r="M242" s="46">
        <f>IF(D242,Dose!G244,0)</f>
        <v>0.45486925545493717</v>
      </c>
      <c r="O242">
        <f t="shared" si="33"/>
        <v>2.1621048061505263E-3</v>
      </c>
      <c r="P242">
        <f t="shared" si="34"/>
        <v>3.5968534348503663E-3</v>
      </c>
      <c r="Q242">
        <f t="shared" si="35"/>
        <v>4.0514208996402148E-3</v>
      </c>
    </row>
    <row r="243" spans="1:17" x14ac:dyDescent="0.4">
      <c r="A243">
        <f>Dose!B245</f>
        <v>161.82527138430234</v>
      </c>
      <c r="B243" t="b">
        <f t="shared" si="30"/>
        <v>1</v>
      </c>
      <c r="C243">
        <f t="shared" si="36"/>
        <v>291.73465682098873</v>
      </c>
      <c r="D243">
        <f t="shared" si="36"/>
        <v>291.73465682098873</v>
      </c>
      <c r="E243">
        <f t="shared" si="36"/>
        <v>291.73465682098873</v>
      </c>
      <c r="G243" s="46">
        <f t="shared" si="32"/>
        <v>3.9610521707806176E-3</v>
      </c>
      <c r="H243" s="46">
        <f t="shared" si="28"/>
        <v>6.5534853613331027E-3</v>
      </c>
      <c r="I243" s="46">
        <f t="shared" si="29"/>
        <v>7.3748388440922344E-3</v>
      </c>
      <c r="K243" s="46">
        <f>IF(B243,Dose!E245,0)</f>
        <v>0.44441434843366379</v>
      </c>
      <c r="L243" s="46">
        <f>IF(C243,Dose!F245,0)</f>
        <v>0.44441434843366379</v>
      </c>
      <c r="M243" s="46">
        <f>IF(D243,Dose!G245,0)</f>
        <v>0.44441434843366379</v>
      </c>
      <c r="O243">
        <f t="shared" si="33"/>
        <v>1.7603484195892177E-3</v>
      </c>
      <c r="P243">
        <f t="shared" si="34"/>
        <v>2.9124629268264045E-3</v>
      </c>
      <c r="Q243">
        <f t="shared" si="35"/>
        <v>3.2774841997005246E-3</v>
      </c>
    </row>
    <row r="244" spans="1:17" x14ac:dyDescent="0.4">
      <c r="A244">
        <f>Dose!B246</f>
        <v>167.50207828917075</v>
      </c>
      <c r="B244" t="b">
        <f t="shared" si="30"/>
        <v>1</v>
      </c>
      <c r="C244">
        <f t="shared" si="36"/>
        <v>301.96866600919429</v>
      </c>
      <c r="D244">
        <f t="shared" si="36"/>
        <v>301.96866600919429</v>
      </c>
      <c r="E244">
        <f t="shared" si="36"/>
        <v>301.96866600919429</v>
      </c>
      <c r="G244" s="46">
        <f t="shared" si="32"/>
        <v>3.2828254451626464E-3</v>
      </c>
      <c r="H244" s="46">
        <f t="shared" si="28"/>
        <v>5.3966927721253314E-3</v>
      </c>
      <c r="I244" s="46">
        <f t="shared" si="29"/>
        <v>6.0664235476063843E-3</v>
      </c>
      <c r="K244" s="46">
        <f>IF(B244,Dose!E246,0)</f>
        <v>0.43400988906387994</v>
      </c>
      <c r="L244" s="46">
        <f>IF(C244,Dose!F246,0)</f>
        <v>0.43400988906387994</v>
      </c>
      <c r="M244" s="46">
        <f>IF(D244,Dose!G246,0)</f>
        <v>0.43400988906387994</v>
      </c>
      <c r="O244">
        <f t="shared" si="33"/>
        <v>1.4247787072711223E-3</v>
      </c>
      <c r="P244">
        <f t="shared" si="34"/>
        <v>2.3422180313419578E-3</v>
      </c>
      <c r="Q244">
        <f t="shared" si="35"/>
        <v>2.6328878109111559E-3</v>
      </c>
    </row>
    <row r="245" spans="1:17" x14ac:dyDescent="0.4">
      <c r="A245">
        <f>Dose!B247</f>
        <v>173.37802675184096</v>
      </c>
      <c r="B245" t="b">
        <f t="shared" si="30"/>
        <v>1</v>
      </c>
      <c r="C245">
        <f t="shared" si="36"/>
        <v>312.56168274626492</v>
      </c>
      <c r="D245">
        <f t="shared" si="36"/>
        <v>312.56168274626492</v>
      </c>
      <c r="E245">
        <f t="shared" si="36"/>
        <v>312.56168274626492</v>
      </c>
      <c r="G245" s="46">
        <f t="shared" si="32"/>
        <v>2.7060260805052598E-3</v>
      </c>
      <c r="H245" s="46">
        <f t="shared" si="28"/>
        <v>4.4153263461641206E-3</v>
      </c>
      <c r="I245" s="46">
        <f t="shared" si="29"/>
        <v>4.9568792515181882E-3</v>
      </c>
      <c r="K245" s="46">
        <f>IF(B245,Dose!E247,0)</f>
        <v>0.42366368840585089</v>
      </c>
      <c r="L245" s="46">
        <f>IF(C245,Dose!F247,0)</f>
        <v>0.42366368840585089</v>
      </c>
      <c r="M245" s="46">
        <f>IF(D245,Dose!G247,0)</f>
        <v>0.42366368840585089</v>
      </c>
      <c r="O245">
        <f t="shared" si="33"/>
        <v>1.1464449901892864E-3</v>
      </c>
      <c r="P245">
        <f t="shared" si="34"/>
        <v>1.8706134453314201E-3</v>
      </c>
      <c r="Q245">
        <f t="shared" si="35"/>
        <v>2.1000497466806289E-3</v>
      </c>
    </row>
    <row r="246" spans="1:17" x14ac:dyDescent="0.4">
      <c r="A246">
        <f>Dose!B248</f>
        <v>179.46010262909985</v>
      </c>
      <c r="B246" t="b">
        <f t="shared" si="30"/>
        <v>1</v>
      </c>
      <c r="C246">
        <f t="shared" si="36"/>
        <v>323.52630096462468</v>
      </c>
      <c r="D246">
        <f t="shared" si="36"/>
        <v>323.52630096462468</v>
      </c>
      <c r="E246">
        <f t="shared" si="36"/>
        <v>323.52630096462468</v>
      </c>
      <c r="G246" s="46">
        <f t="shared" si="32"/>
        <v>2.2187844418522749E-3</v>
      </c>
      <c r="H246" s="46">
        <f t="shared" si="28"/>
        <v>3.5887769579163054E-3</v>
      </c>
      <c r="I246" s="46">
        <f t="shared" si="29"/>
        <v>4.0228279215144573E-3</v>
      </c>
      <c r="K246" s="46">
        <f>IF(B246,Dose!E248,0)</f>
        <v>0.41338329749102121</v>
      </c>
      <c r="L246" s="46">
        <f>IF(C246,Dose!F248,0)</f>
        <v>0.41338329749102121</v>
      </c>
      <c r="M246" s="46">
        <f>IF(D246,Dose!G248,0)</f>
        <v>0.41338329749102121</v>
      </c>
      <c r="O246">
        <f t="shared" si="33"/>
        <v>9.1720842899466843E-4</v>
      </c>
      <c r="P246">
        <f t="shared" si="34"/>
        <v>1.4835404528232381E-3</v>
      </c>
      <c r="Q246">
        <f t="shared" si="35"/>
        <v>1.6629698714345975E-3</v>
      </c>
    </row>
    <row r="247" spans="1:17" x14ac:dyDescent="0.4">
      <c r="A247">
        <f>Dose!B249</f>
        <v>185.75553684057058</v>
      </c>
      <c r="B247" t="b">
        <f t="shared" si="30"/>
        <v>1</v>
      </c>
      <c r="C247">
        <f t="shared" si="36"/>
        <v>334.87555639000863</v>
      </c>
      <c r="D247">
        <f t="shared" si="36"/>
        <v>334.87555639000863</v>
      </c>
      <c r="E247">
        <f t="shared" si="36"/>
        <v>334.87555639000863</v>
      </c>
      <c r="G247" s="46">
        <f t="shared" si="32"/>
        <v>1.8099911958141934E-3</v>
      </c>
      <c r="H247" s="46">
        <f t="shared" si="28"/>
        <v>2.8977359932050063E-3</v>
      </c>
      <c r="I247" s="46">
        <f t="shared" si="29"/>
        <v>3.2423631878212224E-3</v>
      </c>
      <c r="K247" s="46">
        <f>IF(B247,Dose!E249,0)</f>
        <v>0.40317600047263813</v>
      </c>
      <c r="L247" s="46">
        <f>IF(C247,Dose!F249,0)</f>
        <v>0.40317600047263813</v>
      </c>
      <c r="M247" s="46">
        <f>IF(D247,Dose!G249,0)</f>
        <v>0.40317600047263813</v>
      </c>
      <c r="O247">
        <f t="shared" si="33"/>
        <v>7.2974501121905407E-4</v>
      </c>
      <c r="P247">
        <f t="shared" si="34"/>
        <v>1.1682976081660021E-3</v>
      </c>
      <c r="Q247">
        <f t="shared" si="35"/>
        <v>1.3072430221454736E-3</v>
      </c>
    </row>
    <row r="248" spans="1:17" x14ac:dyDescent="0.4">
      <c r="A248">
        <f>Dose!B250</f>
        <v>192.2718139654819</v>
      </c>
      <c r="B248" t="b">
        <f t="shared" si="30"/>
        <v>1</v>
      </c>
      <c r="C248">
        <f t="shared" si="36"/>
        <v>346.62294203950904</v>
      </c>
      <c r="D248">
        <f t="shared" si="36"/>
        <v>346.62294203950904</v>
      </c>
      <c r="E248">
        <f t="shared" si="36"/>
        <v>346.62294203950904</v>
      </c>
      <c r="G248" s="46">
        <f t="shared" si="32"/>
        <v>1.4693627812623236E-3</v>
      </c>
      <c r="H248" s="46">
        <f t="shared" si="28"/>
        <v>2.3243172938894625E-3</v>
      </c>
      <c r="I248" s="46">
        <f t="shared" si="29"/>
        <v>2.5951901823812514E-3</v>
      </c>
      <c r="K248" s="46">
        <f>IF(B248,Dose!E250,0)</f>
        <v>0.39304880851747104</v>
      </c>
      <c r="L248" s="46">
        <f>IF(C248,Dose!F250,0)</f>
        <v>0.39304880851747104</v>
      </c>
      <c r="M248" s="46">
        <f>IF(D248,Dose!G250,0)</f>
        <v>0.39304880851747104</v>
      </c>
      <c r="O248">
        <f t="shared" si="33"/>
        <v>5.7753129045507367E-4</v>
      </c>
      <c r="P248">
        <f t="shared" si="34"/>
        <v>9.1357014297980578E-4</v>
      </c>
      <c r="Q248">
        <f t="shared" si="35"/>
        <v>1.0200364090611892E-3</v>
      </c>
    </row>
    <row r="249" spans="1:17" x14ac:dyDescent="0.4">
      <c r="A249">
        <f>Dose!B251</f>
        <v>199.01668114100951</v>
      </c>
      <c r="B249" t="b">
        <f t="shared" si="30"/>
        <v>1</v>
      </c>
      <c r="C249">
        <f t="shared" si="36"/>
        <v>358.78242426328842</v>
      </c>
      <c r="D249">
        <f t="shared" si="36"/>
        <v>358.78242426328842</v>
      </c>
      <c r="E249">
        <f t="shared" si="36"/>
        <v>358.78242426328842</v>
      </c>
      <c r="G249" s="46">
        <f t="shared" si="32"/>
        <v>1.187482087283928E-3</v>
      </c>
      <c r="H249" s="46">
        <f t="shared" si="28"/>
        <v>1.8521344200202383E-3</v>
      </c>
      <c r="I249" s="46">
        <f t="shared" si="29"/>
        <v>2.062714391880808E-3</v>
      </c>
      <c r="K249" s="46">
        <f>IF(B249,Dose!E251,0)</f>
        <v>0.3830084544362955</v>
      </c>
      <c r="L249" s="46">
        <f>IF(C249,Dose!F251,0)</f>
        <v>0.3830084544362955</v>
      </c>
      <c r="M249" s="46">
        <f>IF(D249,Dose!G251,0)</f>
        <v>0.3830084544362955</v>
      </c>
      <c r="O249">
        <f t="shared" si="33"/>
        <v>4.5481567892140343E-4</v>
      </c>
      <c r="P249">
        <f t="shared" si="34"/>
        <v>7.0938314162021605E-4</v>
      </c>
      <c r="Q249">
        <f t="shared" si="35"/>
        <v>7.9003705117777138E-4</v>
      </c>
    </row>
    <row r="250" spans="1:17" x14ac:dyDescent="0.4">
      <c r="A250">
        <f>Dose!B252</f>
        <v>205.99815727277087</v>
      </c>
      <c r="B250" t="b">
        <f t="shared" si="30"/>
        <v>1</v>
      </c>
      <c r="C250">
        <f t="shared" si="36"/>
        <v>371.36845934903522</v>
      </c>
      <c r="D250">
        <f t="shared" si="36"/>
        <v>371.36845934903522</v>
      </c>
      <c r="E250">
        <f t="shared" si="36"/>
        <v>371.36845934903522</v>
      </c>
      <c r="G250" s="46">
        <f t="shared" si="32"/>
        <v>9.5581632758089498E-4</v>
      </c>
      <c r="H250" s="46">
        <f t="shared" si="28"/>
        <v>1.4663368245879161E-3</v>
      </c>
      <c r="I250" s="46">
        <f t="shared" si="29"/>
        <v>1.6280836305479483E-3</v>
      </c>
      <c r="K250" s="46">
        <f>IF(B250,Dose!E252,0)</f>
        <v>0.37306138804895639</v>
      </c>
      <c r="L250" s="46">
        <f>IF(C250,Dose!F252,0)</f>
        <v>0.37306138804895639</v>
      </c>
      <c r="M250" s="46">
        <f>IF(D250,Dose!G252,0)</f>
        <v>0.37306138804895639</v>
      </c>
      <c r="O250">
        <f t="shared" si="33"/>
        <v>3.5657816588718466E-4</v>
      </c>
      <c r="P250">
        <f t="shared" si="34"/>
        <v>5.4703365112806709E-4</v>
      </c>
      <c r="Q250">
        <f t="shared" si="35"/>
        <v>6.0737513907200191E-4</v>
      </c>
    </row>
    <row r="251" spans="1:17" x14ac:dyDescent="0.4">
      <c r="A251">
        <f>Dose!B253</f>
        <v>213.22454256842178</v>
      </c>
      <c r="B251" t="b">
        <f t="shared" si="30"/>
        <v>1</v>
      </c>
      <c r="C251">
        <f t="shared" si="36"/>
        <v>384.39601070889938</v>
      </c>
      <c r="D251">
        <f t="shared" si="36"/>
        <v>384.39601070889938</v>
      </c>
      <c r="E251">
        <f t="shared" si="36"/>
        <v>384.39601070889938</v>
      </c>
      <c r="G251" s="46">
        <f t="shared" si="32"/>
        <v>7.6671455296084632E-4</v>
      </c>
      <c r="H251" s="46">
        <f t="shared" si="28"/>
        <v>1.1536093364431178E-3</v>
      </c>
      <c r="I251" s="46">
        <f t="shared" si="29"/>
        <v>1.276188147358118E-3</v>
      </c>
      <c r="K251" s="46">
        <f>IF(B251,Dose!E253,0)</f>
        <v>0.36321377227757079</v>
      </c>
      <c r="L251" s="46">
        <f>IF(C251,Dose!F253,0)</f>
        <v>0.36321377227757079</v>
      </c>
      <c r="M251" s="46">
        <f>IF(D251,Dose!G253,0)</f>
        <v>0.36321377227757079</v>
      </c>
      <c r="O251">
        <f t="shared" si="33"/>
        <v>2.7848128504102032E-4</v>
      </c>
      <c r="P251">
        <f t="shared" si="34"/>
        <v>4.1900679882413014E-4</v>
      </c>
      <c r="Q251">
        <f t="shared" si="35"/>
        <v>4.6352911113786645E-4</v>
      </c>
    </row>
    <row r="252" spans="1:17" x14ac:dyDescent="0.4">
      <c r="A252">
        <f>Dose!B254</f>
        <v>220.70442840569206</v>
      </c>
      <c r="B252" t="b">
        <f t="shared" si="30"/>
        <v>1</v>
      </c>
      <c r="C252">
        <f t="shared" si="36"/>
        <v>397.88056666934682</v>
      </c>
      <c r="D252">
        <f t="shared" si="36"/>
        <v>397.88056666934682</v>
      </c>
      <c r="E252">
        <f t="shared" si="36"/>
        <v>397.88056666934682</v>
      </c>
      <c r="G252" s="46">
        <f t="shared" si="32"/>
        <v>6.133875520237909E-4</v>
      </c>
      <c r="H252" s="46">
        <f t="shared" si="28"/>
        <v>9.0213989149179807E-4</v>
      </c>
      <c r="I252" s="46">
        <f t="shared" si="29"/>
        <v>9.9362450160294649E-4</v>
      </c>
      <c r="K252" s="46">
        <f>IF(B252,Dose!E254,0)</f>
        <v>0.35347147995923311</v>
      </c>
      <c r="L252" s="46">
        <f>IF(C252,Dose!F254,0)</f>
        <v>0.35347147995923311</v>
      </c>
      <c r="M252" s="46">
        <f>IF(D252,Dose!G254,0)</f>
        <v>0.35347147995923311</v>
      </c>
      <c r="O252">
        <f t="shared" si="33"/>
        <v>2.1681500580242045E-4</v>
      </c>
      <c r="P252">
        <f t="shared" si="34"/>
        <v>3.1888072257586786E-4</v>
      </c>
      <c r="Q252">
        <f t="shared" si="35"/>
        <v>3.5121792310534891E-4</v>
      </c>
    </row>
    <row r="253" spans="1:17" x14ac:dyDescent="0.4">
      <c r="A253">
        <f>Dose!B255</f>
        <v>228.44670754658779</v>
      </c>
      <c r="B253" t="b">
        <f t="shared" si="30"/>
        <v>1</v>
      </c>
      <c r="C253">
        <f t="shared" si="36"/>
        <v>411.83815888507428</v>
      </c>
      <c r="D253">
        <f t="shared" si="36"/>
        <v>411.83815888507428</v>
      </c>
      <c r="E253">
        <f t="shared" si="36"/>
        <v>411.83815888507428</v>
      </c>
      <c r="G253" s="46">
        <f t="shared" si="32"/>
        <v>4.8987306413809874E-4</v>
      </c>
      <c r="H253" s="46">
        <f t="shared" si="28"/>
        <v>7.0156075780609245E-4</v>
      </c>
      <c r="I253" s="46">
        <f t="shared" si="29"/>
        <v>7.6862918799171297E-4</v>
      </c>
      <c r="K253" s="46">
        <f>IF(B253,Dose!E255,0)</f>
        <v>0.34384009136801952</v>
      </c>
      <c r="L253" s="46">
        <f>IF(C253,Dose!F255,0)</f>
        <v>0.34384009136801952</v>
      </c>
      <c r="M253" s="46">
        <f>IF(D253,Dose!G255,0)</f>
        <v>0.34384009136801952</v>
      </c>
      <c r="O253">
        <f t="shared" si="33"/>
        <v>1.6843799913197555E-4</v>
      </c>
      <c r="P253">
        <f t="shared" si="34"/>
        <v>2.4122471506426383E-4</v>
      </c>
      <c r="Q253">
        <f t="shared" si="35"/>
        <v>2.6428553022719723E-4</v>
      </c>
    </row>
    <row r="254" spans="1:17" x14ac:dyDescent="0.4">
      <c r="A254">
        <f>Dose!B256</f>
        <v>236.46058470990909</v>
      </c>
      <c r="B254" t="b">
        <f t="shared" si="30"/>
        <v>1</v>
      </c>
      <c r="C254">
        <f t="shared" si="36"/>
        <v>426.28538139888667</v>
      </c>
      <c r="D254">
        <f t="shared" si="36"/>
        <v>426.28538139888667</v>
      </c>
      <c r="E254">
        <f t="shared" si="36"/>
        <v>426.28538139888667</v>
      </c>
      <c r="G254" s="46">
        <f t="shared" si="32"/>
        <v>3.909892810115477E-4</v>
      </c>
      <c r="H254" s="46">
        <f t="shared" si="28"/>
        <v>5.4286858940586239E-4</v>
      </c>
      <c r="I254" s="46">
        <f t="shared" si="29"/>
        <v>5.909880932616718E-4</v>
      </c>
      <c r="K254" s="46">
        <f>IF(B254,Dose!E256,0)</f>
        <v>0.33432489243382379</v>
      </c>
      <c r="L254" s="46">
        <f>IF(C254,Dose!F256,0)</f>
        <v>0.33432489243382379</v>
      </c>
      <c r="M254" s="46">
        <f>IF(D254,Dose!G256,0)</f>
        <v>0.33432489243382379</v>
      </c>
      <c r="O254">
        <f t="shared" si="33"/>
        <v>1.3071744931696379E-4</v>
      </c>
      <c r="P254">
        <f t="shared" si="34"/>
        <v>1.814944827588166E-4</v>
      </c>
      <c r="Q254">
        <f t="shared" si="35"/>
        <v>1.9758203070937904E-4</v>
      </c>
    </row>
    <row r="255" spans="1:17" x14ac:dyDescent="0.4">
      <c r="A255">
        <f>Dose!B257</f>
        <v>244.75558751464831</v>
      </c>
      <c r="B255" t="b">
        <f t="shared" si="30"/>
        <v>1</v>
      </c>
      <c r="C255">
        <f t="shared" si="36"/>
        <v>441.23941037018909</v>
      </c>
      <c r="D255">
        <f t="shared" si="36"/>
        <v>441.23941037018909</v>
      </c>
      <c r="E255">
        <f t="shared" si="36"/>
        <v>441.23941037018909</v>
      </c>
      <c r="G255" s="46">
        <f t="shared" si="32"/>
        <v>3.1227955841508538E-4</v>
      </c>
      <c r="H255" s="46">
        <f t="shared" si="28"/>
        <v>4.1832854249836333E-4</v>
      </c>
      <c r="I255" s="46">
        <f t="shared" si="29"/>
        <v>4.519277506620672E-4</v>
      </c>
      <c r="K255" s="46">
        <f>IF(B255,Dose!E257,0)</f>
        <v>0.32493087364398043</v>
      </c>
      <c r="L255" s="46">
        <f>IF(C255,Dose!F257,0)</f>
        <v>0.32493087364398043</v>
      </c>
      <c r="M255" s="46">
        <f>IF(D255,Dose!G257,0)</f>
        <v>0.32493087364398043</v>
      </c>
      <c r="O255">
        <f t="shared" si="33"/>
        <v>1.0146926973697012E-4</v>
      </c>
      <c r="P255">
        <f t="shared" si="34"/>
        <v>1.359278587842062E-4</v>
      </c>
      <c r="Q255">
        <f t="shared" si="35"/>
        <v>1.4684527884658446E-4</v>
      </c>
    </row>
    <row r="256" spans="1:17" x14ac:dyDescent="0.4">
      <c r="A256">
        <f>Dose!B258</f>
        <v>253.34157780728108</v>
      </c>
      <c r="B256" t="b">
        <f t="shared" si="30"/>
        <v>1</v>
      </c>
      <c r="C256">
        <f t="shared" si="36"/>
        <v>456.71802449555088</v>
      </c>
      <c r="D256">
        <f t="shared" si="36"/>
        <v>456.71802449555088</v>
      </c>
      <c r="E256">
        <f t="shared" si="36"/>
        <v>456.71802449555088</v>
      </c>
      <c r="G256" s="46">
        <f t="shared" si="32"/>
        <v>2.4995111401688306E-4</v>
      </c>
      <c r="H256" s="46">
        <f t="shared" si="28"/>
        <v>3.2136742556760793E-4</v>
      </c>
      <c r="I256" s="46">
        <f t="shared" si="29"/>
        <v>3.4399405927672895E-4</v>
      </c>
      <c r="K256" s="46">
        <f>IF(B256,Dose!E258,0)</f>
        <v>0.31566272961184305</v>
      </c>
      <c r="L256" s="46">
        <f>IF(C256,Dose!F258,0)</f>
        <v>0.31566272961184305</v>
      </c>
      <c r="M256" s="46">
        <f>IF(D256,Dose!G258,0)</f>
        <v>0.31566272961184305</v>
      </c>
      <c r="O256">
        <f t="shared" si="33"/>
        <v>7.8900250920090309E-5</v>
      </c>
      <c r="P256">
        <f t="shared" si="34"/>
        <v>1.0144371876300191E-4</v>
      </c>
      <c r="Q256">
        <f t="shared" si="35"/>
        <v>1.085861037215504E-4</v>
      </c>
    </row>
    <row r="257" spans="1:17" x14ac:dyDescent="0.4">
      <c r="A257">
        <f>Dose!B259</f>
        <v>262.2287633864189</v>
      </c>
      <c r="B257" t="b">
        <f t="shared" si="30"/>
        <v>1</v>
      </c>
      <c r="C257">
        <f t="shared" si="36"/>
        <v>472.73962614562367</v>
      </c>
      <c r="D257">
        <f t="shared" si="36"/>
        <v>472.73962614562367</v>
      </c>
      <c r="E257">
        <f t="shared" si="36"/>
        <v>472.73962614562367</v>
      </c>
      <c r="G257" s="46">
        <f t="shared" si="32"/>
        <v>2.0081026766911476E-4</v>
      </c>
      <c r="H257" s="46">
        <f t="shared" si="28"/>
        <v>2.4646046082791239E-4</v>
      </c>
      <c r="I257" s="46">
        <f t="shared" si="29"/>
        <v>2.6092368606212365E-4</v>
      </c>
      <c r="K257" s="46">
        <f>IF(B257,Dose!E259,0)</f>
        <v>0.3065248592953207</v>
      </c>
      <c r="L257" s="46">
        <f>IF(C257,Dose!F259,0)</f>
        <v>0.3065248592953207</v>
      </c>
      <c r="M257" s="46">
        <f>IF(D257,Dose!G259,0)</f>
        <v>0.3065248592953207</v>
      </c>
      <c r="O257">
        <f t="shared" si="33"/>
        <v>6.1553339042331087E-5</v>
      </c>
      <c r="P257">
        <f t="shared" si="34"/>
        <v>7.554625807713575E-5</v>
      </c>
      <c r="Q257">
        <f t="shared" si="35"/>
        <v>7.9979596157008878E-5</v>
      </c>
    </row>
    <row r="258" spans="1:17" x14ac:dyDescent="0.4">
      <c r="A258">
        <f>Dose!B260</f>
        <v>271.4277101387587</v>
      </c>
      <c r="B258" t="b">
        <f t="shared" si="30"/>
        <v>1</v>
      </c>
      <c r="C258">
        <f t="shared" si="36"/>
        <v>489.32326324353568</v>
      </c>
      <c r="D258">
        <f t="shared" si="36"/>
        <v>489.32326324353568</v>
      </c>
      <c r="E258">
        <f t="shared" si="36"/>
        <v>489.32326324353568</v>
      </c>
      <c r="G258" s="46">
        <f t="shared" si="32"/>
        <v>1.6219650396882487E-4</v>
      </c>
      <c r="H258" s="46">
        <f t="shared" si="28"/>
        <v>1.8901573963419328E-4</v>
      </c>
      <c r="I258" s="46">
        <f t="shared" si="29"/>
        <v>1.9751280436047607E-4</v>
      </c>
      <c r="K258" s="46">
        <f>IF(B258,Dose!E260,0)</f>
        <v>0.29752136684599861</v>
      </c>
      <c r="L258" s="46">
        <f>IF(C258,Dose!F260,0)</f>
        <v>0.29752136684599861</v>
      </c>
      <c r="M258" s="46">
        <f>IF(D258,Dose!G260,0)</f>
        <v>0.29752136684599861</v>
      </c>
      <c r="O258">
        <f t="shared" si="33"/>
        <v>4.8256925558447213E-5</v>
      </c>
      <c r="P258">
        <f t="shared" si="34"/>
        <v>5.6236221211372579E-5</v>
      </c>
      <c r="Q258">
        <f t="shared" si="35"/>
        <v>5.8764279522915158E-5</v>
      </c>
    </row>
    <row r="259" spans="1:17" x14ac:dyDescent="0.4">
      <c r="A259">
        <f>Dose!B261</f>
        <v>280.94935460076113</v>
      </c>
      <c r="B259" t="b">
        <f t="shared" si="30"/>
        <v>1</v>
      </c>
      <c r="C259">
        <f t="shared" si="36"/>
        <v>506.48865191077942</v>
      </c>
      <c r="D259">
        <f t="shared" si="36"/>
        <v>506.48865191077942</v>
      </c>
      <c r="E259">
        <f t="shared" si="36"/>
        <v>506.48865191077942</v>
      </c>
      <c r="G259" s="46">
        <f t="shared" si="32"/>
        <v>1.3191732049544231E-4</v>
      </c>
      <c r="H259" s="46">
        <f t="shared" si="28"/>
        <v>1.4525988873204462E-4</v>
      </c>
      <c r="I259" s="46">
        <f t="shared" si="29"/>
        <v>1.4948717795593746E-4</v>
      </c>
      <c r="K259" s="46">
        <f>IF(B259,Dose!E261,0)</f>
        <v>0.28865606306912595</v>
      </c>
      <c r="L259" s="46">
        <f>IF(C259,Dose!F261,0)</f>
        <v>0.28865606306912595</v>
      </c>
      <c r="M259" s="46">
        <f>IF(D259,Dose!G261,0)</f>
        <v>0.28865606306912595</v>
      </c>
      <c r="O259">
        <f t="shared" si="33"/>
        <v>3.8078734384842499E-5</v>
      </c>
      <c r="P259">
        <f t="shared" si="34"/>
        <v>4.193014760325129E-5</v>
      </c>
      <c r="Q259">
        <f t="shared" si="35"/>
        <v>4.3150380268074738E-5</v>
      </c>
    </row>
    <row r="260" spans="1:17" x14ac:dyDescent="0.4">
      <c r="A260">
        <f>Dose!B262</f>
        <v>290.80501696098924</v>
      </c>
      <c r="B260" t="b">
        <f t="shared" si="30"/>
        <v>1</v>
      </c>
      <c r="C260">
        <f t="shared" si="36"/>
        <v>524.2561999075109</v>
      </c>
      <c r="D260">
        <f t="shared" si="36"/>
        <v>524.2561999075109</v>
      </c>
      <c r="E260">
        <f t="shared" si="36"/>
        <v>524.2561999075109</v>
      </c>
      <c r="G260" s="46">
        <f t="shared" si="32"/>
        <v>1.0818548534595991E-4</v>
      </c>
      <c r="H260" s="46">
        <f t="shared" si="28"/>
        <v>1.121278571520899E-4</v>
      </c>
      <c r="I260" s="46">
        <f t="shared" si="29"/>
        <v>1.1337690797627188E-4</v>
      </c>
      <c r="K260" s="46">
        <f>IF(B260,Dose!E262,0)</f>
        <v>0.27993246747280986</v>
      </c>
      <c r="L260" s="46">
        <f>IF(C260,Dose!F262,0)</f>
        <v>0.27993246747280986</v>
      </c>
      <c r="M260" s="46">
        <f>IF(D260,Dose!G262,0)</f>
        <v>0.27993246747280986</v>
      </c>
      <c r="O260">
        <f t="shared" si="33"/>
        <v>3.0284629857638072E-5</v>
      </c>
      <c r="P260">
        <f t="shared" si="34"/>
        <v>3.1388227725023278E-5</v>
      </c>
      <c r="Q260">
        <f t="shared" si="35"/>
        <v>3.1737877604235483E-5</v>
      </c>
    </row>
    <row r="261" spans="1:17" x14ac:dyDescent="0.4">
      <c r="A261">
        <f>Dose!B263</f>
        <v>301.00641451856916</v>
      </c>
      <c r="B261" t="b">
        <f t="shared" si="30"/>
        <v>1</v>
      </c>
      <c r="C261">
        <f t="shared" si="36"/>
        <v>542.64703089513466</v>
      </c>
      <c r="D261">
        <f t="shared" si="36"/>
        <v>542.64703089513466</v>
      </c>
      <c r="E261">
        <f t="shared" si="36"/>
        <v>542.64703089513466</v>
      </c>
      <c r="G261" s="46">
        <f t="shared" si="32"/>
        <v>8.9559980117397088E-5</v>
      </c>
      <c r="H261" s="46">
        <f t="shared" si="28"/>
        <v>8.7159112986064796E-5</v>
      </c>
      <c r="I261" s="46">
        <f t="shared" si="29"/>
        <v>8.639845285135118E-5</v>
      </c>
      <c r="K261" s="46">
        <f>IF(B261,Dose!E263,0)</f>
        <v>0.27135381088384536</v>
      </c>
      <c r="L261" s="46">
        <f>IF(C261,Dose!F263,0)</f>
        <v>0.27135381088384536</v>
      </c>
      <c r="M261" s="46">
        <f>IF(D261,Dose!G263,0)</f>
        <v>0.27135381088384536</v>
      </c>
      <c r="O261">
        <f t="shared" si="33"/>
        <v>2.4302441907537119E-5</v>
      </c>
      <c r="P261">
        <f t="shared" si="34"/>
        <v>2.3650957462024336E-5</v>
      </c>
      <c r="Q261">
        <f t="shared" si="35"/>
        <v>2.3444549435682377E-5</v>
      </c>
    </row>
    <row r="262" spans="1:17" x14ac:dyDescent="0.4">
      <c r="A262">
        <f>Dose!B264</f>
        <v>311.56567561377102</v>
      </c>
      <c r="B262" t="b">
        <f t="shared" si="30"/>
        <v>1</v>
      </c>
      <c r="C262">
        <f t="shared" si="36"/>
        <v>561.68300955001575</v>
      </c>
      <c r="D262">
        <f t="shared" si="36"/>
        <v>561.68300955001575</v>
      </c>
      <c r="E262">
        <f t="shared" si="36"/>
        <v>561.68300955001575</v>
      </c>
      <c r="G262" s="46">
        <f t="shared" si="32"/>
        <v>7.4891563695395522E-5</v>
      </c>
      <c r="H262" s="46">
        <f t="shared" si="28"/>
        <v>6.8401930800808701E-5</v>
      </c>
      <c r="I262" s="46">
        <f t="shared" si="29"/>
        <v>6.634583824682425E-5</v>
      </c>
      <c r="K262" s="46">
        <f>IF(B262,Dose!E264,0)</f>
        <v>0.26292303860659949</v>
      </c>
      <c r="L262" s="46">
        <f>IF(C262,Dose!F264,0)</f>
        <v>0.26292303860659949</v>
      </c>
      <c r="M262" s="46">
        <f>IF(D262,Dose!G264,0)</f>
        <v>0.26292303860659949</v>
      </c>
      <c r="O262">
        <f t="shared" si="33"/>
        <v>1.969071749279308E-5</v>
      </c>
      <c r="P262">
        <f t="shared" si="34"/>
        <v>1.7984443492706974E-5</v>
      </c>
      <c r="Q262">
        <f t="shared" si="35"/>
        <v>1.7443849390756978E-5</v>
      </c>
    </row>
    <row r="263" spans="1:17" x14ac:dyDescent="0.4">
      <c r="A263">
        <f>Dose!B265</f>
        <v>322.49535404727078</v>
      </c>
      <c r="B263" t="b">
        <f t="shared" si="30"/>
        <v>1</v>
      </c>
      <c r="C263">
        <f t="shared" si="36"/>
        <v>581.38676755817391</v>
      </c>
      <c r="D263">
        <f t="shared" si="36"/>
        <v>581.38676755817391</v>
      </c>
      <c r="E263">
        <f t="shared" si="36"/>
        <v>581.38676755817391</v>
      </c>
      <c r="G263" s="46">
        <f t="shared" si="32"/>
        <v>6.3273570750167603E-5</v>
      </c>
      <c r="H263" s="46">
        <f t="shared" si="28"/>
        <v>5.4326876550218533E-5</v>
      </c>
      <c r="I263" s="46">
        <f t="shared" si="29"/>
        <v>5.1492320015805767E-5</v>
      </c>
      <c r="K263" s="46">
        <f>IF(B263,Dose!E265,0)</f>
        <v>0.254642814100281</v>
      </c>
      <c r="L263" s="46">
        <f>IF(C263,Dose!F265,0)</f>
        <v>0.254642814100281</v>
      </c>
      <c r="M263" s="46">
        <f>IF(D263,Dose!G265,0)</f>
        <v>0.254642814100281</v>
      </c>
      <c r="O263">
        <f t="shared" si="33"/>
        <v>1.6112160113995905E-5</v>
      </c>
      <c r="P263">
        <f t="shared" si="34"/>
        <v>1.3833948726026213E-5</v>
      </c>
      <c r="Q263">
        <f t="shared" si="35"/>
        <v>1.3112149273377006E-5</v>
      </c>
    </row>
    <row r="264" spans="1:17" x14ac:dyDescent="0.4">
      <c r="A264">
        <f>Dose!B266</f>
        <v>333.80844400524091</v>
      </c>
      <c r="B264" t="b">
        <f t="shared" si="30"/>
        <v>1</v>
      </c>
      <c r="C264">
        <f t="shared" si="36"/>
        <v>601.78173052187299</v>
      </c>
      <c r="D264">
        <f t="shared" si="36"/>
        <v>601.78173052187299</v>
      </c>
      <c r="E264">
        <f t="shared" si="36"/>
        <v>601.78173052187299</v>
      </c>
      <c r="G264" s="46">
        <f t="shared" si="32"/>
        <v>5.3998267200538544E-5</v>
      </c>
      <c r="H264" s="46">
        <f t="shared" si="28"/>
        <v>4.3750076197601173E-5</v>
      </c>
      <c r="I264" s="46">
        <f t="shared" si="29"/>
        <v>4.0503170008111472E-5</v>
      </c>
      <c r="K264" s="46">
        <f>IF(B264,Dose!E266,0)</f>
        <v>0.24651552314930436</v>
      </c>
      <c r="L264" s="46">
        <f>IF(C264,Dose!F266,0)</f>
        <v>0.24651552314930436</v>
      </c>
      <c r="M264" s="46">
        <f>IF(D264,Dose!G266,0)</f>
        <v>0.24651552314930436</v>
      </c>
      <c r="O264">
        <f t="shared" si="33"/>
        <v>1.3311411088096683E-5</v>
      </c>
      <c r="P264">
        <f t="shared" si="34"/>
        <v>1.0785072921673582E-5</v>
      </c>
      <c r="Q264">
        <f t="shared" si="35"/>
        <v>9.9846601437548133E-6</v>
      </c>
    </row>
    <row r="265" spans="1:17" x14ac:dyDescent="0.4">
      <c r="A265">
        <f>Dose!B267</f>
        <v>345.5183955080085</v>
      </c>
      <c r="B265" t="b">
        <f t="shared" si="30"/>
        <v>1</v>
      </c>
      <c r="C265">
        <f t="shared" si="36"/>
        <v>622.89214581008559</v>
      </c>
      <c r="D265">
        <f t="shared" si="36"/>
        <v>622.89214581008559</v>
      </c>
      <c r="E265">
        <f t="shared" si="36"/>
        <v>622.89214581008559</v>
      </c>
      <c r="G265" s="46">
        <f t="shared" si="32"/>
        <v>4.6518831100440575E-5</v>
      </c>
      <c r="H265" s="46">
        <f t="shared" si="28"/>
        <v>3.5766401107932617E-5</v>
      </c>
      <c r="I265" s="46">
        <f t="shared" si="29"/>
        <v>3.2359738265219967E-5</v>
      </c>
      <c r="K265" s="46">
        <f>IF(B265,Dose!E267,0)</f>
        <v>0.23854327850061363</v>
      </c>
      <c r="L265" s="46">
        <f>IF(C265,Dose!F267,0)</f>
        <v>0.23854327850061363</v>
      </c>
      <c r="M265" s="46">
        <f>IF(D265,Dose!G267,0)</f>
        <v>0.23854327850061363</v>
      </c>
      <c r="O265">
        <f t="shared" si="33"/>
        <v>1.1096754482715402E-5</v>
      </c>
      <c r="P265">
        <f t="shared" si="34"/>
        <v>8.5318345804542264E-6</v>
      </c>
      <c r="Q265">
        <f t="shared" si="35"/>
        <v>7.7191980572073297E-6</v>
      </c>
    </row>
    <row r="266" spans="1:17" x14ac:dyDescent="0.4">
      <c r="A266">
        <f>Dose!B268</f>
        <v>357.63913040065023</v>
      </c>
      <c r="B266" t="b">
        <f t="shared" si="30"/>
        <v>1</v>
      </c>
      <c r="C266">
        <f t="shared" si="36"/>
        <v>644.74311138594817</v>
      </c>
      <c r="D266">
        <f t="shared" si="36"/>
        <v>644.74311138594817</v>
      </c>
      <c r="E266">
        <f t="shared" si="36"/>
        <v>644.74311138594817</v>
      </c>
      <c r="G266" s="46">
        <f t="shared" si="32"/>
        <v>4.0416816714248376E-5</v>
      </c>
      <c r="H266" s="46">
        <f t="shared" si="28"/>
        <v>2.9692327018994206E-5</v>
      </c>
      <c r="I266" s="46">
        <f t="shared" si="29"/>
        <v>2.6294516423869789E-5</v>
      </c>
      <c r="K266" s="46">
        <f>IF(B266,Dose!E268,0)</f>
        <v>0.23072792494133187</v>
      </c>
      <c r="L266" s="46">
        <f>IF(C266,Dose!F268,0)</f>
        <v>0.23072792494133187</v>
      </c>
      <c r="M266" s="46">
        <f>IF(D266,Dose!G268,0)</f>
        <v>0.23072792494133187</v>
      </c>
      <c r="O266">
        <f t="shared" si="33"/>
        <v>9.3252882532126671E-6</v>
      </c>
      <c r="P266">
        <f t="shared" si="34"/>
        <v>6.8508489997719758E-6</v>
      </c>
      <c r="Q266">
        <f t="shared" si="35"/>
        <v>6.0668792118152467E-6</v>
      </c>
    </row>
    <row r="267" spans="1:17" x14ac:dyDescent="0.4">
      <c r="A267">
        <f>Dose!B269</f>
        <v>370.18505890453713</v>
      </c>
      <c r="B267" t="b">
        <f t="shared" si="30"/>
        <v>1</v>
      </c>
      <c r="C267">
        <f t="shared" si="36"/>
        <v>667.36060564548291</v>
      </c>
      <c r="D267">
        <f t="shared" si="36"/>
        <v>667.36060564548291</v>
      </c>
      <c r="E267">
        <f t="shared" si="36"/>
        <v>667.36060564548291</v>
      </c>
      <c r="G267" s="46">
        <f t="shared" si="32"/>
        <v>3.5374794511295625E-5</v>
      </c>
      <c r="H267" s="46">
        <f t="shared" ref="H267:H312" si="37">IF(D267&gt;0,H$5*(1-1/(1+EXP(10.32)*(D267^(0.4343*-7.17))))+H$4*(1+0.44)/(1+0.44*EXP(0.0195*D267)),0)</f>
        <v>2.5017928537526644E-5</v>
      </c>
      <c r="I267" s="46">
        <f t="shared" ref="I267:I312" si="38">IF(E267&gt;0,I$5*(1-1/(1+EXP(10.32)*(E267^(0.4343*-7.17))))+I$4*(1+0.44)/(1+0.44*EXP(0.0195*E267)),0)</f>
        <v>2.1736591155708982E-5</v>
      </c>
      <c r="K267" s="46">
        <f>IF(B267,Dose!E269,0)</f>
        <v>0.22307104478962447</v>
      </c>
      <c r="L267" s="46">
        <f>IF(C267,Dose!F269,0)</f>
        <v>0.22307104478962447</v>
      </c>
      <c r="M267" s="46">
        <f>IF(D267,Dose!G269,0)</f>
        <v>0.22307104478962447</v>
      </c>
      <c r="O267">
        <f t="shared" si="33"/>
        <v>7.8910923708529891E-6</v>
      </c>
      <c r="P267">
        <f t="shared" si="34"/>
        <v>5.5807754573382306E-6</v>
      </c>
      <c r="Q267">
        <f t="shared" si="35"/>
        <v>4.8488040992689133E-6</v>
      </c>
    </row>
    <row r="268" spans="1:17" x14ac:dyDescent="0.4">
      <c r="A268">
        <f>Dose!B270</f>
        <v>383.17109674950291</v>
      </c>
      <c r="B268" t="b">
        <f t="shared" ref="B268:B312" si="39">A268&gt;100</f>
        <v>1</v>
      </c>
      <c r="C268">
        <f t="shared" ref="C268:E312" si="40">IF($B268,$A268*SQRT(C$7),0)</f>
        <v>690.77151830305286</v>
      </c>
      <c r="D268">
        <f t="shared" si="40"/>
        <v>690.77151830305286</v>
      </c>
      <c r="E268">
        <f t="shared" si="40"/>
        <v>690.77151830305286</v>
      </c>
      <c r="G268" s="46">
        <f t="shared" ref="G268:G312" si="41">IF(C268&gt;0,G$5*(1-1/(1+EXP(10.32)*(C268^(0.4343*-7.17))))+G$4*(1+0.44)/(1+0.44*EXP(0.0195*C268)),0)</f>
        <v>3.1153740273433886E-5</v>
      </c>
      <c r="H268" s="46">
        <f t="shared" si="37"/>
        <v>2.1367257365192818E-5</v>
      </c>
      <c r="I268" s="46">
        <f t="shared" si="38"/>
        <v>1.8266632882394296E-5</v>
      </c>
      <c r="K268" s="46">
        <f>IF(B268,Dose!E270,0)</f>
        <v>0.21557396377098748</v>
      </c>
      <c r="L268" s="46">
        <f>IF(C268,Dose!F270,0)</f>
        <v>0.21557396377098748</v>
      </c>
      <c r="M268" s="46">
        <f>IF(D268,Dose!G270,0)</f>
        <v>0.21557396377098748</v>
      </c>
      <c r="O268">
        <f t="shared" ref="O268:O312" si="42">G268*K268</f>
        <v>6.7159352770359899E-6</v>
      </c>
      <c r="P268">
        <f t="shared" ref="P268:P312" si="43">H268*L268</f>
        <v>4.6062243651294421E-6</v>
      </c>
      <c r="Q268">
        <f t="shared" ref="Q268:Q312" si="44">I268*M268</f>
        <v>3.9378104552071963E-6</v>
      </c>
    </row>
    <row r="269" spans="1:17" x14ac:dyDescent="0.4">
      <c r="A269">
        <f>Dose!B271</f>
        <v>396.61268290700741</v>
      </c>
      <c r="B269" t="b">
        <f t="shared" si="39"/>
        <v>1</v>
      </c>
      <c r="C269">
        <f t="shared" si="40"/>
        <v>715.00368236027759</v>
      </c>
      <c r="D269">
        <f t="shared" si="40"/>
        <v>715.00368236027759</v>
      </c>
      <c r="E269">
        <f t="shared" si="40"/>
        <v>715.00368236027759</v>
      </c>
      <c r="G269" s="46">
        <f t="shared" si="41"/>
        <v>2.7574669973488807E-5</v>
      </c>
      <c r="H269" s="46">
        <f t="shared" si="37"/>
        <v>1.8466215363917705E-5</v>
      </c>
      <c r="I269" s="46">
        <f t="shared" si="38"/>
        <v>1.5580408723504213E-5</v>
      </c>
      <c r="K269" s="46">
        <f>IF(B269,Dose!E271,0)</f>
        <v>0.20823775725260507</v>
      </c>
      <c r="L269" s="46">
        <f>IF(C269,Dose!F271,0)</f>
        <v>0.20823775725260507</v>
      </c>
      <c r="M269" s="46">
        <f>IF(D269,Dose!G271,0)</f>
        <v>0.20823775725260507</v>
      </c>
      <c r="O269">
        <f t="shared" si="42"/>
        <v>5.7420874322600601E-6</v>
      </c>
      <c r="P269">
        <f t="shared" si="43"/>
        <v>3.8453632723258208E-6</v>
      </c>
      <c r="Q269">
        <f t="shared" si="44"/>
        <v>3.2444293696614408E-6</v>
      </c>
    </row>
    <row r="270" spans="1:17" x14ac:dyDescent="0.4">
      <c r="A270">
        <f>Dose!B272</f>
        <v>410.52579794537525</v>
      </c>
      <c r="B270" t="b">
        <f t="shared" si="39"/>
        <v>1</v>
      </c>
      <c r="C270">
        <f t="shared" si="40"/>
        <v>740.08590719640983</v>
      </c>
      <c r="D270">
        <f t="shared" si="40"/>
        <v>740.08590719640983</v>
      </c>
      <c r="E270">
        <f t="shared" si="40"/>
        <v>740.08590719640983</v>
      </c>
      <c r="G270" s="46">
        <f t="shared" si="41"/>
        <v>2.4503979083452905E-5</v>
      </c>
      <c r="H270" s="46">
        <f t="shared" si="37"/>
        <v>1.6116965175551864E-5</v>
      </c>
      <c r="I270" s="46">
        <f t="shared" si="38"/>
        <v>1.3459730609851939E-5</v>
      </c>
      <c r="K270" s="46">
        <f>IF(B270,Dose!E272,0)</f>
        <v>0.2010632568074544</v>
      </c>
      <c r="L270" s="46">
        <f>IF(C270,Dose!F272,0)</f>
        <v>0.2010632568074544</v>
      </c>
      <c r="M270" s="46">
        <f>IF(D270,Dose!G272,0)</f>
        <v>0.2010632568074544</v>
      </c>
      <c r="O270">
        <f t="shared" si="42"/>
        <v>4.9268498392607829E-6</v>
      </c>
      <c r="P270">
        <f t="shared" si="43"/>
        <v>3.2405295080487836E-6</v>
      </c>
      <c r="Q270">
        <f t="shared" si="44"/>
        <v>2.7062572721678153E-6</v>
      </c>
    </row>
    <row r="271" spans="1:17" x14ac:dyDescent="0.4">
      <c r="A271">
        <f>Dose!B273</f>
        <v>424.92698302893729</v>
      </c>
      <c r="B271" t="b">
        <f t="shared" si="39"/>
        <v>1</v>
      </c>
      <c r="C271">
        <f t="shared" si="40"/>
        <v>766.04801281952484</v>
      </c>
      <c r="D271">
        <f t="shared" si="40"/>
        <v>766.04801281952484</v>
      </c>
      <c r="E271">
        <f t="shared" si="40"/>
        <v>766.04801281952484</v>
      </c>
      <c r="G271" s="46">
        <f t="shared" si="41"/>
        <v>2.1841939654499982E-5</v>
      </c>
      <c r="H271" s="46">
        <f t="shared" si="37"/>
        <v>1.4177910979858055E-5</v>
      </c>
      <c r="I271" s="46">
        <f t="shared" si="38"/>
        <v>1.1749737838570094E-5</v>
      </c>
      <c r="K271" s="46">
        <f>IF(B271,Dose!E273,0)</f>
        <v>0.19405105708032444</v>
      </c>
      <c r="L271" s="46">
        <f>IF(C271,Dose!F273,0)</f>
        <v>0.19405105708032444</v>
      </c>
      <c r="M271" s="46">
        <f>IF(D271,Dose!G273,0)</f>
        <v>0.19405105708032444</v>
      </c>
      <c r="O271">
        <f t="shared" si="42"/>
        <v>4.2384514786403778E-6</v>
      </c>
      <c r="P271">
        <f t="shared" si="43"/>
        <v>2.7512386128321941E-6</v>
      </c>
      <c r="Q271">
        <f t="shared" si="44"/>
        <v>2.2800490479912131E-6</v>
      </c>
    </row>
    <row r="272" spans="1:17" x14ac:dyDescent="0.4">
      <c r="A272">
        <f>Dose!B274</f>
        <v>439.8333595836537</v>
      </c>
      <c r="B272" t="b">
        <f t="shared" si="39"/>
        <v>1</v>
      </c>
      <c r="C272">
        <f t="shared" si="40"/>
        <v>792.920865319227</v>
      </c>
      <c r="D272">
        <f t="shared" si="40"/>
        <v>792.920865319227</v>
      </c>
      <c r="E272">
        <f t="shared" si="40"/>
        <v>792.920865319227</v>
      </c>
      <c r="G272" s="46">
        <f t="shared" si="41"/>
        <v>1.9513829198776419E-5</v>
      </c>
      <c r="H272" s="46">
        <f t="shared" si="37"/>
        <v>1.2548318211685554E-5</v>
      </c>
      <c r="I272" s="46">
        <f t="shared" si="38"/>
        <v>1.0341454509549098E-5</v>
      </c>
      <c r="K272" s="46">
        <f>IF(B272,Dose!E274,0)</f>
        <v>0.18720152292773795</v>
      </c>
      <c r="L272" s="46">
        <f>IF(C272,Dose!F274,0)</f>
        <v>0.18720152292773795</v>
      </c>
      <c r="M272" s="46">
        <f>IF(D272,Dose!G274,0)</f>
        <v>0.18720152292773795</v>
      </c>
      <c r="O272">
        <f t="shared" si="42"/>
        <v>3.6530185441627061E-6</v>
      </c>
      <c r="P272">
        <f t="shared" si="43"/>
        <v>2.3490642794094047E-6</v>
      </c>
      <c r="Q272">
        <f t="shared" si="44"/>
        <v>1.9359360334755147E-6</v>
      </c>
    </row>
    <row r="273" spans="1:17" x14ac:dyDescent="0.4">
      <c r="A273">
        <f>Dose!B275</f>
        <v>455.26264965261038</v>
      </c>
      <c r="B273" t="b">
        <f t="shared" si="39"/>
        <v>1</v>
      </c>
      <c r="C273">
        <f t="shared" si="40"/>
        <v>820.73641356304233</v>
      </c>
      <c r="D273">
        <f t="shared" si="40"/>
        <v>820.73641356304233</v>
      </c>
      <c r="E273">
        <f t="shared" si="40"/>
        <v>820.73641356304233</v>
      </c>
      <c r="G273" s="46">
        <f t="shared" si="41"/>
        <v>1.7463205177706827E-5</v>
      </c>
      <c r="H273" s="46">
        <f t="shared" si="37"/>
        <v>1.1156711339904799E-5</v>
      </c>
      <c r="I273" s="46">
        <f t="shared" si="38"/>
        <v>9.1586422299449038E-6</v>
      </c>
      <c r="K273" s="46">
        <f>IF(B273,Dose!E275,0)</f>
        <v>0.18051479680396554</v>
      </c>
      <c r="L273" s="46">
        <f>IF(C273,Dose!F275,0)</f>
        <v>0.18051479680396554</v>
      </c>
      <c r="M273" s="46">
        <f>IF(D273,Dose!G275,0)</f>
        <v>0.18051479680396554</v>
      </c>
      <c r="O273">
        <f t="shared" si="42"/>
        <v>3.1523669341997069E-6</v>
      </c>
      <c r="P273">
        <f t="shared" si="43"/>
        <v>2.0139514805234129E-6</v>
      </c>
      <c r="Q273">
        <f t="shared" si="44"/>
        <v>1.6532704411387221E-6</v>
      </c>
    </row>
    <row r="274" spans="1:17" x14ac:dyDescent="0.4">
      <c r="A274">
        <f>Dose!B276</f>
        <v>471.23319696557684</v>
      </c>
      <c r="B274" t="b">
        <f t="shared" si="39"/>
        <v>1</v>
      </c>
      <c r="C274">
        <f t="shared" si="40"/>
        <v>849.52772718010442</v>
      </c>
      <c r="D274">
        <f t="shared" si="40"/>
        <v>849.52772718010442</v>
      </c>
      <c r="E274">
        <f t="shared" si="40"/>
        <v>849.52772718010442</v>
      </c>
      <c r="G274" s="46">
        <f t="shared" si="41"/>
        <v>1.5646891124554897E-5</v>
      </c>
      <c r="H274" s="46">
        <f t="shared" si="37"/>
        <v>9.9522813083672192E-6</v>
      </c>
      <c r="I274" s="46">
        <f t="shared" si="38"/>
        <v>8.1480737312827376E-6</v>
      </c>
      <c r="K274" s="46">
        <f>IF(B274,Dose!E276,0)</f>
        <v>0.17399080636536501</v>
      </c>
      <c r="L274" s="46">
        <f>IF(C274,Dose!F276,0)</f>
        <v>0.17399080636536501</v>
      </c>
      <c r="M274" s="46">
        <f>IF(D274,Dose!G276,0)</f>
        <v>0.17399080636536501</v>
      </c>
      <c r="O274">
        <f t="shared" si="42"/>
        <v>2.7224152038723793E-6</v>
      </c>
      <c r="P274">
        <f t="shared" si="43"/>
        <v>1.7316054500177624E-6</v>
      </c>
      <c r="Q274">
        <f t="shared" si="44"/>
        <v>1.4176899188303321E-6</v>
      </c>
    </row>
    <row r="275" spans="1:17" x14ac:dyDescent="0.4">
      <c r="A275">
        <f>Dose!B277</f>
        <v>487.76398874768722</v>
      </c>
      <c r="B275" t="b">
        <f t="shared" si="39"/>
        <v>1</v>
      </c>
      <c r="C275">
        <f t="shared" si="40"/>
        <v>879.32903587731323</v>
      </c>
      <c r="D275">
        <f t="shared" si="40"/>
        <v>879.32903587731323</v>
      </c>
      <c r="E275">
        <f t="shared" si="40"/>
        <v>879.32903587731323</v>
      </c>
      <c r="G275" s="46">
        <f t="shared" si="41"/>
        <v>1.4031299144463244E-5</v>
      </c>
      <c r="H275" s="46">
        <f t="shared" si="37"/>
        <v>8.8986383488780348E-6</v>
      </c>
      <c r="I275" s="46">
        <f t="shared" si="38"/>
        <v>7.2724715355389671E-6</v>
      </c>
      <c r="K275" s="46">
        <f>IF(B275,Dose!E277,0)</f>
        <v>0.16762927226612323</v>
      </c>
      <c r="L275" s="46">
        <f>IF(C275,Dose!F277,0)</f>
        <v>0.16762927226612323</v>
      </c>
      <c r="M275" s="46">
        <f>IF(D275,Dose!G277,0)</f>
        <v>0.16762927226612323</v>
      </c>
      <c r="O275">
        <f t="shared" si="42"/>
        <v>2.3520564645346509E-6</v>
      </c>
      <c r="P275">
        <f t="shared" si="43"/>
        <v>1.4916722705818414E-6</v>
      </c>
      <c r="Q275">
        <f t="shared" si="44"/>
        <v>1.2190791110784929E-6</v>
      </c>
    </row>
    <row r="276" spans="1:17" x14ac:dyDescent="0.4">
      <c r="A276">
        <f>Dose!B278</f>
        <v>504.87467829316228</v>
      </c>
      <c r="B276" t="b">
        <f t="shared" si="39"/>
        <v>1</v>
      </c>
      <c r="C276">
        <f t="shared" si="40"/>
        <v>910.17577013469122</v>
      </c>
      <c r="D276">
        <f t="shared" si="40"/>
        <v>910.17577013469122</v>
      </c>
      <c r="E276">
        <f t="shared" si="40"/>
        <v>910.17577013469122</v>
      </c>
      <c r="G276" s="46">
        <f t="shared" si="41"/>
        <v>1.2589773773695946E-5</v>
      </c>
      <c r="H276" s="46">
        <f t="shared" si="37"/>
        <v>7.9693527396329819E-6</v>
      </c>
      <c r="I276" s="46">
        <f t="shared" si="38"/>
        <v>6.505477442105104E-6</v>
      </c>
      <c r="K276" s="46">
        <f>IF(B276,Dose!E278,0)</f>
        <v>0.16142971611794454</v>
      </c>
      <c r="L276" s="46">
        <f>IF(C276,Dose!F278,0)</f>
        <v>0.16142971611794454</v>
      </c>
      <c r="M276" s="46">
        <f>IF(D276,Dose!G278,0)</f>
        <v>0.16142971611794454</v>
      </c>
      <c r="O276">
        <f t="shared" si="42"/>
        <v>2.03236360627688E-6</v>
      </c>
      <c r="P276">
        <f t="shared" si="43"/>
        <v>1.2864903504027159E-6</v>
      </c>
      <c r="Q276">
        <f t="shared" si="44"/>
        <v>1.050177376690719E-6</v>
      </c>
    </row>
    <row r="277" spans="1:17" x14ac:dyDescent="0.4">
      <c r="A277">
        <f>Dose!B279</f>
        <v>522.58560833091622</v>
      </c>
      <c r="B277" t="b">
        <f t="shared" si="39"/>
        <v>1</v>
      </c>
      <c r="C277">
        <f t="shared" si="40"/>
        <v>942.10460332832986</v>
      </c>
      <c r="D277">
        <f t="shared" si="40"/>
        <v>942.10460332832986</v>
      </c>
      <c r="E277">
        <f t="shared" si="40"/>
        <v>942.10460332832986</v>
      </c>
      <c r="G277" s="46">
        <f t="shared" si="41"/>
        <v>1.1300700097560969E-5</v>
      </c>
      <c r="H277" s="46">
        <f t="shared" si="37"/>
        <v>7.1448288491517363E-6</v>
      </c>
      <c r="I277" s="46">
        <f t="shared" si="38"/>
        <v>5.8281355834510257E-6</v>
      </c>
      <c r="K277" s="46">
        <f>IF(B277,Dose!E279,0)</f>
        <v>0.15539146858786212</v>
      </c>
      <c r="L277" s="46">
        <f>IF(C277,Dose!F279,0)</f>
        <v>0.15539146858786212</v>
      </c>
      <c r="M277" s="46">
        <f>IF(D277,Dose!G279,0)</f>
        <v>0.15539146858786212</v>
      </c>
      <c r="O277">
        <f t="shared" si="42"/>
        <v>1.7560323842309958E-6</v>
      </c>
      <c r="P277">
        <f t="shared" si="43"/>
        <v>1.1102454476786131E-6</v>
      </c>
      <c r="Q277">
        <f t="shared" si="44"/>
        <v>9.0564254744163157E-7</v>
      </c>
    </row>
    <row r="278" spans="1:17" x14ac:dyDescent="0.4">
      <c r="A278">
        <f>Dose!B280</f>
        <v>540.91783520982381</v>
      </c>
      <c r="B278" t="b">
        <f t="shared" si="39"/>
        <v>1</v>
      </c>
      <c r="C278">
        <f t="shared" si="40"/>
        <v>975.15349533100004</v>
      </c>
      <c r="D278">
        <f t="shared" si="40"/>
        <v>975.15349533100004</v>
      </c>
      <c r="E278">
        <f t="shared" si="40"/>
        <v>975.15349533100004</v>
      </c>
      <c r="G278" s="46">
        <f t="shared" si="41"/>
        <v>1.0146171915752099E-5</v>
      </c>
      <c r="H278" s="46">
        <f t="shared" si="37"/>
        <v>6.4101516677682319E-6</v>
      </c>
      <c r="I278" s="46">
        <f t="shared" si="38"/>
        <v>5.2264786406202419E-6</v>
      </c>
      <c r="K278" s="46">
        <f>IF(B278,Dose!E280,0)</f>
        <v>0.14951367760765999</v>
      </c>
      <c r="L278" s="46">
        <f>IF(C278,Dose!F280,0)</f>
        <v>0.14951367760765999</v>
      </c>
      <c r="M278" s="46">
        <f>IF(D278,Dose!G280,0)</f>
        <v>0.14951367760765999</v>
      </c>
      <c r="O278">
        <f t="shared" si="42"/>
        <v>1.5169914767636532E-6</v>
      </c>
      <c r="P278">
        <f t="shared" si="43"/>
        <v>9.5840534987090343E-7</v>
      </c>
      <c r="Q278">
        <f t="shared" si="44"/>
        <v>7.8143004249701593E-7</v>
      </c>
    </row>
    <row r="279" spans="1:17" x14ac:dyDescent="0.4">
      <c r="A279">
        <f>Dose!B281</f>
        <v>559.89315393240724</v>
      </c>
      <c r="B279" t="b">
        <f t="shared" si="39"/>
        <v>1</v>
      </c>
      <c r="C279">
        <f t="shared" si="40"/>
        <v>1009.3617376422733</v>
      </c>
      <c r="D279">
        <f t="shared" si="40"/>
        <v>1009.3617376422733</v>
      </c>
      <c r="E279">
        <f t="shared" si="40"/>
        <v>1009.3617376422733</v>
      </c>
      <c r="G279" s="46">
        <f t="shared" si="41"/>
        <v>9.1110620145991373E-6</v>
      </c>
      <c r="H279" s="46">
        <f t="shared" si="37"/>
        <v>5.7536271181937128E-6</v>
      </c>
      <c r="I279" s="46">
        <f t="shared" si="38"/>
        <v>4.6899002474881471E-6</v>
      </c>
      <c r="K279" s="46">
        <f>IF(B279,Dose!E281,0)</f>
        <v>0.143795316670281</v>
      </c>
      <c r="L279" s="46">
        <f>IF(C279,Dose!F281,0)</f>
        <v>0.143795316670281</v>
      </c>
      <c r="M279" s="46">
        <f>IF(D279,Dose!G281,0)</f>
        <v>0.143795316670281</v>
      </c>
      <c r="O279">
        <f t="shared" si="42"/>
        <v>1.3101280475918513E-6</v>
      </c>
      <c r="P279">
        <f t="shared" si="43"/>
        <v>8.2734463346338125E-7</v>
      </c>
      <c r="Q279">
        <f t="shared" si="44"/>
        <v>6.7438569123958732E-7</v>
      </c>
    </row>
    <row r="280" spans="1:17" x14ac:dyDescent="0.4">
      <c r="A280">
        <f>Dose!B282</f>
        <v>579.53412406669474</v>
      </c>
      <c r="B280" t="b">
        <f t="shared" si="39"/>
        <v>1</v>
      </c>
      <c r="C280">
        <f t="shared" si="40"/>
        <v>1044.7700001017886</v>
      </c>
      <c r="D280">
        <f t="shared" si="40"/>
        <v>1044.7700001017886</v>
      </c>
      <c r="E280">
        <f t="shared" si="40"/>
        <v>1044.7700001017886</v>
      </c>
      <c r="G280" s="46">
        <f t="shared" si="41"/>
        <v>8.1823755196440386E-6</v>
      </c>
      <c r="H280" s="46">
        <f t="shared" si="37"/>
        <v>5.1658064790402722E-6</v>
      </c>
      <c r="I280" s="46">
        <f t="shared" si="38"/>
        <v>4.2100752005978557E-6</v>
      </c>
      <c r="K280" s="46">
        <f>IF(B280,Dose!E282,0)</f>
        <v>0.1382351931880188</v>
      </c>
      <c r="L280" s="46">
        <f>IF(C280,Dose!F282,0)</f>
        <v>0.1382351931880188</v>
      </c>
      <c r="M280" s="46">
        <f>IF(D280,Dose!G282,0)</f>
        <v>0.1382351931880188</v>
      </c>
      <c r="O280">
        <f t="shared" si="42"/>
        <v>1.1310922606949094E-6</v>
      </c>
      <c r="P280">
        <f t="shared" si="43"/>
        <v>7.1409625660205127E-7</v>
      </c>
      <c r="Q280">
        <f t="shared" si="44"/>
        <v>5.8198055869073164E-7</v>
      </c>
    </row>
    <row r="281" spans="1:17" x14ac:dyDescent="0.4">
      <c r="A281">
        <f>Dose!B283</f>
        <v>599.86409656707042</v>
      </c>
      <c r="B281" t="b">
        <f t="shared" si="39"/>
        <v>1</v>
      </c>
      <c r="C281">
        <f t="shared" si="40"/>
        <v>1081.4203792412272</v>
      </c>
      <c r="D281">
        <f t="shared" si="40"/>
        <v>1081.4203792412272</v>
      </c>
      <c r="E281">
        <f t="shared" si="40"/>
        <v>1081.4203792412272</v>
      </c>
      <c r="G281" s="46">
        <f t="shared" si="41"/>
        <v>7.3487989165284983E-6</v>
      </c>
      <c r="H281" s="46">
        <f t="shared" si="37"/>
        <v>4.6388413065131691E-6</v>
      </c>
      <c r="I281" s="46">
        <f t="shared" si="38"/>
        <v>3.7802528849379363E-6</v>
      </c>
      <c r="K281" s="46">
        <f>IF(B281,Dose!E283,0)</f>
        <v>0.13283195688912341</v>
      </c>
      <c r="L281" s="46">
        <f>IF(C281,Dose!F283,0)</f>
        <v>0.13283195688912341</v>
      </c>
      <c r="M281" s="46">
        <f>IF(D281,Dose!G283,0)</f>
        <v>0.13283195688912341</v>
      </c>
      <c r="O281">
        <f t="shared" si="42"/>
        <v>9.7615534086715026E-7</v>
      </c>
      <c r="P281">
        <f t="shared" si="43"/>
        <v>6.1618636844224217E-7</v>
      </c>
      <c r="Q281">
        <f t="shared" si="44"/>
        <v>5.0213838824206036E-7</v>
      </c>
    </row>
    <row r="282" spans="1:17" x14ac:dyDescent="0.4">
      <c r="A282">
        <f>Dose!B284</f>
        <v>620.90724153599047</v>
      </c>
      <c r="B282" t="b">
        <f t="shared" si="39"/>
        <v>1</v>
      </c>
      <c r="C282">
        <f t="shared" si="40"/>
        <v>1119.3564483324587</v>
      </c>
      <c r="D282">
        <f t="shared" si="40"/>
        <v>1119.3564483324587</v>
      </c>
      <c r="E282">
        <f t="shared" si="40"/>
        <v>1119.3564483324587</v>
      </c>
      <c r="G282" s="46">
        <f t="shared" si="41"/>
        <v>6.6003821425725529E-6</v>
      </c>
      <c r="H282" s="46">
        <f t="shared" si="37"/>
        <v>4.1660592207812139E-6</v>
      </c>
      <c r="I282" s="46">
        <f t="shared" si="38"/>
        <v>3.3947993799258388E-6</v>
      </c>
      <c r="K282" s="46">
        <f>IF(B282,Dose!E284,0)</f>
        <v>0.12758410822948374</v>
      </c>
      <c r="L282" s="46">
        <f>IF(C282,Dose!F284,0)</f>
        <v>0.12758410822948374</v>
      </c>
      <c r="M282" s="46">
        <f>IF(D282,Dose!G284,0)</f>
        <v>0.12758410822948374</v>
      </c>
      <c r="O282">
        <f t="shared" si="42"/>
        <v>8.4210386963392836E-7</v>
      </c>
      <c r="P282">
        <f t="shared" si="43"/>
        <v>5.3152295051458908E-7</v>
      </c>
      <c r="Q282">
        <f t="shared" si="44"/>
        <v>4.3312245150584252E-7</v>
      </c>
    </row>
    <row r="283" spans="1:17" x14ac:dyDescent="0.4">
      <c r="A283">
        <f>Dose!B285</f>
        <v>642.68857695957649</v>
      </c>
      <c r="B283" t="b">
        <f t="shared" si="39"/>
        <v>1</v>
      </c>
      <c r="C283">
        <f t="shared" si="40"/>
        <v>1158.6233091913687</v>
      </c>
      <c r="D283">
        <f t="shared" si="40"/>
        <v>1158.6233091913687</v>
      </c>
      <c r="E283">
        <f t="shared" si="40"/>
        <v>1158.6233091913687</v>
      </c>
      <c r="G283" s="46">
        <f t="shared" si="41"/>
        <v>5.9283100245401533E-6</v>
      </c>
      <c r="H283" s="46">
        <f t="shared" si="37"/>
        <v>3.7416843411071433E-6</v>
      </c>
      <c r="I283" s="46">
        <f t="shared" si="38"/>
        <v>3.048901735513547E-6</v>
      </c>
      <c r="K283" s="46">
        <f>IF(B283,Dose!E285,0)</f>
        <v>0.12249000679718236</v>
      </c>
      <c r="L283" s="46">
        <f>IF(C283,Dose!F285,0)</f>
        <v>0.12249000679718236</v>
      </c>
      <c r="M283" s="46">
        <f>IF(D283,Dose!G285,0)</f>
        <v>0.12249000679718236</v>
      </c>
      <c r="O283">
        <f t="shared" si="42"/>
        <v>7.2615873520172773E-7</v>
      </c>
      <c r="P283">
        <f t="shared" si="43"/>
        <v>4.583189403751248E-7</v>
      </c>
      <c r="Q283">
        <f t="shared" si="44"/>
        <v>3.7345999430699549E-7</v>
      </c>
    </row>
    <row r="284" spans="1:17" x14ac:dyDescent="0.4">
      <c r="A284">
        <f>Dose!B286</f>
        <v>665.23399845125459</v>
      </c>
      <c r="B284" t="b">
        <f t="shared" si="39"/>
        <v>1</v>
      </c>
      <c r="C284">
        <f t="shared" si="40"/>
        <v>1199.2676457989651</v>
      </c>
      <c r="D284">
        <f t="shared" si="40"/>
        <v>1199.2676457989651</v>
      </c>
      <c r="E284">
        <f t="shared" si="40"/>
        <v>1199.2676457989651</v>
      </c>
      <c r="G284" s="46">
        <f t="shared" si="41"/>
        <v>5.3247332502251771E-6</v>
      </c>
      <c r="H284" s="46">
        <f t="shared" si="37"/>
        <v>3.3606507548939947E-6</v>
      </c>
      <c r="I284" s="46">
        <f t="shared" si="38"/>
        <v>2.7383758959524172E-6</v>
      </c>
      <c r="K284" s="46">
        <f>IF(B284,Dose!E286,0)</f>
        <v>0.11754787968885072</v>
      </c>
      <c r="L284" s="46">
        <f>IF(C284,Dose!F286,0)</f>
        <v>0.11754787968885072</v>
      </c>
      <c r="M284" s="46">
        <f>IF(D284,Dose!G286,0)</f>
        <v>0.11754787968885072</v>
      </c>
      <c r="O284">
        <f t="shared" si="42"/>
        <v>6.2591110347269219E-7</v>
      </c>
      <c r="P284">
        <f t="shared" si="43"/>
        <v>3.9503737061252463E-7</v>
      </c>
      <c r="Q284">
        <f t="shared" si="44"/>
        <v>3.2189028036026354E-7</v>
      </c>
    </row>
    <row r="285" spans="1:17" x14ac:dyDescent="0.4">
      <c r="A285">
        <f>Dose!B287</f>
        <v>688.57031003878853</v>
      </c>
      <c r="B285" t="b">
        <f t="shared" si="39"/>
        <v>1</v>
      </c>
      <c r="C285">
        <f t="shared" si="40"/>
        <v>1241.3377798034942</v>
      </c>
      <c r="D285">
        <f t="shared" si="40"/>
        <v>1241.3377798034942</v>
      </c>
      <c r="E285">
        <f t="shared" si="40"/>
        <v>1241.3377798034942</v>
      </c>
      <c r="G285" s="46">
        <f t="shared" si="41"/>
        <v>4.7826390003240009E-6</v>
      </c>
      <c r="H285" s="46">
        <f t="shared" si="37"/>
        <v>3.0184749574122815E-6</v>
      </c>
      <c r="I285" s="46">
        <f t="shared" si="38"/>
        <v>2.4595397122979544E-6</v>
      </c>
      <c r="K285" s="46">
        <f>IF(B285,Dose!E287,0)</f>
        <v>0.11275582983698573</v>
      </c>
      <c r="L285" s="46">
        <f>IF(C285,Dose!F287,0)</f>
        <v>0.11275582983698573</v>
      </c>
      <c r="M285" s="46">
        <f>IF(D285,Dose!G287,0)</f>
        <v>0.11275582983698573</v>
      </c>
      <c r="O285">
        <f t="shared" si="42"/>
        <v>5.3927042929226465E-7</v>
      </c>
      <c r="P285">
        <f t="shared" si="43"/>
        <v>3.4035064866518198E-7</v>
      </c>
      <c r="Q285">
        <f t="shared" si="44"/>
        <v>2.7732744127717702E-7</v>
      </c>
    </row>
    <row r="286" spans="1:17" x14ac:dyDescent="0.4">
      <c r="A286">
        <f>Dose!B288</f>
        <v>712.72525603132635</v>
      </c>
      <c r="B286" t="b">
        <f t="shared" si="39"/>
        <v>1</v>
      </c>
      <c r="C286">
        <f t="shared" si="40"/>
        <v>1284.8837279695736</v>
      </c>
      <c r="D286">
        <f t="shared" si="40"/>
        <v>1284.8837279695736</v>
      </c>
      <c r="E286">
        <f t="shared" si="40"/>
        <v>1284.8837279695736</v>
      </c>
      <c r="G286" s="46">
        <f t="shared" si="41"/>
        <v>4.2957482679025543E-6</v>
      </c>
      <c r="H286" s="46">
        <f t="shared" si="37"/>
        <v>2.711165348234779E-6</v>
      </c>
      <c r="I286" s="46">
        <f t="shared" si="38"/>
        <v>2.2091262968398262E-6</v>
      </c>
      <c r="K286" s="46">
        <f>IF(B286,Dose!E288,0)</f>
        <v>0.10811184426915421</v>
      </c>
      <c r="L286" s="46">
        <f>IF(C286,Dose!F288,0)</f>
        <v>0.10811184426915421</v>
      </c>
      <c r="M286" s="46">
        <f>IF(D286,Dose!G288,0)</f>
        <v>0.10811184426915421</v>
      </c>
      <c r="O286">
        <f t="shared" si="42"/>
        <v>4.6442126775896991E-7</v>
      </c>
      <c r="P286">
        <f t="shared" si="43"/>
        <v>2.9310908591628564E-7</v>
      </c>
      <c r="Q286">
        <f t="shared" si="44"/>
        <v>2.3883271817484061E-7</v>
      </c>
    </row>
    <row r="287" spans="1:17" x14ac:dyDescent="0.4">
      <c r="A287">
        <f>Dose!B289</f>
        <v>737.72755400433221</v>
      </c>
      <c r="B287" t="b">
        <f t="shared" si="39"/>
        <v>1</v>
      </c>
      <c r="C287">
        <f t="shared" si="40"/>
        <v>1329.9572616426244</v>
      </c>
      <c r="D287">
        <f t="shared" si="40"/>
        <v>1329.9572616426244</v>
      </c>
      <c r="E287">
        <f t="shared" si="40"/>
        <v>1329.9572616426244</v>
      </c>
      <c r="G287" s="46">
        <f t="shared" si="41"/>
        <v>3.8584315384468506E-6</v>
      </c>
      <c r="H287" s="46">
        <f t="shared" si="37"/>
        <v>2.4351550224917768E-6</v>
      </c>
      <c r="I287" s="46">
        <f t="shared" si="38"/>
        <v>1.9842222356530737E-6</v>
      </c>
      <c r="K287" s="46">
        <f>IF(B287,Dose!E289,0)</f>
        <v>0.10361380228042227</v>
      </c>
      <c r="L287" s="46">
        <f>IF(C287,Dose!F289,0)</f>
        <v>0.10361380228042227</v>
      </c>
      <c r="M287" s="46">
        <f>IF(D287,Dose!G289,0)</f>
        <v>0.10361380228042227</v>
      </c>
      <c r="O287">
        <f t="shared" si="42"/>
        <v>3.9978676253717751E-7</v>
      </c>
      <c r="P287">
        <f t="shared" si="43"/>
        <v>2.5231567102264023E-7</v>
      </c>
      <c r="Q287">
        <f t="shared" si="44"/>
        <v>2.0559281040537502E-7</v>
      </c>
    </row>
    <row r="288" spans="1:17" x14ac:dyDescent="0.4">
      <c r="A288">
        <f>Dose!B290</f>
        <v>763.6069289416248</v>
      </c>
      <c r="B288" t="b">
        <f t="shared" si="39"/>
        <v>1</v>
      </c>
      <c r="C288">
        <f t="shared" si="40"/>
        <v>1376.6119682993076</v>
      </c>
      <c r="D288">
        <f t="shared" si="40"/>
        <v>1376.6119682993076</v>
      </c>
      <c r="E288">
        <f t="shared" si="40"/>
        <v>1376.6119682993076</v>
      </c>
      <c r="G288" s="46">
        <f t="shared" si="41"/>
        <v>3.4656375452420168E-6</v>
      </c>
      <c r="H288" s="46">
        <f t="shared" si="37"/>
        <v>2.1872494027280056E-6</v>
      </c>
      <c r="I288" s="46">
        <f t="shared" si="38"/>
        <v>1.7822212010376515E-6</v>
      </c>
      <c r="K288" s="46">
        <f>IF(B288,Dose!E290,0)</f>
        <v>9.9259483501590307E-2</v>
      </c>
      <c r="L288" s="46">
        <f>IF(C288,Dose!F290,0)</f>
        <v>9.9259483501590307E-2</v>
      </c>
      <c r="M288" s="46">
        <f>IF(D288,Dose!G290,0)</f>
        <v>9.9259483501590307E-2</v>
      </c>
      <c r="O288">
        <f t="shared" si="42"/>
        <v>3.4399739274444188E-7</v>
      </c>
      <c r="P288">
        <f t="shared" si="43"/>
        <v>2.1710524600394374E-7</v>
      </c>
      <c r="Q288">
        <f t="shared" si="44"/>
        <v>1.7690235590058123E-7</v>
      </c>
    </row>
    <row r="289" spans="1:17" x14ac:dyDescent="0.4">
      <c r="A289">
        <f>Dose!B291</f>
        <v>790.39414857511952</v>
      </c>
      <c r="B289" t="b">
        <f t="shared" si="39"/>
        <v>1</v>
      </c>
      <c r="C289">
        <f t="shared" si="40"/>
        <v>1424.9033152571481</v>
      </c>
      <c r="D289">
        <f t="shared" si="40"/>
        <v>1424.9033152571481</v>
      </c>
      <c r="E289">
        <f t="shared" si="40"/>
        <v>1424.9033152571481</v>
      </c>
      <c r="G289" s="46">
        <f t="shared" si="41"/>
        <v>3.112831752195627E-6</v>
      </c>
      <c r="H289" s="46">
        <f t="shared" si="37"/>
        <v>1.9645836099043224E-6</v>
      </c>
      <c r="I289" s="46">
        <f t="shared" si="38"/>
        <v>1.6007873068097484E-6</v>
      </c>
      <c r="K289" s="46">
        <f>IF(B289,Dose!E291,0)</f>
        <v>9.5046575846846615E-2</v>
      </c>
      <c r="L289" s="46">
        <f>IF(C289,Dose!F291,0)</f>
        <v>9.5046575846846615E-2</v>
      </c>
      <c r="M289" s="46">
        <f>IF(D289,Dose!G291,0)</f>
        <v>9.5046575846846615E-2</v>
      </c>
      <c r="O289">
        <f t="shared" si="42"/>
        <v>2.9586399923353408E-7</v>
      </c>
      <c r="P289">
        <f t="shared" si="43"/>
        <v>1.867269450862429E-7</v>
      </c>
      <c r="Q289">
        <f t="shared" si="44"/>
        <v>1.5214935217136207E-7</v>
      </c>
    </row>
    <row r="290" spans="1:17" x14ac:dyDescent="0.4">
      <c r="A290">
        <f>Dose!B292</f>
        <v>818.1210599642767</v>
      </c>
      <c r="B290" t="b">
        <f t="shared" si="39"/>
        <v>1</v>
      </c>
      <c r="C290">
        <f t="shared" si="40"/>
        <v>1474.8887156190742</v>
      </c>
      <c r="D290">
        <f t="shared" si="40"/>
        <v>1474.8887156190742</v>
      </c>
      <c r="E290">
        <f t="shared" si="40"/>
        <v>1474.8887156190742</v>
      </c>
      <c r="G290" s="46">
        <f t="shared" si="41"/>
        <v>2.795942421681949E-6</v>
      </c>
      <c r="H290" s="46">
        <f t="shared" si="37"/>
        <v>1.7645865295777402E-6</v>
      </c>
      <c r="I290" s="46">
        <f t="shared" si="38"/>
        <v>1.4378248768450761E-6</v>
      </c>
      <c r="K290" s="46">
        <f>IF(B290,Dose!E292,0)</f>
        <v>9.0972683325285519E-2</v>
      </c>
      <c r="L290" s="46">
        <f>IF(C290,Dose!F292,0)</f>
        <v>9.0972683325285519E-2</v>
      </c>
      <c r="M290" s="46">
        <f>IF(D290,Dose!G292,0)</f>
        <v>9.0972683325285519E-2</v>
      </c>
      <c r="O290">
        <f t="shared" si="42"/>
        <v>2.5435438452340386E-7</v>
      </c>
      <c r="P290">
        <f t="shared" si="43"/>
        <v>1.6052917155534032E-7</v>
      </c>
      <c r="Q290">
        <f t="shared" si="44"/>
        <v>1.3080278719844476E-7</v>
      </c>
    </row>
    <row r="291" spans="1:17" x14ac:dyDescent="0.4">
      <c r="A291">
        <f>Dose!B293</f>
        <v>846.82062735875547</v>
      </c>
      <c r="B291" t="b">
        <f t="shared" si="39"/>
        <v>1</v>
      </c>
      <c r="C291">
        <f t="shared" si="40"/>
        <v>1526.6275965312882</v>
      </c>
      <c r="D291">
        <f t="shared" si="40"/>
        <v>1526.6275965312882</v>
      </c>
      <c r="E291">
        <f t="shared" si="40"/>
        <v>1526.6275965312882</v>
      </c>
      <c r="G291" s="46">
        <f t="shared" si="41"/>
        <v>2.511312856956307E-6</v>
      </c>
      <c r="H291" s="46">
        <f t="shared" si="37"/>
        <v>1.5849497551817583E-6</v>
      </c>
      <c r="I291" s="46">
        <f t="shared" si="38"/>
        <v>1.2914526796486663E-6</v>
      </c>
      <c r="K291" s="46">
        <f>IF(B291,Dose!E293,0)</f>
        <v>8.7035333702278894E-2</v>
      </c>
      <c r="L291" s="46">
        <f>IF(C291,Dose!F293,0)</f>
        <v>8.7035333702278894E-2</v>
      </c>
      <c r="M291" s="46">
        <f>IF(D291,Dose!G293,0)</f>
        <v>8.7035333702278894E-2</v>
      </c>
      <c r="O291">
        <f t="shared" si="42"/>
        <v>2.1857295253601557E-7</v>
      </c>
      <c r="P291">
        <f t="shared" si="43"/>
        <v>1.3794663084358957E-7</v>
      </c>
      <c r="Q291">
        <f t="shared" si="44"/>
        <v>1.1240201493392396E-7</v>
      </c>
    </row>
    <row r="292" spans="1:17" x14ac:dyDescent="0.4">
      <c r="A292">
        <f>Dose!B294</f>
        <v>876.52697138928079</v>
      </c>
      <c r="B292" t="b">
        <f t="shared" si="39"/>
        <v>1</v>
      </c>
      <c r="C292">
        <f t="shared" si="40"/>
        <v>1580.1814698356045</v>
      </c>
      <c r="D292">
        <f t="shared" si="40"/>
        <v>1580.1814698356045</v>
      </c>
      <c r="E292">
        <f t="shared" si="40"/>
        <v>1580.1814698356045</v>
      </c>
      <c r="G292" s="46">
        <f t="shared" si="41"/>
        <v>2.2556588480001339E-6</v>
      </c>
      <c r="H292" s="46">
        <f t="shared" si="37"/>
        <v>1.4236003028496721E-6</v>
      </c>
      <c r="I292" s="46">
        <f t="shared" si="38"/>
        <v>1.1599814808065927E-6</v>
      </c>
      <c r="K292" s="46">
        <f>IF(B292,Dose!E294,0)</f>
        <v>8.3231985996956581E-2</v>
      </c>
      <c r="L292" s="46">
        <f>IF(C292,Dose!F294,0)</f>
        <v>8.3231985996956581E-2</v>
      </c>
      <c r="M292" s="46">
        <f>IF(D292,Dose!G294,0)</f>
        <v>8.3231985996956581E-2</v>
      </c>
      <c r="O292">
        <f t="shared" si="42"/>
        <v>1.8774296565065836E-7</v>
      </c>
      <c r="P292">
        <f t="shared" si="43"/>
        <v>1.1848908047204706E-7</v>
      </c>
      <c r="Q292">
        <f t="shared" si="44"/>
        <v>9.6547562367223284E-8</v>
      </c>
    </row>
    <row r="293" spans="1:17" x14ac:dyDescent="0.4">
      <c r="A293">
        <f>Dose!B295</f>
        <v>907.27540963332683</v>
      </c>
      <c r="B293" t="b">
        <f t="shared" si="39"/>
        <v>1</v>
      </c>
      <c r="C293">
        <f t="shared" si="40"/>
        <v>1635.6140052002775</v>
      </c>
      <c r="D293">
        <f t="shared" si="40"/>
        <v>1635.6140052002775</v>
      </c>
      <c r="E293">
        <f t="shared" si="40"/>
        <v>1635.6140052002775</v>
      </c>
      <c r="G293" s="46">
        <f t="shared" si="41"/>
        <v>2.0260306162409926E-6</v>
      </c>
      <c r="H293" s="46">
        <f t="shared" si="37"/>
        <v>1.2786764001508691E-6</v>
      </c>
      <c r="I293" s="46">
        <f t="shared" si="38"/>
        <v>1.041894217883898E-6</v>
      </c>
      <c r="K293" s="46">
        <f>IF(B293,Dose!E295,0)</f>
        <v>7.956003780409393E-2</v>
      </c>
      <c r="L293" s="46">
        <f>IF(C293,Dose!F295,0)</f>
        <v>7.956003780409393E-2</v>
      </c>
      <c r="M293" s="46">
        <f>IF(D293,Dose!G295,0)</f>
        <v>7.956003780409393E-2</v>
      </c>
      <c r="O293">
        <f t="shared" si="42"/>
        <v>1.611910724203851E-7</v>
      </c>
      <c r="P293">
        <f t="shared" si="43"/>
        <v>1.0173154273520589E-7</v>
      </c>
      <c r="Q293">
        <f t="shared" si="44"/>
        <v>8.2893143362709794E-8</v>
      </c>
    </row>
    <row r="294" spans="1:17" x14ac:dyDescent="0.4">
      <c r="A294">
        <f>Dose!B296</f>
        <v>939.10249860382874</v>
      </c>
      <c r="B294" t="b">
        <f t="shared" si="39"/>
        <v>1</v>
      </c>
      <c r="C294">
        <f t="shared" si="40"/>
        <v>1692.991105816227</v>
      </c>
      <c r="D294">
        <f t="shared" si="40"/>
        <v>1692.991105816227</v>
      </c>
      <c r="E294">
        <f t="shared" si="40"/>
        <v>1692.991105816227</v>
      </c>
      <c r="G294" s="46">
        <f t="shared" si="41"/>
        <v>1.8197787092666181E-6</v>
      </c>
      <c r="H294" s="46">
        <f t="shared" si="37"/>
        <v>1.1485058768161463E-6</v>
      </c>
      <c r="I294" s="46">
        <f t="shared" si="38"/>
        <v>9.3582835022681852E-7</v>
      </c>
      <c r="K294" s="46">
        <f>IF(B294,Dose!E296,0)</f>
        <v>7.6016832428693615E-2</v>
      </c>
      <c r="L294" s="46">
        <f>IF(C294,Dose!F296,0)</f>
        <v>7.6016832428693615E-2</v>
      </c>
      <c r="M294" s="46">
        <f>IF(D294,Dose!G296,0)</f>
        <v>7.6016832428693615E-2</v>
      </c>
      <c r="O294">
        <f t="shared" si="42"/>
        <v>1.3833381319962487E-7</v>
      </c>
      <c r="P294">
        <f t="shared" si="43"/>
        <v>8.7305778781302823E-8</v>
      </c>
      <c r="Q294">
        <f t="shared" si="44"/>
        <v>7.1138706881212862E-8</v>
      </c>
    </row>
    <row r="295" spans="1:17" x14ac:dyDescent="0.4">
      <c r="A295">
        <f>Dose!B297</f>
        <v>972.04607721086302</v>
      </c>
      <c r="B295" t="b">
        <f t="shared" si="39"/>
        <v>1</v>
      </c>
      <c r="C295">
        <f t="shared" si="40"/>
        <v>1752.3809867486973</v>
      </c>
      <c r="D295">
        <f t="shared" si="40"/>
        <v>1752.3809867486973</v>
      </c>
      <c r="E295">
        <f t="shared" si="40"/>
        <v>1752.3809867486973</v>
      </c>
      <c r="G295" s="46">
        <f t="shared" si="41"/>
        <v>1.6345234032347118E-6</v>
      </c>
      <c r="H295" s="46">
        <f t="shared" si="37"/>
        <v>1.0315868181938452E-6</v>
      </c>
      <c r="I295" s="46">
        <f t="shared" si="38"/>
        <v>8.4056007705700846E-7</v>
      </c>
      <c r="K295" s="46">
        <f>IF(B295,Dose!E297,0)</f>
        <v>7.2599665823602777E-2</v>
      </c>
      <c r="L295" s="46">
        <f>IF(C295,Dose!F297,0)</f>
        <v>7.2599665823602777E-2</v>
      </c>
      <c r="M295" s="46">
        <f>IF(D295,Dose!G297,0)</f>
        <v>7.2599665823602777E-2</v>
      </c>
      <c r="O295">
        <f t="shared" si="42"/>
        <v>1.1866585285569801E-7</v>
      </c>
      <c r="P295">
        <f t="shared" si="43"/>
        <v>7.4892858268906831E-8</v>
      </c>
      <c r="Q295">
        <f t="shared" si="44"/>
        <v>6.1024380699000619E-8</v>
      </c>
    </row>
    <row r="296" spans="1:17" x14ac:dyDescent="0.4">
      <c r="A296">
        <f>Dose!B298</f>
        <v>1006.1453117479499</v>
      </c>
      <c r="B296" t="b">
        <f t="shared" si="39"/>
        <v>1</v>
      </c>
      <c r="C296">
        <f t="shared" si="40"/>
        <v>1813.8542560374669</v>
      </c>
      <c r="D296">
        <f t="shared" si="40"/>
        <v>1813.8542560374669</v>
      </c>
      <c r="E296">
        <f t="shared" si="40"/>
        <v>1813.8542560374669</v>
      </c>
      <c r="G296" s="46">
        <f t="shared" si="41"/>
        <v>1.4681272349383245E-6</v>
      </c>
      <c r="H296" s="46">
        <f t="shared" si="37"/>
        <v>9.2657021508330199E-7</v>
      </c>
      <c r="I296" s="46">
        <f t="shared" si="38"/>
        <v>7.54990192889641E-7</v>
      </c>
      <c r="K296" s="46">
        <f>IF(B296,Dose!E298,0)</f>
        <v>6.9305793320728615E-2</v>
      </c>
      <c r="L296" s="46">
        <f>IF(C296,Dose!F298,0)</f>
        <v>6.9305793320728615E-2</v>
      </c>
      <c r="M296" s="46">
        <f>IF(D296,Dose!G298,0)</f>
        <v>6.9305793320728615E-2</v>
      </c>
      <c r="O296">
        <f t="shared" si="42"/>
        <v>1.017497227131683E-7</v>
      </c>
      <c r="P296">
        <f t="shared" si="43"/>
        <v>6.4216683823706388E-8</v>
      </c>
      <c r="Q296">
        <f t="shared" si="44"/>
        <v>5.2325194267586492E-8</v>
      </c>
    </row>
    <row r="297" spans="1:17" x14ac:dyDescent="0.4">
      <c r="A297">
        <f>Dose!B299</f>
        <v>1041.4407424564688</v>
      </c>
      <c r="B297" t="b">
        <f t="shared" si="39"/>
        <v>1</v>
      </c>
      <c r="C297">
        <f t="shared" si="40"/>
        <v>1877.4839986420425</v>
      </c>
      <c r="D297">
        <f t="shared" si="40"/>
        <v>1877.4839986420425</v>
      </c>
      <c r="E297">
        <f t="shared" si="40"/>
        <v>1877.4839986420425</v>
      </c>
      <c r="G297" s="46">
        <f t="shared" si="41"/>
        <v>1.3186703356863216E-6</v>
      </c>
      <c r="H297" s="46">
        <f t="shared" si="37"/>
        <v>8.3224439068602473E-7</v>
      </c>
      <c r="I297" s="46">
        <f t="shared" si="38"/>
        <v>6.7813139541718604E-7</v>
      </c>
      <c r="K297" s="46">
        <f>IF(B297,Dose!E299,0)</f>
        <v>6.6132436148036433E-2</v>
      </c>
      <c r="L297" s="46">
        <f>IF(C297,Dose!F299,0)</f>
        <v>6.6132436148036433E-2</v>
      </c>
      <c r="M297" s="46">
        <f>IF(D297,Dose!G299,0)</f>
        <v>6.6132436148036433E-2</v>
      </c>
      <c r="O297">
        <f t="shared" si="42"/>
        <v>8.7206881775085439E-8</v>
      </c>
      <c r="P297">
        <f t="shared" si="43"/>
        <v>5.5038349026605015E-8</v>
      </c>
      <c r="Q297">
        <f t="shared" si="44"/>
        <v>4.4846481207405905E-8</v>
      </c>
    </row>
    <row r="298" spans="1:17" x14ac:dyDescent="0.4">
      <c r="A298">
        <f>Dose!B300</f>
        <v>1077.9743317235509</v>
      </c>
      <c r="B298" t="b">
        <f t="shared" si="39"/>
        <v>1</v>
      </c>
      <c r="C298">
        <f t="shared" si="40"/>
        <v>1943.3458633316452</v>
      </c>
      <c r="D298">
        <f t="shared" si="40"/>
        <v>1943.3458633316452</v>
      </c>
      <c r="E298">
        <f t="shared" si="40"/>
        <v>1943.3458633316452</v>
      </c>
      <c r="G298" s="46">
        <f t="shared" si="41"/>
        <v>1.1844282799844503E-6</v>
      </c>
      <c r="H298" s="46">
        <f t="shared" si="37"/>
        <v>7.475210182455243E-7</v>
      </c>
      <c r="I298" s="46">
        <f t="shared" si="38"/>
        <v>6.0909689129799632E-7</v>
      </c>
      <c r="K298" s="46">
        <f>IF(B298,Dose!E300,0)</f>
        <v>6.3076787724947181E-2</v>
      </c>
      <c r="L298" s="46">
        <f>IF(C298,Dose!F300,0)</f>
        <v>6.3076787724947181E-2</v>
      </c>
      <c r="M298" s="46">
        <f>IF(D298,Dose!G300,0)</f>
        <v>6.3076787724947181E-2</v>
      </c>
      <c r="O298">
        <f t="shared" si="42"/>
        <v>7.4709931192003483E-8</v>
      </c>
      <c r="P298">
        <f t="shared" si="43"/>
        <v>4.7151224587809302E-8</v>
      </c>
      <c r="Q298">
        <f t="shared" si="44"/>
        <v>3.841987531632894E-8</v>
      </c>
    </row>
    <row r="299" spans="1:17" x14ac:dyDescent="0.4">
      <c r="A299">
        <f>Dose!B301</f>
        <v>1115.7895139707459</v>
      </c>
      <c r="B299" t="b">
        <f t="shared" si="39"/>
        <v>1</v>
      </c>
      <c r="C299">
        <f t="shared" si="40"/>
        <v>2011.5181526232836</v>
      </c>
      <c r="D299">
        <f t="shared" si="40"/>
        <v>2011.5181526232836</v>
      </c>
      <c r="E299">
        <f t="shared" si="40"/>
        <v>2011.5181526232836</v>
      </c>
      <c r="G299" s="46">
        <f t="shared" si="41"/>
        <v>1.0638521883075429E-6</v>
      </c>
      <c r="H299" s="46">
        <f t="shared" si="37"/>
        <v>6.7142256266056578E-7</v>
      </c>
      <c r="I299" s="46">
        <f t="shared" si="38"/>
        <v>5.4709016291439718E-7</v>
      </c>
      <c r="K299" s="46">
        <f>IF(B299,Dose!E301,0)</f>
        <v>6.0136019730516743E-2</v>
      </c>
      <c r="L299" s="46">
        <f>IF(C299,Dose!F301,0)</f>
        <v>6.0136019730516743E-2</v>
      </c>
      <c r="M299" s="46">
        <f>IF(D299,Dose!G301,0)</f>
        <v>6.0136019730516743E-2</v>
      </c>
      <c r="O299">
        <f t="shared" si="42"/>
        <v>6.3975836186415809E-8</v>
      </c>
      <c r="P299">
        <f t="shared" si="43"/>
        <v>4.0376680475669896E-8</v>
      </c>
      <c r="Q299">
        <f t="shared" si="44"/>
        <v>3.2899824831391809E-8</v>
      </c>
    </row>
    <row r="300" spans="1:17" x14ac:dyDescent="0.4">
      <c r="A300">
        <f>Dose!B302</f>
        <v>1154.9312472927725</v>
      </c>
      <c r="B300" t="b">
        <f t="shared" si="39"/>
        <v>1</v>
      </c>
      <c r="C300">
        <f t="shared" si="40"/>
        <v>2082.0819158748359</v>
      </c>
      <c r="D300">
        <f t="shared" si="40"/>
        <v>2082.0819158748359</v>
      </c>
      <c r="E300">
        <f t="shared" si="40"/>
        <v>2082.0819158748359</v>
      </c>
      <c r="G300" s="46">
        <f t="shared" si="41"/>
        <v>9.5555085711821249E-7</v>
      </c>
      <c r="H300" s="46">
        <f t="shared" si="37"/>
        <v>6.0307100204571939E-7</v>
      </c>
      <c r="I300" s="46">
        <f t="shared" si="38"/>
        <v>4.9139577831332787E-7</v>
      </c>
      <c r="K300" s="46">
        <f>IF(B300,Dose!E302,0)</f>
        <v>5.7307287938657137E-2</v>
      </c>
      <c r="L300" s="46">
        <f>IF(C300,Dose!F302,0)</f>
        <v>5.7307287938657137E-2</v>
      </c>
      <c r="M300" s="46">
        <f>IF(D300,Dose!G302,0)</f>
        <v>5.7307287938657137E-2</v>
      </c>
      <c r="O300">
        <f t="shared" si="42"/>
        <v>5.476002810890403E-8</v>
      </c>
      <c r="P300">
        <f t="shared" si="43"/>
        <v>3.4560363561688531E-8</v>
      </c>
      <c r="Q300">
        <f t="shared" si="44"/>
        <v>2.8160559359642409E-8</v>
      </c>
    </row>
    <row r="301" spans="1:17" x14ac:dyDescent="0.4">
      <c r="A301">
        <f>Dose!B303</f>
        <v>1195.4460669077519</v>
      </c>
      <c r="B301" t="b">
        <f t="shared" si="39"/>
        <v>1</v>
      </c>
      <c r="C301">
        <f t="shared" si="40"/>
        <v>2155.1210456438271</v>
      </c>
      <c r="D301">
        <f t="shared" si="40"/>
        <v>2155.1210456438271</v>
      </c>
      <c r="E301">
        <f t="shared" si="40"/>
        <v>2155.1210456438271</v>
      </c>
      <c r="G301" s="46">
        <f t="shared" si="41"/>
        <v>8.5827470731790231E-7</v>
      </c>
      <c r="H301" s="46">
        <f t="shared" si="37"/>
        <v>5.4167769712638465E-7</v>
      </c>
      <c r="I301" s="46">
        <f t="shared" si="38"/>
        <v>4.4137113651777227E-7</v>
      </c>
      <c r="K301" s="46">
        <f>IF(B301,Dose!E303,0)</f>
        <v>5.4587737816735871E-2</v>
      </c>
      <c r="L301" s="46">
        <f>IF(C301,Dose!F303,0)</f>
        <v>5.4587737816735871E-2</v>
      </c>
      <c r="M301" s="46">
        <f>IF(D301,Dose!G303,0)</f>
        <v>5.4587737816735871E-2</v>
      </c>
      <c r="O301">
        <f t="shared" si="42"/>
        <v>4.6851274697805364E-8</v>
      </c>
      <c r="P301">
        <f t="shared" si="43"/>
        <v>2.9568960111908347E-8</v>
      </c>
      <c r="Q301">
        <f t="shared" si="44"/>
        <v>2.4093451880106888E-8</v>
      </c>
    </row>
    <row r="302" spans="1:17" x14ac:dyDescent="0.4">
      <c r="A302">
        <f>Dose!B304</f>
        <v>1237.3821404824632</v>
      </c>
      <c r="B302" t="b">
        <f t="shared" si="39"/>
        <v>1</v>
      </c>
      <c r="C302">
        <f t="shared" si="40"/>
        <v>2230.722377426453</v>
      </c>
      <c r="D302">
        <f t="shared" si="40"/>
        <v>2230.722377426453</v>
      </c>
      <c r="E302">
        <f t="shared" si="40"/>
        <v>2230.722377426453</v>
      </c>
      <c r="G302" s="46">
        <f t="shared" si="41"/>
        <v>7.7090136767710171E-7</v>
      </c>
      <c r="H302" s="46">
        <f t="shared" si="37"/>
        <v>4.8653429256870036E-7</v>
      </c>
      <c r="I302" s="46">
        <f t="shared" si="38"/>
        <v>3.9643905371221249E-7</v>
      </c>
      <c r="K302" s="46">
        <f>IF(B302,Dose!E304,0)</f>
        <v>5.1974509884022968E-2</v>
      </c>
      <c r="L302" s="46">
        <f>IF(C302,Dose!F304,0)</f>
        <v>5.1974509884022968E-2</v>
      </c>
      <c r="M302" s="46">
        <f>IF(D302,Dose!G304,0)</f>
        <v>5.1974509884022968E-2</v>
      </c>
      <c r="O302">
        <f t="shared" si="42"/>
        <v>4.0067220753940348E-8</v>
      </c>
      <c r="P302">
        <f t="shared" si="43"/>
        <v>2.528738139802804E-8</v>
      </c>
      <c r="Q302">
        <f t="shared" si="44"/>
        <v>2.0604725515578099E-8</v>
      </c>
    </row>
    <row r="303" spans="1:17" x14ac:dyDescent="0.4">
      <c r="A303">
        <f>Dose!B305</f>
        <v>1280.7893253984103</v>
      </c>
      <c r="B303" t="b">
        <f t="shared" si="39"/>
        <v>1</v>
      </c>
      <c r="C303">
        <f t="shared" si="40"/>
        <v>2308.97579289545</v>
      </c>
      <c r="D303">
        <f t="shared" si="40"/>
        <v>2308.97579289545</v>
      </c>
      <c r="E303">
        <f t="shared" si="40"/>
        <v>2308.97579289545</v>
      </c>
      <c r="G303" s="46">
        <f t="shared" si="41"/>
        <v>6.9242272410743902E-7</v>
      </c>
      <c r="H303" s="46">
        <f t="shared" si="37"/>
        <v>4.3700454345688997E-7</v>
      </c>
      <c r="I303" s="46">
        <f t="shared" si="38"/>
        <v>3.5608110326878597E-7</v>
      </c>
      <c r="K303" s="46">
        <f>IF(B303,Dose!E305,0)</f>
        <v>4.9464744827421026E-2</v>
      </c>
      <c r="L303" s="46">
        <f>IF(C303,Dose!F305,0)</f>
        <v>4.9464744827421026E-2</v>
      </c>
      <c r="M303" s="46">
        <f>IF(D303,Dose!G305,0)</f>
        <v>4.9464744827421026E-2</v>
      </c>
      <c r="O303">
        <f t="shared" si="42"/>
        <v>3.425051336068222E-8</v>
      </c>
      <c r="P303">
        <f t="shared" si="43"/>
        <v>2.1616318230518685E-8</v>
      </c>
      <c r="Q303">
        <f t="shared" si="44"/>
        <v>1.7613460911057052E-8</v>
      </c>
    </row>
    <row r="304" spans="1:17" x14ac:dyDescent="0.4">
      <c r="A304">
        <f>Dose!B306</f>
        <v>1325.7192280267632</v>
      </c>
      <c r="B304" t="b">
        <f t="shared" si="39"/>
        <v>1</v>
      </c>
      <c r="C304">
        <f t="shared" si="40"/>
        <v>2389.9743267595154</v>
      </c>
      <c r="D304">
        <f t="shared" si="40"/>
        <v>2389.9743267595154</v>
      </c>
      <c r="E304">
        <f t="shared" si="40"/>
        <v>2389.9743267595154</v>
      </c>
      <c r="G304" s="46">
        <f t="shared" si="41"/>
        <v>6.2193328910870787E-7</v>
      </c>
      <c r="H304" s="46">
        <f t="shared" si="37"/>
        <v>3.9251697497063226E-7</v>
      </c>
      <c r="I304" s="46">
        <f t="shared" si="38"/>
        <v>3.1983163468654421E-7</v>
      </c>
      <c r="K304" s="46">
        <f>IF(B304,Dose!E306,0)</f>
        <v>4.7055588373223767E-2</v>
      </c>
      <c r="L304" s="46">
        <f>IF(C304,Dose!F306,0)</f>
        <v>4.7055588373223767E-2</v>
      </c>
      <c r="M304" s="46">
        <f>IF(D304,Dose!G306,0)</f>
        <v>4.7055588373223767E-2</v>
      </c>
      <c r="O304">
        <f t="shared" si="42"/>
        <v>2.9265436847904529E-8</v>
      </c>
      <c r="P304">
        <f t="shared" si="43"/>
        <v>1.8470117203721049E-8</v>
      </c>
      <c r="Q304">
        <f t="shared" si="44"/>
        <v>1.5049865750545302E-8</v>
      </c>
    </row>
    <row r="305" spans="1:18" x14ac:dyDescent="0.4">
      <c r="A305">
        <f>Dose!B307</f>
        <v>1372.2252650826629</v>
      </c>
      <c r="B305" t="b">
        <f t="shared" si="39"/>
        <v>1</v>
      </c>
      <c r="C305">
        <f t="shared" si="40"/>
        <v>2473.814277371353</v>
      </c>
      <c r="D305">
        <f t="shared" si="40"/>
        <v>2473.814277371353</v>
      </c>
      <c r="E305">
        <f t="shared" si="40"/>
        <v>2473.814277371353</v>
      </c>
      <c r="G305" s="46">
        <f t="shared" si="41"/>
        <v>5.5861975440189004E-7</v>
      </c>
      <c r="H305" s="46">
        <f t="shared" si="37"/>
        <v>3.5255828880119418E-7</v>
      </c>
      <c r="I305" s="46">
        <f t="shared" si="38"/>
        <v>2.8727240099109666E-7</v>
      </c>
      <c r="K305" s="46">
        <f>IF(B305,Dose!E307,0)</f>
        <v>4.4744195913803964E-2</v>
      </c>
      <c r="L305" s="46">
        <f>IF(C305,Dose!F307,0)</f>
        <v>4.4744195913803964E-2</v>
      </c>
      <c r="M305" s="46">
        <f>IF(D305,Dose!G307,0)</f>
        <v>4.4744195913803964E-2</v>
      </c>
      <c r="O305">
        <f t="shared" si="42"/>
        <v>2.4994991732279223E-8</v>
      </c>
      <c r="P305">
        <f t="shared" si="43"/>
        <v>1.5774937145156109E-8</v>
      </c>
      <c r="Q305">
        <f t="shared" si="44"/>
        <v>1.2853772590574481E-8</v>
      </c>
    </row>
    <row r="306" spans="1:18" x14ac:dyDescent="0.4">
      <c r="A306">
        <f>Dose!B308</f>
        <v>1420.3627271318198</v>
      </c>
      <c r="B306" t="b">
        <f t="shared" si="39"/>
        <v>1</v>
      </c>
      <c r="C306">
        <f t="shared" si="40"/>
        <v>2560.5953212158215</v>
      </c>
      <c r="D306">
        <f t="shared" si="40"/>
        <v>2560.5953212158215</v>
      </c>
      <c r="E306">
        <f t="shared" si="40"/>
        <v>2560.5953212158215</v>
      </c>
      <c r="G306" s="46">
        <f t="shared" si="41"/>
        <v>5.0175160642321917E-7</v>
      </c>
      <c r="H306" s="46">
        <f t="shared" si="37"/>
        <v>3.1666744036508663E-7</v>
      </c>
      <c r="I306" s="46">
        <f t="shared" si="38"/>
        <v>2.5802773271537122E-7</v>
      </c>
      <c r="K306" s="46">
        <f>IF(B306,Dose!E308,0)</f>
        <v>4.252773688944167E-2</v>
      </c>
      <c r="L306" s="46">
        <f>IF(C306,Dose!F308,0)</f>
        <v>4.252773688944167E-2</v>
      </c>
      <c r="M306" s="46">
        <f>IF(D306,Dose!G308,0)</f>
        <v>4.252773688944167E-2</v>
      </c>
      <c r="O306">
        <f t="shared" si="42"/>
        <v>2.1338360301821355E-8</v>
      </c>
      <c r="P306">
        <f t="shared" si="43"/>
        <v>1.3467149585299365E-8</v>
      </c>
      <c r="Q306">
        <f t="shared" si="44"/>
        <v>1.0973335527098488E-8</v>
      </c>
    </row>
    <row r="307" spans="1:18" x14ac:dyDescent="0.4">
      <c r="A307">
        <f>Dose!B309</f>
        <v>1470.1888443249213</v>
      </c>
      <c r="B307" t="b">
        <f t="shared" si="39"/>
        <v>1</v>
      </c>
      <c r="C307">
        <f t="shared" si="40"/>
        <v>2650.4206314143239</v>
      </c>
      <c r="D307">
        <f t="shared" si="40"/>
        <v>2650.4206314143239</v>
      </c>
      <c r="E307">
        <f t="shared" si="40"/>
        <v>2650.4206314143239</v>
      </c>
      <c r="G307" s="46">
        <f t="shared" si="41"/>
        <v>4.5067269928251603E-7</v>
      </c>
      <c r="H307" s="46">
        <f t="shared" si="37"/>
        <v>2.8443032029645821E-7</v>
      </c>
      <c r="I307" s="46">
        <f t="shared" si="38"/>
        <v>2.3176020426030972E-7</v>
      </c>
      <c r="K307" s="46">
        <f>IF(B307,Dose!E309,0)</f>
        <v>4.0403398925825673E-2</v>
      </c>
      <c r="L307" s="46">
        <f>IF(C307,Dose!F309,0)</f>
        <v>4.0403398925825673E-2</v>
      </c>
      <c r="M307" s="46">
        <f>IF(D307,Dose!G309,0)</f>
        <v>4.0403398925825673E-2</v>
      </c>
      <c r="O307">
        <f t="shared" si="42"/>
        <v>1.8208708854090165E-8</v>
      </c>
      <c r="P307">
        <f t="shared" si="43"/>
        <v>1.1491951697538172E-8</v>
      </c>
      <c r="Q307">
        <f t="shared" si="44"/>
        <v>9.3638999878601368E-9</v>
      </c>
    </row>
    <row r="308" spans="1:18" x14ac:dyDescent="0.4">
      <c r="A308">
        <f>Dose!B310</f>
        <v>1521.7628544379922</v>
      </c>
      <c r="B308" t="b">
        <f t="shared" si="39"/>
        <v>1</v>
      </c>
      <c r="C308">
        <f t="shared" si="40"/>
        <v>2743.3970003863119</v>
      </c>
      <c r="D308">
        <f t="shared" si="40"/>
        <v>2743.3970003863119</v>
      </c>
      <c r="E308">
        <f t="shared" si="40"/>
        <v>2743.3970003863119</v>
      </c>
      <c r="G308" s="46">
        <f t="shared" si="41"/>
        <v>4.0479368190020859E-7</v>
      </c>
      <c r="H308" s="46">
        <f t="shared" si="37"/>
        <v>2.5547497503212006E-7</v>
      </c>
      <c r="I308" s="46">
        <f t="shared" si="38"/>
        <v>2.0816673952034692E-7</v>
      </c>
      <c r="K308" s="46">
        <f>IF(B308,Dose!E310,0)</f>
        <v>3.8368391728826889E-2</v>
      </c>
      <c r="L308" s="46">
        <f>IF(C308,Dose!F310,0)</f>
        <v>3.8368391728826889E-2</v>
      </c>
      <c r="M308" s="46">
        <f>IF(D308,Dose!G310,0)</f>
        <v>3.8368391728826889E-2</v>
      </c>
      <c r="O308">
        <f t="shared" si="42"/>
        <v>1.5531282556501347E-8</v>
      </c>
      <c r="P308">
        <f t="shared" si="43"/>
        <v>9.8021639189446512E-9</v>
      </c>
      <c r="Q308">
        <f t="shared" si="44"/>
        <v>7.9870230068293402E-9</v>
      </c>
    </row>
    <row r="309" spans="1:18" x14ac:dyDescent="0.4">
      <c r="A309">
        <f>Dose!B311</f>
        <v>1575.1460732995915</v>
      </c>
      <c r="B309" t="b">
        <f t="shared" si="39"/>
        <v>1</v>
      </c>
      <c r="C309">
        <f t="shared" si="40"/>
        <v>2839.6349668137182</v>
      </c>
      <c r="D309">
        <f t="shared" si="40"/>
        <v>2839.6349668137182</v>
      </c>
      <c r="E309">
        <f t="shared" si="40"/>
        <v>2839.6349668137182</v>
      </c>
      <c r="G309" s="46">
        <f t="shared" si="41"/>
        <v>3.6358520084110789E-7</v>
      </c>
      <c r="H309" s="46">
        <f t="shared" si="37"/>
        <v>2.2946731695735622E-7</v>
      </c>
      <c r="I309" s="46">
        <f t="shared" si="38"/>
        <v>1.8697511641400182E-7</v>
      </c>
      <c r="K309" s="46">
        <f>IF(B309,Dose!E311,0)</f>
        <v>3.6419950738453277E-2</v>
      </c>
      <c r="L309" s="46">
        <f>IF(C309,Dose!F311,0)</f>
        <v>3.6419950738453277E-2</v>
      </c>
      <c r="M309" s="46">
        <f>IF(D309,Dose!G311,0)</f>
        <v>3.6419950738453277E-2</v>
      </c>
      <c r="O309">
        <f t="shared" si="42"/>
        <v>1.324175510386379E-8</v>
      </c>
      <c r="P309">
        <f t="shared" si="43"/>
        <v>8.3571883796719575E-9</v>
      </c>
      <c r="Q309">
        <f t="shared" si="44"/>
        <v>6.8096245291145131E-9</v>
      </c>
    </row>
    <row r="310" spans="1:18" x14ac:dyDescent="0.4">
      <c r="A310">
        <f>Dose!B312</f>
        <v>1630.4019676885991</v>
      </c>
      <c r="B310" t="b">
        <f t="shared" si="39"/>
        <v>1</v>
      </c>
      <c r="C310">
        <f t="shared" si="40"/>
        <v>2939.2489470593132</v>
      </c>
      <c r="D310">
        <f t="shared" si="40"/>
        <v>2939.2489470593132</v>
      </c>
      <c r="E310">
        <f t="shared" si="40"/>
        <v>2939.2489470593132</v>
      </c>
      <c r="G310" s="46">
        <f t="shared" si="41"/>
        <v>3.2657179033604394E-7</v>
      </c>
      <c r="H310" s="46">
        <f t="shared" si="37"/>
        <v>2.0610726825243117E-7</v>
      </c>
      <c r="I310" s="46">
        <f t="shared" si="38"/>
        <v>1.6794082480352465E-7</v>
      </c>
      <c r="K310" s="46">
        <f>IF(B310,Dose!E312,0)</f>
        <v>3.4555340544706326E-2</v>
      </c>
      <c r="L310" s="46">
        <f>IF(C310,Dose!F312,0)</f>
        <v>3.4555340544706326E-2</v>
      </c>
      <c r="M310" s="46">
        <f>IF(D310,Dose!G312,0)</f>
        <v>3.4555340544706326E-2</v>
      </c>
      <c r="O310">
        <f t="shared" si="42"/>
        <v>1.1284799427356433E-8</v>
      </c>
      <c r="P310">
        <f t="shared" si="43"/>
        <v>7.1221068432018974E-9</v>
      </c>
      <c r="Q310">
        <f t="shared" si="44"/>
        <v>5.8032523924446573E-9</v>
      </c>
    </row>
    <row r="311" spans="1:18" x14ac:dyDescent="0.4">
      <c r="A311">
        <f>Dose!B313</f>
        <v>1687.596230789236</v>
      </c>
      <c r="B311" t="b">
        <f t="shared" si="39"/>
        <v>1</v>
      </c>
      <c r="C311">
        <f t="shared" si="40"/>
        <v>3042.3573711951753</v>
      </c>
      <c r="D311">
        <f t="shared" si="40"/>
        <v>3042.3573711951753</v>
      </c>
      <c r="E311">
        <f t="shared" si="40"/>
        <v>3042.3573711951753</v>
      </c>
      <c r="G311" s="46">
        <f t="shared" si="41"/>
        <v>2.9332638782162176E-7</v>
      </c>
      <c r="H311" s="46">
        <f t="shared" si="37"/>
        <v>1.8512529951854511E-7</v>
      </c>
      <c r="I311" s="46">
        <f t="shared" si="38"/>
        <v>1.508442460896926E-7</v>
      </c>
      <c r="K311" s="46">
        <f>IF(B311,Dose!E313,0)</f>
        <v>3.2771858068691984E-2</v>
      </c>
      <c r="L311" s="46">
        <f>IF(C311,Dose!F313,0)</f>
        <v>3.2771858068691984E-2</v>
      </c>
      <c r="M311" s="46">
        <f>IF(D311,Dose!G313,0)</f>
        <v>3.2771858068691984E-2</v>
      </c>
      <c r="O311">
        <f t="shared" si="42"/>
        <v>9.6128507494922891E-9</v>
      </c>
      <c r="P311">
        <f t="shared" si="43"/>
        <v>6.0669000407458526E-9</v>
      </c>
      <c r="Q311">
        <f t="shared" si="44"/>
        <v>4.9434462233302519E-9</v>
      </c>
    </row>
    <row r="312" spans="1:18" x14ac:dyDescent="0.4">
      <c r="A312">
        <f>Dose!B314</f>
        <v>1746.7968602930189</v>
      </c>
      <c r="B312" t="b">
        <f t="shared" si="39"/>
        <v>1</v>
      </c>
      <c r="C312">
        <f t="shared" si="40"/>
        <v>3149.0828238029931</v>
      </c>
      <c r="D312">
        <f t="shared" si="40"/>
        <v>3149.0828238029931</v>
      </c>
      <c r="E312">
        <f t="shared" si="40"/>
        <v>3149.0828238029931</v>
      </c>
      <c r="G312" s="46">
        <f t="shared" si="41"/>
        <v>2.6346540631700629E-7</v>
      </c>
      <c r="H312" s="46">
        <f t="shared" si="37"/>
        <v>1.662793198369578E-7</v>
      </c>
      <c r="I312" s="46">
        <f t="shared" si="38"/>
        <v>1.3548811916223326E-7</v>
      </c>
      <c r="K312" s="46">
        <f>IF(B312,Dose!E314,0)</f>
        <v>3.1066835512683078E-2</v>
      </c>
      <c r="L312" s="46">
        <f>IF(C312,Dose!F314,0)</f>
        <v>3.1066835512683078E-2</v>
      </c>
      <c r="M312" s="46">
        <f>IF(D312,Dose!G314,0)</f>
        <v>3.1066835512683078E-2</v>
      </c>
      <c r="O312">
        <f t="shared" si="42"/>
        <v>8.1850364413326471E-9</v>
      </c>
      <c r="P312">
        <f t="shared" si="43"/>
        <v>5.1657722785355887E-9</v>
      </c>
      <c r="Q312">
        <f t="shared" si="44"/>
        <v>4.2091871119359051E-9</v>
      </c>
    </row>
    <row r="314" spans="1:18" ht="14.4" x14ac:dyDescent="0.5">
      <c r="J314" s="48" t="s">
        <v>221</v>
      </c>
      <c r="K314" s="46">
        <f>SUM(K11:K312)</f>
        <v>19.544262589704587</v>
      </c>
      <c r="L314" s="46">
        <f>SUM(L11:L312)</f>
        <v>19.544262589704587</v>
      </c>
      <c r="M314">
        <f t="shared" ref="L314:M314" si="45">SUM(M11:M312)</f>
        <v>19.544262589704587</v>
      </c>
      <c r="N314" s="45"/>
      <c r="O314" s="46">
        <f>SUM(O11:O312)</f>
        <v>0.10723738889326863</v>
      </c>
      <c r="P314" s="46">
        <f>SUM(P11:P312)</f>
        <v>0.18122929015318229</v>
      </c>
      <c r="Q314" s="46">
        <f>SUM(Q11:Q312)</f>
        <v>0.20467194087115428</v>
      </c>
    </row>
    <row r="315" spans="1:18" ht="13.8" x14ac:dyDescent="0.4">
      <c r="J315" s="48" t="s">
        <v>220</v>
      </c>
      <c r="K315" s="25">
        <f>Dose!E318</f>
        <v>0.54</v>
      </c>
      <c r="L315" s="25">
        <f>Dose!F318</f>
        <v>1.5</v>
      </c>
      <c r="M315" s="25">
        <f>Dose!G318</f>
        <v>2.9998800000000001</v>
      </c>
      <c r="O315" s="46">
        <f>K315</f>
        <v>0.54</v>
      </c>
      <c r="P315" s="46">
        <f t="shared" ref="P315:Q315" si="46">L315</f>
        <v>1.5</v>
      </c>
      <c r="Q315" s="46">
        <f t="shared" si="46"/>
        <v>2.9998800000000001</v>
      </c>
    </row>
    <row r="316" spans="1:18" ht="12.9" x14ac:dyDescent="0.5">
      <c r="J316" s="48" t="s">
        <v>226</v>
      </c>
      <c r="K316" s="6">
        <f>K314*K315</f>
        <v>10.553901798440478</v>
      </c>
      <c r="L316" s="6">
        <f t="shared" ref="L316:M316" si="47">L314*L315</f>
        <v>29.316393884556881</v>
      </c>
      <c r="M316" s="6">
        <f t="shared" si="47"/>
        <v>58.630442457602996</v>
      </c>
      <c r="O316" s="46">
        <f>O314*O315</f>
        <v>5.7908190002365065E-2</v>
      </c>
      <c r="P316" s="46">
        <f t="shared" ref="O316:Q316" si="48">P314*P315</f>
        <v>0.27184393522977346</v>
      </c>
      <c r="Q316" s="46">
        <f t="shared" si="48"/>
        <v>0.61399126198055831</v>
      </c>
      <c r="R316" s="47" t="s">
        <v>230</v>
      </c>
    </row>
    <row r="318" spans="1:18" x14ac:dyDescent="0.4">
      <c r="I318" s="169"/>
      <c r="J318" s="48"/>
      <c r="K318" s="46"/>
      <c r="O318" s="46">
        <f>O316/K316</f>
        <v>5.4868986947483253E-3</v>
      </c>
      <c r="P318" s="46">
        <f>P316/L316</f>
        <v>9.2727617284803169E-3</v>
      </c>
      <c r="Q318" s="46">
        <f t="shared" ref="Q318" si="49">Q316/M316</f>
        <v>1.0472226308449732E-2</v>
      </c>
      <c r="R318" s="47" t="s">
        <v>229</v>
      </c>
    </row>
    <row r="319" spans="1:18" ht="12.9" x14ac:dyDescent="0.5">
      <c r="J319" s="48" t="s">
        <v>227</v>
      </c>
      <c r="K319" s="25">
        <f>Dose!J319</f>
        <v>53.730000000000032</v>
      </c>
      <c r="L319" s="25">
        <f>Dose!K319</f>
        <v>149.24999999999997</v>
      </c>
      <c r="M319" s="25">
        <f>Dose!L319</f>
        <v>298.48805999999996</v>
      </c>
      <c r="O319" s="46">
        <f>O316/K319</f>
        <v>1.0777627024449103E-3</v>
      </c>
      <c r="P319" s="46">
        <f>P316/L319</f>
        <v>1.8213999010370085E-3</v>
      </c>
      <c r="Q319" s="46">
        <f>Q316/M319</f>
        <v>2.0570044308658724E-3</v>
      </c>
      <c r="R319" s="47" t="s">
        <v>216</v>
      </c>
    </row>
    <row r="320" spans="1:18" ht="12.9" x14ac:dyDescent="0.5">
      <c r="J320" s="48" t="s">
        <v>228</v>
      </c>
      <c r="K320" s="46">
        <f>K316/K319</f>
        <v>0.19642474964527212</v>
      </c>
      <c r="L320" s="46">
        <f t="shared" ref="L320:M320" si="50">L316/L319</f>
        <v>0.19642474964527226</v>
      </c>
      <c r="M320" s="46">
        <f t="shared" si="50"/>
        <v>0.19642474964527226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445"/>
  <sheetViews>
    <sheetView workbookViewId="0">
      <selection activeCell="F2" sqref="F2"/>
    </sheetView>
  </sheetViews>
  <sheetFormatPr defaultRowHeight="12.3" x14ac:dyDescent="0.4"/>
  <cols>
    <col min="1" max="1" width="12.77734375" customWidth="1"/>
  </cols>
  <sheetData>
    <row r="1" spans="1:13" x14ac:dyDescent="0.4">
      <c r="B1" t="str">
        <f>IF(C4="Custom",CONCATENATE("Calc",C4,".xlsx"),CONCATENATE(C4,C3,".xlsx"))</f>
        <v>AdultMale.xlsx</v>
      </c>
      <c r="D1">
        <f>IF(B1="CalcCustom.xlsx",1,0)</f>
        <v>0</v>
      </c>
      <c r="L1" t="str">
        <f>IF(SUM(L3:M333)=0,"OLD","NEW")</f>
        <v>OLD</v>
      </c>
    </row>
    <row r="3" spans="1:13" x14ac:dyDescent="0.4">
      <c r="B3" t="s">
        <v>36</v>
      </c>
      <c r="C3" t="str">
        <f>'Exposure Scenario'!B3</f>
        <v>Male</v>
      </c>
      <c r="H3" t="s">
        <v>36</v>
      </c>
      <c r="I3" t="s">
        <v>30</v>
      </c>
      <c r="L3">
        <f>IF(C3=I3,0,1)</f>
        <v>0</v>
      </c>
    </row>
    <row r="4" spans="1:13" x14ac:dyDescent="0.4">
      <c r="B4" t="s">
        <v>37</v>
      </c>
      <c r="C4" t="str">
        <f>'Exposure Scenario'!B4</f>
        <v>Adult</v>
      </c>
      <c r="H4" t="s">
        <v>37</v>
      </c>
      <c r="I4" t="s">
        <v>29</v>
      </c>
      <c r="L4">
        <f>IF(C4=I4,0,1)</f>
        <v>0</v>
      </c>
    </row>
    <row r="6" spans="1:13" x14ac:dyDescent="0.4">
      <c r="A6" t="s">
        <v>46</v>
      </c>
      <c r="B6" t="str">
        <f>'Exposure Scenario'!B7</f>
        <v>Sitting</v>
      </c>
      <c r="D6">
        <f>'Exposure Scenario'!E7</f>
        <v>1</v>
      </c>
      <c r="G6" t="s">
        <v>46</v>
      </c>
      <c r="H6" t="s">
        <v>32</v>
      </c>
      <c r="J6">
        <v>1</v>
      </c>
      <c r="L6">
        <f>IF(B6=H6,0,1)</f>
        <v>0</v>
      </c>
      <c r="M6">
        <f>IF(D6=J6,0,1)</f>
        <v>0</v>
      </c>
    </row>
    <row r="7" spans="1:13" x14ac:dyDescent="0.4">
      <c r="C7" s="32" t="s">
        <v>40</v>
      </c>
      <c r="D7" s="32" t="s">
        <v>41</v>
      </c>
      <c r="I7" t="s">
        <v>40</v>
      </c>
      <c r="J7" t="s">
        <v>41</v>
      </c>
    </row>
    <row r="8" spans="1:13" ht="14.4" x14ac:dyDescent="0.5">
      <c r="B8" s="13" t="s">
        <v>117</v>
      </c>
      <c r="C8">
        <f>'Exposure Scenario'!C9</f>
        <v>100</v>
      </c>
      <c r="D8">
        <f>'Exposure Scenario'!D9</f>
        <v>0</v>
      </c>
      <c r="H8" t="s">
        <v>127</v>
      </c>
      <c r="I8">
        <v>100</v>
      </c>
      <c r="J8">
        <v>0</v>
      </c>
      <c r="L8">
        <f>IF(C8=I8,0,1)</f>
        <v>0</v>
      </c>
      <c r="M8">
        <f>IF(D8=J8,0,1)</f>
        <v>0</v>
      </c>
    </row>
    <row r="9" spans="1:13" ht="12.9" x14ac:dyDescent="0.5">
      <c r="B9" s="13" t="s">
        <v>120</v>
      </c>
      <c r="C9">
        <f>'Exposure Scenario'!C10</f>
        <v>25</v>
      </c>
      <c r="D9">
        <f>'Exposure Scenario'!D10</f>
        <v>1</v>
      </c>
      <c r="H9" t="s">
        <v>128</v>
      </c>
      <c r="I9">
        <v>25</v>
      </c>
      <c r="J9">
        <v>1</v>
      </c>
      <c r="L9">
        <f t="shared" ref="L9:M12" si="0">IF(C9=I9,0,1)</f>
        <v>0</v>
      </c>
      <c r="M9">
        <f t="shared" si="0"/>
        <v>0</v>
      </c>
    </row>
    <row r="10" spans="1:13" x14ac:dyDescent="0.4">
      <c r="B10" s="17" t="s">
        <v>0</v>
      </c>
      <c r="C10">
        <f>'Exposure Scenario'!C11</f>
        <v>5.2</v>
      </c>
      <c r="D10">
        <f>'Exposure Scenario'!D11</f>
        <v>1.01</v>
      </c>
      <c r="H10" t="s">
        <v>0</v>
      </c>
      <c r="I10">
        <v>5.2</v>
      </c>
      <c r="J10">
        <v>1.01</v>
      </c>
      <c r="L10">
        <f t="shared" si="0"/>
        <v>0</v>
      </c>
      <c r="M10">
        <f t="shared" si="0"/>
        <v>0</v>
      </c>
    </row>
    <row r="11" spans="1:13" ht="13.8" x14ac:dyDescent="0.4">
      <c r="B11" s="13" t="s">
        <v>119</v>
      </c>
      <c r="C11">
        <f>'Exposure Scenario'!C12</f>
        <v>3.25</v>
      </c>
      <c r="H11" t="s">
        <v>129</v>
      </c>
      <c r="I11">
        <v>3.25</v>
      </c>
      <c r="L11">
        <f t="shared" si="0"/>
        <v>0</v>
      </c>
    </row>
    <row r="12" spans="1:13" ht="13.8" x14ac:dyDescent="0.4">
      <c r="B12" s="13" t="s">
        <v>122</v>
      </c>
      <c r="C12" s="91">
        <f>'Exposure Scenario'!C13</f>
        <v>9.9999999999999995E-7</v>
      </c>
      <c r="H12" t="s">
        <v>130</v>
      </c>
      <c r="I12">
        <v>9.9999999999999995E-7</v>
      </c>
      <c r="L12">
        <f t="shared" si="0"/>
        <v>0</v>
      </c>
    </row>
    <row r="14" spans="1:13" x14ac:dyDescent="0.4">
      <c r="A14" t="s">
        <v>47</v>
      </c>
      <c r="B14" t="str">
        <f>'Exposure Scenario'!B16</f>
        <v>LightEx</v>
      </c>
      <c r="D14">
        <f>'Exposure Scenario'!E16</f>
        <v>1</v>
      </c>
      <c r="G14" t="s">
        <v>47</v>
      </c>
      <c r="H14" t="s">
        <v>56</v>
      </c>
      <c r="J14">
        <v>1</v>
      </c>
      <c r="L14">
        <f>IF(B14=H14,0,1)</f>
        <v>0</v>
      </c>
      <c r="M14">
        <f>IF(D14=J14,0,1)</f>
        <v>0</v>
      </c>
    </row>
    <row r="15" spans="1:13" x14ac:dyDescent="0.4">
      <c r="C15" s="90" t="s">
        <v>42</v>
      </c>
      <c r="D15" s="90" t="s">
        <v>43</v>
      </c>
      <c r="I15" t="s">
        <v>42</v>
      </c>
      <c r="J15" t="s">
        <v>43</v>
      </c>
    </row>
    <row r="16" spans="1:13" ht="14.4" x14ac:dyDescent="0.5">
      <c r="B16" s="13" t="s">
        <v>117</v>
      </c>
      <c r="C16">
        <f>'Exposure Scenario'!C18</f>
        <v>100</v>
      </c>
      <c r="D16">
        <f>'Exposure Scenario'!D18</f>
        <v>0</v>
      </c>
      <c r="H16" t="s">
        <v>127</v>
      </c>
      <c r="I16">
        <v>100</v>
      </c>
      <c r="J16">
        <v>0</v>
      </c>
      <c r="L16">
        <f>IF(C16=I16,0,1)</f>
        <v>0</v>
      </c>
      <c r="M16">
        <f>IF(D16=J16,0,1)</f>
        <v>0</v>
      </c>
    </row>
    <row r="17" spans="1:13" ht="12.9" x14ac:dyDescent="0.5">
      <c r="B17" s="13" t="s">
        <v>120</v>
      </c>
      <c r="C17">
        <f>'Exposure Scenario'!C19</f>
        <v>25</v>
      </c>
      <c r="D17">
        <f>'Exposure Scenario'!D19</f>
        <v>4</v>
      </c>
      <c r="H17" t="s">
        <v>128</v>
      </c>
      <c r="I17">
        <v>25</v>
      </c>
      <c r="J17">
        <v>4</v>
      </c>
      <c r="L17">
        <f t="shared" ref="L17:L20" si="1">IF(C17=I17,0,1)</f>
        <v>0</v>
      </c>
      <c r="M17">
        <f t="shared" ref="M17:M18" si="2">IF(D17=J17,0,1)</f>
        <v>0</v>
      </c>
    </row>
    <row r="18" spans="1:13" x14ac:dyDescent="0.4">
      <c r="B18" s="17" t="s">
        <v>0</v>
      </c>
      <c r="C18">
        <f>'Exposure Scenario'!C20</f>
        <v>5.2</v>
      </c>
      <c r="D18">
        <f>'Exposure Scenario'!D20</f>
        <v>2</v>
      </c>
      <c r="H18" t="s">
        <v>0</v>
      </c>
      <c r="I18">
        <v>5.2</v>
      </c>
      <c r="J18">
        <v>2</v>
      </c>
      <c r="L18">
        <f t="shared" si="1"/>
        <v>0</v>
      </c>
      <c r="M18">
        <f t="shared" si="2"/>
        <v>0</v>
      </c>
    </row>
    <row r="19" spans="1:13" ht="13.8" x14ac:dyDescent="0.4">
      <c r="B19" s="13" t="s">
        <v>119</v>
      </c>
      <c r="C19">
        <f>'Exposure Scenario'!C21</f>
        <v>3.25</v>
      </c>
      <c r="H19" t="s">
        <v>129</v>
      </c>
      <c r="I19">
        <v>3.25</v>
      </c>
      <c r="L19">
        <f t="shared" si="1"/>
        <v>0</v>
      </c>
    </row>
    <row r="20" spans="1:13" ht="13.8" x14ac:dyDescent="0.4">
      <c r="B20" s="13" t="s">
        <v>122</v>
      </c>
      <c r="C20" s="91">
        <f>'Exposure Scenario'!C22</f>
        <v>9.9999999999999995E-7</v>
      </c>
      <c r="H20" t="s">
        <v>130</v>
      </c>
      <c r="I20">
        <v>9.9999999999999995E-7</v>
      </c>
      <c r="L20">
        <f t="shared" si="1"/>
        <v>0</v>
      </c>
    </row>
    <row r="22" spans="1:13" x14ac:dyDescent="0.4">
      <c r="A22" t="s">
        <v>48</v>
      </c>
      <c r="B22" t="str">
        <f>'Exposure Scenario'!B25</f>
        <v>HeavyEx</v>
      </c>
      <c r="D22">
        <f>'Exposure Scenario'!E25</f>
        <v>1</v>
      </c>
      <c r="G22" t="s">
        <v>48</v>
      </c>
      <c r="H22" t="s">
        <v>57</v>
      </c>
      <c r="J22">
        <v>1</v>
      </c>
      <c r="L22">
        <f>IF(B22=H22,0,1)</f>
        <v>0</v>
      </c>
      <c r="M22">
        <f>IF(D22=J22,0,1)</f>
        <v>0</v>
      </c>
    </row>
    <row r="23" spans="1:13" x14ac:dyDescent="0.4">
      <c r="C23" s="90" t="s">
        <v>44</v>
      </c>
      <c r="D23" s="90" t="s">
        <v>45</v>
      </c>
      <c r="I23" t="s">
        <v>44</v>
      </c>
      <c r="J23" t="s">
        <v>45</v>
      </c>
    </row>
    <row r="24" spans="1:13" ht="14.4" x14ac:dyDescent="0.5">
      <c r="B24" s="13" t="s">
        <v>117</v>
      </c>
      <c r="C24">
        <f>'Exposure Scenario'!C27</f>
        <v>100</v>
      </c>
      <c r="D24">
        <f>'Exposure Scenario'!D27</f>
        <v>0</v>
      </c>
      <c r="H24" t="s">
        <v>127</v>
      </c>
      <c r="I24">
        <v>100</v>
      </c>
      <c r="J24">
        <v>0</v>
      </c>
      <c r="L24">
        <f>IF(C24=I24,0,1)</f>
        <v>0</v>
      </c>
      <c r="M24">
        <f>IF(D24=J24,0,1)</f>
        <v>0</v>
      </c>
    </row>
    <row r="25" spans="1:13" ht="12.9" x14ac:dyDescent="0.5">
      <c r="B25" s="13" t="s">
        <v>120</v>
      </c>
      <c r="C25">
        <f>'Exposure Scenario'!C28</f>
        <v>25</v>
      </c>
      <c r="D25">
        <f>'Exposure Scenario'!D28</f>
        <v>4</v>
      </c>
      <c r="H25" t="s">
        <v>128</v>
      </c>
      <c r="I25">
        <v>25</v>
      </c>
      <c r="J25">
        <v>4</v>
      </c>
      <c r="L25">
        <f t="shared" ref="L25:L28" si="3">IF(C25=I25,0,1)</f>
        <v>0</v>
      </c>
      <c r="M25">
        <f t="shared" ref="M25:M26" si="4">IF(D25=J25,0,1)</f>
        <v>0</v>
      </c>
    </row>
    <row r="26" spans="1:13" x14ac:dyDescent="0.4">
      <c r="B26" s="17" t="s">
        <v>0</v>
      </c>
      <c r="C26">
        <f>'Exposure Scenario'!C29</f>
        <v>5.2</v>
      </c>
      <c r="D26">
        <f>'Exposure Scenario'!D29</f>
        <v>2</v>
      </c>
      <c r="H26" t="s">
        <v>0</v>
      </c>
      <c r="I26">
        <v>5.2</v>
      </c>
      <c r="J26">
        <v>2</v>
      </c>
      <c r="L26">
        <f t="shared" si="3"/>
        <v>0</v>
      </c>
      <c r="M26">
        <f t="shared" si="4"/>
        <v>0</v>
      </c>
    </row>
    <row r="27" spans="1:13" ht="13.8" x14ac:dyDescent="0.4">
      <c r="B27" s="13" t="s">
        <v>119</v>
      </c>
      <c r="C27">
        <f>'Exposure Scenario'!C30</f>
        <v>3.25</v>
      </c>
      <c r="H27" t="s">
        <v>129</v>
      </c>
      <c r="I27">
        <v>3.25</v>
      </c>
      <c r="L27">
        <f t="shared" si="3"/>
        <v>0</v>
      </c>
    </row>
    <row r="28" spans="1:13" ht="13.8" x14ac:dyDescent="0.4">
      <c r="B28" s="13" t="s">
        <v>122</v>
      </c>
      <c r="C28" s="91">
        <f>'Exposure Scenario'!C31</f>
        <v>9.9999999999999995E-7</v>
      </c>
      <c r="H28" t="s">
        <v>130</v>
      </c>
      <c r="I28">
        <v>9.9999999999999995E-7</v>
      </c>
      <c r="L28">
        <f t="shared" si="3"/>
        <v>0</v>
      </c>
    </row>
    <row r="31" spans="1:13" x14ac:dyDescent="0.4">
      <c r="A31" s="18" t="s">
        <v>112</v>
      </c>
      <c r="B31" s="24" t="s">
        <v>5</v>
      </c>
      <c r="G31" t="s">
        <v>112</v>
      </c>
      <c r="H31" t="s">
        <v>5</v>
      </c>
    </row>
    <row r="32" spans="1:13" x14ac:dyDescent="0.4">
      <c r="A32" s="6">
        <f>LN(B32)</f>
        <v>-2.9125127825799746</v>
      </c>
      <c r="B32" s="6">
        <f>'Aerosol 1'!A17</f>
        <v>5.4339016042139802E-2</v>
      </c>
      <c r="G32">
        <v>-2.9125127825799746</v>
      </c>
      <c r="H32">
        <v>5.4339016042139802E-2</v>
      </c>
      <c r="L32">
        <f>IF(C32=I32,0,1)</f>
        <v>0</v>
      </c>
      <c r="M32">
        <f>IF(D32=J32,0,1)</f>
        <v>0</v>
      </c>
    </row>
    <row r="33" spans="1:13" x14ac:dyDescent="0.4">
      <c r="A33" s="6">
        <f t="shared" ref="A33:A96" si="5">LN(B33)</f>
        <v>-2.8780342051487962</v>
      </c>
      <c r="B33" s="6">
        <f>'Aerosol 1'!A18</f>
        <v>5.6245220795161463E-2</v>
      </c>
      <c r="G33">
        <v>-2.8780342051487962</v>
      </c>
      <c r="H33">
        <v>5.6245220795161463E-2</v>
      </c>
      <c r="L33">
        <f t="shared" ref="L33:L96" si="6">IF(C33=I33,0,1)</f>
        <v>0</v>
      </c>
      <c r="M33">
        <f t="shared" ref="M33:M96" si="7">IF(D33=J33,0,1)</f>
        <v>0</v>
      </c>
    </row>
    <row r="34" spans="1:13" x14ac:dyDescent="0.4">
      <c r="A34" s="6">
        <f t="shared" si="5"/>
        <v>-2.8435556277176177</v>
      </c>
      <c r="B34" s="6">
        <f>'Aerosol 1'!A19</f>
        <v>5.8218294932745107E-2</v>
      </c>
      <c r="G34">
        <v>-2.8435556277176177</v>
      </c>
      <c r="H34">
        <v>5.8218294932745107E-2</v>
      </c>
      <c r="L34">
        <f t="shared" si="6"/>
        <v>0</v>
      </c>
      <c r="M34">
        <f t="shared" si="7"/>
        <v>0</v>
      </c>
    </row>
    <row r="35" spans="1:13" x14ac:dyDescent="0.4">
      <c r="A35" s="6">
        <f t="shared" si="5"/>
        <v>-2.8090770502864393</v>
      </c>
      <c r="B35" s="6">
        <f>'Aerosol 1'!A20</f>
        <v>6.0260584223142885E-2</v>
      </c>
      <c r="G35">
        <v>-2.8090770502864393</v>
      </c>
      <c r="H35">
        <v>6.0260584223142885E-2</v>
      </c>
      <c r="L35">
        <f t="shared" si="6"/>
        <v>0</v>
      </c>
      <c r="M35">
        <f t="shared" si="7"/>
        <v>0</v>
      </c>
    </row>
    <row r="36" spans="1:13" x14ac:dyDescent="0.4">
      <c r="A36" s="6">
        <f t="shared" si="5"/>
        <v>-2.7745984728552608</v>
      </c>
      <c r="B36" s="6">
        <f>'Aerosol 1'!A21</f>
        <v>6.2374516723814895E-2</v>
      </c>
      <c r="G36">
        <v>-2.7745984728552608</v>
      </c>
      <c r="H36">
        <v>6.2374516723814895E-2</v>
      </c>
      <c r="L36">
        <f t="shared" si="6"/>
        <v>0</v>
      </c>
      <c r="M36">
        <f t="shared" si="7"/>
        <v>0</v>
      </c>
    </row>
    <row r="37" spans="1:13" x14ac:dyDescent="0.4">
      <c r="A37" s="6">
        <f t="shared" si="5"/>
        <v>-2.740119895424082</v>
      </c>
      <c r="B37" s="6">
        <f>'Aerosol 1'!A22</f>
        <v>6.4562605668122608E-2</v>
      </c>
      <c r="G37">
        <v>-2.740119895424082</v>
      </c>
      <c r="H37">
        <v>6.4562605668122608E-2</v>
      </c>
      <c r="L37">
        <f t="shared" si="6"/>
        <v>0</v>
      </c>
      <c r="M37">
        <f t="shared" si="7"/>
        <v>0</v>
      </c>
    </row>
    <row r="38" spans="1:13" x14ac:dyDescent="0.4">
      <c r="A38" s="6">
        <f t="shared" si="5"/>
        <v>-2.7056413179929035</v>
      </c>
      <c r="B38" s="6">
        <f>'Aerosol 1'!A23</f>
        <v>6.6827452453287028E-2</v>
      </c>
      <c r="G38">
        <v>-2.7056413179929035</v>
      </c>
      <c r="H38">
        <v>6.6827452453287028E-2</v>
      </c>
      <c r="L38">
        <f t="shared" si="6"/>
        <v>0</v>
      </c>
      <c r="M38">
        <f t="shared" si="7"/>
        <v>0</v>
      </c>
    </row>
    <row r="39" spans="1:13" x14ac:dyDescent="0.4">
      <c r="A39" s="6">
        <f t="shared" si="5"/>
        <v>-2.6711627405617251</v>
      </c>
      <c r="B39" s="6">
        <f>'Aerosol 1'!A24</f>
        <v>6.917174973316409E-2</v>
      </c>
      <c r="G39">
        <v>-2.6711627405617251</v>
      </c>
      <c r="H39">
        <v>6.917174973316409E-2</v>
      </c>
      <c r="L39">
        <f t="shared" si="6"/>
        <v>0</v>
      </c>
      <c r="M39">
        <f t="shared" si="7"/>
        <v>0</v>
      </c>
    </row>
    <row r="40" spans="1:13" x14ac:dyDescent="0.4">
      <c r="A40" s="6">
        <f t="shared" si="5"/>
        <v>-2.6366841631305462</v>
      </c>
      <c r="B40" s="6">
        <f>'Aerosol 1'!A25</f>
        <v>7.1598284619514063E-2</v>
      </c>
      <c r="G40">
        <v>-2.6366841631305462</v>
      </c>
      <c r="H40">
        <v>7.1598284619514063E-2</v>
      </c>
      <c r="L40">
        <f t="shared" si="6"/>
        <v>0</v>
      </c>
      <c r="M40">
        <f t="shared" si="7"/>
        <v>0</v>
      </c>
    </row>
    <row r="41" spans="1:13" x14ac:dyDescent="0.4">
      <c r="A41" s="6">
        <f t="shared" si="5"/>
        <v>-2.6022055856993678</v>
      </c>
      <c r="B41" s="6">
        <f>'Aerosol 1'!A26</f>
        <v>7.4109941995570985E-2</v>
      </c>
      <c r="G41">
        <v>-2.6022055856993678</v>
      </c>
      <c r="H41">
        <v>7.4109941995570985E-2</v>
      </c>
      <c r="L41">
        <f t="shared" si="6"/>
        <v>0</v>
      </c>
      <c r="M41">
        <f t="shared" si="7"/>
        <v>0</v>
      </c>
    </row>
    <row r="42" spans="1:13" x14ac:dyDescent="0.4">
      <c r="A42" s="6">
        <f t="shared" si="5"/>
        <v>-2.5677270082681889</v>
      </c>
      <c r="B42" s="6">
        <f>'Aerosol 1'!A27</f>
        <v>7.6709707945851788E-2</v>
      </c>
      <c r="G42">
        <v>-2.5677270082681889</v>
      </c>
      <c r="H42">
        <v>7.6709707945851788E-2</v>
      </c>
      <c r="L42">
        <f t="shared" si="6"/>
        <v>0</v>
      </c>
      <c r="M42">
        <f t="shared" si="7"/>
        <v>0</v>
      </c>
    </row>
    <row r="43" spans="1:13" x14ac:dyDescent="0.4">
      <c r="A43" s="6">
        <f t="shared" si="5"/>
        <v>-2.53324843083701</v>
      </c>
      <c r="B43" s="6">
        <f>'Aerosol 1'!A28</f>
        <v>7.9400673306282518E-2</v>
      </c>
      <c r="G43">
        <v>-2.53324843083701</v>
      </c>
      <c r="H43">
        <v>7.9400673306282518E-2</v>
      </c>
      <c r="L43">
        <f t="shared" si="6"/>
        <v>0</v>
      </c>
      <c r="M43">
        <f t="shared" si="7"/>
        <v>0</v>
      </c>
    </row>
    <row r="44" spans="1:13" x14ac:dyDescent="0.4">
      <c r="A44" s="6">
        <f t="shared" si="5"/>
        <v>-2.4987698534058311</v>
      </c>
      <c r="B44" s="6">
        <f>'Aerosol 1'!A29</f>
        <v>8.2186037338862386E-2</v>
      </c>
      <c r="G44">
        <v>-2.4987698534058311</v>
      </c>
      <c r="H44">
        <v>8.2186037338862386E-2</v>
      </c>
      <c r="L44">
        <f t="shared" si="6"/>
        <v>0</v>
      </c>
      <c r="M44">
        <f t="shared" si="7"/>
        <v>0</v>
      </c>
    </row>
    <row r="45" spans="1:13" x14ac:dyDescent="0.4">
      <c r="A45" s="6">
        <f t="shared" si="5"/>
        <v>-2.4642912759746527</v>
      </c>
      <c r="B45" s="6">
        <f>'Aerosol 1'!A30</f>
        <v>8.5069111535234707E-2</v>
      </c>
      <c r="G45">
        <v>-2.4642912759746527</v>
      </c>
      <c r="H45">
        <v>8.5069111535234707E-2</v>
      </c>
      <c r="L45">
        <f t="shared" si="6"/>
        <v>0</v>
      </c>
      <c r="M45">
        <f t="shared" si="7"/>
        <v>0</v>
      </c>
    </row>
    <row r="46" spans="1:13" x14ac:dyDescent="0.4">
      <c r="A46" s="6">
        <f t="shared" si="5"/>
        <v>-2.4298126985434738</v>
      </c>
      <c r="B46" s="6">
        <f>'Aerosol 1'!A31</f>
        <v>8.8053323553686447E-2</v>
      </c>
      <c r="G46">
        <v>-2.4298126985434738</v>
      </c>
      <c r="H46">
        <v>8.8053323553686447E-2</v>
      </c>
      <c r="L46">
        <f t="shared" si="6"/>
        <v>0</v>
      </c>
      <c r="M46">
        <f t="shared" si="7"/>
        <v>0</v>
      </c>
    </row>
    <row r="47" spans="1:13" x14ac:dyDescent="0.4">
      <c r="A47" s="6">
        <f t="shared" si="5"/>
        <v>-2.3953341211122949</v>
      </c>
      <c r="B47" s="6">
        <f>'Aerosol 1'!A32</f>
        <v>9.1142221294257017E-2</v>
      </c>
      <c r="G47">
        <v>-2.3953341211122949</v>
      </c>
      <c r="H47">
        <v>9.1142221294257017E-2</v>
      </c>
      <c r="L47">
        <f t="shared" si="6"/>
        <v>0</v>
      </c>
      <c r="M47">
        <f t="shared" si="7"/>
        <v>0</v>
      </c>
    </row>
    <row r="48" spans="1:13" x14ac:dyDescent="0.4">
      <c r="A48" s="6">
        <f t="shared" si="5"/>
        <v>-2.3608555436811161</v>
      </c>
      <c r="B48" s="6">
        <f>'Aerosol 1'!A33</f>
        <v>9.4339477116801421E-2</v>
      </c>
      <c r="G48">
        <v>-2.3608555436811161</v>
      </c>
      <c r="H48">
        <v>9.4339477116801421E-2</v>
      </c>
      <c r="L48">
        <f t="shared" si="6"/>
        <v>0</v>
      </c>
      <c r="M48">
        <f t="shared" si="7"/>
        <v>0</v>
      </c>
    </row>
    <row r="49" spans="1:13" x14ac:dyDescent="0.4">
      <c r="A49" s="6">
        <f t="shared" si="5"/>
        <v>-2.3263769662499376</v>
      </c>
      <c r="B49" s="6">
        <f>'Aerosol 1'!A34</f>
        <v>9.7648892207022539E-2</v>
      </c>
      <c r="G49">
        <v>-2.3263769662499376</v>
      </c>
      <c r="H49">
        <v>9.7648892207022539E-2</v>
      </c>
      <c r="L49">
        <f t="shared" si="6"/>
        <v>0</v>
      </c>
      <c r="M49">
        <f t="shared" si="7"/>
        <v>0</v>
      </c>
    </row>
    <row r="50" spans="1:13" x14ac:dyDescent="0.4">
      <c r="A50" s="6">
        <f t="shared" si="5"/>
        <v>-2.2918983888187592</v>
      </c>
      <c r="B50" s="6">
        <f>'Aerosol 1'!A35</f>
        <v>0.10107440109566297</v>
      </c>
      <c r="G50">
        <v>-2.2918983888187592</v>
      </c>
      <c r="H50">
        <v>0.10107440109566297</v>
      </c>
      <c r="L50">
        <f t="shared" si="6"/>
        <v>0</v>
      </c>
      <c r="M50">
        <f t="shared" si="7"/>
        <v>0</v>
      </c>
    </row>
    <row r="51" spans="1:13" x14ac:dyDescent="0.4">
      <c r="A51" s="6">
        <f t="shared" si="5"/>
        <v>-2.2574198113875807</v>
      </c>
      <c r="B51" s="6">
        <f>'Aerosol 1'!A36</f>
        <v>0.10462007633622963</v>
      </c>
      <c r="G51">
        <v>-2.2574198113875807</v>
      </c>
      <c r="H51">
        <v>0.10462007633622963</v>
      </c>
      <c r="L51">
        <f t="shared" si="6"/>
        <v>0</v>
      </c>
      <c r="M51">
        <f t="shared" si="7"/>
        <v>0</v>
      </c>
    </row>
    <row r="52" spans="1:13" x14ac:dyDescent="0.4">
      <c r="A52" s="6">
        <f t="shared" si="5"/>
        <v>-2.2229412339564023</v>
      </c>
      <c r="B52" s="6">
        <f>'Aerosol 1'!A37</f>
        <v>0.10829013334681213</v>
      </c>
      <c r="G52">
        <v>-2.2229412339564023</v>
      </c>
      <c r="H52">
        <v>0.10829013334681213</v>
      </c>
      <c r="L52">
        <f t="shared" si="6"/>
        <v>0</v>
      </c>
      <c r="M52">
        <f t="shared" si="7"/>
        <v>0</v>
      </c>
    </row>
    <row r="53" spans="1:13" x14ac:dyDescent="0.4">
      <c r="A53" s="6">
        <f t="shared" si="5"/>
        <v>-2.1884626565252239</v>
      </c>
      <c r="B53" s="6">
        <f>'Aerosol 1'!A38</f>
        <v>0.11208893542175144</v>
      </c>
      <c r="G53">
        <v>-2.1884626565252239</v>
      </c>
      <c r="H53">
        <v>0.11208893542175144</v>
      </c>
      <c r="L53">
        <f t="shared" si="6"/>
        <v>0</v>
      </c>
      <c r="M53">
        <f t="shared" si="7"/>
        <v>0</v>
      </c>
    </row>
    <row r="54" spans="1:13" x14ac:dyDescent="0.4">
      <c r="A54" s="6">
        <f t="shared" si="5"/>
        <v>-2.1539840790940454</v>
      </c>
      <c r="B54" s="6">
        <f>'Aerosol 1'!A39</f>
        <v>0.11602099891911737</v>
      </c>
      <c r="G54">
        <v>-2.1539840790940454</v>
      </c>
      <c r="H54">
        <v>0.11602099891911737</v>
      </c>
      <c r="L54">
        <f t="shared" si="6"/>
        <v>0</v>
      </c>
      <c r="M54">
        <f t="shared" si="7"/>
        <v>0</v>
      </c>
    </row>
    <row r="55" spans="1:13" x14ac:dyDescent="0.4">
      <c r="A55" s="6">
        <f t="shared" si="5"/>
        <v>-2.119505501662867</v>
      </c>
      <c r="B55" s="6">
        <f>'Aerosol 1'!A40</f>
        <v>0.12009099863016169</v>
      </c>
      <c r="G55">
        <v>-2.119505501662867</v>
      </c>
      <c r="H55">
        <v>0.12009099863016169</v>
      </c>
      <c r="L55">
        <f t="shared" si="6"/>
        <v>0</v>
      </c>
      <c r="M55">
        <f t="shared" si="7"/>
        <v>0</v>
      </c>
    </row>
    <row r="56" spans="1:13" x14ac:dyDescent="0.4">
      <c r="A56" s="6">
        <f t="shared" si="5"/>
        <v>-2.0850269242316886</v>
      </c>
      <c r="B56" s="6">
        <f>'Aerosol 1'!A41</f>
        <v>0.12430377333713111</v>
      </c>
      <c r="G56">
        <v>-2.0850269242316886</v>
      </c>
      <c r="H56">
        <v>0.12430377333713111</v>
      </c>
      <c r="L56">
        <f t="shared" si="6"/>
        <v>0</v>
      </c>
      <c r="M56">
        <f t="shared" si="7"/>
        <v>0</v>
      </c>
    </row>
    <row r="57" spans="1:13" x14ac:dyDescent="0.4">
      <c r="A57" s="6">
        <f t="shared" si="5"/>
        <v>-2.0505483468005101</v>
      </c>
      <c r="B57" s="6">
        <f>'Aerosol 1'!A42</f>
        <v>0.12866433156604737</v>
      </c>
      <c r="G57">
        <v>-2.0505483468005101</v>
      </c>
      <c r="H57">
        <v>0.12866433156604737</v>
      </c>
      <c r="L57">
        <f t="shared" si="6"/>
        <v>0</v>
      </c>
      <c r="M57">
        <f t="shared" si="7"/>
        <v>0</v>
      </c>
    </row>
    <row r="58" spans="1:13" x14ac:dyDescent="0.4">
      <c r="A58" s="6">
        <f t="shared" si="5"/>
        <v>-2.0160697693693317</v>
      </c>
      <c r="B58" s="6">
        <f>'Aerosol 1'!A43</f>
        <v>0.13317785754129421</v>
      </c>
      <c r="G58">
        <v>-2.0160697693693317</v>
      </c>
      <c r="H58">
        <v>0.13317785754129421</v>
      </c>
      <c r="L58">
        <f t="shared" si="6"/>
        <v>0</v>
      </c>
      <c r="M58">
        <f t="shared" si="7"/>
        <v>0</v>
      </c>
    </row>
    <row r="59" spans="1:13" x14ac:dyDescent="0.4">
      <c r="A59" s="6">
        <f t="shared" si="5"/>
        <v>-1.9815911919381533</v>
      </c>
      <c r="B59" s="6">
        <f>'Aerosol 1'!A44</f>
        <v>0.13784971734909021</v>
      </c>
      <c r="G59">
        <v>-1.9815911919381533</v>
      </c>
      <c r="H59">
        <v>0.13784971734909021</v>
      </c>
      <c r="L59">
        <f t="shared" si="6"/>
        <v>0</v>
      </c>
      <c r="M59">
        <f t="shared" si="7"/>
        <v>0</v>
      </c>
    </row>
    <row r="60" spans="1:13" x14ac:dyDescent="0.4">
      <c r="A60" s="6">
        <f t="shared" si="5"/>
        <v>-1.9471126145069748</v>
      </c>
      <c r="B60" s="6">
        <f>'Aerosol 1'!A45</f>
        <v>0.14268546531717544</v>
      </c>
      <c r="G60">
        <v>-1.9471126145069748</v>
      </c>
      <c r="H60">
        <v>0.14268546531717544</v>
      </c>
      <c r="L60">
        <f t="shared" si="6"/>
        <v>0</v>
      </c>
      <c r="M60">
        <f t="shared" si="7"/>
        <v>0</v>
      </c>
    </row>
    <row r="61" spans="1:13" x14ac:dyDescent="0.4">
      <c r="A61" s="6">
        <f t="shared" si="5"/>
        <v>-1.9126340370757962</v>
      </c>
      <c r="B61" s="6">
        <f>'Aerosol 1'!A46</f>
        <v>0.14769085061829648</v>
      </c>
      <c r="G61">
        <v>-1.9126340370757962</v>
      </c>
      <c r="H61">
        <v>0.14769085061829648</v>
      </c>
      <c r="L61">
        <f t="shared" si="6"/>
        <v>0</v>
      </c>
      <c r="M61">
        <f t="shared" si="7"/>
        <v>0</v>
      </c>
    </row>
    <row r="62" spans="1:13" x14ac:dyDescent="0.4">
      <c r="A62" s="6">
        <f t="shared" si="5"/>
        <v>-1.8781554596446177</v>
      </c>
      <c r="B62" s="6">
        <f>'Aerosol 1'!A47</f>
        <v>0.15287182410534089</v>
      </c>
      <c r="G62">
        <v>-1.8781554596446177</v>
      </c>
      <c r="H62">
        <v>0.15287182410534089</v>
      </c>
      <c r="L62">
        <f t="shared" si="6"/>
        <v>0</v>
      </c>
      <c r="M62">
        <f t="shared" si="7"/>
        <v>0</v>
      </c>
    </row>
    <row r="63" spans="1:13" x14ac:dyDescent="0.4">
      <c r="A63" s="6">
        <f t="shared" si="5"/>
        <v>-1.8436768822134395</v>
      </c>
      <c r="B63" s="6">
        <f>'Aerosol 1'!A48</f>
        <v>0.15823454538624715</v>
      </c>
      <c r="G63">
        <v>-1.8436768822134395</v>
      </c>
      <c r="H63">
        <v>0.15823454538624715</v>
      </c>
      <c r="L63">
        <f t="shared" si="6"/>
        <v>0</v>
      </c>
      <c r="M63">
        <f t="shared" si="7"/>
        <v>0</v>
      </c>
    </row>
    <row r="64" spans="1:13" x14ac:dyDescent="0.4">
      <c r="A64" s="6">
        <f t="shared" si="5"/>
        <v>-1.8091983047822611</v>
      </c>
      <c r="B64" s="6">
        <f>'Aerosol 1'!A49</f>
        <v>0.16378539014710136</v>
      </c>
      <c r="G64">
        <v>-1.8091983047822611</v>
      </c>
      <c r="H64">
        <v>0.16378539014710136</v>
      </c>
      <c r="L64">
        <f t="shared" si="6"/>
        <v>0</v>
      </c>
      <c r="M64">
        <f t="shared" si="7"/>
        <v>0</v>
      </c>
    </row>
    <row r="65" spans="1:13" x14ac:dyDescent="0.4">
      <c r="A65" s="6">
        <f t="shared" si="5"/>
        <v>-1.7747197273510826</v>
      </c>
      <c r="B65" s="6">
        <f>'Aerosol 1'!A50</f>
        <v>0.16953095773212709</v>
      </c>
      <c r="G65">
        <v>-1.7747197273510826</v>
      </c>
      <c r="H65">
        <v>0.16953095773212709</v>
      </c>
      <c r="L65">
        <f t="shared" si="6"/>
        <v>0</v>
      </c>
      <c r="M65">
        <f t="shared" si="7"/>
        <v>0</v>
      </c>
    </row>
    <row r="66" spans="1:13" x14ac:dyDescent="0.4">
      <c r="A66" s="6">
        <f t="shared" si="5"/>
        <v>-1.740241149919904</v>
      </c>
      <c r="B66" s="6">
        <f>'Aerosol 1'!A51</f>
        <v>0.17547807898958018</v>
      </c>
      <c r="G66">
        <v>-1.740241149919904</v>
      </c>
      <c r="H66">
        <v>0.17547807898958018</v>
      </c>
      <c r="L66">
        <f t="shared" si="6"/>
        <v>0</v>
      </c>
      <c r="M66">
        <f t="shared" si="7"/>
        <v>0</v>
      </c>
    </row>
    <row r="67" spans="1:13" x14ac:dyDescent="0.4">
      <c r="A67" s="6">
        <f t="shared" si="5"/>
        <v>-1.7057625724887258</v>
      </c>
      <c r="B67" s="6">
        <f>'Aerosol 1'!A52</f>
        <v>0.18163382439287648</v>
      </c>
      <c r="G67">
        <v>-1.7057625724887258</v>
      </c>
      <c r="H67">
        <v>0.18163382439287648</v>
      </c>
      <c r="L67">
        <f t="shared" si="6"/>
        <v>0</v>
      </c>
      <c r="M67">
        <f t="shared" si="7"/>
        <v>0</v>
      </c>
    </row>
    <row r="68" spans="1:13" x14ac:dyDescent="0.4">
      <c r="A68" s="6">
        <f t="shared" si="5"/>
        <v>-1.6712839950575473</v>
      </c>
      <c r="B68" s="6">
        <f>'Aerosol 1'!A53</f>
        <v>0.18800551244660751</v>
      </c>
      <c r="G68">
        <v>-1.6712839950575473</v>
      </c>
      <c r="H68">
        <v>0.18800551244660751</v>
      </c>
      <c r="L68">
        <f t="shared" si="6"/>
        <v>0</v>
      </c>
      <c r="M68">
        <f t="shared" si="7"/>
        <v>0</v>
      </c>
    </row>
    <row r="69" spans="1:13" x14ac:dyDescent="0.4">
      <c r="A69" s="6">
        <f t="shared" si="5"/>
        <v>-1.6368054176263691</v>
      </c>
      <c r="B69" s="6">
        <f>'Aerosol 1'!A54</f>
        <v>0.19460071838743781</v>
      </c>
      <c r="G69">
        <v>-1.6368054176263691</v>
      </c>
      <c r="H69">
        <v>0.19460071838743781</v>
      </c>
      <c r="L69">
        <f t="shared" si="6"/>
        <v>0</v>
      </c>
      <c r="M69">
        <f t="shared" si="7"/>
        <v>0</v>
      </c>
    </row>
    <row r="70" spans="1:13" x14ac:dyDescent="0.4">
      <c r="A70" s="6">
        <f t="shared" si="5"/>
        <v>-1.6023268401951904</v>
      </c>
      <c r="B70" s="6">
        <f>'Aerosol 1'!A55</f>
        <v>0.20142728319022873</v>
      </c>
      <c r="G70">
        <v>-1.6023268401951904</v>
      </c>
      <c r="H70">
        <v>0.20142728319022873</v>
      </c>
      <c r="L70">
        <f t="shared" si="6"/>
        <v>0</v>
      </c>
      <c r="M70">
        <f t="shared" si="7"/>
        <v>0</v>
      </c>
    </row>
    <row r="71" spans="1:13" x14ac:dyDescent="0.4">
      <c r="A71" s="6">
        <f t="shared" si="5"/>
        <v>-1.567848262764012</v>
      </c>
      <c r="B71" s="6">
        <f>'Aerosol 1'!A56</f>
        <v>0.20849332289009545</v>
      </c>
      <c r="G71">
        <v>-1.567848262764012</v>
      </c>
      <c r="H71">
        <v>0.20849332289009545</v>
      </c>
      <c r="L71">
        <f t="shared" si="6"/>
        <v>0</v>
      </c>
      <c r="M71">
        <f t="shared" si="7"/>
        <v>0</v>
      </c>
    </row>
    <row r="72" spans="1:13" x14ac:dyDescent="0.4">
      <c r="A72" s="6">
        <f t="shared" si="5"/>
        <v>-1.5333696853328334</v>
      </c>
      <c r="B72" s="6">
        <f>'Aerosol 1'!A57</f>
        <v>0.2158072382314806</v>
      </c>
      <c r="G72">
        <v>-1.5333696853328334</v>
      </c>
      <c r="H72">
        <v>0.2158072382314806</v>
      </c>
      <c r="L72">
        <f t="shared" si="6"/>
        <v>0</v>
      </c>
      <c r="M72">
        <f t="shared" si="7"/>
        <v>0</v>
      </c>
    </row>
    <row r="73" spans="1:13" x14ac:dyDescent="0.4">
      <c r="A73" s="6">
        <f t="shared" si="5"/>
        <v>-1.4988911079016547</v>
      </c>
      <c r="B73" s="6">
        <f>'Aerosol 1'!A58</f>
        <v>0.22337772465571595</v>
      </c>
      <c r="G73">
        <v>-1.4988911079016547</v>
      </c>
      <c r="H73">
        <v>0.22337772465571595</v>
      </c>
      <c r="L73">
        <f t="shared" si="6"/>
        <v>0</v>
      </c>
      <c r="M73">
        <f t="shared" si="7"/>
        <v>0</v>
      </c>
    </row>
    <row r="74" spans="1:13" x14ac:dyDescent="0.4">
      <c r="A74" s="6">
        <f t="shared" si="5"/>
        <v>-1.4644125304704763</v>
      </c>
      <c r="B74" s="6">
        <f>'Aerosol 1'!A59</f>
        <v>0.23121378263894624</v>
      </c>
      <c r="G74">
        <v>-1.4644125304704763</v>
      </c>
      <c r="H74">
        <v>0.23121378263894624</v>
      </c>
      <c r="L74">
        <f t="shared" si="6"/>
        <v>0</v>
      </c>
      <c r="M74">
        <f t="shared" si="7"/>
        <v>0</v>
      </c>
    </row>
    <row r="75" spans="1:13" x14ac:dyDescent="0.4">
      <c r="A75" s="6">
        <f t="shared" si="5"/>
        <v>-1.4299339530392978</v>
      </c>
      <c r="B75" s="6">
        <f>'Aerosol 1'!A60</f>
        <v>0.23932472839270597</v>
      </c>
      <c r="G75">
        <v>-1.4299339530392978</v>
      </c>
      <c r="H75">
        <v>0.23932472839270597</v>
      </c>
      <c r="L75">
        <f t="shared" si="6"/>
        <v>0</v>
      </c>
      <c r="M75">
        <f t="shared" si="7"/>
        <v>0</v>
      </c>
    </row>
    <row r="76" spans="1:13" x14ac:dyDescent="0.4">
      <c r="A76" s="6">
        <f t="shared" si="5"/>
        <v>-1.3954553756081192</v>
      </c>
      <c r="B76" s="6">
        <f>'Aerosol 1'!A61</f>
        <v>0.24772020493987071</v>
      </c>
      <c r="G76">
        <v>-1.3954553756081192</v>
      </c>
      <c r="H76">
        <v>0.24772020493987071</v>
      </c>
      <c r="L76">
        <f t="shared" si="6"/>
        <v>0</v>
      </c>
      <c r="M76">
        <f t="shared" si="7"/>
        <v>0</v>
      </c>
    </row>
    <row r="77" spans="1:13" x14ac:dyDescent="0.4">
      <c r="A77" s="6">
        <f t="shared" si="5"/>
        <v>-1.3609767981769407</v>
      </c>
      <c r="B77" s="6">
        <f>'Aerosol 1'!A62</f>
        <v>0.25641019357915129</v>
      </c>
      <c r="G77">
        <v>-1.3609767981769407</v>
      </c>
      <c r="H77">
        <v>0.25641019357915129</v>
      </c>
      <c r="L77">
        <f t="shared" si="6"/>
        <v>0</v>
      </c>
      <c r="M77">
        <f t="shared" si="7"/>
        <v>0</v>
      </c>
    </row>
    <row r="78" spans="1:13" x14ac:dyDescent="0.4">
      <c r="A78" s="6">
        <f t="shared" si="5"/>
        <v>-1.3264982207457623</v>
      </c>
      <c r="B78" s="6">
        <f>'Aerosol 1'!A63</f>
        <v>0.26540502575176073</v>
      </c>
      <c r="G78">
        <v>-1.3264982207457623</v>
      </c>
      <c r="H78">
        <v>0.26540502575176073</v>
      </c>
      <c r="L78">
        <f t="shared" si="6"/>
        <v>0</v>
      </c>
      <c r="M78">
        <f t="shared" si="7"/>
        <v>0</v>
      </c>
    </row>
    <row r="79" spans="1:13" x14ac:dyDescent="0.4">
      <c r="A79" s="6">
        <f t="shared" si="5"/>
        <v>-1.2920196433145839</v>
      </c>
      <c r="B79" s="6">
        <f>'Aerosol 1'!A64</f>
        <v>0.27471539532436218</v>
      </c>
      <c r="G79">
        <v>-1.2920196433145839</v>
      </c>
      <c r="H79">
        <v>0.27471539532436218</v>
      </c>
      <c r="L79">
        <f t="shared" si="6"/>
        <v>0</v>
      </c>
      <c r="M79">
        <f t="shared" si="7"/>
        <v>0</v>
      </c>
    </row>
    <row r="80" spans="1:13" x14ac:dyDescent="0.4">
      <c r="A80" s="6">
        <f t="shared" si="5"/>
        <v>-1.2575410658834052</v>
      </c>
      <c r="B80" s="6">
        <f>'Aerosol 1'!A65</f>
        <v>0.28435237130290081</v>
      </c>
      <c r="G80">
        <v>-1.2575410658834052</v>
      </c>
      <c r="H80">
        <v>0.28435237130290081</v>
      </c>
      <c r="L80">
        <f t="shared" si="6"/>
        <v>0</v>
      </c>
      <c r="M80">
        <f t="shared" si="7"/>
        <v>0</v>
      </c>
    </row>
    <row r="81" spans="1:13" x14ac:dyDescent="0.4">
      <c r="A81" s="6">
        <f t="shared" si="5"/>
        <v>-1.2230624884522268</v>
      </c>
      <c r="B81" s="6">
        <f>'Aerosol 1'!A66</f>
        <v>0.29432741099243476</v>
      </c>
      <c r="G81">
        <v>-1.2230624884522268</v>
      </c>
      <c r="H81">
        <v>0.29432741099243476</v>
      </c>
      <c r="L81">
        <f t="shared" si="6"/>
        <v>0</v>
      </c>
      <c r="M81">
        <f t="shared" si="7"/>
        <v>0</v>
      </c>
    </row>
    <row r="82" spans="1:13" x14ac:dyDescent="0.4">
      <c r="A82" s="6">
        <f t="shared" si="5"/>
        <v>-1.1885839110210483</v>
      </c>
      <c r="B82" s="6">
        <f>'Aerosol 1'!A67</f>
        <v>0.30465237361861197</v>
      </c>
      <c r="G82">
        <v>-1.1885839110210483</v>
      </c>
      <c r="H82">
        <v>0.30465237361861197</v>
      </c>
      <c r="L82">
        <f t="shared" si="6"/>
        <v>0</v>
      </c>
      <c r="M82">
        <f t="shared" si="7"/>
        <v>0</v>
      </c>
    </row>
    <row r="83" spans="1:13" x14ac:dyDescent="0.4">
      <c r="A83" s="6">
        <f t="shared" si="5"/>
        <v>-1.1541053335898699</v>
      </c>
      <c r="B83" s="6">
        <f>'Aerosol 1'!A68</f>
        <v>0.31533953442698531</v>
      </c>
      <c r="G83">
        <v>-1.1541053335898699</v>
      </c>
      <c r="H83">
        <v>0.31533953442698531</v>
      </c>
      <c r="L83">
        <f t="shared" si="6"/>
        <v>0</v>
      </c>
      <c r="M83">
        <f t="shared" si="7"/>
        <v>0</v>
      </c>
    </row>
    <row r="84" spans="1:13" x14ac:dyDescent="0.4">
      <c r="A84" s="6">
        <f t="shared" si="5"/>
        <v>-1.119626756158691</v>
      </c>
      <c r="B84" s="6">
        <f>'Aerosol 1'!A69</f>
        <v>0.32640159927693047</v>
      </c>
      <c r="G84">
        <v>-1.119626756158691</v>
      </c>
      <c r="H84">
        <v>0.32640159927693047</v>
      </c>
      <c r="L84">
        <f t="shared" si="6"/>
        <v>0</v>
      </c>
      <c r="M84">
        <f t="shared" si="7"/>
        <v>0</v>
      </c>
    </row>
    <row r="85" spans="1:13" x14ac:dyDescent="0.4">
      <c r="A85" s="6">
        <f t="shared" si="5"/>
        <v>-1.0851481787275123</v>
      </c>
      <c r="B85" s="6">
        <f>'Aerosol 1'!A70</f>
        <v>0.3378517197475156</v>
      </c>
      <c r="G85">
        <v>-1.0851481787275123</v>
      </c>
      <c r="H85">
        <v>0.3378517197475156</v>
      </c>
      <c r="L85">
        <f t="shared" si="6"/>
        <v>0</v>
      </c>
      <c r="M85">
        <f t="shared" si="7"/>
        <v>0</v>
      </c>
    </row>
    <row r="86" spans="1:13" x14ac:dyDescent="0.4">
      <c r="A86" s="6">
        <f t="shared" si="5"/>
        <v>-1.0506696012963337</v>
      </c>
      <c r="B86" s="6">
        <f>'Aerosol 1'!A71</f>
        <v>0.34970350877328349</v>
      </c>
      <c r="G86">
        <v>-1.0506696012963337</v>
      </c>
      <c r="H86">
        <v>0.34970350877328349</v>
      </c>
      <c r="L86">
        <f t="shared" si="6"/>
        <v>0</v>
      </c>
      <c r="M86">
        <f t="shared" si="7"/>
        <v>0</v>
      </c>
    </row>
    <row r="87" spans="1:13" x14ac:dyDescent="0.4">
      <c r="A87" s="6">
        <f t="shared" si="5"/>
        <v>-1.0161910238651548</v>
      </c>
      <c r="B87" s="6">
        <f>'Aerosol 1'!A72</f>
        <v>0.3619710568285342</v>
      </c>
      <c r="G87">
        <v>-1.0161910238651548</v>
      </c>
      <c r="H87">
        <v>0.3619710568285342</v>
      </c>
      <c r="L87">
        <f t="shared" si="6"/>
        <v>0</v>
      </c>
      <c r="M87">
        <f t="shared" si="7"/>
        <v>0</v>
      </c>
    </row>
    <row r="88" spans="1:13" x14ac:dyDescent="0.4">
      <c r="A88" s="6">
        <f t="shared" si="5"/>
        <v>-0.98171244643397615</v>
      </c>
      <c r="B88" s="6">
        <f>'Aerosol 1'!A73</f>
        <v>0.37466894867934986</v>
      </c>
      <c r="G88">
        <v>-0.98171244643397615</v>
      </c>
      <c r="H88">
        <v>0.37466894867934986</v>
      </c>
      <c r="L88">
        <f t="shared" si="6"/>
        <v>0</v>
      </c>
      <c r="M88">
        <f t="shared" si="7"/>
        <v>0</v>
      </c>
    </row>
    <row r="89" spans="1:13" x14ac:dyDescent="0.4">
      <c r="A89" s="6">
        <f t="shared" si="5"/>
        <v>-0.94723386900279749</v>
      </c>
      <c r="B89" s="6">
        <f>'Aerosol 1'!A74</f>
        <v>0.3878122807232785</v>
      </c>
      <c r="G89">
        <v>-0.94723386900279749</v>
      </c>
      <c r="H89">
        <v>0.3878122807232785</v>
      </c>
      <c r="L89">
        <f t="shared" si="6"/>
        <v>0</v>
      </c>
      <c r="M89">
        <f t="shared" si="7"/>
        <v>0</v>
      </c>
    </row>
    <row r="90" spans="1:13" x14ac:dyDescent="0.4">
      <c r="A90" s="6">
        <f t="shared" si="5"/>
        <v>-0.91275529157161883</v>
      </c>
      <c r="B90" s="6">
        <f>'Aerosol 1'!A75</f>
        <v>0.40141667893729105</v>
      </c>
      <c r="G90">
        <v>-0.91275529157161883</v>
      </c>
      <c r="H90">
        <v>0.40141667893729105</v>
      </c>
      <c r="L90">
        <f t="shared" si="6"/>
        <v>0</v>
      </c>
      <c r="M90">
        <f t="shared" si="7"/>
        <v>0</v>
      </c>
    </row>
    <row r="91" spans="1:13" x14ac:dyDescent="0.4">
      <c r="A91" s="6">
        <f t="shared" si="5"/>
        <v>-0.87827671414043995</v>
      </c>
      <c r="B91" s="6">
        <f>'Aerosol 1'!A76</f>
        <v>0.41549831745535037</v>
      </c>
      <c r="G91">
        <v>-0.87827671414043995</v>
      </c>
      <c r="H91">
        <v>0.41549831745535037</v>
      </c>
      <c r="L91">
        <f t="shared" si="6"/>
        <v>0</v>
      </c>
      <c r="M91">
        <f t="shared" si="7"/>
        <v>0</v>
      </c>
    </row>
    <row r="92" spans="1:13" x14ac:dyDescent="0.4">
      <c r="A92" s="6">
        <f t="shared" si="5"/>
        <v>-0.8437981367092614</v>
      </c>
      <c r="B92" s="6">
        <f>'Aerosol 1'!A77</f>
        <v>0.43007393779767822</v>
      </c>
      <c r="G92">
        <v>-0.8437981367092614</v>
      </c>
      <c r="H92">
        <v>0.43007393779767822</v>
      </c>
      <c r="L92">
        <f t="shared" si="6"/>
        <v>0</v>
      </c>
      <c r="M92">
        <f t="shared" si="7"/>
        <v>0</v>
      </c>
    </row>
    <row r="93" spans="1:13" x14ac:dyDescent="0.4">
      <c r="A93" s="6">
        <f t="shared" si="5"/>
        <v>-0.80931955927808275</v>
      </c>
      <c r="B93" s="6">
        <f>'Aerosol 1'!A78</f>
        <v>0.44516086877458289</v>
      </c>
      <c r="G93">
        <v>-0.80931955927808275</v>
      </c>
      <c r="H93">
        <v>0.44516086877458289</v>
      </c>
      <c r="L93">
        <f t="shared" si="6"/>
        <v>0</v>
      </c>
      <c r="M93">
        <f t="shared" si="7"/>
        <v>0</v>
      </c>
    </row>
    <row r="94" spans="1:13" x14ac:dyDescent="0.4">
      <c r="A94" s="6">
        <f t="shared" si="5"/>
        <v>-0.77484098184690386</v>
      </c>
      <c r="B94" s="6">
        <f>'Aerosol 1'!A79</f>
        <v>0.46077704708850942</v>
      </c>
      <c r="G94">
        <v>-0.77484098184690386</v>
      </c>
      <c r="H94">
        <v>0.46077704708850942</v>
      </c>
      <c r="L94">
        <f t="shared" si="6"/>
        <v>0</v>
      </c>
      <c r="M94">
        <f t="shared" si="7"/>
        <v>0</v>
      </c>
    </row>
    <row r="95" spans="1:13" x14ac:dyDescent="0.4">
      <c r="A95" s="6">
        <f t="shared" si="5"/>
        <v>-0.74036240441572509</v>
      </c>
      <c r="B95" s="6">
        <f>'Aerosol 1'!A80</f>
        <v>0.47694103865880688</v>
      </c>
      <c r="G95">
        <v>-0.74036240441572509</v>
      </c>
      <c r="H95">
        <v>0.47694103865880688</v>
      </c>
      <c r="L95">
        <f t="shared" si="6"/>
        <v>0</v>
      </c>
      <c r="M95">
        <f t="shared" si="7"/>
        <v>0</v>
      </c>
    </row>
    <row r="96" spans="1:13" x14ac:dyDescent="0.4">
      <c r="A96" s="6">
        <f t="shared" si="5"/>
        <v>-0.70588382698454644</v>
      </c>
      <c r="B96" s="6">
        <f>'Aerosol 1'!A81</f>
        <v>0.49367206069456598</v>
      </c>
      <c r="G96">
        <v>-0.70588382698454644</v>
      </c>
      <c r="H96">
        <v>0.49367206069456598</v>
      </c>
      <c r="L96">
        <f t="shared" si="6"/>
        <v>0</v>
      </c>
      <c r="M96">
        <f t="shared" si="7"/>
        <v>0</v>
      </c>
    </row>
    <row r="97" spans="1:13" x14ac:dyDescent="0.4">
      <c r="A97" s="6">
        <f t="shared" ref="A97:A160" si="8">LN(B97)</f>
        <v>-0.67140524955336756</v>
      </c>
      <c r="B97" s="6">
        <f>'Aerosol 1'!A82</f>
        <v>0.51099000454176802</v>
      </c>
      <c r="G97">
        <v>-0.67140524955336756</v>
      </c>
      <c r="H97">
        <v>0.51099000454176802</v>
      </c>
      <c r="L97">
        <f t="shared" ref="L97:L160" si="9">IF(C97=I97,0,1)</f>
        <v>0</v>
      </c>
      <c r="M97">
        <f t="shared" ref="M97:M160" si="10">IF(D97=J97,0,1)</f>
        <v>0</v>
      </c>
    </row>
    <row r="98" spans="1:13" x14ac:dyDescent="0.4">
      <c r="A98" s="6">
        <f t="shared" si="8"/>
        <v>-0.63692667212218901</v>
      </c>
      <c r="B98" s="6">
        <f>'Aerosol 1'!A83</f>
        <v>0.5289154593319082</v>
      </c>
      <c r="G98">
        <v>-0.63692667212218901</v>
      </c>
      <c r="H98">
        <v>0.5289154593319082</v>
      </c>
      <c r="L98">
        <f t="shared" si="9"/>
        <v>0</v>
      </c>
      <c r="M98">
        <f t="shared" si="10"/>
        <v>0</v>
      </c>
    </row>
    <row r="99" spans="1:13" x14ac:dyDescent="0.4">
      <c r="A99" s="6">
        <f t="shared" si="8"/>
        <v>-0.60244809469101013</v>
      </c>
      <c r="B99" s="6">
        <f>'Aerosol 1'!A84</f>
        <v>0.54746973646021047</v>
      </c>
      <c r="G99">
        <v>-0.60244809469101013</v>
      </c>
      <c r="H99">
        <v>0.54746973646021047</v>
      </c>
      <c r="L99">
        <f t="shared" si="9"/>
        <v>0</v>
      </c>
      <c r="M99">
        <f t="shared" si="10"/>
        <v>0</v>
      </c>
    </row>
    <row r="100" spans="1:13" x14ac:dyDescent="0.4">
      <c r="A100" s="6">
        <f t="shared" si="8"/>
        <v>-0.56796951725983147</v>
      </c>
      <c r="B100" s="6">
        <f>'Aerosol 1'!A85</f>
        <v>0.56667489492253287</v>
      </c>
      <c r="G100">
        <v>-0.56796951725983147</v>
      </c>
      <c r="H100">
        <v>0.56667489492253287</v>
      </c>
      <c r="L100">
        <f t="shared" si="9"/>
        <v>0</v>
      </c>
      <c r="M100">
        <f t="shared" si="10"/>
        <v>0</v>
      </c>
    </row>
    <row r="101" spans="1:13" x14ac:dyDescent="0.4">
      <c r="A101" s="6">
        <f t="shared" si="8"/>
        <v>-0.5334909398286527</v>
      </c>
      <c r="B101" s="6">
        <f>'Aerosol 1'!A86</f>
        <v>0.58655376754108923</v>
      </c>
      <c r="G101">
        <v>-0.5334909398286527</v>
      </c>
      <c r="H101">
        <v>0.58655376754108923</v>
      </c>
      <c r="L101">
        <f t="shared" si="9"/>
        <v>0</v>
      </c>
      <c r="M101">
        <f t="shared" si="10"/>
        <v>0</v>
      </c>
    </row>
    <row r="102" spans="1:13" x14ac:dyDescent="0.4">
      <c r="A102" s="6">
        <f t="shared" si="8"/>
        <v>-0.49901236239747387</v>
      </c>
      <c r="B102" s="6">
        <f>'Aerosol 1'!A87</f>
        <v>0.60712998811016461</v>
      </c>
      <c r="G102">
        <v>-0.49901236239747387</v>
      </c>
      <c r="H102">
        <v>0.60712998811016461</v>
      </c>
      <c r="L102">
        <f t="shared" si="9"/>
        <v>0</v>
      </c>
      <c r="M102">
        <f t="shared" si="10"/>
        <v>0</v>
      </c>
    </row>
    <row r="103" spans="1:13" x14ac:dyDescent="0.4">
      <c r="A103" s="6">
        <f t="shared" si="8"/>
        <v>-0.46453378496629505</v>
      </c>
      <c r="B103" s="6">
        <f>'Aerosol 1'!A88</f>
        <v>0.62842801949409866</v>
      </c>
      <c r="G103">
        <v>-0.46453378496629505</v>
      </c>
      <c r="H103">
        <v>0.62842801949409866</v>
      </c>
      <c r="L103">
        <f t="shared" si="9"/>
        <v>0</v>
      </c>
      <c r="M103">
        <f t="shared" si="10"/>
        <v>0</v>
      </c>
    </row>
    <row r="104" spans="1:13" x14ac:dyDescent="0.4">
      <c r="A104" s="6">
        <f t="shared" si="8"/>
        <v>-0.43005520753511628</v>
      </c>
      <c r="B104" s="6">
        <f>'Aerosol 1'!A89</f>
        <v>0.65047318271094212</v>
      </c>
      <c r="G104">
        <v>-0.43005520753511628</v>
      </c>
      <c r="H104">
        <v>0.65047318271094212</v>
      </c>
      <c r="L104">
        <f t="shared" si="9"/>
        <v>0</v>
      </c>
      <c r="M104">
        <f t="shared" si="10"/>
        <v>0</v>
      </c>
    </row>
    <row r="105" spans="1:13" x14ac:dyDescent="0.4">
      <c r="A105" s="6">
        <f t="shared" si="8"/>
        <v>-0.39557663010393757</v>
      </c>
      <c r="B105" s="6">
        <f>'Aerosol 1'!A90</f>
        <v>0.67329168703636388</v>
      </c>
      <c r="G105">
        <v>-0.39557663010393757</v>
      </c>
      <c r="H105">
        <v>0.67329168703636388</v>
      </c>
      <c r="L105">
        <f t="shared" si="9"/>
        <v>0</v>
      </c>
      <c r="M105">
        <f t="shared" si="10"/>
        <v>0</v>
      </c>
    </row>
    <row r="106" spans="1:13" x14ac:dyDescent="0.4">
      <c r="A106" s="6">
        <f t="shared" si="8"/>
        <v>-0.36109805267275896</v>
      </c>
      <c r="B106" s="6">
        <f>'Aerosol 1'!A91</f>
        <v>0.69691066116359857</v>
      </c>
      <c r="G106">
        <v>-0.36109805267275896</v>
      </c>
      <c r="H106">
        <v>0.69691066116359857</v>
      </c>
      <c r="L106">
        <f t="shared" si="9"/>
        <v>0</v>
      </c>
      <c r="M106">
        <f t="shared" si="10"/>
        <v>0</v>
      </c>
    </row>
    <row r="107" spans="1:13" x14ac:dyDescent="0.4">
      <c r="A107" s="6">
        <f t="shared" si="8"/>
        <v>-0.3266194752415803</v>
      </c>
      <c r="B107" s="6">
        <f>'Aerosol 1'!A92</f>
        <v>0.72135818545648067</v>
      </c>
      <c r="G107">
        <v>-0.3266194752415803</v>
      </c>
      <c r="H107">
        <v>0.72135818545648067</v>
      </c>
      <c r="L107">
        <f t="shared" si="9"/>
        <v>0</v>
      </c>
      <c r="M107">
        <f t="shared" si="10"/>
        <v>0</v>
      </c>
    </row>
    <row r="108" spans="1:13" x14ac:dyDescent="0.4">
      <c r="A108" s="6">
        <f t="shared" si="8"/>
        <v>-0.29214089781040159</v>
      </c>
      <c r="B108" s="6">
        <f>'Aerosol 1'!A93</f>
        <v>0.74666332533391011</v>
      </c>
      <c r="G108">
        <v>-0.29214089781040159</v>
      </c>
      <c r="H108">
        <v>0.74666332533391011</v>
      </c>
      <c r="L108">
        <f t="shared" si="9"/>
        <v>0</v>
      </c>
      <c r="M108">
        <f t="shared" si="10"/>
        <v>0</v>
      </c>
    </row>
    <row r="109" spans="1:13" x14ac:dyDescent="0.4">
      <c r="A109" s="6">
        <f t="shared" si="8"/>
        <v>-0.25766232037922282</v>
      </c>
      <c r="B109" s="6">
        <f>'Aerosol 1'!A94</f>
        <v>0.77285616582544026</v>
      </c>
      <c r="G109">
        <v>-0.25766232037922282</v>
      </c>
      <c r="H109">
        <v>0.77285616582544026</v>
      </c>
      <c r="L109">
        <f t="shared" si="9"/>
        <v>0</v>
      </c>
      <c r="M109">
        <f t="shared" si="10"/>
        <v>0</v>
      </c>
    </row>
    <row r="110" spans="1:13" x14ac:dyDescent="0.4">
      <c r="A110" s="6">
        <f t="shared" si="8"/>
        <v>-0.22318374294804416</v>
      </c>
      <c r="B110" s="6">
        <f>'Aerosol 1'!A95</f>
        <v>0.79996784733907078</v>
      </c>
      <c r="G110">
        <v>-0.22318374294804416</v>
      </c>
      <c r="H110">
        <v>0.79996784733907078</v>
      </c>
      <c r="L110">
        <f t="shared" si="9"/>
        <v>0</v>
      </c>
      <c r="M110">
        <f t="shared" si="10"/>
        <v>0</v>
      </c>
    </row>
    <row r="111" spans="1:13" x14ac:dyDescent="0.4">
      <c r="A111" s="6">
        <f t="shared" si="8"/>
        <v>-0.18870516551686528</v>
      </c>
      <c r="B111" s="6">
        <f>'Aerosol 1'!A96</f>
        <v>0.82803060268377005</v>
      </c>
      <c r="G111">
        <v>-0.18870516551686528</v>
      </c>
      <c r="H111">
        <v>0.82803060268377005</v>
      </c>
      <c r="L111">
        <f t="shared" si="9"/>
        <v>0</v>
      </c>
      <c r="M111">
        <f t="shared" si="10"/>
        <v>0</v>
      </c>
    </row>
    <row r="112" spans="1:13" x14ac:dyDescent="0.4">
      <c r="A112" s="6">
        <f t="shared" si="8"/>
        <v>-0.15422658808568657</v>
      </c>
      <c r="B112" s="6">
        <f>'Aerosol 1'!A97</f>
        <v>0.85707779539074058</v>
      </c>
      <c r="G112">
        <v>-0.15422658808568657</v>
      </c>
      <c r="H112">
        <v>0.85707779539074058</v>
      </c>
      <c r="L112">
        <f t="shared" si="9"/>
        <v>0</v>
      </c>
      <c r="M112">
        <f t="shared" si="10"/>
        <v>0</v>
      </c>
    </row>
    <row r="113" spans="1:13" x14ac:dyDescent="0.4">
      <c r="A113" s="6">
        <f t="shared" si="8"/>
        <v>-0.1197480106545078</v>
      </c>
      <c r="B113" s="6">
        <f>'Aerosol 1'!A98</f>
        <v>0.88714395937899138</v>
      </c>
      <c r="G113">
        <v>-0.1197480106545078</v>
      </c>
      <c r="H113">
        <v>0.88714395937899138</v>
      </c>
      <c r="L113">
        <f t="shared" si="9"/>
        <v>0</v>
      </c>
      <c r="M113">
        <f t="shared" si="10"/>
        <v>0</v>
      </c>
    </row>
    <row r="114" spans="1:13" x14ac:dyDescent="0.4">
      <c r="A114" s="6">
        <f t="shared" si="8"/>
        <v>-8.5269433223328972E-2</v>
      </c>
      <c r="B114" s="6">
        <f>'Aerosol 1'!A99</f>
        <v>0.91826484001237041</v>
      </c>
      <c r="G114">
        <v>-8.5269433223328972E-2</v>
      </c>
      <c r="H114">
        <v>0.91826484001237041</v>
      </c>
      <c r="L114">
        <f t="shared" si="9"/>
        <v>0</v>
      </c>
      <c r="M114">
        <f t="shared" si="10"/>
        <v>0</v>
      </c>
    </row>
    <row r="115" spans="1:13" x14ac:dyDescent="0.4">
      <c r="A115" s="6">
        <f t="shared" si="8"/>
        <v>-5.0790855792150223E-2</v>
      </c>
      <c r="B115" s="6">
        <f>'Aerosol 1'!A100</f>
        <v>0.950477436596873</v>
      </c>
      <c r="G115">
        <v>-5.0790855792150223E-2</v>
      </c>
      <c r="H115">
        <v>0.950477436596873</v>
      </c>
      <c r="L115">
        <f t="shared" si="9"/>
        <v>0</v>
      </c>
      <c r="M115">
        <f t="shared" si="10"/>
        <v>0</v>
      </c>
    </row>
    <row r="116" spans="1:13" x14ac:dyDescent="0.4">
      <c r="A116" s="6">
        <f t="shared" si="8"/>
        <v>-1.6312278360971485E-2</v>
      </c>
      <c r="B116" s="6">
        <f>'Aerosol 1'!A101</f>
        <v>0.98382004636874965</v>
      </c>
      <c r="G116">
        <v>-1.6312278360971485E-2</v>
      </c>
      <c r="H116">
        <v>0.98382004636874965</v>
      </c>
      <c r="L116">
        <f t="shared" si="9"/>
        <v>0</v>
      </c>
      <c r="M116">
        <f t="shared" si="10"/>
        <v>0</v>
      </c>
    </row>
    <row r="117" spans="1:13" x14ac:dyDescent="0.4">
      <c r="A117" s="6">
        <f t="shared" si="8"/>
        <v>1.8166299070207351E-2</v>
      </c>
      <c r="B117" s="6">
        <f>'Aerosol 1'!A102</f>
        <v>1.0183323100257098</v>
      </c>
      <c r="G117">
        <v>1.8166299070207351E-2</v>
      </c>
      <c r="H117">
        <v>1.0183323100257098</v>
      </c>
      <c r="L117">
        <f t="shared" si="9"/>
        <v>0</v>
      </c>
      <c r="M117">
        <f t="shared" si="10"/>
        <v>0</v>
      </c>
    </row>
    <row r="118" spans="1:13" x14ac:dyDescent="0.4">
      <c r="A118" s="6">
        <f t="shared" si="8"/>
        <v>5.2644876501386217E-2</v>
      </c>
      <c r="B118" s="6">
        <f>'Aerosol 1'!A103</f>
        <v>1.0540552588553536</v>
      </c>
      <c r="G118">
        <v>5.2644876501386217E-2</v>
      </c>
      <c r="H118">
        <v>1.0540552588553536</v>
      </c>
      <c r="L118">
        <f t="shared" si="9"/>
        <v>0</v>
      </c>
      <c r="M118">
        <f t="shared" si="10"/>
        <v>0</v>
      </c>
    </row>
    <row r="119" spans="1:13" x14ac:dyDescent="0.4">
      <c r="A119" s="6">
        <f t="shared" si="8"/>
        <v>8.7123453932564945E-2</v>
      </c>
      <c r="B119" s="6">
        <f>'Aerosol 1'!A104</f>
        <v>1.0910313635168623</v>
      </c>
      <c r="G119">
        <v>8.7123453932564945E-2</v>
      </c>
      <c r="H119">
        <v>1.0910313635168623</v>
      </c>
      <c r="L119">
        <f t="shared" si="9"/>
        <v>0</v>
      </c>
      <c r="M119">
        <f t="shared" si="10"/>
        <v>0</v>
      </c>
    </row>
    <row r="120" spans="1:13" x14ac:dyDescent="0.4">
      <c r="A120" s="6">
        <f t="shared" si="8"/>
        <v>0.12160203136374367</v>
      </c>
      <c r="B120" s="6">
        <f>'Aerosol 1'!A105</f>
        <v>1.1293045845339438</v>
      </c>
      <c r="G120">
        <v>0.12160203136374367</v>
      </c>
      <c r="H120">
        <v>1.1293045845339438</v>
      </c>
      <c r="L120">
        <f t="shared" si="9"/>
        <v>0</v>
      </c>
      <c r="M120">
        <f t="shared" si="10"/>
        <v>0</v>
      </c>
    </row>
    <row r="121" spans="1:13" x14ac:dyDescent="0.4">
      <c r="A121" s="6">
        <f t="shared" si="8"/>
        <v>0.1560806087949225</v>
      </c>
      <c r="B121" s="6">
        <f>'Aerosol 1'!A106</f>
        <v>1.1689204245590625</v>
      </c>
      <c r="G121">
        <v>0.1560806087949225</v>
      </c>
      <c r="H121">
        <v>1.1689204245590625</v>
      </c>
      <c r="L121">
        <f t="shared" si="9"/>
        <v>0</v>
      </c>
      <c r="M121">
        <f t="shared" si="10"/>
        <v>0</v>
      </c>
    </row>
    <row r="122" spans="1:13" x14ac:dyDescent="0.4">
      <c r="A122" s="6">
        <f t="shared" si="8"/>
        <v>0.19055918622610132</v>
      </c>
      <c r="B122" s="6">
        <f>'Aerosol 1'!A107</f>
        <v>1.2099259824710908</v>
      </c>
      <c r="G122">
        <v>0.19055918622610132</v>
      </c>
      <c r="H122">
        <v>1.2099259824710908</v>
      </c>
      <c r="L122">
        <f t="shared" si="9"/>
        <v>0</v>
      </c>
      <c r="M122">
        <f t="shared" si="10"/>
        <v>0</v>
      </c>
    </row>
    <row r="123" spans="1:13" x14ac:dyDescent="0.4">
      <c r="A123" s="6">
        <f t="shared" si="8"/>
        <v>0.22503776365728018</v>
      </c>
      <c r="B123" s="6">
        <f>'Aerosol 1'!A108</f>
        <v>1.2523700093706989</v>
      </c>
      <c r="G123">
        <v>0.22503776365728018</v>
      </c>
      <c r="H123">
        <v>1.2523700093706989</v>
      </c>
      <c r="L123">
        <f t="shared" si="9"/>
        <v>0</v>
      </c>
      <c r="M123">
        <f t="shared" si="10"/>
        <v>0</v>
      </c>
    </row>
    <row r="124" spans="1:13" x14ac:dyDescent="0.4">
      <c r="A124" s="6">
        <f t="shared" si="8"/>
        <v>0.25951634108845895</v>
      </c>
      <c r="B124" s="6">
        <f>'Aerosol 1'!A109</f>
        <v>1.2963029665400538</v>
      </c>
      <c r="G124">
        <v>0.25951634108845895</v>
      </c>
      <c r="H124">
        <v>1.2963029665400538</v>
      </c>
      <c r="L124">
        <f t="shared" si="9"/>
        <v>0</v>
      </c>
      <c r="M124">
        <f t="shared" si="10"/>
        <v>0</v>
      </c>
    </row>
    <row r="125" spans="1:13" x14ac:dyDescent="0.4">
      <c r="A125" s="6">
        <f t="shared" si="8"/>
        <v>0.29399491851963772</v>
      </c>
      <c r="B125" s="6">
        <f>'Aerosol 1'!A110</f>
        <v>1.3417770854357378</v>
      </c>
      <c r="G125">
        <v>0.29399491851963772</v>
      </c>
      <c r="H125">
        <v>1.3417770854357378</v>
      </c>
      <c r="L125">
        <f t="shared" si="9"/>
        <v>0</v>
      </c>
      <c r="M125">
        <f t="shared" si="10"/>
        <v>0</v>
      </c>
    </row>
    <row r="126" spans="1:13" x14ac:dyDescent="0.4">
      <c r="A126" s="6">
        <f t="shared" si="8"/>
        <v>0.32847349595081643</v>
      </c>
      <c r="B126" s="6">
        <f>'Aerosol 1'!A111</f>
        <v>1.3888464297862073</v>
      </c>
      <c r="G126">
        <v>0.32847349595081643</v>
      </c>
      <c r="H126">
        <v>1.3888464297862073</v>
      </c>
      <c r="L126">
        <f t="shared" si="9"/>
        <v>0</v>
      </c>
      <c r="M126">
        <f t="shared" si="10"/>
        <v>0</v>
      </c>
    </row>
    <row r="127" spans="1:13" x14ac:dyDescent="0.4">
      <c r="A127" s="6">
        <f t="shared" si="8"/>
        <v>0.36295207338199525</v>
      </c>
      <c r="B127" s="6">
        <f>'Aerosol 1'!A112</f>
        <v>1.437566959867624</v>
      </c>
      <c r="G127">
        <v>0.36295207338199525</v>
      </c>
      <c r="H127">
        <v>1.437566959867624</v>
      </c>
      <c r="L127">
        <f t="shared" si="9"/>
        <v>0</v>
      </c>
      <c r="M127">
        <f t="shared" si="10"/>
        <v>0</v>
      </c>
    </row>
    <row r="128" spans="1:13" x14ac:dyDescent="0.4">
      <c r="A128" s="6">
        <f t="shared" si="8"/>
        <v>0.39743065081317414</v>
      </c>
      <c r="B128" s="6">
        <f>'Aerosol 1'!A113</f>
        <v>1.4879965990344703</v>
      </c>
      <c r="G128">
        <v>0.39743065081317414</v>
      </c>
      <c r="H128">
        <v>1.4879965990344703</v>
      </c>
      <c r="L128">
        <f t="shared" si="9"/>
        <v>0</v>
      </c>
      <c r="M128">
        <f t="shared" si="10"/>
        <v>0</v>
      </c>
    </row>
    <row r="129" spans="1:13" x14ac:dyDescent="0.4">
      <c r="A129" s="6">
        <f t="shared" si="8"/>
        <v>0.43190922824435296</v>
      </c>
      <c r="B129" s="6">
        <f>'Aerosol 1'!A114</f>
        <v>1.5401953025840516</v>
      </c>
      <c r="G129">
        <v>0.43190922824435296</v>
      </c>
      <c r="H129">
        <v>1.5401953025840516</v>
      </c>
      <c r="L129">
        <f t="shared" si="9"/>
        <v>0</v>
      </c>
      <c r="M129">
        <f t="shared" si="10"/>
        <v>0</v>
      </c>
    </row>
    <row r="130" spans="1:13" x14ac:dyDescent="0.4">
      <c r="A130" s="6">
        <f t="shared" si="8"/>
        <v>0.46638780567553179</v>
      </c>
      <c r="B130" s="6">
        <f>'Aerosol 1'!A115</f>
        <v>1.5942251290367531</v>
      </c>
      <c r="G130">
        <v>0.46638780567553179</v>
      </c>
      <c r="H130">
        <v>1.5942251290367531</v>
      </c>
      <c r="L130">
        <f t="shared" si="9"/>
        <v>0</v>
      </c>
      <c r="M130">
        <f t="shared" si="10"/>
        <v>0</v>
      </c>
    </row>
    <row r="131" spans="1:13" x14ac:dyDescent="0.4">
      <c r="A131" s="6">
        <f t="shared" si="8"/>
        <v>0.50086638310671061</v>
      </c>
      <c r="B131" s="6">
        <f>'Aerosol 1'!A116</f>
        <v>1.650150313916799</v>
      </c>
      <c r="G131">
        <v>0.50086638310671061</v>
      </c>
      <c r="H131">
        <v>1.650150313916799</v>
      </c>
      <c r="L131">
        <f t="shared" si="9"/>
        <v>0</v>
      </c>
      <c r="M131">
        <f t="shared" si="10"/>
        <v>0</v>
      </c>
    </row>
    <row r="132" spans="1:13" x14ac:dyDescent="0.4">
      <c r="A132" s="6">
        <f t="shared" si="8"/>
        <v>0.53534496053788938</v>
      </c>
      <c r="B132" s="6">
        <f>'Aerosol 1'!A117</f>
        <v>1.7080373461212295</v>
      </c>
      <c r="G132">
        <v>0.53534496053788938</v>
      </c>
      <c r="H132">
        <v>1.7080373461212295</v>
      </c>
      <c r="L132">
        <f t="shared" si="9"/>
        <v>0</v>
      </c>
      <c r="M132">
        <f t="shared" si="10"/>
        <v>0</v>
      </c>
    </row>
    <row r="133" spans="1:13" x14ac:dyDescent="0.4">
      <c r="A133" s="6">
        <f t="shared" si="8"/>
        <v>0.56982353796906826</v>
      </c>
      <c r="B133" s="6">
        <f>'Aerosol 1'!A118</f>
        <v>1.76795504696789</v>
      </c>
      <c r="G133">
        <v>0.56982353796906826</v>
      </c>
      <c r="H133">
        <v>1.76795504696789</v>
      </c>
      <c r="L133">
        <f t="shared" si="9"/>
        <v>0</v>
      </c>
      <c r="M133">
        <f t="shared" si="10"/>
        <v>0</v>
      </c>
    </row>
    <row r="134" spans="1:13" x14ac:dyDescent="0.4">
      <c r="A134" s="6">
        <f t="shared" si="8"/>
        <v>0.60430211540024703</v>
      </c>
      <c r="B134" s="6">
        <f>'Aerosol 1'!A119</f>
        <v>1.8299746520164126</v>
      </c>
      <c r="G134">
        <v>0.60430211540024703</v>
      </c>
      <c r="H134">
        <v>1.8299746520164126</v>
      </c>
      <c r="L134">
        <f t="shared" si="9"/>
        <v>0</v>
      </c>
      <c r="M134">
        <f t="shared" si="10"/>
        <v>0</v>
      </c>
    </row>
    <row r="135" spans="1:13" x14ac:dyDescent="0.4">
      <c r="A135" s="6">
        <f t="shared" si="8"/>
        <v>0.6387806928314258</v>
      </c>
      <c r="B135" s="6">
        <f>'Aerosol 1'!A120</f>
        <v>1.8941698957594661</v>
      </c>
      <c r="G135">
        <v>0.6387806928314258</v>
      </c>
      <c r="H135">
        <v>1.8941698957594661</v>
      </c>
      <c r="L135">
        <f t="shared" si="9"/>
        <v>0</v>
      </c>
      <c r="M135">
        <f t="shared" si="10"/>
        <v>0</v>
      </c>
    </row>
    <row r="136" spans="1:13" x14ac:dyDescent="0.4">
      <c r="A136" s="6">
        <f t="shared" si="8"/>
        <v>0.67325927026260468</v>
      </c>
      <c r="B136" s="6">
        <f>'Aerosol 1'!A121</f>
        <v>1.9606170992849625</v>
      </c>
      <c r="G136">
        <v>0.67325927026260468</v>
      </c>
      <c r="H136">
        <v>1.9606170992849625</v>
      </c>
      <c r="L136">
        <f t="shared" si="9"/>
        <v>0</v>
      </c>
      <c r="M136">
        <f t="shared" si="10"/>
        <v>0</v>
      </c>
    </row>
    <row r="137" spans="1:13" x14ac:dyDescent="0.4">
      <c r="A137" s="6">
        <f t="shared" si="8"/>
        <v>0.70773784769378356</v>
      </c>
      <c r="B137" s="6">
        <f>'Aerosol 1'!A122</f>
        <v>2.0293952610134389</v>
      </c>
      <c r="G137">
        <v>0.70773784769378356</v>
      </c>
      <c r="H137">
        <v>2.0293952610134389</v>
      </c>
      <c r="L137">
        <f t="shared" si="9"/>
        <v>0</v>
      </c>
      <c r="M137">
        <f t="shared" si="10"/>
        <v>0</v>
      </c>
    </row>
    <row r="138" spans="1:13" x14ac:dyDescent="0.4">
      <c r="A138" s="6">
        <f t="shared" si="8"/>
        <v>0.74221642512496244</v>
      </c>
      <c r="B138" s="6">
        <f>'Aerosol 1'!A123</f>
        <v>2.1005861506184975</v>
      </c>
      <c r="G138">
        <v>0.74221642512496244</v>
      </c>
      <c r="H138">
        <v>2.1005861506184975</v>
      </c>
      <c r="L138">
        <f t="shared" si="9"/>
        <v>0</v>
      </c>
      <c r="M138">
        <f t="shared" si="10"/>
        <v>0</v>
      </c>
    </row>
    <row r="139" spans="1:13" x14ac:dyDescent="0.4">
      <c r="A139" s="6">
        <f t="shared" si="8"/>
        <v>0.77669500255614121</v>
      </c>
      <c r="B139" s="6">
        <f>'Aerosol 1'!A124</f>
        <v>2.1742744062419574</v>
      </c>
      <c r="G139">
        <v>0.77669500255614121</v>
      </c>
      <c r="H139">
        <v>2.1742744062419574</v>
      </c>
      <c r="L139">
        <f t="shared" si="9"/>
        <v>0</v>
      </c>
      <c r="M139">
        <f t="shared" si="10"/>
        <v>0</v>
      </c>
    </row>
    <row r="140" spans="1:13" x14ac:dyDescent="0.4">
      <c r="A140" s="6">
        <f t="shared" si="8"/>
        <v>0.8111735799873202</v>
      </c>
      <c r="B140" s="6">
        <f>'Aerosol 1'!A125</f>
        <v>2.2505476351193017</v>
      </c>
      <c r="G140">
        <v>0.8111735799873202</v>
      </c>
      <c r="H140">
        <v>2.2505476351193017</v>
      </c>
      <c r="L140">
        <f t="shared" si="9"/>
        <v>0</v>
      </c>
      <c r="M140">
        <f t="shared" si="10"/>
        <v>0</v>
      </c>
    </row>
    <row r="141" spans="1:13" x14ac:dyDescent="0.4">
      <c r="A141" s="6">
        <f t="shared" si="8"/>
        <v>0.84565215741849897</v>
      </c>
      <c r="B141" s="6">
        <f>'Aerosol 1'!A126</f>
        <v>2.3294965177350488</v>
      </c>
      <c r="G141">
        <v>0.84565215741849897</v>
      </c>
      <c r="H141">
        <v>2.3294965177350488</v>
      </c>
      <c r="L141">
        <f t="shared" si="9"/>
        <v>0</v>
      </c>
      <c r="M141">
        <f t="shared" si="10"/>
        <v>0</v>
      </c>
    </row>
    <row r="142" spans="1:13" x14ac:dyDescent="0.4">
      <c r="A142" s="6">
        <f t="shared" si="8"/>
        <v>0.88013073484967774</v>
      </c>
      <c r="B142" s="6">
        <f>'Aerosol 1'!A127</f>
        <v>2.4112149156318821</v>
      </c>
      <c r="G142">
        <v>0.88013073484967774</v>
      </c>
      <c r="H142">
        <v>2.4112149156318821</v>
      </c>
      <c r="L142">
        <f t="shared" si="9"/>
        <v>0</v>
      </c>
      <c r="M142">
        <f t="shared" si="10"/>
        <v>0</v>
      </c>
    </row>
    <row r="143" spans="1:13" x14ac:dyDescent="0.4">
      <c r="A143" s="6">
        <f t="shared" si="8"/>
        <v>0.91460931228085651</v>
      </c>
      <c r="B143" s="6">
        <f>'Aerosol 1'!A128</f>
        <v>2.4957999830017044</v>
      </c>
      <c r="G143">
        <v>0.91460931228085651</v>
      </c>
      <c r="H143">
        <v>2.4957999830017044</v>
      </c>
      <c r="L143">
        <f t="shared" si="9"/>
        <v>0</v>
      </c>
      <c r="M143">
        <f t="shared" si="10"/>
        <v>0</v>
      </c>
    </row>
    <row r="144" spans="1:13" x14ac:dyDescent="0.4">
      <c r="A144" s="6">
        <f t="shared" si="8"/>
        <v>0.9490878897120355</v>
      </c>
      <c r="B144" s="6">
        <f>'Aerosol 1'!A129</f>
        <v>2.5833522821912931</v>
      </c>
      <c r="G144">
        <v>0.9490878897120355</v>
      </c>
      <c r="H144">
        <v>2.5833522821912931</v>
      </c>
      <c r="L144">
        <f t="shared" si="9"/>
        <v>0</v>
      </c>
      <c r="M144">
        <f t="shared" si="10"/>
        <v>0</v>
      </c>
    </row>
    <row r="145" spans="1:13" x14ac:dyDescent="0.4">
      <c r="A145" s="6">
        <f t="shared" si="8"/>
        <v>0.98356646714321438</v>
      </c>
      <c r="B145" s="6">
        <f>'Aerosol 1'!A130</f>
        <v>2.6739759032598744</v>
      </c>
      <c r="G145">
        <v>0.98356646714321438</v>
      </c>
      <c r="H145">
        <v>2.6739759032598744</v>
      </c>
      <c r="L145">
        <f t="shared" si="9"/>
        <v>0</v>
      </c>
      <c r="M145">
        <f t="shared" si="10"/>
        <v>0</v>
      </c>
    </row>
    <row r="146" spans="1:13" x14ac:dyDescent="0.4">
      <c r="A146" s="6">
        <f t="shared" si="8"/>
        <v>1.0180450445743932</v>
      </c>
      <c r="B146" s="6">
        <f>'Aerosol 1'!A131</f>
        <v>2.767778587730763</v>
      </c>
      <c r="G146">
        <v>1.0180450445743932</v>
      </c>
      <c r="H146">
        <v>2.767778587730763</v>
      </c>
      <c r="L146">
        <f t="shared" si="9"/>
        <v>0</v>
      </c>
      <c r="M146">
        <f t="shared" si="10"/>
        <v>0</v>
      </c>
    </row>
    <row r="147" spans="1:13" x14ac:dyDescent="0.4">
      <c r="A147" s="6">
        <f t="shared" si="8"/>
        <v>1.052523622005572</v>
      </c>
      <c r="B147" s="6">
        <f>'Aerosol 1'!A132</f>
        <v>2.8648718566841889</v>
      </c>
      <c r="G147">
        <v>1.052523622005572</v>
      </c>
      <c r="H147">
        <v>2.8648718566841889</v>
      </c>
      <c r="L147">
        <f t="shared" si="9"/>
        <v>0</v>
      </c>
      <c r="M147">
        <f t="shared" si="10"/>
        <v>0</v>
      </c>
    </row>
    <row r="148" spans="1:13" x14ac:dyDescent="0.4">
      <c r="A148" s="6">
        <f t="shared" si="8"/>
        <v>1.0870021994367509</v>
      </c>
      <c r="B148" s="6">
        <f>'Aerosol 1'!A133</f>
        <v>2.9653711433436016</v>
      </c>
      <c r="G148">
        <v>1.0870021994367509</v>
      </c>
      <c r="H148">
        <v>2.9653711433436016</v>
      </c>
      <c r="L148">
        <f t="shared" si="9"/>
        <v>0</v>
      </c>
      <c r="M148">
        <f t="shared" si="10"/>
        <v>0</v>
      </c>
    </row>
    <row r="149" spans="1:13" x14ac:dyDescent="0.4">
      <c r="A149" s="6">
        <f t="shared" si="8"/>
        <v>1.1214807768679298</v>
      </c>
      <c r="B149" s="6">
        <f>'Aerosol 1'!A134</f>
        <v>3.0693959303130844</v>
      </c>
      <c r="G149">
        <v>1.1214807768679298</v>
      </c>
      <c r="H149">
        <v>3.0693959303130844</v>
      </c>
      <c r="L149">
        <f t="shared" si="9"/>
        <v>0</v>
      </c>
      <c r="M149">
        <f t="shared" si="10"/>
        <v>0</v>
      </c>
    </row>
    <row r="150" spans="1:13" x14ac:dyDescent="0.4">
      <c r="A150" s="6">
        <f t="shared" si="8"/>
        <v>1.1559593542991087</v>
      </c>
      <c r="B150" s="6">
        <f>'Aerosol 1'!A135</f>
        <v>3.1770698916290354</v>
      </c>
      <c r="G150">
        <v>1.1559593542991087</v>
      </c>
      <c r="H150">
        <v>3.1770698916290354</v>
      </c>
      <c r="L150">
        <f t="shared" si="9"/>
        <v>0</v>
      </c>
      <c r="M150">
        <f t="shared" si="10"/>
        <v>0</v>
      </c>
    </row>
    <row r="151" spans="1:13" x14ac:dyDescent="0.4">
      <c r="A151" s="6">
        <f t="shared" si="8"/>
        <v>1.1904379317302876</v>
      </c>
      <c r="B151" s="6">
        <f>'Aerosol 1'!A136</f>
        <v>3.2885210397950018</v>
      </c>
      <c r="G151">
        <v>1.1904379317302876</v>
      </c>
      <c r="H151">
        <v>3.2885210397950018</v>
      </c>
      <c r="L151">
        <f t="shared" si="9"/>
        <v>0</v>
      </c>
      <c r="M151">
        <f t="shared" si="10"/>
        <v>0</v>
      </c>
    </row>
    <row r="152" spans="1:13" x14ac:dyDescent="0.4">
      <c r="A152" s="6">
        <f t="shared" si="8"/>
        <v>1.2249165091614664</v>
      </c>
      <c r="B152" s="6">
        <f>'Aerosol 1'!A137</f>
        <v>3.4038818779744737</v>
      </c>
      <c r="G152">
        <v>1.2249165091614664</v>
      </c>
      <c r="H152">
        <v>3.4038818779744737</v>
      </c>
      <c r="L152">
        <f t="shared" si="9"/>
        <v>0</v>
      </c>
      <c r="M152">
        <f t="shared" si="10"/>
        <v>0</v>
      </c>
    </row>
    <row r="153" spans="1:13" x14ac:dyDescent="0.4">
      <c r="A153" s="6">
        <f t="shared" si="8"/>
        <v>1.2593950865926453</v>
      </c>
      <c r="B153" s="6">
        <f>'Aerosol 1'!A138</f>
        <v>3.5232895575225811</v>
      </c>
      <c r="G153">
        <v>1.2593950865926453</v>
      </c>
      <c r="H153">
        <v>3.5232895575225811</v>
      </c>
      <c r="L153">
        <f t="shared" si="9"/>
        <v>0</v>
      </c>
      <c r="M153">
        <f t="shared" si="10"/>
        <v>0</v>
      </c>
    </row>
    <row r="154" spans="1:13" x14ac:dyDescent="0.4">
      <c r="A154" s="6">
        <f t="shared" si="8"/>
        <v>1.2938736640238242</v>
      </c>
      <c r="B154" s="6">
        <f>'Aerosol 1'!A139</f>
        <v>3.6468860410439765</v>
      </c>
      <c r="G154">
        <v>1.2938736640238242</v>
      </c>
      <c r="H154">
        <v>3.6468860410439765</v>
      </c>
      <c r="L154">
        <f t="shared" si="9"/>
        <v>0</v>
      </c>
      <c r="M154">
        <f t="shared" si="10"/>
        <v>0</v>
      </c>
    </row>
    <row r="155" spans="1:13" x14ac:dyDescent="0.4">
      <c r="A155" s="6">
        <f t="shared" si="8"/>
        <v>1.3283522414550029</v>
      </c>
      <c r="B155" s="6">
        <f>'Aerosol 1'!A140</f>
        <v>3.7748182711707674</v>
      </c>
      <c r="G155">
        <v>1.3283522414550029</v>
      </c>
      <c r="H155">
        <v>3.7748182711707674</v>
      </c>
      <c r="L155">
        <f t="shared" si="9"/>
        <v>0</v>
      </c>
      <c r="M155">
        <f t="shared" si="10"/>
        <v>0</v>
      </c>
    </row>
    <row r="156" spans="1:13" x14ac:dyDescent="0.4">
      <c r="A156" s="6">
        <f t="shared" si="8"/>
        <v>1.3628308188861817</v>
      </c>
      <c r="B156" s="6">
        <f>'Aerosol 1'!A141</f>
        <v>3.9072383452611525</v>
      </c>
      <c r="G156">
        <v>1.3628308188861817</v>
      </c>
      <c r="H156">
        <v>3.9072383452611525</v>
      </c>
      <c r="L156">
        <f t="shared" si="9"/>
        <v>0</v>
      </c>
      <c r="M156">
        <f t="shared" si="10"/>
        <v>0</v>
      </c>
    </row>
    <row r="157" spans="1:13" x14ac:dyDescent="0.4">
      <c r="A157" s="6">
        <f t="shared" si="8"/>
        <v>1.3973093963173604</v>
      </c>
      <c r="B157" s="6">
        <f>'Aerosol 1'!A142</f>
        <v>4.0443036962264589</v>
      </c>
      <c r="G157">
        <v>1.3973093963173604</v>
      </c>
      <c r="H157">
        <v>4.0443036962264589</v>
      </c>
      <c r="L157">
        <f t="shared" si="9"/>
        <v>0</v>
      </c>
      <c r="M157">
        <f t="shared" si="10"/>
        <v>0</v>
      </c>
    </row>
    <row r="158" spans="1:13" x14ac:dyDescent="0.4">
      <c r="A158" s="6">
        <f t="shared" si="8"/>
        <v>1.4317879737485391</v>
      </c>
      <c r="B158" s="6">
        <f>'Aerosol 1'!A143</f>
        <v>4.1861772797015711</v>
      </c>
      <c r="G158">
        <v>1.4317879737485391</v>
      </c>
      <c r="H158">
        <v>4.1861772797015711</v>
      </c>
      <c r="L158">
        <f t="shared" si="9"/>
        <v>0</v>
      </c>
      <c r="M158">
        <f t="shared" si="10"/>
        <v>0</v>
      </c>
    </row>
    <row r="159" spans="1:13" x14ac:dyDescent="0.4">
      <c r="A159" s="6">
        <f t="shared" si="8"/>
        <v>1.4662665511797179</v>
      </c>
      <c r="B159" s="6">
        <f>'Aerosol 1'!A144</f>
        <v>4.3330277677812639</v>
      </c>
      <c r="G159">
        <v>1.4662665511797179</v>
      </c>
      <c r="H159">
        <v>4.3330277677812639</v>
      </c>
      <c r="L159">
        <f t="shared" si="9"/>
        <v>0</v>
      </c>
      <c r="M159">
        <f t="shared" si="10"/>
        <v>0</v>
      </c>
    </row>
    <row r="160" spans="1:13" x14ac:dyDescent="0.4">
      <c r="A160" s="6">
        <f t="shared" si="8"/>
        <v>1.5007451286108966</v>
      </c>
      <c r="B160" s="6">
        <f>'Aerosol 1'!A145</f>
        <v>4.4850297495527807</v>
      </c>
      <c r="G160">
        <v>1.5007451286108966</v>
      </c>
      <c r="H160">
        <v>4.4850297495527807</v>
      </c>
      <c r="L160">
        <f t="shared" si="9"/>
        <v>0</v>
      </c>
      <c r="M160">
        <f t="shared" si="10"/>
        <v>0</v>
      </c>
    </row>
    <row r="161" spans="1:13" x14ac:dyDescent="0.4">
      <c r="A161" s="6">
        <f t="shared" ref="A161:A224" si="11">LN(B161)</f>
        <v>1.5352237060420753</v>
      </c>
      <c r="B161" s="6">
        <f>'Aerosol 1'!A146</f>
        <v>4.6423639386630704</v>
      </c>
      <c r="G161">
        <v>1.5352237060420753</v>
      </c>
      <c r="H161">
        <v>4.6423639386630704</v>
      </c>
      <c r="L161">
        <f t="shared" ref="L161:L224" si="12">IF(C161=I161,0,1)</f>
        <v>0</v>
      </c>
      <c r="M161">
        <f t="shared" ref="M161:M224" si="13">IF(D161=J161,0,1)</f>
        <v>0</v>
      </c>
    </row>
    <row r="162" spans="1:13" x14ac:dyDescent="0.4">
      <c r="A162" s="6">
        <f t="shared" si="11"/>
        <v>1.5697022834732541</v>
      </c>
      <c r="B162" s="6">
        <f>'Aerosol 1'!A147</f>
        <v>4.8052173881674447</v>
      </c>
      <c r="G162">
        <v>1.5697022834732541</v>
      </c>
      <c r="H162">
        <v>4.8052173881674447</v>
      </c>
      <c r="L162">
        <f t="shared" si="12"/>
        <v>0</v>
      </c>
      <c r="M162">
        <f t="shared" si="13"/>
        <v>0</v>
      </c>
    </row>
    <row r="163" spans="1:13" x14ac:dyDescent="0.4">
      <c r="A163" s="6">
        <f t="shared" si="11"/>
        <v>1.604180860904433</v>
      </c>
      <c r="B163" s="6">
        <f>'Aerosol 1'!A148</f>
        <v>4.9737837129150959</v>
      </c>
      <c r="G163">
        <v>1.604180860904433</v>
      </c>
      <c r="H163">
        <v>4.9737837129150959</v>
      </c>
      <c r="L163">
        <f t="shared" si="12"/>
        <v>0</v>
      </c>
      <c r="M163">
        <f t="shared" si="13"/>
        <v>0</v>
      </c>
    </row>
    <row r="164" spans="1:13" x14ac:dyDescent="0.4">
      <c r="A164" s="6">
        <f t="shared" si="11"/>
        <v>1.6386594383356117</v>
      </c>
      <c r="B164" s="6">
        <f>'Aerosol 1'!A149</f>
        <v>5.1482633197358743</v>
      </c>
      <c r="G164">
        <v>1.6386594383356117</v>
      </c>
      <c r="H164">
        <v>5.1482633197358743</v>
      </c>
      <c r="L164">
        <f t="shared" si="12"/>
        <v>0</v>
      </c>
      <c r="M164">
        <f t="shared" si="13"/>
        <v>0</v>
      </c>
    </row>
    <row r="165" spans="1:13" x14ac:dyDescent="0.4">
      <c r="A165" s="6">
        <f t="shared" si="11"/>
        <v>1.6731380157667906</v>
      </c>
      <c r="B165" s="6">
        <f>'Aerosol 1'!A150</f>
        <v>5.3288636457019765</v>
      </c>
      <c r="G165">
        <v>1.6731380157667906</v>
      </c>
      <c r="H165">
        <v>5.3288636457019765</v>
      </c>
      <c r="L165">
        <f t="shared" si="12"/>
        <v>0</v>
      </c>
      <c r="M165">
        <f t="shared" si="13"/>
        <v>0</v>
      </c>
    </row>
    <row r="166" spans="1:13" x14ac:dyDescent="0.4">
      <c r="A166" s="6">
        <f t="shared" si="11"/>
        <v>1.7076165931979694</v>
      </c>
      <c r="B166" s="6">
        <f>'Aerosol 1'!A151</f>
        <v>5.5157994047478169</v>
      </c>
      <c r="G166">
        <v>1.7076165931979694</v>
      </c>
      <c r="H166">
        <v>5.5157994047478169</v>
      </c>
      <c r="L166">
        <f t="shared" si="12"/>
        <v>0</v>
      </c>
      <c r="M166">
        <f t="shared" si="13"/>
        <v>0</v>
      </c>
    </row>
    <row r="167" spans="1:13" x14ac:dyDescent="0.4">
      <c r="A167" s="6">
        <f t="shared" si="11"/>
        <v>1.7420951706291481</v>
      </c>
      <c r="B167" s="6">
        <f>'Aerosol 1'!A152</f>
        <v>5.7092928429412986</v>
      </c>
      <c r="G167">
        <v>1.7420951706291481</v>
      </c>
      <c r="H167">
        <v>5.7092928429412986</v>
      </c>
      <c r="L167">
        <f t="shared" si="12"/>
        <v>0</v>
      </c>
      <c r="M167">
        <f t="shared" si="13"/>
        <v>0</v>
      </c>
    </row>
    <row r="168" spans="1:13" x14ac:dyDescent="0.4">
      <c r="A168" s="6">
        <f t="shared" si="11"/>
        <v>1.776573748060327</v>
      </c>
      <c r="B168" s="6">
        <f>'Aerosol 1'!A153</f>
        <v>5.9095740027099541</v>
      </c>
      <c r="G168">
        <v>1.776573748060327</v>
      </c>
      <c r="H168">
        <v>5.9095740027099541</v>
      </c>
      <c r="L168">
        <f t="shared" si="12"/>
        <v>0</v>
      </c>
      <c r="M168">
        <f t="shared" si="13"/>
        <v>0</v>
      </c>
    </row>
    <row r="169" spans="1:13" x14ac:dyDescent="0.4">
      <c r="A169" s="6">
        <f t="shared" si="11"/>
        <v>1.8110523254915056</v>
      </c>
      <c r="B169" s="6">
        <f>'Aerosol 1'!A154</f>
        <v>6.1168809963361008</v>
      </c>
      <c r="G169">
        <v>1.8110523254915056</v>
      </c>
      <c r="H169">
        <v>6.1168809963361008</v>
      </c>
      <c r="L169">
        <f t="shared" si="12"/>
        <v>0</v>
      </c>
      <c r="M169">
        <f t="shared" si="13"/>
        <v>0</v>
      </c>
    </row>
    <row r="170" spans="1:13" x14ac:dyDescent="0.4">
      <c r="A170" s="6">
        <f t="shared" si="11"/>
        <v>1.8455309029226843</v>
      </c>
      <c r="B170" s="6">
        <f>'Aerosol 1'!A155</f>
        <v>6.3314602890461762</v>
      </c>
      <c r="G170">
        <v>1.8455309029226843</v>
      </c>
      <c r="H170">
        <v>6.3314602890461762</v>
      </c>
      <c r="L170">
        <f t="shared" si="12"/>
        <v>0</v>
      </c>
      <c r="M170">
        <f t="shared" si="13"/>
        <v>0</v>
      </c>
    </row>
    <row r="171" spans="1:13" x14ac:dyDescent="0.4">
      <c r="A171" s="6">
        <f t="shared" si="11"/>
        <v>1.8800094803538632</v>
      </c>
      <c r="B171" s="6">
        <f>'Aerosol 1'!A156</f>
        <v>6.5535669920307917</v>
      </c>
      <c r="G171">
        <v>1.8800094803538632</v>
      </c>
      <c r="H171">
        <v>6.5535669920307917</v>
      </c>
      <c r="L171">
        <f t="shared" si="12"/>
        <v>0</v>
      </c>
      <c r="M171">
        <f t="shared" si="13"/>
        <v>0</v>
      </c>
    </row>
    <row r="172" spans="1:13" x14ac:dyDescent="0.4">
      <c r="A172" s="6">
        <f t="shared" si="11"/>
        <v>1.9144880577850418</v>
      </c>
      <c r="B172" s="6">
        <f>'Aerosol 1'!A157</f>
        <v>6.7834651657438956</v>
      </c>
      <c r="G172">
        <v>1.9144880577850418</v>
      </c>
      <c r="H172">
        <v>6.7834651657438956</v>
      </c>
      <c r="L172">
        <f t="shared" si="12"/>
        <v>0</v>
      </c>
      <c r="M172">
        <f t="shared" si="13"/>
        <v>0</v>
      </c>
    </row>
    <row r="173" spans="1:13" x14ac:dyDescent="0.4">
      <c r="A173" s="6">
        <f t="shared" si="11"/>
        <v>1.9489666352162205</v>
      </c>
      <c r="B173" s="6">
        <f>'Aerosol 1'!A158</f>
        <v>7.0214281338416287</v>
      </c>
      <c r="G173">
        <v>1.9489666352162205</v>
      </c>
      <c r="H173">
        <v>7.0214281338416287</v>
      </c>
      <c r="L173">
        <f t="shared" si="12"/>
        <v>0</v>
      </c>
      <c r="M173">
        <f t="shared" si="13"/>
        <v>0</v>
      </c>
    </row>
    <row r="174" spans="1:13" x14ac:dyDescent="0.4">
      <c r="A174" s="6">
        <f t="shared" si="11"/>
        <v>1.9834452126473991</v>
      </c>
      <c r="B174" s="6">
        <f>'Aerosol 1'!A159</f>
        <v>7.2677388081341014</v>
      </c>
      <c r="G174">
        <v>1.9834452126473991</v>
      </c>
      <c r="H174">
        <v>7.2677388081341014</v>
      </c>
      <c r="L174">
        <f t="shared" si="12"/>
        <v>0</v>
      </c>
      <c r="M174">
        <f t="shared" si="13"/>
        <v>0</v>
      </c>
    </row>
    <row r="175" spans="1:13" x14ac:dyDescent="0.4">
      <c r="A175" s="6">
        <f t="shared" si="11"/>
        <v>2.0179237900785778</v>
      </c>
      <c r="B175" s="6">
        <f>'Aerosol 1'!A160</f>
        <v>7.5226900249364386</v>
      </c>
      <c r="G175">
        <v>2.0179237900785778</v>
      </c>
      <c r="H175">
        <v>7.5226900249364386</v>
      </c>
      <c r="L175">
        <f t="shared" si="12"/>
        <v>0</v>
      </c>
      <c r="M175">
        <f t="shared" si="13"/>
        <v>0</v>
      </c>
    </row>
    <row r="176" spans="1:13" x14ac:dyDescent="0.4">
      <c r="A176" s="6">
        <f t="shared" si="11"/>
        <v>2.0524023675097567</v>
      </c>
      <c r="B176" s="6">
        <f>'Aerosol 1'!A161</f>
        <v>7.7865848932189659</v>
      </c>
      <c r="G176">
        <v>2.0524023675097567</v>
      </c>
      <c r="H176">
        <v>7.7865848932189659</v>
      </c>
      <c r="L176">
        <f t="shared" si="12"/>
        <v>0</v>
      </c>
      <c r="M176">
        <f t="shared" si="13"/>
        <v>0</v>
      </c>
    </row>
    <row r="177" spans="1:13" x14ac:dyDescent="0.4">
      <c r="A177" s="6">
        <f t="shared" si="11"/>
        <v>2.0868809449409356</v>
      </c>
      <c r="B177" s="6">
        <f>'Aerosol 1'!A162</f>
        <v>8.0597371549704526</v>
      </c>
      <c r="G177">
        <v>2.0868809449409356</v>
      </c>
      <c r="H177">
        <v>8.0597371549704526</v>
      </c>
      <c r="L177">
        <f t="shared" si="12"/>
        <v>0</v>
      </c>
      <c r="M177">
        <f t="shared" si="13"/>
        <v>0</v>
      </c>
    </row>
    <row r="178" spans="1:13" x14ac:dyDescent="0.4">
      <c r="A178" s="6">
        <f t="shared" si="11"/>
        <v>2.1213595223721144</v>
      </c>
      <c r="B178" s="6">
        <f>'Aerosol 1'!A163</f>
        <v>8.342471558202849</v>
      </c>
      <c r="G178">
        <v>2.1213595223721144</v>
      </c>
      <c r="H178">
        <v>8.342471558202849</v>
      </c>
      <c r="L178">
        <f t="shared" si="12"/>
        <v>0</v>
      </c>
      <c r="M178">
        <f t="shared" si="13"/>
        <v>0</v>
      </c>
    </row>
    <row r="179" spans="1:13" x14ac:dyDescent="0.4">
      <c r="A179" s="6">
        <f t="shared" si="11"/>
        <v>2.1558380998032933</v>
      </c>
      <c r="B179" s="6">
        <f>'Aerosol 1'!A164</f>
        <v>8.6351242430409805</v>
      </c>
      <c r="G179">
        <v>2.1558380998032933</v>
      </c>
      <c r="H179">
        <v>8.6351242430409805</v>
      </c>
      <c r="L179">
        <f t="shared" si="12"/>
        <v>0</v>
      </c>
      <c r="M179">
        <f t="shared" si="13"/>
        <v>0</v>
      </c>
    </row>
    <row r="180" spans="1:13" x14ac:dyDescent="0.4">
      <c r="A180" s="6">
        <f t="shared" si="11"/>
        <v>2.1903166772344722</v>
      </c>
      <c r="B180" s="6">
        <f>'Aerosol 1'!A165</f>
        <v>8.9380431413561876</v>
      </c>
      <c r="G180">
        <v>2.1903166772344722</v>
      </c>
      <c r="H180">
        <v>8.9380431413561876</v>
      </c>
      <c r="L180">
        <f t="shared" si="12"/>
        <v>0</v>
      </c>
      <c r="M180">
        <f t="shared" si="13"/>
        <v>0</v>
      </c>
    </row>
    <row r="181" spans="1:13" x14ac:dyDescent="0.4">
      <c r="A181" s="6">
        <f t="shared" si="11"/>
        <v>2.2247952546656511</v>
      </c>
      <c r="B181" s="6">
        <f>'Aerosol 1'!A166</f>
        <v>9.2515883904190943</v>
      </c>
      <c r="G181">
        <v>2.2247952546656511</v>
      </c>
      <c r="H181">
        <v>9.2515883904190943</v>
      </c>
      <c r="L181">
        <f t="shared" si="12"/>
        <v>0</v>
      </c>
      <c r="M181">
        <f t="shared" si="13"/>
        <v>0</v>
      </c>
    </row>
    <row r="182" spans="1:13" x14ac:dyDescent="0.4">
      <c r="A182" s="6">
        <f t="shared" si="11"/>
        <v>2.25927383209683</v>
      </c>
      <c r="B182" s="6">
        <f>'Aerosol 1'!A167</f>
        <v>9.5761327610632154</v>
      </c>
      <c r="G182">
        <v>2.25927383209683</v>
      </c>
      <c r="H182">
        <v>9.5761327610632154</v>
      </c>
      <c r="L182">
        <f t="shared" si="12"/>
        <v>0</v>
      </c>
      <c r="M182">
        <f t="shared" si="13"/>
        <v>0</v>
      </c>
    </row>
    <row r="183" spans="1:13" x14ac:dyDescent="0.4">
      <c r="A183" s="6">
        <f t="shared" si="11"/>
        <v>2.2937524095280089</v>
      </c>
      <c r="B183" s="6">
        <f>'Aerosol 1'!A168</f>
        <v>9.9120621008685088</v>
      </c>
      <c r="G183">
        <v>2.2937524095280089</v>
      </c>
      <c r="H183">
        <v>9.9120621008685088</v>
      </c>
      <c r="L183">
        <f t="shared" si="12"/>
        <v>0</v>
      </c>
      <c r="M183">
        <f t="shared" si="13"/>
        <v>0</v>
      </c>
    </row>
    <row r="184" spans="1:13" x14ac:dyDescent="0.4">
      <c r="A184" s="6">
        <f t="shared" si="11"/>
        <v>2.3282309869591877</v>
      </c>
      <c r="B184" s="6">
        <f>'Aerosol 1'!A169</f>
        <v>10.259775792891732</v>
      </c>
      <c r="G184">
        <v>2.3282309869591877</v>
      </c>
      <c r="H184">
        <v>10.259775792891732</v>
      </c>
      <c r="L184">
        <f t="shared" si="12"/>
        <v>0</v>
      </c>
      <c r="M184">
        <f t="shared" si="13"/>
        <v>0</v>
      </c>
    </row>
    <row r="185" spans="1:13" x14ac:dyDescent="0.4">
      <c r="A185" s="6">
        <f t="shared" si="11"/>
        <v>2.3627095643903671</v>
      </c>
      <c r="B185" s="6">
        <f>'Aerosol 1'!A170</f>
        <v>10.619687230488996</v>
      </c>
      <c r="G185">
        <v>2.3627095643903671</v>
      </c>
      <c r="H185">
        <v>10.619687230488996</v>
      </c>
      <c r="L185">
        <f t="shared" si="12"/>
        <v>0</v>
      </c>
      <c r="M185">
        <f t="shared" si="13"/>
        <v>0</v>
      </c>
    </row>
    <row r="186" spans="1:13" x14ac:dyDescent="0.4">
      <c r="A186" s="6">
        <f t="shared" si="11"/>
        <v>2.3971881418215464</v>
      </c>
      <c r="B186" s="6">
        <f>'Aerosol 1'!A171</f>
        <v>10.992224308795002</v>
      </c>
      <c r="G186">
        <v>2.3971881418215464</v>
      </c>
      <c r="H186">
        <v>10.992224308795002</v>
      </c>
      <c r="L186">
        <f t="shared" si="12"/>
        <v>0</v>
      </c>
      <c r="M186">
        <f t="shared" si="13"/>
        <v>0</v>
      </c>
    </row>
    <row r="187" spans="1:13" x14ac:dyDescent="0.4">
      <c r="A187" s="6">
        <f t="shared" si="11"/>
        <v>2.4316667192527257</v>
      </c>
      <c r="B187" s="6">
        <f>'Aerosol 1'!A172</f>
        <v>11.377829933443346</v>
      </c>
      <c r="G187">
        <v>2.4316667192527257</v>
      </c>
      <c r="H187">
        <v>11.377829933443346</v>
      </c>
      <c r="L187">
        <f t="shared" si="12"/>
        <v>0</v>
      </c>
      <c r="M187">
        <f t="shared" si="13"/>
        <v>0</v>
      </c>
    </row>
    <row r="188" spans="1:13" x14ac:dyDescent="0.4">
      <c r="A188" s="6">
        <f t="shared" si="11"/>
        <v>2.4661452966839046</v>
      </c>
      <c r="B188" s="6">
        <f>'Aerosol 1'!A173</f>
        <v>11.776962547132609</v>
      </c>
      <c r="G188">
        <v>2.4661452966839046</v>
      </c>
      <c r="H188">
        <v>11.776962547132609</v>
      </c>
      <c r="L188">
        <f t="shared" si="12"/>
        <v>0</v>
      </c>
      <c r="M188">
        <f t="shared" si="13"/>
        <v>0</v>
      </c>
    </row>
    <row r="189" spans="1:13" x14ac:dyDescent="0.4">
      <c r="A189" s="6">
        <f t="shared" si="11"/>
        <v>2.5006238741150835</v>
      </c>
      <c r="B189" s="6">
        <f>'Aerosol 1'!A174</f>
        <v>12.190096674664346</v>
      </c>
      <c r="G189">
        <v>2.5006238741150835</v>
      </c>
      <c r="H189">
        <v>12.190096674664346</v>
      </c>
      <c r="L189">
        <f t="shared" si="12"/>
        <v>0</v>
      </c>
      <c r="M189">
        <f t="shared" si="13"/>
        <v>0</v>
      </c>
    </row>
    <row r="190" spans="1:13" x14ac:dyDescent="0.4">
      <c r="A190" s="6">
        <f t="shared" si="11"/>
        <v>2.5351024515462623</v>
      </c>
      <c r="B190" s="6">
        <f>'Aerosol 1'!A175</f>
        <v>12.617723487100898</v>
      </c>
      <c r="G190">
        <v>2.5351024515462623</v>
      </c>
      <c r="H190">
        <v>12.617723487100898</v>
      </c>
      <c r="L190">
        <f t="shared" si="12"/>
        <v>0</v>
      </c>
      <c r="M190">
        <f t="shared" si="13"/>
        <v>0</v>
      </c>
    </row>
    <row r="191" spans="1:13" x14ac:dyDescent="0.4">
      <c r="A191" s="6">
        <f t="shared" si="11"/>
        <v>2.5695810289774412</v>
      </c>
      <c r="B191" s="6">
        <f>'Aerosol 1'!A176</f>
        <v>13.060351385713798</v>
      </c>
      <c r="G191">
        <v>2.5695810289774412</v>
      </c>
      <c r="H191">
        <v>13.060351385713798</v>
      </c>
      <c r="L191">
        <f t="shared" si="12"/>
        <v>0</v>
      </c>
      <c r="M191">
        <f t="shared" si="13"/>
        <v>0</v>
      </c>
    </row>
    <row r="192" spans="1:13" x14ac:dyDescent="0.4">
      <c r="A192" s="6">
        <f t="shared" si="11"/>
        <v>2.6040596064086201</v>
      </c>
      <c r="B192" s="6">
        <f>'Aerosol 1'!A177</f>
        <v>13.518506606416992</v>
      </c>
      <c r="G192">
        <v>2.6040596064086201</v>
      </c>
      <c r="H192">
        <v>13.518506606416992</v>
      </c>
      <c r="L192">
        <f t="shared" si="12"/>
        <v>0</v>
      </c>
      <c r="M192">
        <f t="shared" si="13"/>
        <v>0</v>
      </c>
    </row>
    <row r="193" spans="1:13" x14ac:dyDescent="0.4">
      <c r="A193" s="6">
        <f t="shared" si="11"/>
        <v>2.638538183839799</v>
      </c>
      <c r="B193" s="6">
        <f>'Aerosol 1'!A178</f>
        <v>13.992733845403491</v>
      </c>
      <c r="G193">
        <v>2.638538183839799</v>
      </c>
      <c r="H193">
        <v>13.992733845403491</v>
      </c>
      <c r="L193">
        <f t="shared" si="12"/>
        <v>0</v>
      </c>
      <c r="M193">
        <f t="shared" si="13"/>
        <v>0</v>
      </c>
    </row>
    <row r="194" spans="1:13" x14ac:dyDescent="0.4">
      <c r="A194" s="6">
        <f t="shared" si="11"/>
        <v>2.6730167612709779</v>
      </c>
      <c r="B194" s="6">
        <f>'Aerosol 1'!A179</f>
        <v>14.48359690672927</v>
      </c>
      <c r="G194">
        <v>2.6730167612709779</v>
      </c>
      <c r="H194">
        <v>14.48359690672927</v>
      </c>
      <c r="L194">
        <f t="shared" si="12"/>
        <v>0</v>
      </c>
      <c r="M194">
        <f t="shared" si="13"/>
        <v>0</v>
      </c>
    </row>
    <row r="195" spans="1:13" x14ac:dyDescent="0.4">
      <c r="A195" s="6">
        <f t="shared" si="11"/>
        <v>2.7074953387021568</v>
      </c>
      <c r="B195" s="6">
        <f>'Aerosol 1'!A180</f>
        <v>14.991679372614316</v>
      </c>
      <c r="G195">
        <v>2.7074953387021568</v>
      </c>
      <c r="H195">
        <v>14.991679372614316</v>
      </c>
      <c r="L195">
        <f t="shared" si="12"/>
        <v>0</v>
      </c>
      <c r="M195">
        <f t="shared" si="13"/>
        <v>0</v>
      </c>
    </row>
    <row r="196" spans="1:13" x14ac:dyDescent="0.4">
      <c r="A196" s="6">
        <f t="shared" si="11"/>
        <v>2.7419739161333356</v>
      </c>
      <c r="B196" s="6">
        <f>'Aerosol 1'!A181</f>
        <v>15.517585297257723</v>
      </c>
      <c r="G196">
        <v>2.7419739161333356</v>
      </c>
      <c r="H196">
        <v>15.517585297257723</v>
      </c>
      <c r="L196">
        <f t="shared" si="12"/>
        <v>0</v>
      </c>
      <c r="M196">
        <f t="shared" si="13"/>
        <v>0</v>
      </c>
    </row>
    <row r="197" spans="1:13" x14ac:dyDescent="0.4">
      <c r="A197" s="6">
        <f t="shared" si="11"/>
        <v>2.7764524935645145</v>
      </c>
      <c r="B197" s="6">
        <f>'Aerosol 1'!A182</f>
        <v>16.061939924991741</v>
      </c>
      <c r="G197">
        <v>2.7764524935645145</v>
      </c>
      <c r="H197">
        <v>16.061939924991741</v>
      </c>
      <c r="L197">
        <f t="shared" si="12"/>
        <v>0</v>
      </c>
      <c r="M197">
        <f t="shared" si="13"/>
        <v>0</v>
      </c>
    </row>
    <row r="198" spans="1:13" x14ac:dyDescent="0.4">
      <c r="A198" s="6">
        <f t="shared" si="11"/>
        <v>2.8109310709956934</v>
      </c>
      <c r="B198" s="6">
        <f>'Aerosol 1'!A183</f>
        <v>16.62539043362856</v>
      </c>
      <c r="G198">
        <v>2.8109310709956934</v>
      </c>
      <c r="H198">
        <v>16.62539043362856</v>
      </c>
      <c r="L198">
        <f t="shared" si="12"/>
        <v>0</v>
      </c>
      <c r="M198">
        <f t="shared" si="13"/>
        <v>0</v>
      </c>
    </row>
    <row r="199" spans="1:13" x14ac:dyDescent="0.4">
      <c r="A199" s="6">
        <f t="shared" si="11"/>
        <v>2.8454096484268723</v>
      </c>
      <c r="B199" s="6">
        <f>'Aerosol 1'!A184</f>
        <v>17.208606703883571</v>
      </c>
      <c r="G199">
        <v>2.8454096484268723</v>
      </c>
      <c r="H199">
        <v>17.208606703883571</v>
      </c>
      <c r="L199">
        <f t="shared" si="12"/>
        <v>0</v>
      </c>
      <c r="M199">
        <f t="shared" si="13"/>
        <v>0</v>
      </c>
    </row>
    <row r="200" spans="1:13" x14ac:dyDescent="0.4">
      <c r="A200" s="6">
        <f t="shared" si="11"/>
        <v>2.8798882258580516</v>
      </c>
      <c r="B200" s="6">
        <f>'Aerosol 1'!A185</f>
        <v>17.812282115789912</v>
      </c>
      <c r="G200">
        <v>2.8798882258580516</v>
      </c>
      <c r="H200">
        <v>17.812282115789912</v>
      </c>
      <c r="L200">
        <f t="shared" si="12"/>
        <v>0</v>
      </c>
      <c r="M200">
        <f t="shared" si="13"/>
        <v>0</v>
      </c>
    </row>
    <row r="201" spans="1:13" x14ac:dyDescent="0.4">
      <c r="A201" s="6">
        <f t="shared" si="11"/>
        <v>2.9143668032892309</v>
      </c>
      <c r="B201" s="6">
        <f>'Aerosol 1'!A186</f>
        <v>18.437134373051084</v>
      </c>
      <c r="G201">
        <v>2.9143668032892309</v>
      </c>
      <c r="H201">
        <v>18.437134373051084</v>
      </c>
      <c r="L201">
        <f t="shared" si="12"/>
        <v>0</v>
      </c>
      <c r="M201">
        <f t="shared" si="13"/>
        <v>0</v>
      </c>
    </row>
    <row r="202" spans="1:13" x14ac:dyDescent="0.4">
      <c r="A202" s="6">
        <f t="shared" si="11"/>
        <v>2.9488453807204102</v>
      </c>
      <c r="B202" s="6">
        <f>'Aerosol 1'!A187</f>
        <v>19.083906356311786</v>
      </c>
      <c r="G202">
        <v>2.9488453807204102</v>
      </c>
      <c r="H202">
        <v>19.083906356311786</v>
      </c>
      <c r="L202">
        <f t="shared" si="12"/>
        <v>0</v>
      </c>
      <c r="M202">
        <f t="shared" si="13"/>
        <v>0</v>
      </c>
    </row>
    <row r="203" spans="1:13" x14ac:dyDescent="0.4">
      <c r="A203" s="6">
        <f t="shared" si="11"/>
        <v>2.9833239581515896</v>
      </c>
      <c r="B203" s="6">
        <f>'Aerosol 1'!A188</f>
        <v>19.753367006361312</v>
      </c>
      <c r="G203">
        <v>2.9833239581515896</v>
      </c>
      <c r="H203">
        <v>19.753367006361312</v>
      </c>
      <c r="L203">
        <f t="shared" si="12"/>
        <v>0</v>
      </c>
      <c r="M203">
        <f t="shared" si="13"/>
        <v>0</v>
      </c>
    </row>
    <row r="204" spans="1:13" x14ac:dyDescent="0.4">
      <c r="A204" s="6">
        <f t="shared" si="11"/>
        <v>3.0178025355827685</v>
      </c>
      <c r="B204" s="6">
        <f>'Aerosol 1'!A189</f>
        <v>20.446312238319635</v>
      </c>
      <c r="G204">
        <v>3.0178025355827685</v>
      </c>
      <c r="H204">
        <v>20.446312238319635</v>
      </c>
      <c r="L204">
        <f t="shared" si="12"/>
        <v>0</v>
      </c>
      <c r="M204">
        <f t="shared" si="13"/>
        <v>0</v>
      </c>
    </row>
    <row r="205" spans="1:13" x14ac:dyDescent="0.4">
      <c r="A205" s="6">
        <f t="shared" si="11"/>
        <v>3.0522811130139473</v>
      </c>
      <c r="B205" s="6">
        <f>'Aerosol 1'!A190</f>
        <v>21.163565887892997</v>
      </c>
      <c r="G205">
        <v>3.0522811130139473</v>
      </c>
      <c r="H205">
        <v>21.163565887892997</v>
      </c>
      <c r="L205">
        <f t="shared" si="12"/>
        <v>0</v>
      </c>
      <c r="M205">
        <f t="shared" si="13"/>
        <v>0</v>
      </c>
    </row>
    <row r="206" spans="1:13" x14ac:dyDescent="0.4">
      <c r="A206" s="6">
        <f t="shared" si="11"/>
        <v>3.0867596904451262</v>
      </c>
      <c r="B206" s="6">
        <f>'Aerosol 1'!A191</f>
        <v>21.905980690823984</v>
      </c>
      <c r="G206">
        <v>3.0867596904451262</v>
      </c>
      <c r="H206">
        <v>21.905980690823984</v>
      </c>
      <c r="L206">
        <f t="shared" si="12"/>
        <v>0</v>
      </c>
      <c r="M206">
        <f t="shared" si="13"/>
        <v>0</v>
      </c>
    </row>
    <row r="207" spans="1:13" x14ac:dyDescent="0.4">
      <c r="A207" s="6">
        <f t="shared" si="11"/>
        <v>3.1212382678763051</v>
      </c>
      <c r="B207" s="6">
        <f>'Aerosol 1'!A192</f>
        <v>22.674439296700601</v>
      </c>
      <c r="G207">
        <v>3.1212382678763051</v>
      </c>
      <c r="H207">
        <v>22.674439296700601</v>
      </c>
      <c r="L207">
        <f t="shared" si="12"/>
        <v>0</v>
      </c>
      <c r="M207">
        <f t="shared" si="13"/>
        <v>0</v>
      </c>
    </row>
    <row r="208" spans="1:13" x14ac:dyDescent="0.4">
      <c r="A208" s="6">
        <f t="shared" si="11"/>
        <v>3.155716845307484</v>
      </c>
      <c r="B208" s="6">
        <f>'Aerosol 1'!A193</f>
        <v>23.469855318329582</v>
      </c>
      <c r="G208">
        <v>3.155716845307484</v>
      </c>
      <c r="H208">
        <v>23.469855318329582</v>
      </c>
      <c r="L208">
        <f t="shared" si="12"/>
        <v>0</v>
      </c>
      <c r="M208">
        <f t="shared" si="13"/>
        <v>0</v>
      </c>
    </row>
    <row r="209" spans="1:13" x14ac:dyDescent="0.4">
      <c r="A209" s="6">
        <f t="shared" si="11"/>
        <v>3.1901954227386629</v>
      </c>
      <c r="B209" s="6">
        <f>'Aerosol 1'!A194</f>
        <v>24.293174417921602</v>
      </c>
      <c r="G209">
        <v>3.1901954227386629</v>
      </c>
      <c r="H209">
        <v>24.293174417921602</v>
      </c>
      <c r="L209">
        <f t="shared" si="12"/>
        <v>0</v>
      </c>
      <c r="M209">
        <f t="shared" si="13"/>
        <v>0</v>
      </c>
    </row>
    <row r="210" spans="1:13" x14ac:dyDescent="0.4">
      <c r="A210" s="6">
        <f t="shared" si="11"/>
        <v>3.2246740001698417</v>
      </c>
      <c r="B210" s="6">
        <f>'Aerosol 1'!A195</f>
        <v>25.145375431379691</v>
      </c>
      <c r="G210">
        <v>3.2246740001698417</v>
      </c>
      <c r="H210">
        <v>25.145375431379691</v>
      </c>
      <c r="L210">
        <f t="shared" si="12"/>
        <v>0</v>
      </c>
      <c r="M210">
        <f t="shared" si="13"/>
        <v>0</v>
      </c>
    </row>
    <row r="211" spans="1:13" x14ac:dyDescent="0.4">
      <c r="A211" s="6">
        <f t="shared" si="11"/>
        <v>3.2591525776010211</v>
      </c>
      <c r="B211" s="6">
        <f>'Aerosol 1'!A196</f>
        <v>26.027471532027516</v>
      </c>
      <c r="G211">
        <v>3.2591525776010211</v>
      </c>
      <c r="H211">
        <v>26.027471532027516</v>
      </c>
      <c r="L211">
        <f t="shared" si="12"/>
        <v>0</v>
      </c>
      <c r="M211">
        <f t="shared" si="13"/>
        <v>0</v>
      </c>
    </row>
    <row r="212" spans="1:13" x14ac:dyDescent="0.4">
      <c r="A212" s="6">
        <f t="shared" si="11"/>
        <v>3.2936311550322004</v>
      </c>
      <c r="B212" s="6">
        <f>'Aerosol 1'!A197</f>
        <v>26.940511435161067</v>
      </c>
      <c r="G212">
        <v>3.2936311550322004</v>
      </c>
      <c r="H212">
        <v>26.940511435161067</v>
      </c>
      <c r="L212">
        <f t="shared" si="12"/>
        <v>0</v>
      </c>
      <c r="M212">
        <f t="shared" si="13"/>
        <v>0</v>
      </c>
    </row>
    <row r="213" spans="1:13" x14ac:dyDescent="0.4">
      <c r="A213" s="6">
        <f t="shared" si="11"/>
        <v>3.3281097324633797</v>
      </c>
      <c r="B213" s="6">
        <f>'Aerosol 1'!A198</f>
        <v>27.885580644855892</v>
      </c>
      <c r="G213">
        <v>3.3281097324633797</v>
      </c>
      <c r="H213">
        <v>27.885580644855892</v>
      </c>
      <c r="L213">
        <f t="shared" si="12"/>
        <v>0</v>
      </c>
      <c r="M213">
        <f t="shared" si="13"/>
        <v>0</v>
      </c>
    </row>
    <row r="214" spans="1:13" x14ac:dyDescent="0.4">
      <c r="A214" s="6">
        <f t="shared" si="11"/>
        <v>3.362588309894559</v>
      </c>
      <c r="B214" s="6">
        <f>'Aerosol 1'!A199</f>
        <v>28.8638027445121</v>
      </c>
      <c r="G214">
        <v>3.362588309894559</v>
      </c>
      <c r="H214">
        <v>28.8638027445121</v>
      </c>
      <c r="L214">
        <f t="shared" si="12"/>
        <v>0</v>
      </c>
      <c r="M214">
        <f t="shared" si="13"/>
        <v>0</v>
      </c>
    </row>
    <row r="215" spans="1:13" x14ac:dyDescent="0.4">
      <c r="A215" s="6">
        <f t="shared" si="11"/>
        <v>3.3970668873257379</v>
      </c>
      <c r="B215" s="6">
        <f>'Aerosol 1'!A200</f>
        <v>29.87634073267149</v>
      </c>
      <c r="G215">
        <v>3.3970668873257379</v>
      </c>
      <c r="H215">
        <v>29.87634073267149</v>
      </c>
      <c r="L215">
        <f t="shared" si="12"/>
        <v>0</v>
      </c>
      <c r="M215">
        <f t="shared" si="13"/>
        <v>0</v>
      </c>
    </row>
    <row r="216" spans="1:13" x14ac:dyDescent="0.4">
      <c r="A216" s="6">
        <f t="shared" si="11"/>
        <v>3.4315454647569168</v>
      </c>
      <c r="B216" s="6">
        <f>'Aerosol 1'!A201</f>
        <v>30.924398405695026</v>
      </c>
      <c r="G216">
        <v>3.4315454647569168</v>
      </c>
      <c r="H216">
        <v>30.924398405695026</v>
      </c>
      <c r="L216">
        <f t="shared" si="12"/>
        <v>0</v>
      </c>
      <c r="M216">
        <f t="shared" si="13"/>
        <v>0</v>
      </c>
    </row>
    <row r="217" spans="1:13" x14ac:dyDescent="0.4">
      <c r="A217" s="6">
        <f t="shared" si="11"/>
        <v>3.4660240421880957</v>
      </c>
      <c r="B217" s="6">
        <f>'Aerosol 1'!A202</f>
        <v>32.009221788944323</v>
      </c>
      <c r="G217">
        <v>3.4660240421880957</v>
      </c>
      <c r="H217">
        <v>32.009221788944323</v>
      </c>
      <c r="L217">
        <f t="shared" si="12"/>
        <v>0</v>
      </c>
      <c r="M217">
        <f t="shared" si="13"/>
        <v>0</v>
      </c>
    </row>
    <row r="218" spans="1:13" x14ac:dyDescent="0.4">
      <c r="A218" s="6">
        <f t="shared" si="11"/>
        <v>3.5005026196192746</v>
      </c>
      <c r="B218" s="6">
        <f>'Aerosol 1'!A203</f>
        <v>33.132100618168849</v>
      </c>
      <c r="G218">
        <v>3.5005026196192746</v>
      </c>
      <c r="H218">
        <v>33.132100618168849</v>
      </c>
      <c r="L218">
        <f t="shared" si="12"/>
        <v>0</v>
      </c>
      <c r="M218">
        <f t="shared" si="13"/>
        <v>0</v>
      </c>
    </row>
    <row r="219" spans="1:13" x14ac:dyDescent="0.4">
      <c r="A219" s="6">
        <f t="shared" si="11"/>
        <v>3.5349811970504534</v>
      </c>
      <c r="B219" s="6">
        <f>'Aerosol 1'!A204</f>
        <v>34.294369872859953</v>
      </c>
      <c r="G219">
        <v>3.5349811970504534</v>
      </c>
      <c r="H219">
        <v>34.294369872859953</v>
      </c>
      <c r="L219">
        <f t="shared" si="12"/>
        <v>0</v>
      </c>
      <c r="M219">
        <f t="shared" si="13"/>
        <v>0</v>
      </c>
    </row>
    <row r="220" spans="1:13" x14ac:dyDescent="0.4">
      <c r="A220" s="6">
        <f t="shared" si="11"/>
        <v>3.5694597744816323</v>
      </c>
      <c r="B220" s="6">
        <f>'Aerosol 1'!A205</f>
        <v>35.497411363394733</v>
      </c>
      <c r="G220">
        <v>3.5694597744816323</v>
      </c>
      <c r="H220">
        <v>35.497411363394733</v>
      </c>
      <c r="L220">
        <f t="shared" si="12"/>
        <v>0</v>
      </c>
      <c r="M220">
        <f t="shared" si="13"/>
        <v>0</v>
      </c>
    </row>
    <row r="221" spans="1:13" x14ac:dyDescent="0.4">
      <c r="A221" s="6">
        <f t="shared" si="11"/>
        <v>3.6039383519128112</v>
      </c>
      <c r="B221" s="6">
        <f>'Aerosol 1'!A206</f>
        <v>36.742655373856657</v>
      </c>
      <c r="G221">
        <v>3.6039383519128112</v>
      </c>
      <c r="H221">
        <v>36.742655373856657</v>
      </c>
      <c r="L221">
        <f t="shared" si="12"/>
        <v>0</v>
      </c>
      <c r="M221">
        <f t="shared" si="13"/>
        <v>0</v>
      </c>
    </row>
    <row r="222" spans="1:13" x14ac:dyDescent="0.4">
      <c r="A222" s="6">
        <f t="shared" si="11"/>
        <v>3.6384169293439901</v>
      </c>
      <c r="B222" s="6">
        <f>'Aerosol 1'!A207</f>
        <v>38.031582362486112</v>
      </c>
      <c r="G222">
        <v>3.6384169293439901</v>
      </c>
      <c r="H222">
        <v>38.031582362486112</v>
      </c>
      <c r="L222">
        <f t="shared" si="12"/>
        <v>0</v>
      </c>
      <c r="M222">
        <f t="shared" si="13"/>
        <v>0</v>
      </c>
    </row>
    <row r="223" spans="1:13" x14ac:dyDescent="0.4">
      <c r="A223" s="6">
        <f t="shared" si="11"/>
        <v>3.6728955067751694</v>
      </c>
      <c r="B223" s="6">
        <f>'Aerosol 1'!A208</f>
        <v>39.365724721782549</v>
      </c>
      <c r="G223">
        <v>3.6728955067751694</v>
      </c>
      <c r="H223">
        <v>39.365724721782549</v>
      </c>
      <c r="L223">
        <f t="shared" si="12"/>
        <v>0</v>
      </c>
      <c r="M223">
        <f t="shared" si="13"/>
        <v>0</v>
      </c>
    </row>
    <row r="224" spans="1:13" x14ac:dyDescent="0.4">
      <c r="A224" s="6">
        <f t="shared" si="11"/>
        <v>3.7073740842063487</v>
      </c>
      <c r="B224" s="6">
        <f>'Aerosol 1'!A209</f>
        <v>40.746668600350631</v>
      </c>
      <c r="G224">
        <v>3.7073740842063487</v>
      </c>
      <c r="H224">
        <v>40.746668600350631</v>
      </c>
      <c r="L224">
        <f t="shared" si="12"/>
        <v>0</v>
      </c>
      <c r="M224">
        <f t="shared" si="13"/>
        <v>0</v>
      </c>
    </row>
    <row r="225" spans="1:13" x14ac:dyDescent="0.4">
      <c r="A225" s="6">
        <f t="shared" ref="A225:A288" si="14">LN(B225)</f>
        <v>3.7418526616375281</v>
      </c>
      <c r="B225" s="6">
        <f>'Aerosol 1'!A210</f>
        <v>42.176055788656626</v>
      </c>
      <c r="G225">
        <v>3.7418526616375281</v>
      </c>
      <c r="H225">
        <v>42.176055788656626</v>
      </c>
      <c r="L225">
        <f t="shared" ref="L225:L288" si="15">IF(C225=I225,0,1)</f>
        <v>0</v>
      </c>
      <c r="M225">
        <f t="shared" ref="M225:M288" si="16">IF(D225=J225,0,1)</f>
        <v>0</v>
      </c>
    </row>
    <row r="226" spans="1:13" x14ac:dyDescent="0.4">
      <c r="A226" s="6">
        <f t="shared" si="14"/>
        <v>3.7763312390687074</v>
      </c>
      <c r="B226" s="6">
        <f>'Aerosol 1'!A211</f>
        <v>43.655585670936766</v>
      </c>
      <c r="G226">
        <v>3.7763312390687074</v>
      </c>
      <c r="H226">
        <v>43.655585670936766</v>
      </c>
      <c r="L226">
        <f t="shared" si="15"/>
        <v>0</v>
      </c>
      <c r="M226">
        <f t="shared" si="16"/>
        <v>0</v>
      </c>
    </row>
    <row r="227" spans="1:13" x14ac:dyDescent="0.4">
      <c r="A227" s="6">
        <f t="shared" si="14"/>
        <v>3.8108098164998863</v>
      </c>
      <c r="B227" s="6">
        <f>'Aerosol 1'!A212</f>
        <v>45.187017245578282</v>
      </c>
      <c r="G227">
        <v>3.8108098164998863</v>
      </c>
      <c r="H227">
        <v>45.187017245578282</v>
      </c>
      <c r="L227">
        <f t="shared" si="15"/>
        <v>0</v>
      </c>
      <c r="M227">
        <f t="shared" si="16"/>
        <v>0</v>
      </c>
    </row>
    <row r="228" spans="1:13" x14ac:dyDescent="0.4">
      <c r="A228" s="6">
        <f t="shared" si="14"/>
        <v>3.8452883939310651</v>
      </c>
      <c r="B228" s="6">
        <f>'Aerosol 1'!A213</f>
        <v>46.772171216375177</v>
      </c>
      <c r="G228">
        <v>3.8452883939310651</v>
      </c>
      <c r="H228">
        <v>46.772171216375177</v>
      </c>
      <c r="L228">
        <f t="shared" si="15"/>
        <v>0</v>
      </c>
      <c r="M228">
        <f t="shared" si="16"/>
        <v>0</v>
      </c>
    </row>
    <row r="229" spans="1:13" x14ac:dyDescent="0.4">
      <c r="A229" s="6">
        <f t="shared" si="14"/>
        <v>3.8797669713622445</v>
      </c>
      <c r="B229" s="6">
        <f>'Aerosol 1'!A214</f>
        <v>48.412932157144837</v>
      </c>
      <c r="G229">
        <v>3.8797669713622445</v>
      </c>
      <c r="H229">
        <v>48.412932157144837</v>
      </c>
      <c r="L229">
        <f t="shared" si="15"/>
        <v>0</v>
      </c>
      <c r="M229">
        <f t="shared" si="16"/>
        <v>0</v>
      </c>
    </row>
    <row r="230" spans="1:13" x14ac:dyDescent="0.4">
      <c r="A230" s="6">
        <f t="shared" si="14"/>
        <v>3.9142455487934233</v>
      </c>
      <c r="B230" s="6">
        <f>'Aerosol 1'!A215</f>
        <v>50.111250752279112</v>
      </c>
      <c r="G230">
        <v>3.9142455487934233</v>
      </c>
      <c r="H230">
        <v>50.111250752279112</v>
      </c>
      <c r="L230">
        <f t="shared" si="15"/>
        <v>0</v>
      </c>
      <c r="M230">
        <f t="shared" si="16"/>
        <v>0</v>
      </c>
    </row>
    <row r="231" spans="1:13" x14ac:dyDescent="0.4">
      <c r="A231" s="6">
        <f t="shared" si="14"/>
        <v>3.9487241262246027</v>
      </c>
      <c r="B231" s="6">
        <f>'Aerosol 1'!A216</f>
        <v>51.869146115893713</v>
      </c>
      <c r="G231">
        <v>3.9487241262246027</v>
      </c>
      <c r="H231">
        <v>51.869146115893713</v>
      </c>
      <c r="L231">
        <f t="shared" si="15"/>
        <v>0</v>
      </c>
      <c r="M231">
        <f t="shared" si="16"/>
        <v>0</v>
      </c>
    </row>
    <row r="232" spans="1:13" x14ac:dyDescent="0.4">
      <c r="A232" s="6">
        <f t="shared" si="14"/>
        <v>3.983202703655782</v>
      </c>
      <c r="B232" s="6">
        <f>'Aerosol 1'!A217</f>
        <v>53.688708192332818</v>
      </c>
      <c r="G232">
        <v>3.983202703655782</v>
      </c>
      <c r="H232">
        <v>53.688708192332818</v>
      </c>
      <c r="L232">
        <f t="shared" si="15"/>
        <v>0</v>
      </c>
      <c r="M232">
        <f t="shared" si="16"/>
        <v>0</v>
      </c>
    </row>
    <row r="233" spans="1:13" x14ac:dyDescent="0.4">
      <c r="A233" s="6">
        <f t="shared" si="14"/>
        <v>4.0176812810869613</v>
      </c>
      <c r="B233" s="6">
        <f>'Aerosol 1'!A218</f>
        <v>55.572100240883238</v>
      </c>
      <c r="G233">
        <v>4.0176812810869613</v>
      </c>
      <c r="H233">
        <v>55.572100240883238</v>
      </c>
      <c r="L233">
        <f t="shared" si="15"/>
        <v>0</v>
      </c>
      <c r="M233">
        <f t="shared" si="16"/>
        <v>0</v>
      </c>
    </row>
    <row r="234" spans="1:13" x14ac:dyDescent="0.4">
      <c r="A234" s="6">
        <f t="shared" si="14"/>
        <v>4.0521598585181406</v>
      </c>
      <c r="B234" s="6">
        <f>'Aerosol 1'!A219</f>
        <v>57.521561407651888</v>
      </c>
      <c r="G234">
        <v>4.0521598585181406</v>
      </c>
      <c r="H234">
        <v>57.521561407651888</v>
      </c>
      <c r="L234">
        <f t="shared" si="15"/>
        <v>0</v>
      </c>
      <c r="M234">
        <f t="shared" si="16"/>
        <v>0</v>
      </c>
    </row>
    <row r="235" spans="1:13" x14ac:dyDescent="0.4">
      <c r="A235" s="6">
        <f t="shared" si="14"/>
        <v>4.08663843594932</v>
      </c>
      <c r="B235" s="6">
        <f>'Aerosol 1'!A220</f>
        <v>59.539409387664335</v>
      </c>
      <c r="G235">
        <v>4.08663843594932</v>
      </c>
      <c r="H235">
        <v>59.539409387664335</v>
      </c>
      <c r="L235">
        <f t="shared" si="15"/>
        <v>0</v>
      </c>
      <c r="M235">
        <f t="shared" si="16"/>
        <v>0</v>
      </c>
    </row>
    <row r="236" spans="1:13" x14ac:dyDescent="0.4">
      <c r="A236" s="6">
        <f t="shared" si="14"/>
        <v>4.1211170133804993</v>
      </c>
      <c r="B236" s="6">
        <f>'Aerosol 1'!A221</f>
        <v>61.628043180349437</v>
      </c>
      <c r="G236">
        <v>4.1211170133804993</v>
      </c>
      <c r="H236">
        <v>61.628043180349437</v>
      </c>
      <c r="L236">
        <f t="shared" si="15"/>
        <v>0</v>
      </c>
      <c r="M236">
        <f t="shared" si="16"/>
        <v>0</v>
      </c>
    </row>
    <row r="237" spans="1:13" x14ac:dyDescent="0.4">
      <c r="A237" s="6">
        <f t="shared" si="14"/>
        <v>4.1555955908116786</v>
      </c>
      <c r="B237" s="6">
        <f>'Aerosol 1'!A222</f>
        <v>63.789945941685907</v>
      </c>
      <c r="G237">
        <v>4.1555955908116786</v>
      </c>
      <c r="H237">
        <v>63.789945941685907</v>
      </c>
      <c r="L237">
        <f t="shared" si="15"/>
        <v>0</v>
      </c>
      <c r="M237">
        <f t="shared" si="16"/>
        <v>0</v>
      </c>
    </row>
    <row r="238" spans="1:13" x14ac:dyDescent="0.4">
      <c r="A238" s="6">
        <f t="shared" si="14"/>
        <v>4.1900741682428579</v>
      </c>
      <c r="B238" s="6">
        <f>'Aerosol 1'!A223</f>
        <v>66.027687936401847</v>
      </c>
      <c r="G238">
        <v>4.1900741682428579</v>
      </c>
      <c r="H238">
        <v>66.027687936401847</v>
      </c>
      <c r="L238">
        <f t="shared" si="15"/>
        <v>0</v>
      </c>
      <c r="M238">
        <f t="shared" si="16"/>
        <v>0</v>
      </c>
    </row>
    <row r="239" spans="1:13" x14ac:dyDescent="0.4">
      <c r="A239" s="6">
        <f t="shared" si="14"/>
        <v>4.2245527456740373</v>
      </c>
      <c r="B239" s="6">
        <f>'Aerosol 1'!A224</f>
        <v>68.343929593736917</v>
      </c>
      <c r="G239">
        <v>4.2245527456740373</v>
      </c>
      <c r="H239">
        <v>68.343929593736917</v>
      </c>
      <c r="L239">
        <f t="shared" si="15"/>
        <v>0</v>
      </c>
      <c r="M239">
        <f t="shared" si="16"/>
        <v>0</v>
      </c>
    </row>
    <row r="240" spans="1:13" x14ac:dyDescent="0.4">
      <c r="A240" s="6">
        <f t="shared" si="14"/>
        <v>4.2590313231052166</v>
      </c>
      <c r="B240" s="6">
        <f>'Aerosol 1'!A225</f>
        <v>70.741424670400278</v>
      </c>
      <c r="G240">
        <v>4.2590313231052166</v>
      </c>
      <c r="H240">
        <v>70.741424670400278</v>
      </c>
      <c r="L240">
        <f t="shared" si="15"/>
        <v>0</v>
      </c>
      <c r="M240">
        <f t="shared" si="16"/>
        <v>0</v>
      </c>
    </row>
    <row r="241" spans="1:13" x14ac:dyDescent="0.4">
      <c r="A241" s="6">
        <f t="shared" si="14"/>
        <v>4.2935099005363959</v>
      </c>
      <c r="B241" s="6">
        <f>'Aerosol 1'!A226</f>
        <v>73.223023524484603</v>
      </c>
      <c r="G241">
        <v>4.2935099005363959</v>
      </c>
      <c r="H241">
        <v>73.223023524484603</v>
      </c>
      <c r="L241">
        <f t="shared" si="15"/>
        <v>0</v>
      </c>
      <c r="M241">
        <f t="shared" si="16"/>
        <v>0</v>
      </c>
    </row>
    <row r="242" spans="1:13" x14ac:dyDescent="0.4">
      <c r="A242" s="6">
        <f t="shared" si="14"/>
        <v>4.3279884779675752</v>
      </c>
      <c r="B242" s="6">
        <f>'Aerosol 1'!A227</f>
        <v>75.791676504228477</v>
      </c>
      <c r="G242">
        <v>4.3279884779675752</v>
      </c>
      <c r="H242">
        <v>75.791676504228477</v>
      </c>
      <c r="L242">
        <f t="shared" si="15"/>
        <v>0</v>
      </c>
      <c r="M242">
        <f t="shared" si="16"/>
        <v>0</v>
      </c>
    </row>
    <row r="243" spans="1:13" x14ac:dyDescent="0.4">
      <c r="A243" s="6">
        <f t="shared" si="14"/>
        <v>4.3624670553987546</v>
      </c>
      <c r="B243" s="6">
        <f>'Aerosol 1'!A228</f>
        <v>78.450437455656157</v>
      </c>
      <c r="G243">
        <v>4.3624670553987546</v>
      </c>
      <c r="H243">
        <v>78.450437455656157</v>
      </c>
      <c r="L243">
        <f t="shared" si="15"/>
        <v>0</v>
      </c>
      <c r="M243">
        <f t="shared" si="16"/>
        <v>0</v>
      </c>
    </row>
    <row r="244" spans="1:13" x14ac:dyDescent="0.4">
      <c r="A244" s="6">
        <f t="shared" si="14"/>
        <v>4.3969456328299339</v>
      </c>
      <c r="B244" s="6">
        <f>'Aerosol 1'!A229</f>
        <v>81.20246735326478</v>
      </c>
      <c r="G244">
        <v>4.3969456328299339</v>
      </c>
      <c r="H244">
        <v>81.20246735326478</v>
      </c>
      <c r="L244">
        <f t="shared" si="15"/>
        <v>0</v>
      </c>
      <c r="M244">
        <f t="shared" si="16"/>
        <v>0</v>
      </c>
    </row>
    <row r="245" spans="1:13" x14ac:dyDescent="0.4">
      <c r="A245" s="6">
        <f t="shared" si="14"/>
        <v>4.4314242102611132</v>
      </c>
      <c r="B245" s="6">
        <f>'Aerosol 1'!A230</f>
        <v>84.051038058075576</v>
      </c>
      <c r="G245">
        <v>4.4314242102611132</v>
      </c>
      <c r="H245">
        <v>84.051038058075576</v>
      </c>
      <c r="L245">
        <f t="shared" si="15"/>
        <v>0</v>
      </c>
      <c r="M245">
        <f t="shared" si="16"/>
        <v>0</v>
      </c>
    </row>
    <row r="246" spans="1:13" x14ac:dyDescent="0.4">
      <c r="A246" s="6">
        <f t="shared" si="14"/>
        <v>4.4659027876922925</v>
      </c>
      <c r="B246" s="6">
        <f>'Aerosol 1'!A231</f>
        <v>86.999536207516897</v>
      </c>
      <c r="G246">
        <v>4.4659027876922925</v>
      </c>
      <c r="H246">
        <v>86.999536207516897</v>
      </c>
      <c r="L246">
        <f t="shared" si="15"/>
        <v>0</v>
      </c>
      <c r="M246">
        <f t="shared" si="16"/>
        <v>0</v>
      </c>
    </row>
    <row r="247" spans="1:13" x14ac:dyDescent="0.4">
      <c r="A247" s="6">
        <f t="shared" si="14"/>
        <v>4.5003813651234719</v>
      </c>
      <c r="B247" s="6">
        <f>'Aerosol 1'!A232</f>
        <v>90.051467241763902</v>
      </c>
      <c r="G247">
        <v>4.5003813651234719</v>
      </c>
      <c r="H247">
        <v>90.051467241763902</v>
      </c>
      <c r="L247">
        <f t="shared" si="15"/>
        <v>0</v>
      </c>
      <c r="M247">
        <f t="shared" si="16"/>
        <v>0</v>
      </c>
    </row>
    <row r="248" spans="1:13" x14ac:dyDescent="0.4">
      <c r="A248" s="6">
        <f t="shared" si="14"/>
        <v>4.5348599425546512</v>
      </c>
      <c r="B248" s="6">
        <f>'Aerosol 1'!A233</f>
        <v>93.210459571321536</v>
      </c>
      <c r="G248">
        <v>4.5348599425546512</v>
      </c>
      <c r="H248">
        <v>93.210459571321536</v>
      </c>
      <c r="L248">
        <f t="shared" si="15"/>
        <v>0</v>
      </c>
      <c r="M248">
        <f t="shared" si="16"/>
        <v>0</v>
      </c>
    </row>
    <row r="249" spans="1:13" x14ac:dyDescent="0.4">
      <c r="A249" s="6">
        <f t="shared" si="14"/>
        <v>4.5693385199858305</v>
      </c>
      <c r="B249" s="6">
        <f>'Aerosol 1'!A234</f>
        <v>96.480268890805732</v>
      </c>
      <c r="G249">
        <v>4.5693385199858305</v>
      </c>
      <c r="H249">
        <v>96.480268890805732</v>
      </c>
      <c r="L249">
        <f t="shared" si="15"/>
        <v>0</v>
      </c>
      <c r="M249">
        <f t="shared" si="16"/>
        <v>0</v>
      </c>
    </row>
    <row r="250" spans="1:13" x14ac:dyDescent="0.4">
      <c r="A250" s="6">
        <f t="shared" si="14"/>
        <v>4.6038170974170098</v>
      </c>
      <c r="B250" s="6">
        <f>'Aerosol 1'!A235</f>
        <v>99.86478264405153</v>
      </c>
      <c r="G250">
        <v>4.6038170974170098</v>
      </c>
      <c r="H250">
        <v>99.86478264405153</v>
      </c>
      <c r="L250">
        <f t="shared" si="15"/>
        <v>0</v>
      </c>
      <c r="M250">
        <f t="shared" si="16"/>
        <v>0</v>
      </c>
    </row>
    <row r="251" spans="1:13" x14ac:dyDescent="0.4">
      <c r="A251" s="6">
        <f t="shared" si="14"/>
        <v>4.6382956748481883</v>
      </c>
      <c r="B251" s="6">
        <f>'Aerosol 1'!A236</f>
        <v>103.36802464585627</v>
      </c>
      <c r="G251">
        <v>4.6382956748481883</v>
      </c>
      <c r="H251">
        <v>103.36802464585627</v>
      </c>
      <c r="L251">
        <f t="shared" si="15"/>
        <v>0</v>
      </c>
      <c r="M251">
        <f t="shared" si="16"/>
        <v>0</v>
      </c>
    </row>
    <row r="252" spans="1:13" x14ac:dyDescent="0.4">
      <c r="A252" s="6">
        <f t="shared" si="14"/>
        <v>4.6727742522793667</v>
      </c>
      <c r="B252" s="6">
        <f>'Aerosol 1'!A237</f>
        <v>106.99415986585336</v>
      </c>
      <c r="G252">
        <v>4.6727742522793667</v>
      </c>
      <c r="H252">
        <v>106.99415986585336</v>
      </c>
      <c r="L252">
        <f t="shared" si="15"/>
        <v>0</v>
      </c>
      <c r="M252">
        <f t="shared" si="16"/>
        <v>0</v>
      </c>
    </row>
    <row r="253" spans="1:13" x14ac:dyDescent="0.4">
      <c r="A253" s="6">
        <f t="shared" si="14"/>
        <v>4.7072528297105452</v>
      </c>
      <c r="B253" s="6">
        <f>'Aerosol 1'!A238</f>
        <v>110.74749938020311</v>
      </c>
      <c r="G253">
        <v>4.7072528297105452</v>
      </c>
      <c r="H253">
        <v>110.74749938020311</v>
      </c>
      <c r="L253">
        <f t="shared" si="15"/>
        <v>0</v>
      </c>
      <c r="M253">
        <f t="shared" si="16"/>
        <v>0</v>
      </c>
    </row>
    <row r="254" spans="1:13" x14ac:dyDescent="0.4">
      <c r="A254" s="6">
        <f t="shared" si="14"/>
        <v>4.7417314071417236</v>
      </c>
      <c r="B254" s="6">
        <f>'Aerosol 1'!A239</f>
        <v>114.63250549698837</v>
      </c>
      <c r="G254">
        <v>4.7417314071417236</v>
      </c>
      <c r="H254">
        <v>114.63250549698837</v>
      </c>
      <c r="L254">
        <f t="shared" si="15"/>
        <v>0</v>
      </c>
      <c r="M254">
        <f t="shared" si="16"/>
        <v>0</v>
      </c>
    </row>
    <row r="255" spans="1:13" x14ac:dyDescent="0.4">
      <c r="A255" s="6">
        <f t="shared" si="14"/>
        <v>4.776209984572902</v>
      </c>
      <c r="B255" s="6">
        <f>'Aerosol 1'!A240</f>
        <v>118.65379706140838</v>
      </c>
      <c r="G255">
        <v>4.776209984572902</v>
      </c>
      <c r="H255">
        <v>118.65379706140838</v>
      </c>
      <c r="L255">
        <f t="shared" si="15"/>
        <v>0</v>
      </c>
      <c r="M255">
        <f t="shared" si="16"/>
        <v>0</v>
      </c>
    </row>
    <row r="256" spans="1:13" x14ac:dyDescent="0.4">
      <c r="A256" s="6">
        <f t="shared" si="14"/>
        <v>4.8106885620040805</v>
      </c>
      <c r="B256" s="6">
        <f>'Aerosol 1'!A241</f>
        <v>122.81615494707791</v>
      </c>
      <c r="G256">
        <v>4.8106885620040805</v>
      </c>
      <c r="H256">
        <v>122.81615494707791</v>
      </c>
      <c r="L256">
        <f t="shared" si="15"/>
        <v>0</v>
      </c>
      <c r="M256">
        <f t="shared" si="16"/>
        <v>0</v>
      </c>
    </row>
    <row r="257" spans="1:13" x14ac:dyDescent="0.4">
      <c r="A257" s="6">
        <f t="shared" si="14"/>
        <v>4.8451671394352589</v>
      </c>
      <c r="B257" s="6">
        <f>'Aerosol 1'!A242</f>
        <v>127.12452773996046</v>
      </c>
      <c r="G257">
        <v>4.8451671394352589</v>
      </c>
      <c r="H257">
        <v>127.12452773996046</v>
      </c>
      <c r="L257">
        <f t="shared" si="15"/>
        <v>0</v>
      </c>
      <c r="M257">
        <f t="shared" si="16"/>
        <v>0</v>
      </c>
    </row>
    <row r="258" spans="1:13" x14ac:dyDescent="0.4">
      <c r="A258" s="6">
        <f t="shared" si="14"/>
        <v>4.8796457168664373</v>
      </c>
      <c r="B258" s="6">
        <f>'Aerosol 1'!A243</f>
        <v>131.584037621693</v>
      </c>
      <c r="G258">
        <v>4.8796457168664373</v>
      </c>
      <c r="H258">
        <v>131.584037621693</v>
      </c>
      <c r="L258">
        <f t="shared" si="15"/>
        <v>0</v>
      </c>
      <c r="M258">
        <f t="shared" si="16"/>
        <v>0</v>
      </c>
    </row>
    <row r="259" spans="1:13" x14ac:dyDescent="0.4">
      <c r="A259" s="6">
        <f t="shared" si="14"/>
        <v>4.9141242942976158</v>
      </c>
      <c r="B259" s="6">
        <f>'Aerosol 1'!A244</f>
        <v>136.19998645929684</v>
      </c>
      <c r="G259">
        <v>4.9141242942976158</v>
      </c>
      <c r="H259">
        <v>136.19998645929684</v>
      </c>
      <c r="L259">
        <f t="shared" si="15"/>
        <v>0</v>
      </c>
      <c r="M259">
        <f t="shared" si="16"/>
        <v>0</v>
      </c>
    </row>
    <row r="260" spans="1:13" x14ac:dyDescent="0.4">
      <c r="A260" s="6">
        <f t="shared" si="14"/>
        <v>4.9486028717287951</v>
      </c>
      <c r="B260" s="6">
        <f>'Aerosol 1'!A245</f>
        <v>140.97786210851478</v>
      </c>
      <c r="G260">
        <v>4.9486028717287951</v>
      </c>
      <c r="H260">
        <v>140.97786210851478</v>
      </c>
      <c r="L260">
        <f t="shared" si="15"/>
        <v>0</v>
      </c>
      <c r="M260">
        <f t="shared" si="16"/>
        <v>0</v>
      </c>
    </row>
    <row r="261" spans="1:13" x14ac:dyDescent="0.4">
      <c r="A261" s="6">
        <f t="shared" si="14"/>
        <v>4.9830814491599735</v>
      </c>
      <c r="B261" s="6">
        <f>'Aerosol 1'!A246</f>
        <v>145.92334493826789</v>
      </c>
      <c r="G261">
        <v>4.9830814491599735</v>
      </c>
      <c r="H261">
        <v>145.92334493826789</v>
      </c>
      <c r="L261">
        <f t="shared" si="15"/>
        <v>0</v>
      </c>
      <c r="M261">
        <f t="shared" si="16"/>
        <v>0</v>
      </c>
    </row>
    <row r="262" spans="1:13" x14ac:dyDescent="0.4">
      <c r="A262" s="6">
        <f t="shared" si="14"/>
        <v>5.017560026591152</v>
      </c>
      <c r="B262" s="6">
        <f>'Aerosol 1'!A247</f>
        <v>151.04231458399045</v>
      </c>
      <c r="G262">
        <v>5.017560026591152</v>
      </c>
      <c r="H262">
        <v>151.04231458399045</v>
      </c>
      <c r="L262">
        <f t="shared" si="15"/>
        <v>0</v>
      </c>
      <c r="M262">
        <f t="shared" si="16"/>
        <v>0</v>
      </c>
    </row>
    <row r="263" spans="1:13" x14ac:dyDescent="0.4">
      <c r="A263" s="6">
        <f t="shared" si="14"/>
        <v>5.0520386040223304</v>
      </c>
      <c r="B263" s="6">
        <f>'Aerosol 1'!A248</f>
        <v>156.34085693786957</v>
      </c>
      <c r="G263">
        <v>5.0520386040223304</v>
      </c>
      <c r="H263">
        <v>156.34085693786957</v>
      </c>
      <c r="L263">
        <f t="shared" si="15"/>
        <v>0</v>
      </c>
      <c r="M263">
        <f t="shared" si="16"/>
        <v>0</v>
      </c>
    </row>
    <row r="264" spans="1:13" x14ac:dyDescent="0.4">
      <c r="A264" s="6">
        <f t="shared" si="14"/>
        <v>5.0865171814535097</v>
      </c>
      <c r="B264" s="6">
        <f>'Aerosol 1'!A249</f>
        <v>161.82527138430234</v>
      </c>
      <c r="G264">
        <v>5.0865171814535097</v>
      </c>
      <c r="H264">
        <v>161.82527138430234</v>
      </c>
      <c r="L264">
        <f t="shared" si="15"/>
        <v>0</v>
      </c>
      <c r="M264">
        <f t="shared" si="16"/>
        <v>0</v>
      </c>
    </row>
    <row r="265" spans="1:13" x14ac:dyDescent="0.4">
      <c r="A265" s="6">
        <f t="shared" si="14"/>
        <v>5.1209957588846882</v>
      </c>
      <c r="B265" s="6">
        <f>'Aerosol 1'!A250</f>
        <v>167.50207828917075</v>
      </c>
      <c r="G265">
        <v>5.1209957588846882</v>
      </c>
      <c r="H265">
        <v>167.50207828917075</v>
      </c>
      <c r="L265">
        <f t="shared" si="15"/>
        <v>0</v>
      </c>
      <c r="M265">
        <f t="shared" si="16"/>
        <v>0</v>
      </c>
    </row>
    <row r="266" spans="1:13" x14ac:dyDescent="0.4">
      <c r="A266" s="6">
        <f t="shared" si="14"/>
        <v>5.1554743363158666</v>
      </c>
      <c r="B266" s="6">
        <f>'Aerosol 1'!A251</f>
        <v>173.37802675184096</v>
      </c>
      <c r="G266">
        <v>5.1554743363158666</v>
      </c>
      <c r="H266">
        <v>173.37802675184096</v>
      </c>
      <c r="L266">
        <f t="shared" si="15"/>
        <v>0</v>
      </c>
      <c r="M266">
        <f t="shared" si="16"/>
        <v>0</v>
      </c>
    </row>
    <row r="267" spans="1:13" x14ac:dyDescent="0.4">
      <c r="A267" s="6">
        <f t="shared" si="14"/>
        <v>5.1899529137470459</v>
      </c>
      <c r="B267" s="6">
        <f>'Aerosol 1'!A252</f>
        <v>179.46010262909985</v>
      </c>
      <c r="G267">
        <v>5.1899529137470459</v>
      </c>
      <c r="H267">
        <v>179.46010262909985</v>
      </c>
      <c r="L267">
        <f t="shared" si="15"/>
        <v>0</v>
      </c>
      <c r="M267">
        <f t="shared" si="16"/>
        <v>0</v>
      </c>
    </row>
    <row r="268" spans="1:13" x14ac:dyDescent="0.4">
      <c r="A268" s="6">
        <f t="shared" si="14"/>
        <v>5.2244314911782244</v>
      </c>
      <c r="B268" s="6">
        <f>'Aerosol 1'!A253</f>
        <v>185.75553684057058</v>
      </c>
      <c r="G268">
        <v>5.2244314911782244</v>
      </c>
      <c r="H268">
        <v>185.75553684057058</v>
      </c>
      <c r="L268">
        <f t="shared" si="15"/>
        <v>0</v>
      </c>
      <c r="M268">
        <f t="shared" si="16"/>
        <v>0</v>
      </c>
    </row>
    <row r="269" spans="1:13" x14ac:dyDescent="0.4">
      <c r="A269" s="6">
        <f t="shared" si="14"/>
        <v>5.2589100686094028</v>
      </c>
      <c r="B269" s="6">
        <f>'Aerosol 1'!A254</f>
        <v>192.2718139654819</v>
      </c>
      <c r="G269">
        <v>5.2589100686094028</v>
      </c>
      <c r="H269">
        <v>192.2718139654819</v>
      </c>
      <c r="L269">
        <f t="shared" si="15"/>
        <v>0</v>
      </c>
      <c r="M269">
        <f t="shared" si="16"/>
        <v>0</v>
      </c>
    </row>
    <row r="270" spans="1:13" x14ac:dyDescent="0.4">
      <c r="A270" s="6">
        <f t="shared" si="14"/>
        <v>5.2933886460405812</v>
      </c>
      <c r="B270" s="6">
        <f>'Aerosol 1'!A255</f>
        <v>199.01668114100951</v>
      </c>
      <c r="G270">
        <v>5.2933886460405812</v>
      </c>
      <c r="H270">
        <v>199.01668114100951</v>
      </c>
      <c r="L270">
        <f t="shared" si="15"/>
        <v>0</v>
      </c>
      <c r="M270">
        <f t="shared" si="16"/>
        <v>0</v>
      </c>
    </row>
    <row r="271" spans="1:13" x14ac:dyDescent="0.4">
      <c r="A271" s="6">
        <f t="shared" si="14"/>
        <v>5.3278672234717606</v>
      </c>
      <c r="B271" s="6">
        <f>'Aerosol 1'!A256</f>
        <v>205.99815727277087</v>
      </c>
      <c r="G271">
        <v>5.3278672234717606</v>
      </c>
      <c r="H271">
        <v>205.99815727277087</v>
      </c>
      <c r="L271">
        <f t="shared" si="15"/>
        <v>0</v>
      </c>
      <c r="M271">
        <f t="shared" si="16"/>
        <v>0</v>
      </c>
    </row>
    <row r="272" spans="1:13" x14ac:dyDescent="0.4">
      <c r="A272" s="6">
        <f t="shared" si="14"/>
        <v>5.362345800902939</v>
      </c>
      <c r="B272" s="6">
        <f>'Aerosol 1'!A257</f>
        <v>213.22454256842178</v>
      </c>
      <c r="G272">
        <v>5.362345800902939</v>
      </c>
      <c r="H272">
        <v>213.22454256842178</v>
      </c>
      <c r="L272">
        <f t="shared" si="15"/>
        <v>0</v>
      </c>
      <c r="M272">
        <f t="shared" si="16"/>
        <v>0</v>
      </c>
    </row>
    <row r="273" spans="1:13" x14ac:dyDescent="0.4">
      <c r="A273" s="6">
        <f t="shared" si="14"/>
        <v>5.3968243783341183</v>
      </c>
      <c r="B273" s="6">
        <f>'Aerosol 1'!A258</f>
        <v>220.70442840569206</v>
      </c>
      <c r="G273">
        <v>5.3968243783341183</v>
      </c>
      <c r="H273">
        <v>220.70442840569206</v>
      </c>
      <c r="L273">
        <f t="shared" si="15"/>
        <v>0</v>
      </c>
      <c r="M273">
        <f t="shared" si="16"/>
        <v>0</v>
      </c>
    </row>
    <row r="274" spans="1:13" x14ac:dyDescent="0.4">
      <c r="A274" s="6">
        <f t="shared" si="14"/>
        <v>5.4313029557652968</v>
      </c>
      <c r="B274" s="6">
        <f>'Aerosol 1'!A259</f>
        <v>228.44670754658779</v>
      </c>
      <c r="G274">
        <v>5.4313029557652968</v>
      </c>
      <c r="H274">
        <v>228.44670754658779</v>
      </c>
      <c r="L274">
        <f t="shared" si="15"/>
        <v>0</v>
      </c>
      <c r="M274">
        <f t="shared" si="16"/>
        <v>0</v>
      </c>
    </row>
    <row r="275" spans="1:13" x14ac:dyDescent="0.4">
      <c r="A275" s="6">
        <f t="shared" si="14"/>
        <v>5.4657815331964752</v>
      </c>
      <c r="B275" s="6">
        <f>'Aerosol 1'!A260</f>
        <v>236.46058470990909</v>
      </c>
      <c r="G275">
        <v>5.4657815331964752</v>
      </c>
      <c r="H275">
        <v>236.46058470990909</v>
      </c>
      <c r="L275">
        <f t="shared" si="15"/>
        <v>0</v>
      </c>
      <c r="M275">
        <f t="shared" si="16"/>
        <v>0</v>
      </c>
    </row>
    <row r="276" spans="1:13" x14ac:dyDescent="0.4">
      <c r="A276" s="6">
        <f t="shared" si="14"/>
        <v>5.5002601106276545</v>
      </c>
      <c r="B276" s="6">
        <f>'Aerosol 1'!A261</f>
        <v>244.75558751464831</v>
      </c>
      <c r="G276">
        <v>5.5002601106276545</v>
      </c>
      <c r="H276">
        <v>244.75558751464831</v>
      </c>
      <c r="L276">
        <f t="shared" si="15"/>
        <v>0</v>
      </c>
      <c r="M276">
        <f t="shared" si="16"/>
        <v>0</v>
      </c>
    </row>
    <row r="277" spans="1:13" x14ac:dyDescent="0.4">
      <c r="A277" s="6">
        <f t="shared" si="14"/>
        <v>5.534738688058833</v>
      </c>
      <c r="B277" s="6">
        <f>'Aerosol 1'!A262</f>
        <v>253.34157780728108</v>
      </c>
      <c r="G277">
        <v>5.534738688058833</v>
      </c>
      <c r="H277">
        <v>253.34157780728108</v>
      </c>
      <c r="L277">
        <f t="shared" si="15"/>
        <v>0</v>
      </c>
      <c r="M277">
        <f t="shared" si="16"/>
        <v>0</v>
      </c>
    </row>
    <row r="278" spans="1:13" x14ac:dyDescent="0.4">
      <c r="A278" s="6">
        <f t="shared" si="14"/>
        <v>5.5692172654900114</v>
      </c>
      <c r="B278" s="6">
        <f>'Aerosol 1'!A263</f>
        <v>262.2287633864189</v>
      </c>
      <c r="G278">
        <v>5.5692172654900114</v>
      </c>
      <c r="H278">
        <v>262.2287633864189</v>
      </c>
      <c r="L278">
        <f t="shared" si="15"/>
        <v>0</v>
      </c>
      <c r="M278">
        <f t="shared" si="16"/>
        <v>0</v>
      </c>
    </row>
    <row r="279" spans="1:13" x14ac:dyDescent="0.4">
      <c r="A279" s="6">
        <f t="shared" si="14"/>
        <v>5.6036958429211898</v>
      </c>
      <c r="B279" s="6">
        <f>'Aerosol 1'!A264</f>
        <v>271.4277101387587</v>
      </c>
      <c r="G279">
        <v>5.6036958429211898</v>
      </c>
      <c r="H279">
        <v>271.4277101387587</v>
      </c>
      <c r="L279">
        <f t="shared" si="15"/>
        <v>0</v>
      </c>
      <c r="M279">
        <f t="shared" si="16"/>
        <v>0</v>
      </c>
    </row>
    <row r="280" spans="1:13" x14ac:dyDescent="0.4">
      <c r="A280" s="6">
        <f t="shared" si="14"/>
        <v>5.6381744203523692</v>
      </c>
      <c r="B280" s="6">
        <f>'Aerosol 1'!A265</f>
        <v>280.94935460076113</v>
      </c>
      <c r="G280">
        <v>5.6381744203523692</v>
      </c>
      <c r="H280">
        <v>280.94935460076113</v>
      </c>
      <c r="L280">
        <f t="shared" si="15"/>
        <v>0</v>
      </c>
      <c r="M280">
        <f t="shared" si="16"/>
        <v>0</v>
      </c>
    </row>
    <row r="281" spans="1:13" x14ac:dyDescent="0.4">
      <c r="A281" s="6">
        <f t="shared" si="14"/>
        <v>5.6726529977835485</v>
      </c>
      <c r="B281" s="6">
        <f>'Aerosol 1'!A266</f>
        <v>290.80501696098924</v>
      </c>
      <c r="G281">
        <v>5.6726529977835485</v>
      </c>
      <c r="H281">
        <v>290.80501696098924</v>
      </c>
      <c r="L281">
        <f t="shared" si="15"/>
        <v>0</v>
      </c>
      <c r="M281">
        <f t="shared" si="16"/>
        <v>0</v>
      </c>
    </row>
    <row r="282" spans="1:13" x14ac:dyDescent="0.4">
      <c r="A282" s="6">
        <f t="shared" si="14"/>
        <v>5.7071315752147269</v>
      </c>
      <c r="B282" s="6">
        <f>'Aerosol 1'!A267</f>
        <v>301.00641451856916</v>
      </c>
      <c r="G282">
        <v>5.7071315752147269</v>
      </c>
      <c r="H282">
        <v>301.00641451856916</v>
      </c>
      <c r="L282">
        <f t="shared" si="15"/>
        <v>0</v>
      </c>
      <c r="M282">
        <f t="shared" si="16"/>
        <v>0</v>
      </c>
    </row>
    <row r="283" spans="1:13" x14ac:dyDescent="0.4">
      <c r="A283" s="6">
        <f t="shared" si="14"/>
        <v>5.7416101526459062</v>
      </c>
      <c r="B283" s="6">
        <f>'Aerosol 1'!A268</f>
        <v>311.56567561377102</v>
      </c>
      <c r="G283">
        <v>5.7416101526459062</v>
      </c>
      <c r="H283">
        <v>311.56567561377102</v>
      </c>
      <c r="L283">
        <f t="shared" si="15"/>
        <v>0</v>
      </c>
      <c r="M283">
        <f t="shared" si="16"/>
        <v>0</v>
      </c>
    </row>
    <row r="284" spans="1:13" x14ac:dyDescent="0.4">
      <c r="A284" s="6">
        <f t="shared" si="14"/>
        <v>5.7760887300770847</v>
      </c>
      <c r="B284" s="6">
        <f>'Aerosol 1'!A269</f>
        <v>322.49535404727078</v>
      </c>
      <c r="G284">
        <v>5.7760887300770847</v>
      </c>
      <c r="H284">
        <v>322.49535404727078</v>
      </c>
      <c r="L284">
        <f t="shared" si="15"/>
        <v>0</v>
      </c>
      <c r="M284">
        <f t="shared" si="16"/>
        <v>0</v>
      </c>
    </row>
    <row r="285" spans="1:13" x14ac:dyDescent="0.4">
      <c r="A285" s="6">
        <f t="shared" si="14"/>
        <v>5.8105673075082631</v>
      </c>
      <c r="B285" s="6">
        <f>'Aerosol 1'!A270</f>
        <v>333.80844400524091</v>
      </c>
      <c r="G285">
        <v>5.8105673075082631</v>
      </c>
      <c r="H285">
        <v>333.80844400524091</v>
      </c>
      <c r="L285">
        <f t="shared" si="15"/>
        <v>0</v>
      </c>
      <c r="M285">
        <f t="shared" si="16"/>
        <v>0</v>
      </c>
    </row>
    <row r="286" spans="1:13" x14ac:dyDescent="0.4">
      <c r="A286" s="6">
        <f t="shared" si="14"/>
        <v>5.8450458849394424</v>
      </c>
      <c r="B286" s="6">
        <f>'Aerosol 1'!A271</f>
        <v>345.5183955080085</v>
      </c>
      <c r="G286">
        <v>5.8450458849394424</v>
      </c>
      <c r="H286">
        <v>345.5183955080085</v>
      </c>
      <c r="L286">
        <f t="shared" si="15"/>
        <v>0</v>
      </c>
      <c r="M286">
        <f t="shared" si="16"/>
        <v>0</v>
      </c>
    </row>
    <row r="287" spans="1:13" x14ac:dyDescent="0.4">
      <c r="A287" s="6">
        <f t="shared" si="14"/>
        <v>5.8795244623706209</v>
      </c>
      <c r="B287" s="6">
        <f>'Aerosol 1'!A272</f>
        <v>357.63913040065023</v>
      </c>
      <c r="G287">
        <v>5.8795244623706209</v>
      </c>
      <c r="H287">
        <v>357.63913040065023</v>
      </c>
      <c r="L287">
        <f t="shared" si="15"/>
        <v>0</v>
      </c>
      <c r="M287">
        <f t="shared" si="16"/>
        <v>0</v>
      </c>
    </row>
    <row r="288" spans="1:13" x14ac:dyDescent="0.4">
      <c r="A288" s="6">
        <f t="shared" si="14"/>
        <v>5.9140030398017993</v>
      </c>
      <c r="B288" s="6">
        <f>'Aerosol 1'!A273</f>
        <v>370.18505890453713</v>
      </c>
      <c r="G288">
        <v>5.9140030398017993</v>
      </c>
      <c r="H288">
        <v>370.18505890453713</v>
      </c>
      <c r="L288">
        <f t="shared" si="15"/>
        <v>0</v>
      </c>
      <c r="M288">
        <f t="shared" si="16"/>
        <v>0</v>
      </c>
    </row>
    <row r="289" spans="1:13" x14ac:dyDescent="0.4">
      <c r="A289" s="6">
        <f t="shared" ref="A289:A333" si="17">LN(B289)</f>
        <v>5.9484816172329777</v>
      </c>
      <c r="B289" s="6">
        <f>'Aerosol 1'!A274</f>
        <v>383.17109674950291</v>
      </c>
      <c r="G289">
        <v>5.9484816172329777</v>
      </c>
      <c r="H289">
        <v>383.17109674950291</v>
      </c>
      <c r="L289">
        <f t="shared" ref="L289:L333" si="18">IF(C289=I289,0,1)</f>
        <v>0</v>
      </c>
      <c r="M289">
        <f t="shared" ref="M289:M333" si="19">IF(D289=J289,0,1)</f>
        <v>0</v>
      </c>
    </row>
    <row r="290" spans="1:13" x14ac:dyDescent="0.4">
      <c r="A290" s="6">
        <f t="shared" si="17"/>
        <v>5.9829601946641571</v>
      </c>
      <c r="B290" s="6">
        <f>'Aerosol 1'!A275</f>
        <v>396.61268290700741</v>
      </c>
      <c r="G290">
        <v>5.9829601946641571</v>
      </c>
      <c r="H290">
        <v>396.61268290700741</v>
      </c>
      <c r="L290">
        <f t="shared" si="18"/>
        <v>0</v>
      </c>
      <c r="M290">
        <f t="shared" si="19"/>
        <v>0</v>
      </c>
    </row>
    <row r="291" spans="1:13" x14ac:dyDescent="0.4">
      <c r="A291" s="6">
        <f t="shared" si="17"/>
        <v>6.0174387720953355</v>
      </c>
      <c r="B291" s="6">
        <f>'Aerosol 1'!A276</f>
        <v>410.52579794537525</v>
      </c>
      <c r="G291">
        <v>6.0174387720953355</v>
      </c>
      <c r="H291">
        <v>410.52579794537525</v>
      </c>
      <c r="L291">
        <f t="shared" si="18"/>
        <v>0</v>
      </c>
      <c r="M291">
        <f t="shared" si="19"/>
        <v>0</v>
      </c>
    </row>
    <row r="292" spans="1:13" x14ac:dyDescent="0.4">
      <c r="A292" s="6">
        <f t="shared" si="17"/>
        <v>6.0519173495265148</v>
      </c>
      <c r="B292" s="6">
        <f>'Aerosol 1'!A277</f>
        <v>424.92698302893729</v>
      </c>
      <c r="G292">
        <v>6.0519173495265148</v>
      </c>
      <c r="H292">
        <v>424.92698302893729</v>
      </c>
      <c r="L292">
        <f t="shared" si="18"/>
        <v>0</v>
      </c>
      <c r="M292">
        <f t="shared" si="19"/>
        <v>0</v>
      </c>
    </row>
    <row r="293" spans="1:13" x14ac:dyDescent="0.4">
      <c r="A293" s="6">
        <f t="shared" si="17"/>
        <v>6.0863959269576933</v>
      </c>
      <c r="B293" s="6">
        <f>'Aerosol 1'!A278</f>
        <v>439.8333595836537</v>
      </c>
      <c r="G293">
        <v>6.0863959269576933</v>
      </c>
      <c r="H293">
        <v>439.8333595836537</v>
      </c>
      <c r="L293">
        <f t="shared" si="18"/>
        <v>0</v>
      </c>
      <c r="M293">
        <f t="shared" si="19"/>
        <v>0</v>
      </c>
    </row>
    <row r="294" spans="1:13" x14ac:dyDescent="0.4">
      <c r="A294" s="6">
        <f t="shared" si="17"/>
        <v>6.1208745043888726</v>
      </c>
      <c r="B294" s="6">
        <f>'Aerosol 1'!A279</f>
        <v>455.26264965261038</v>
      </c>
      <c r="G294">
        <v>6.1208745043888726</v>
      </c>
      <c r="H294">
        <v>455.26264965261038</v>
      </c>
      <c r="L294">
        <f t="shared" si="18"/>
        <v>0</v>
      </c>
      <c r="M294">
        <f t="shared" si="19"/>
        <v>0</v>
      </c>
    </row>
    <row r="295" spans="1:13" x14ac:dyDescent="0.4">
      <c r="A295" s="6">
        <f t="shared" si="17"/>
        <v>6.155353081820051</v>
      </c>
      <c r="B295" s="6">
        <f>'Aerosol 1'!A280</f>
        <v>471.23319696557684</v>
      </c>
      <c r="G295">
        <v>6.155353081820051</v>
      </c>
      <c r="H295">
        <v>471.23319696557684</v>
      </c>
      <c r="L295">
        <f t="shared" si="18"/>
        <v>0</v>
      </c>
      <c r="M295">
        <f t="shared" si="19"/>
        <v>0</v>
      </c>
    </row>
    <row r="296" spans="1:13" x14ac:dyDescent="0.4">
      <c r="A296" s="6">
        <f t="shared" si="17"/>
        <v>6.1898316592512295</v>
      </c>
      <c r="B296" s="6">
        <f>'Aerosol 1'!A281</f>
        <v>487.76398874768722</v>
      </c>
      <c r="G296">
        <v>6.1898316592512295</v>
      </c>
      <c r="H296">
        <v>487.76398874768722</v>
      </c>
      <c r="L296">
        <f t="shared" si="18"/>
        <v>0</v>
      </c>
      <c r="M296">
        <f t="shared" si="19"/>
        <v>0</v>
      </c>
    </row>
    <row r="297" spans="1:13" x14ac:dyDescent="0.4">
      <c r="A297" s="6">
        <f t="shared" si="17"/>
        <v>6.2243102366824079</v>
      </c>
      <c r="B297" s="6">
        <f>'Aerosol 1'!A282</f>
        <v>504.87467829316228</v>
      </c>
      <c r="G297">
        <v>6.2243102366824079</v>
      </c>
      <c r="H297">
        <v>504.87467829316228</v>
      </c>
      <c r="L297">
        <f t="shared" si="18"/>
        <v>0</v>
      </c>
      <c r="M297">
        <f t="shared" si="19"/>
        <v>0</v>
      </c>
    </row>
    <row r="298" spans="1:13" x14ac:dyDescent="0.4">
      <c r="A298" s="6">
        <f t="shared" si="17"/>
        <v>6.2587888141135872</v>
      </c>
      <c r="B298" s="6">
        <f>'Aerosol 1'!A283</f>
        <v>522.58560833091622</v>
      </c>
      <c r="G298">
        <v>6.2587888141135872</v>
      </c>
      <c r="H298">
        <v>522.58560833091622</v>
      </c>
      <c r="L298">
        <f t="shared" si="18"/>
        <v>0</v>
      </c>
      <c r="M298">
        <f t="shared" si="19"/>
        <v>0</v>
      </c>
    </row>
    <row r="299" spans="1:13" x14ac:dyDescent="0.4">
      <c r="A299" s="6">
        <f t="shared" si="17"/>
        <v>6.2932673915447657</v>
      </c>
      <c r="B299" s="6">
        <f>'Aerosol 1'!A284</f>
        <v>540.91783520982381</v>
      </c>
      <c r="G299">
        <v>6.2932673915447657</v>
      </c>
      <c r="H299">
        <v>540.91783520982381</v>
      </c>
      <c r="L299">
        <f t="shared" si="18"/>
        <v>0</v>
      </c>
      <c r="M299">
        <f t="shared" si="19"/>
        <v>0</v>
      </c>
    </row>
    <row r="300" spans="1:13" x14ac:dyDescent="0.4">
      <c r="A300" s="6">
        <f t="shared" si="17"/>
        <v>6.327745968975945</v>
      </c>
      <c r="B300" s="6">
        <f>'Aerosol 1'!A285</f>
        <v>559.89315393240724</v>
      </c>
      <c r="G300">
        <v>6.327745968975945</v>
      </c>
      <c r="H300">
        <v>559.89315393240724</v>
      </c>
      <c r="L300">
        <f t="shared" si="18"/>
        <v>0</v>
      </c>
      <c r="M300">
        <f t="shared" si="19"/>
        <v>0</v>
      </c>
    </row>
    <row r="301" spans="1:13" x14ac:dyDescent="0.4">
      <c r="A301" s="6">
        <f t="shared" si="17"/>
        <v>6.3622245464071234</v>
      </c>
      <c r="B301" s="6">
        <f>'Aerosol 1'!A286</f>
        <v>579.53412406669474</v>
      </c>
      <c r="G301">
        <v>6.3622245464071234</v>
      </c>
      <c r="H301">
        <v>579.53412406669474</v>
      </c>
      <c r="L301">
        <f t="shared" si="18"/>
        <v>0</v>
      </c>
      <c r="M301">
        <f t="shared" si="19"/>
        <v>0</v>
      </c>
    </row>
    <row r="302" spans="1:13" x14ac:dyDescent="0.4">
      <c r="A302" s="6">
        <f t="shared" si="17"/>
        <v>6.3967031238383019</v>
      </c>
      <c r="B302" s="6">
        <f>'Aerosol 1'!A287</f>
        <v>599.86409656707042</v>
      </c>
      <c r="G302">
        <v>6.3967031238383019</v>
      </c>
      <c r="H302">
        <v>599.86409656707042</v>
      </c>
      <c r="L302">
        <f t="shared" si="18"/>
        <v>0</v>
      </c>
      <c r="M302">
        <f t="shared" si="19"/>
        <v>0</v>
      </c>
    </row>
    <row r="303" spans="1:13" x14ac:dyDescent="0.4">
      <c r="A303" s="6">
        <f t="shared" si="17"/>
        <v>6.4311817012694812</v>
      </c>
      <c r="B303" s="6">
        <f>'Aerosol 1'!A288</f>
        <v>620.90724153599047</v>
      </c>
      <c r="G303">
        <v>6.4311817012694812</v>
      </c>
      <c r="H303">
        <v>620.90724153599047</v>
      </c>
      <c r="L303">
        <f t="shared" si="18"/>
        <v>0</v>
      </c>
      <c r="M303">
        <f t="shared" si="19"/>
        <v>0</v>
      </c>
    </row>
    <row r="304" spans="1:13" x14ac:dyDescent="0.4">
      <c r="A304" s="6">
        <f t="shared" si="17"/>
        <v>6.4656602787006596</v>
      </c>
      <c r="B304" s="6">
        <f>'Aerosol 1'!A289</f>
        <v>642.68857695957649</v>
      </c>
      <c r="G304">
        <v>6.4656602787006596</v>
      </c>
      <c r="H304">
        <v>642.68857695957649</v>
      </c>
      <c r="L304">
        <f t="shared" si="18"/>
        <v>0</v>
      </c>
      <c r="M304">
        <f t="shared" si="19"/>
        <v>0</v>
      </c>
    </row>
    <row r="305" spans="1:13" x14ac:dyDescent="0.4">
      <c r="A305" s="6">
        <f t="shared" si="17"/>
        <v>6.5001388561318389</v>
      </c>
      <c r="B305" s="6">
        <f>'Aerosol 1'!A290</f>
        <v>665.23399845125459</v>
      </c>
      <c r="G305">
        <v>6.5001388561318389</v>
      </c>
      <c r="H305">
        <v>665.23399845125459</v>
      </c>
      <c r="L305">
        <f t="shared" si="18"/>
        <v>0</v>
      </c>
      <c r="M305">
        <f t="shared" si="19"/>
        <v>0</v>
      </c>
    </row>
    <row r="306" spans="1:13" x14ac:dyDescent="0.4">
      <c r="A306" s="6">
        <f t="shared" si="17"/>
        <v>6.5346174335630174</v>
      </c>
      <c r="B306" s="6">
        <f>'Aerosol 1'!A291</f>
        <v>688.57031003878853</v>
      </c>
      <c r="G306">
        <v>6.5346174335630174</v>
      </c>
      <c r="H306">
        <v>688.57031003878853</v>
      </c>
      <c r="L306">
        <f t="shared" si="18"/>
        <v>0</v>
      </c>
      <c r="M306">
        <f t="shared" si="19"/>
        <v>0</v>
      </c>
    </row>
    <row r="307" spans="1:13" x14ac:dyDescent="0.4">
      <c r="A307" s="6">
        <f t="shared" si="17"/>
        <v>6.5690960109941958</v>
      </c>
      <c r="B307" s="6">
        <f>'Aerosol 1'!A292</f>
        <v>712.72525603132635</v>
      </c>
      <c r="G307">
        <v>6.5690960109941958</v>
      </c>
      <c r="H307">
        <v>712.72525603132635</v>
      </c>
      <c r="L307">
        <f t="shared" si="18"/>
        <v>0</v>
      </c>
      <c r="M307">
        <f t="shared" si="19"/>
        <v>0</v>
      </c>
    </row>
    <row r="308" spans="1:13" x14ac:dyDescent="0.4">
      <c r="A308" s="6">
        <f t="shared" si="17"/>
        <v>6.6035745884253751</v>
      </c>
      <c r="B308" s="6">
        <f>'Aerosol 1'!A293</f>
        <v>737.72755400433221</v>
      </c>
      <c r="G308">
        <v>6.6035745884253751</v>
      </c>
      <c r="H308">
        <v>737.72755400433221</v>
      </c>
      <c r="L308">
        <f t="shared" si="18"/>
        <v>0</v>
      </c>
      <c r="M308">
        <f t="shared" si="19"/>
        <v>0</v>
      </c>
    </row>
    <row r="309" spans="1:13" x14ac:dyDescent="0.4">
      <c r="A309" s="6">
        <f t="shared" si="17"/>
        <v>6.6380531658565536</v>
      </c>
      <c r="B309" s="6">
        <f>'Aerosol 1'!A294</f>
        <v>763.6069289416248</v>
      </c>
      <c r="G309">
        <v>6.6380531658565536</v>
      </c>
      <c r="H309">
        <v>763.6069289416248</v>
      </c>
      <c r="L309">
        <f t="shared" si="18"/>
        <v>0</v>
      </c>
      <c r="M309">
        <f t="shared" si="19"/>
        <v>0</v>
      </c>
    </row>
    <row r="310" spans="1:13" x14ac:dyDescent="0.4">
      <c r="A310" s="6">
        <f t="shared" si="17"/>
        <v>6.672531743287732</v>
      </c>
      <c r="B310" s="6">
        <f>'Aerosol 1'!A295</f>
        <v>790.39414857511952</v>
      </c>
      <c r="G310">
        <v>6.672531743287732</v>
      </c>
      <c r="H310">
        <v>790.39414857511952</v>
      </c>
      <c r="L310">
        <f t="shared" si="18"/>
        <v>0</v>
      </c>
      <c r="M310">
        <f t="shared" si="19"/>
        <v>0</v>
      </c>
    </row>
    <row r="311" spans="1:13" x14ac:dyDescent="0.4">
      <c r="A311" s="6">
        <f t="shared" si="17"/>
        <v>6.7070103207189105</v>
      </c>
      <c r="B311" s="6">
        <f>'Aerosol 1'!A296</f>
        <v>818.1210599642767</v>
      </c>
      <c r="G311">
        <v>6.7070103207189105</v>
      </c>
      <c r="H311">
        <v>818.1210599642767</v>
      </c>
      <c r="L311">
        <f t="shared" si="18"/>
        <v>0</v>
      </c>
      <c r="M311">
        <f t="shared" si="19"/>
        <v>0</v>
      </c>
    </row>
    <row r="312" spans="1:13" x14ac:dyDescent="0.4">
      <c r="A312" s="6">
        <f t="shared" si="17"/>
        <v>6.7414888981500898</v>
      </c>
      <c r="B312" s="6">
        <f>'Aerosol 1'!A297</f>
        <v>846.82062735875547</v>
      </c>
      <c r="G312">
        <v>6.7414888981500898</v>
      </c>
      <c r="H312">
        <v>846.82062735875547</v>
      </c>
      <c r="L312">
        <f t="shared" si="18"/>
        <v>0</v>
      </c>
      <c r="M312">
        <f t="shared" si="19"/>
        <v>0</v>
      </c>
    </row>
    <row r="313" spans="1:13" x14ac:dyDescent="0.4">
      <c r="A313" s="6">
        <f t="shared" si="17"/>
        <v>6.7759674755812682</v>
      </c>
      <c r="B313" s="6">
        <f>'Aerosol 1'!A298</f>
        <v>876.52697138928079</v>
      </c>
      <c r="G313">
        <v>6.7759674755812682</v>
      </c>
      <c r="H313">
        <v>876.52697138928079</v>
      </c>
      <c r="L313">
        <f t="shared" si="18"/>
        <v>0</v>
      </c>
      <c r="M313">
        <f t="shared" si="19"/>
        <v>0</v>
      </c>
    </row>
    <row r="314" spans="1:13" x14ac:dyDescent="0.4">
      <c r="A314" s="6">
        <f t="shared" si="17"/>
        <v>6.8104460530124475</v>
      </c>
      <c r="B314" s="6">
        <f>'Aerosol 1'!A299</f>
        <v>907.27540963332683</v>
      </c>
      <c r="G314">
        <v>6.8104460530124475</v>
      </c>
      <c r="H314">
        <v>907.27540963332683</v>
      </c>
      <c r="L314">
        <f t="shared" si="18"/>
        <v>0</v>
      </c>
      <c r="M314">
        <f t="shared" si="19"/>
        <v>0</v>
      </c>
    </row>
    <row r="315" spans="1:13" x14ac:dyDescent="0.4">
      <c r="A315" s="6">
        <f t="shared" si="17"/>
        <v>6.844924630443626</v>
      </c>
      <c r="B315" s="6">
        <f>'Aerosol 1'!A300</f>
        <v>939.10249860382874</v>
      </c>
      <c r="G315">
        <v>6.844924630443626</v>
      </c>
      <c r="H315">
        <v>939.10249860382874</v>
      </c>
      <c r="L315">
        <f t="shared" si="18"/>
        <v>0</v>
      </c>
      <c r="M315">
        <f t="shared" si="19"/>
        <v>0</v>
      </c>
    </row>
    <row r="316" spans="1:13" x14ac:dyDescent="0.4">
      <c r="A316" s="6">
        <f t="shared" si="17"/>
        <v>6.8794032078748044</v>
      </c>
      <c r="B316" s="6">
        <f>'Aerosol 1'!A301</f>
        <v>972.04607721086302</v>
      </c>
      <c r="G316">
        <v>6.8794032078748044</v>
      </c>
      <c r="H316">
        <v>972.04607721086302</v>
      </c>
      <c r="L316">
        <f t="shared" si="18"/>
        <v>0</v>
      </c>
      <c r="M316">
        <f t="shared" si="19"/>
        <v>0</v>
      </c>
    </row>
    <row r="317" spans="1:13" x14ac:dyDescent="0.4">
      <c r="A317" s="6">
        <f t="shared" si="17"/>
        <v>6.9138817853059837</v>
      </c>
      <c r="B317" s="6">
        <f>'Aerosol 1'!A302</f>
        <v>1006.1453117479499</v>
      </c>
      <c r="G317">
        <v>6.9138817853059837</v>
      </c>
      <c r="H317">
        <v>1006.1453117479499</v>
      </c>
      <c r="L317">
        <f t="shared" si="18"/>
        <v>0</v>
      </c>
      <c r="M317">
        <f t="shared" si="19"/>
        <v>0</v>
      </c>
    </row>
    <row r="318" spans="1:13" x14ac:dyDescent="0.4">
      <c r="A318" s="6">
        <f t="shared" si="17"/>
        <v>6.9483603627371631</v>
      </c>
      <c r="B318" s="6">
        <f>'Aerosol 1'!A303</f>
        <v>1041.4407424564688</v>
      </c>
      <c r="G318">
        <v>6.9483603627371631</v>
      </c>
      <c r="H318">
        <v>1041.4407424564688</v>
      </c>
      <c r="L318">
        <f t="shared" si="18"/>
        <v>0</v>
      </c>
      <c r="M318">
        <f t="shared" si="19"/>
        <v>0</v>
      </c>
    </row>
    <row r="319" spans="1:13" x14ac:dyDescent="0.4">
      <c r="A319" s="6">
        <f t="shared" si="17"/>
        <v>6.9828389401683415</v>
      </c>
      <c r="B319" s="6">
        <f>'Aerosol 1'!A304</f>
        <v>1077.9743317235509</v>
      </c>
      <c r="G319">
        <v>6.9828389401683415</v>
      </c>
      <c r="H319">
        <v>1077.9743317235509</v>
      </c>
      <c r="L319">
        <f t="shared" si="18"/>
        <v>0</v>
      </c>
      <c r="M319">
        <f t="shared" si="19"/>
        <v>0</v>
      </c>
    </row>
    <row r="320" spans="1:13" x14ac:dyDescent="0.4">
      <c r="A320" s="6">
        <f t="shared" si="17"/>
        <v>7.0173175175995199</v>
      </c>
      <c r="B320" s="6">
        <f>'Aerosol 1'!A305</f>
        <v>1115.7895139707459</v>
      </c>
      <c r="G320">
        <v>7.0173175175995199</v>
      </c>
      <c r="H320">
        <v>1115.7895139707459</v>
      </c>
      <c r="L320">
        <f t="shared" si="18"/>
        <v>0</v>
      </c>
      <c r="M320">
        <f t="shared" si="19"/>
        <v>0</v>
      </c>
    </row>
    <row r="321" spans="1:13" x14ac:dyDescent="0.4">
      <c r="A321" s="6">
        <f t="shared" si="17"/>
        <v>7.0517960950306984</v>
      </c>
      <c r="B321" s="6">
        <f>'Aerosol 1'!A306</f>
        <v>1154.9312472927725</v>
      </c>
      <c r="G321">
        <v>7.0517960950306984</v>
      </c>
      <c r="H321">
        <v>1154.9312472927725</v>
      </c>
      <c r="L321">
        <f t="shared" si="18"/>
        <v>0</v>
      </c>
      <c r="M321">
        <f t="shared" si="19"/>
        <v>0</v>
      </c>
    </row>
    <row r="322" spans="1:13" x14ac:dyDescent="0.4">
      <c r="A322" s="6">
        <f t="shared" si="17"/>
        <v>7.0862746724618777</v>
      </c>
      <c r="B322" s="6">
        <f>'Aerosol 1'!A307</f>
        <v>1195.4460669077519</v>
      </c>
      <c r="G322">
        <v>7.0862746724618777</v>
      </c>
      <c r="H322">
        <v>1195.4460669077519</v>
      </c>
      <c r="L322">
        <f t="shared" si="18"/>
        <v>0</v>
      </c>
      <c r="M322">
        <f t="shared" si="19"/>
        <v>0</v>
      </c>
    </row>
    <row r="323" spans="1:13" x14ac:dyDescent="0.4">
      <c r="A323" s="6">
        <f t="shared" si="17"/>
        <v>7.1207532498930561</v>
      </c>
      <c r="B323" s="6">
        <f>'Aerosol 1'!A308</f>
        <v>1237.3821404824632</v>
      </c>
      <c r="G323">
        <v>7.1207532498930561</v>
      </c>
      <c r="H323">
        <v>1237.3821404824632</v>
      </c>
      <c r="L323">
        <f t="shared" si="18"/>
        <v>0</v>
      </c>
      <c r="M323">
        <f t="shared" si="19"/>
        <v>0</v>
      </c>
    </row>
    <row r="324" spans="1:13" x14ac:dyDescent="0.4">
      <c r="A324" s="6">
        <f t="shared" si="17"/>
        <v>7.1552318273242346</v>
      </c>
      <c r="B324" s="6">
        <f>'Aerosol 1'!A309</f>
        <v>1280.7893253984103</v>
      </c>
      <c r="G324">
        <v>7.1552318273242346</v>
      </c>
      <c r="H324">
        <v>1280.7893253984103</v>
      </c>
      <c r="L324">
        <f t="shared" si="18"/>
        <v>0</v>
      </c>
      <c r="M324">
        <f t="shared" si="19"/>
        <v>0</v>
      </c>
    </row>
    <row r="325" spans="1:13" x14ac:dyDescent="0.4">
      <c r="A325" s="6">
        <f t="shared" si="17"/>
        <v>7.189710404755413</v>
      </c>
      <c r="B325" s="6">
        <f>'Aerosol 1'!A310</f>
        <v>1325.7192280267632</v>
      </c>
      <c r="G325">
        <v>7.189710404755413</v>
      </c>
      <c r="H325">
        <v>1325.7192280267632</v>
      </c>
      <c r="L325">
        <f t="shared" si="18"/>
        <v>0</v>
      </c>
      <c r="M325">
        <f t="shared" si="19"/>
        <v>0</v>
      </c>
    </row>
    <row r="326" spans="1:13" x14ac:dyDescent="0.4">
      <c r="A326" s="6">
        <f t="shared" si="17"/>
        <v>7.2241889821865923</v>
      </c>
      <c r="B326" s="6">
        <f>'Aerosol 1'!A311</f>
        <v>1372.2252650826629</v>
      </c>
      <c r="G326">
        <v>7.2241889821865923</v>
      </c>
      <c r="H326">
        <v>1372.2252650826629</v>
      </c>
      <c r="L326">
        <f t="shared" si="18"/>
        <v>0</v>
      </c>
      <c r="M326">
        <f t="shared" si="19"/>
        <v>0</v>
      </c>
    </row>
    <row r="327" spans="1:13" x14ac:dyDescent="0.4">
      <c r="A327" s="6">
        <f t="shared" si="17"/>
        <v>7.2586675596177717</v>
      </c>
      <c r="B327" s="6">
        <f>'Aerosol 1'!A312</f>
        <v>1420.3627271318198</v>
      </c>
      <c r="G327">
        <v>7.2586675596177717</v>
      </c>
      <c r="H327">
        <v>1420.3627271318198</v>
      </c>
      <c r="L327">
        <f t="shared" si="18"/>
        <v>0</v>
      </c>
      <c r="M327">
        <f t="shared" si="19"/>
        <v>0</v>
      </c>
    </row>
    <row r="328" spans="1:13" x14ac:dyDescent="0.4">
      <c r="A328" s="6">
        <f t="shared" si="17"/>
        <v>7.2931461370489501</v>
      </c>
      <c r="B328" s="6">
        <f>'Aerosol 1'!A313</f>
        <v>1470.1888443249213</v>
      </c>
      <c r="G328">
        <v>7.2931461370489501</v>
      </c>
      <c r="H328">
        <v>1470.1888443249213</v>
      </c>
      <c r="L328">
        <f t="shared" si="18"/>
        <v>0</v>
      </c>
      <c r="M328">
        <f t="shared" si="19"/>
        <v>0</v>
      </c>
    </row>
    <row r="329" spans="1:13" x14ac:dyDescent="0.4">
      <c r="A329" s="6">
        <f t="shared" si="17"/>
        <v>7.3276247144801294</v>
      </c>
      <c r="B329" s="6">
        <f>'Aerosol 1'!A314</f>
        <v>1521.7628544379922</v>
      </c>
      <c r="G329">
        <v>7.3276247144801294</v>
      </c>
      <c r="H329">
        <v>1521.7628544379922</v>
      </c>
      <c r="L329">
        <f t="shared" si="18"/>
        <v>0</v>
      </c>
      <c r="M329">
        <f t="shared" si="19"/>
        <v>0</v>
      </c>
    </row>
    <row r="330" spans="1:13" x14ac:dyDescent="0.4">
      <c r="A330" s="6">
        <f t="shared" si="17"/>
        <v>7.3621032919113079</v>
      </c>
      <c r="B330" s="6">
        <f>'Aerosol 1'!A315</f>
        <v>1575.1460732995915</v>
      </c>
      <c r="G330">
        <v>7.3621032919113079</v>
      </c>
      <c r="H330">
        <v>1575.1460732995915</v>
      </c>
      <c r="L330">
        <f t="shared" si="18"/>
        <v>0</v>
      </c>
      <c r="M330">
        <f t="shared" si="19"/>
        <v>0</v>
      </c>
    </row>
    <row r="331" spans="1:13" x14ac:dyDescent="0.4">
      <c r="A331" s="6">
        <f t="shared" si="17"/>
        <v>7.3965818693424863</v>
      </c>
      <c r="B331" s="6">
        <f>'Aerosol 1'!A316</f>
        <v>1630.4019676885991</v>
      </c>
      <c r="G331">
        <v>7.3965818693424863</v>
      </c>
      <c r="H331">
        <v>1630.4019676885991</v>
      </c>
      <c r="L331">
        <f t="shared" si="18"/>
        <v>0</v>
      </c>
      <c r="M331">
        <f t="shared" si="19"/>
        <v>0</v>
      </c>
    </row>
    <row r="332" spans="1:13" x14ac:dyDescent="0.4">
      <c r="A332" s="6">
        <f t="shared" si="17"/>
        <v>7.4310604467736647</v>
      </c>
      <c r="B332" s="6">
        <f>'Aerosol 1'!A317</f>
        <v>1687.596230789236</v>
      </c>
      <c r="G332">
        <v>7.4310604467736647</v>
      </c>
      <c r="H332">
        <v>1687.596230789236</v>
      </c>
      <c r="L332">
        <f t="shared" si="18"/>
        <v>0</v>
      </c>
      <c r="M332">
        <f t="shared" si="19"/>
        <v>0</v>
      </c>
    </row>
    <row r="333" spans="1:13" x14ac:dyDescent="0.4">
      <c r="A333" s="6">
        <f t="shared" si="17"/>
        <v>7.4655390242048325</v>
      </c>
      <c r="B333" s="6">
        <f>'Aerosol 1'!A318</f>
        <v>1746.7968602930189</v>
      </c>
      <c r="G333">
        <v>7.4655390242048325</v>
      </c>
      <c r="H333">
        <v>1746.7968602930189</v>
      </c>
      <c r="L333">
        <f t="shared" si="18"/>
        <v>0</v>
      </c>
      <c r="M333">
        <f t="shared" si="19"/>
        <v>0</v>
      </c>
    </row>
    <row r="334" spans="1:13" x14ac:dyDescent="0.4">
      <c r="A334" s="6"/>
      <c r="B334" s="6"/>
    </row>
    <row r="335" spans="1:13" x14ac:dyDescent="0.4">
      <c r="A335" s="6"/>
      <c r="B335" s="6"/>
    </row>
    <row r="336" spans="1:13" x14ac:dyDescent="0.4">
      <c r="A336" s="6"/>
      <c r="B336" s="6"/>
    </row>
    <row r="337" spans="1:2" x14ac:dyDescent="0.4">
      <c r="A337" s="6"/>
      <c r="B337" s="6"/>
    </row>
    <row r="338" spans="1:2" x14ac:dyDescent="0.4">
      <c r="A338" s="6"/>
      <c r="B338" s="6"/>
    </row>
    <row r="339" spans="1:2" x14ac:dyDescent="0.4">
      <c r="A339" s="6"/>
      <c r="B339" s="6"/>
    </row>
    <row r="340" spans="1:2" x14ac:dyDescent="0.4">
      <c r="A340" s="6"/>
      <c r="B340" s="6"/>
    </row>
    <row r="341" spans="1:2" x14ac:dyDescent="0.4">
      <c r="A341" s="6"/>
      <c r="B341" s="6"/>
    </row>
    <row r="342" spans="1:2" x14ac:dyDescent="0.4">
      <c r="A342" s="6"/>
      <c r="B342" s="6"/>
    </row>
    <row r="343" spans="1:2" x14ac:dyDescent="0.4">
      <c r="A343" s="6"/>
      <c r="B343" s="6"/>
    </row>
    <row r="344" spans="1:2" x14ac:dyDescent="0.4">
      <c r="A344" s="6"/>
      <c r="B344" s="6"/>
    </row>
    <row r="345" spans="1:2" x14ac:dyDescent="0.4">
      <c r="A345" s="6"/>
      <c r="B345" s="6"/>
    </row>
    <row r="346" spans="1:2" x14ac:dyDescent="0.4">
      <c r="A346" s="6"/>
      <c r="B346" s="6"/>
    </row>
    <row r="347" spans="1:2" x14ac:dyDescent="0.4">
      <c r="A347" s="6"/>
      <c r="B347" s="6"/>
    </row>
    <row r="348" spans="1:2" x14ac:dyDescent="0.4">
      <c r="A348" s="6"/>
      <c r="B348" s="6"/>
    </row>
    <row r="349" spans="1:2" x14ac:dyDescent="0.4">
      <c r="A349" s="6"/>
      <c r="B349" s="6"/>
    </row>
    <row r="350" spans="1:2" x14ac:dyDescent="0.4">
      <c r="A350" s="6"/>
      <c r="B350" s="6"/>
    </row>
    <row r="351" spans="1:2" x14ac:dyDescent="0.4">
      <c r="A351" s="6"/>
      <c r="B351" s="6"/>
    </row>
    <row r="352" spans="1:2" x14ac:dyDescent="0.4">
      <c r="A352" s="6"/>
      <c r="B352" s="6"/>
    </row>
    <row r="353" spans="1:2" x14ac:dyDescent="0.4">
      <c r="A353" s="6"/>
      <c r="B353" s="6"/>
    </row>
    <row r="354" spans="1:2" x14ac:dyDescent="0.4">
      <c r="A354" s="6"/>
      <c r="B354" s="6"/>
    </row>
    <row r="355" spans="1:2" x14ac:dyDescent="0.4">
      <c r="A355" s="6"/>
      <c r="B355" s="6"/>
    </row>
    <row r="356" spans="1:2" x14ac:dyDescent="0.4">
      <c r="A356" s="6"/>
      <c r="B356" s="6"/>
    </row>
    <row r="357" spans="1:2" x14ac:dyDescent="0.4">
      <c r="A357" s="6"/>
      <c r="B357" s="6"/>
    </row>
    <row r="358" spans="1:2" x14ac:dyDescent="0.4">
      <c r="A358" s="6"/>
      <c r="B358" s="6"/>
    </row>
    <row r="359" spans="1:2" x14ac:dyDescent="0.4">
      <c r="A359" s="6"/>
      <c r="B359" s="6"/>
    </row>
    <row r="360" spans="1:2" x14ac:dyDescent="0.4">
      <c r="A360" s="6"/>
      <c r="B360" s="6"/>
    </row>
    <row r="361" spans="1:2" x14ac:dyDescent="0.4">
      <c r="A361" s="6"/>
      <c r="B361" s="6"/>
    </row>
    <row r="362" spans="1:2" x14ac:dyDescent="0.4">
      <c r="A362" s="6"/>
      <c r="B362" s="6"/>
    </row>
    <row r="363" spans="1:2" x14ac:dyDescent="0.4">
      <c r="A363" s="6"/>
      <c r="B363" s="6"/>
    </row>
    <row r="364" spans="1:2" x14ac:dyDescent="0.4">
      <c r="A364" s="6"/>
      <c r="B364" s="6"/>
    </row>
    <row r="365" spans="1:2" x14ac:dyDescent="0.4">
      <c r="A365" s="6"/>
      <c r="B365" s="6"/>
    </row>
    <row r="366" spans="1:2" x14ac:dyDescent="0.4">
      <c r="A366" s="6"/>
      <c r="B366" s="6"/>
    </row>
    <row r="367" spans="1:2" x14ac:dyDescent="0.4">
      <c r="A367" s="6"/>
      <c r="B367" s="6"/>
    </row>
    <row r="368" spans="1:2" x14ac:dyDescent="0.4">
      <c r="A368" s="6"/>
      <c r="B368" s="6"/>
    </row>
    <row r="369" spans="1:2" x14ac:dyDescent="0.4">
      <c r="A369" s="6"/>
      <c r="B369" s="6"/>
    </row>
    <row r="370" spans="1:2" x14ac:dyDescent="0.4">
      <c r="A370" s="6"/>
      <c r="B370" s="6"/>
    </row>
    <row r="371" spans="1:2" x14ac:dyDescent="0.4">
      <c r="A371" s="6"/>
      <c r="B371" s="6"/>
    </row>
    <row r="372" spans="1:2" x14ac:dyDescent="0.4">
      <c r="A372" s="6"/>
      <c r="B372" s="6"/>
    </row>
    <row r="373" spans="1:2" x14ac:dyDescent="0.4">
      <c r="A373" s="6"/>
      <c r="B373" s="6"/>
    </row>
    <row r="374" spans="1:2" x14ac:dyDescent="0.4">
      <c r="A374" s="6"/>
      <c r="B374" s="6"/>
    </row>
    <row r="375" spans="1:2" x14ac:dyDescent="0.4">
      <c r="A375" s="6"/>
      <c r="B375" s="6"/>
    </row>
    <row r="376" spans="1:2" x14ac:dyDescent="0.4">
      <c r="A376" s="6"/>
      <c r="B376" s="6"/>
    </row>
    <row r="377" spans="1:2" x14ac:dyDescent="0.4">
      <c r="A377" s="6"/>
      <c r="B377" s="6"/>
    </row>
    <row r="378" spans="1:2" x14ac:dyDescent="0.4">
      <c r="A378" s="6"/>
      <c r="B378" s="6"/>
    </row>
    <row r="379" spans="1:2" x14ac:dyDescent="0.4">
      <c r="A379" s="6"/>
      <c r="B379" s="6"/>
    </row>
    <row r="380" spans="1:2" x14ac:dyDescent="0.4">
      <c r="A380" s="6"/>
      <c r="B380" s="6"/>
    </row>
    <row r="381" spans="1:2" x14ac:dyDescent="0.4">
      <c r="A381" s="6"/>
      <c r="B381" s="6"/>
    </row>
    <row r="382" spans="1:2" x14ac:dyDescent="0.4">
      <c r="A382" s="6"/>
      <c r="B382" s="6"/>
    </row>
    <row r="383" spans="1:2" x14ac:dyDescent="0.4">
      <c r="A383" s="6"/>
      <c r="B383" s="6"/>
    </row>
    <row r="384" spans="1:2" x14ac:dyDescent="0.4">
      <c r="A384" s="6"/>
      <c r="B384" s="6"/>
    </row>
    <row r="385" spans="1:2" x14ac:dyDescent="0.4">
      <c r="A385" s="6"/>
      <c r="B385" s="6"/>
    </row>
    <row r="386" spans="1:2" x14ac:dyDescent="0.4">
      <c r="A386" s="6"/>
      <c r="B386" s="6"/>
    </row>
    <row r="387" spans="1:2" x14ac:dyDescent="0.4">
      <c r="A387" s="6"/>
      <c r="B387" s="6"/>
    </row>
    <row r="388" spans="1:2" x14ac:dyDescent="0.4">
      <c r="A388" s="6"/>
      <c r="B388" s="6"/>
    </row>
    <row r="389" spans="1:2" x14ac:dyDescent="0.4">
      <c r="A389" s="6"/>
      <c r="B389" s="6"/>
    </row>
    <row r="390" spans="1:2" x14ac:dyDescent="0.4">
      <c r="A390" s="6"/>
      <c r="B390" s="6"/>
    </row>
    <row r="391" spans="1:2" x14ac:dyDescent="0.4">
      <c r="A391" s="6"/>
      <c r="B391" s="6"/>
    </row>
    <row r="392" spans="1:2" x14ac:dyDescent="0.4">
      <c r="A392" s="6"/>
      <c r="B392" s="6"/>
    </row>
    <row r="393" spans="1:2" x14ac:dyDescent="0.4">
      <c r="A393" s="6"/>
      <c r="B393" s="6"/>
    </row>
    <row r="394" spans="1:2" x14ac:dyDescent="0.4">
      <c r="A394" s="6"/>
      <c r="B394" s="6"/>
    </row>
    <row r="395" spans="1:2" x14ac:dyDescent="0.4">
      <c r="A395" s="6"/>
      <c r="B395" s="6"/>
    </row>
    <row r="396" spans="1:2" x14ac:dyDescent="0.4">
      <c r="A396" s="6"/>
      <c r="B396" s="6"/>
    </row>
    <row r="397" spans="1:2" x14ac:dyDescent="0.4">
      <c r="A397" s="6"/>
      <c r="B397" s="6"/>
    </row>
    <row r="398" spans="1:2" x14ac:dyDescent="0.4">
      <c r="A398" s="6"/>
      <c r="B398" s="6"/>
    </row>
    <row r="399" spans="1:2" x14ac:dyDescent="0.4">
      <c r="A399" s="6"/>
      <c r="B399" s="6"/>
    </row>
    <row r="400" spans="1:2" x14ac:dyDescent="0.4">
      <c r="A400" s="6"/>
      <c r="B400" s="6"/>
    </row>
    <row r="401" spans="1:2" x14ac:dyDescent="0.4">
      <c r="A401" s="6"/>
      <c r="B401" s="6"/>
    </row>
    <row r="402" spans="1:2" x14ac:dyDescent="0.4">
      <c r="A402" s="6"/>
      <c r="B402" s="6"/>
    </row>
    <row r="403" spans="1:2" x14ac:dyDescent="0.4">
      <c r="A403" s="6"/>
      <c r="B403" s="6"/>
    </row>
    <row r="404" spans="1:2" x14ac:dyDescent="0.4">
      <c r="A404" s="6"/>
      <c r="B404" s="6"/>
    </row>
    <row r="405" spans="1:2" x14ac:dyDescent="0.4">
      <c r="A405" s="6"/>
      <c r="B405" s="6"/>
    </row>
    <row r="406" spans="1:2" x14ac:dyDescent="0.4">
      <c r="A406" s="6"/>
      <c r="B406" s="6"/>
    </row>
    <row r="407" spans="1:2" x14ac:dyDescent="0.4">
      <c r="A407" s="6"/>
      <c r="B407" s="6"/>
    </row>
    <row r="408" spans="1:2" x14ac:dyDescent="0.4">
      <c r="A408" s="6"/>
      <c r="B408" s="6"/>
    </row>
    <row r="409" spans="1:2" x14ac:dyDescent="0.4">
      <c r="A409" s="6"/>
      <c r="B409" s="6"/>
    </row>
    <row r="410" spans="1:2" x14ac:dyDescent="0.4">
      <c r="A410" s="6"/>
      <c r="B410" s="6"/>
    </row>
    <row r="411" spans="1:2" x14ac:dyDescent="0.4">
      <c r="A411" s="6"/>
      <c r="B411" s="6"/>
    </row>
    <row r="412" spans="1:2" x14ac:dyDescent="0.4">
      <c r="A412" s="6"/>
      <c r="B412" s="6"/>
    </row>
    <row r="413" spans="1:2" x14ac:dyDescent="0.4">
      <c r="A413" s="6"/>
      <c r="B413" s="6"/>
    </row>
    <row r="414" spans="1:2" x14ac:dyDescent="0.4">
      <c r="A414" s="6"/>
      <c r="B414" s="6"/>
    </row>
    <row r="415" spans="1:2" x14ac:dyDescent="0.4">
      <c r="A415" s="6"/>
      <c r="B415" s="6"/>
    </row>
    <row r="416" spans="1:2" x14ac:dyDescent="0.4">
      <c r="A416" s="6"/>
      <c r="B416" s="6"/>
    </row>
    <row r="417" spans="1:2" x14ac:dyDescent="0.4">
      <c r="A417" s="6"/>
      <c r="B417" s="6"/>
    </row>
    <row r="418" spans="1:2" x14ac:dyDescent="0.4">
      <c r="A418" s="6"/>
      <c r="B418" s="6"/>
    </row>
    <row r="419" spans="1:2" x14ac:dyDescent="0.4">
      <c r="A419" s="6"/>
      <c r="B419" s="6"/>
    </row>
    <row r="420" spans="1:2" x14ac:dyDescent="0.4">
      <c r="A420" s="6"/>
      <c r="B420" s="6"/>
    </row>
    <row r="421" spans="1:2" x14ac:dyDescent="0.4">
      <c r="A421" s="6"/>
      <c r="B421" s="6"/>
    </row>
    <row r="422" spans="1:2" x14ac:dyDescent="0.4">
      <c r="A422" s="6"/>
      <c r="B422" s="6"/>
    </row>
    <row r="423" spans="1:2" x14ac:dyDescent="0.4">
      <c r="A423" s="6"/>
      <c r="B423" s="6"/>
    </row>
    <row r="424" spans="1:2" x14ac:dyDescent="0.4">
      <c r="A424" s="6"/>
      <c r="B424" s="6"/>
    </row>
    <row r="425" spans="1:2" x14ac:dyDescent="0.4">
      <c r="A425" s="6"/>
      <c r="B425" s="6"/>
    </row>
    <row r="426" spans="1:2" x14ac:dyDescent="0.4">
      <c r="A426" s="6"/>
      <c r="B426" s="6"/>
    </row>
    <row r="427" spans="1:2" x14ac:dyDescent="0.4">
      <c r="A427" s="6"/>
      <c r="B427" s="6"/>
    </row>
    <row r="428" spans="1:2" x14ac:dyDescent="0.4">
      <c r="A428" s="6"/>
      <c r="B428" s="6"/>
    </row>
    <row r="429" spans="1:2" x14ac:dyDescent="0.4">
      <c r="A429" s="6"/>
      <c r="B429" s="6"/>
    </row>
    <row r="430" spans="1:2" x14ac:dyDescent="0.4">
      <c r="A430" s="6"/>
      <c r="B430" s="6"/>
    </row>
    <row r="431" spans="1:2" x14ac:dyDescent="0.4">
      <c r="A431" s="6"/>
      <c r="B431" s="6"/>
    </row>
    <row r="432" spans="1:2" x14ac:dyDescent="0.4">
      <c r="A432" s="6"/>
      <c r="B432" s="6"/>
    </row>
    <row r="433" spans="1:2" x14ac:dyDescent="0.4">
      <c r="A433" s="6"/>
      <c r="B433" s="6"/>
    </row>
    <row r="434" spans="1:2" x14ac:dyDescent="0.4">
      <c r="A434" s="6"/>
      <c r="B434" s="6"/>
    </row>
    <row r="435" spans="1:2" x14ac:dyDescent="0.4">
      <c r="A435" s="6"/>
      <c r="B435" s="6"/>
    </row>
    <row r="436" spans="1:2" x14ac:dyDescent="0.4">
      <c r="A436" s="6"/>
      <c r="B436" s="6"/>
    </row>
    <row r="437" spans="1:2" x14ac:dyDescent="0.4">
      <c r="A437" s="6"/>
      <c r="B437" s="6"/>
    </row>
    <row r="438" spans="1:2" x14ac:dyDescent="0.4">
      <c r="A438" s="6"/>
      <c r="B438" s="6"/>
    </row>
    <row r="439" spans="1:2" x14ac:dyDescent="0.4">
      <c r="A439" s="6"/>
      <c r="B439" s="6"/>
    </row>
    <row r="440" spans="1:2" x14ac:dyDescent="0.4">
      <c r="A440" s="6"/>
      <c r="B440" s="6"/>
    </row>
    <row r="441" spans="1:2" x14ac:dyDescent="0.4">
      <c r="A441" s="6"/>
      <c r="B441" s="6"/>
    </row>
    <row r="442" spans="1:2" x14ac:dyDescent="0.4">
      <c r="A442" s="6"/>
      <c r="B442" s="6"/>
    </row>
    <row r="443" spans="1:2" x14ac:dyDescent="0.4">
      <c r="A443" s="6"/>
      <c r="B443" s="6"/>
    </row>
    <row r="444" spans="1:2" x14ac:dyDescent="0.4">
      <c r="A444" s="6"/>
      <c r="B444" s="6"/>
    </row>
    <row r="445" spans="1:2" x14ac:dyDescent="0.4">
      <c r="A445" s="6"/>
      <c r="B445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Y507"/>
  <sheetViews>
    <sheetView workbookViewId="0">
      <selection activeCell="AM13" sqref="AM13:AU314"/>
    </sheetView>
  </sheetViews>
  <sheetFormatPr defaultRowHeight="12.3" x14ac:dyDescent="0.4"/>
  <cols>
    <col min="4" max="4" width="11" bestFit="1" customWidth="1"/>
    <col min="5" max="40" width="11" customWidth="1"/>
  </cols>
  <sheetData>
    <row r="1" spans="1:77" x14ac:dyDescent="0.4">
      <c r="E1" s="37"/>
      <c r="F1" s="37"/>
      <c r="G1" s="37"/>
      <c r="H1" s="37"/>
      <c r="I1" s="113">
        <f>INDEX(I13:I314,MATCH(0,I13:I314,1))</f>
        <v>-1.1184912740485052E-2</v>
      </c>
      <c r="J1" s="78" t="s">
        <v>140</v>
      </c>
      <c r="K1" s="37"/>
      <c r="L1" s="37"/>
      <c r="M1" s="37"/>
      <c r="N1" s="113">
        <f>INDEX(N13:N314,MATCH(0,N13:N314,1))</f>
        <v>-1.118491274048547E-2</v>
      </c>
      <c r="O1" s="37"/>
      <c r="P1" s="113">
        <f>INDEX(P13:P314,MATCH(0,P13:P314,1))</f>
        <v>-3.3622885573785656E-2</v>
      </c>
      <c r="Q1" s="37"/>
      <c r="R1" s="113">
        <f>INDEX(R13:R314,MATCH(0,R13:R314,1))</f>
        <v>-6.3629118065770835E-3</v>
      </c>
      <c r="S1" s="37"/>
      <c r="T1" s="113">
        <f>INDEX(T13:T314,MATCH(0,T13:T314,1))</f>
        <v>-4.832600763432833E-2</v>
      </c>
      <c r="V1" s="113">
        <f>INDEX(V13:V314,MATCH(0,V13:V314,1))</f>
        <v>-2.9092207060243225E-2</v>
      </c>
      <c r="W1" s="37"/>
      <c r="X1" s="113">
        <f>INDEX(X13:X314,MATCH(0,X13:X314,1))</f>
        <v>-3.5991599893961695E-2</v>
      </c>
      <c r="Y1" s="37"/>
      <c r="Z1" s="113">
        <f>INDEX(Z13:Z314,MATCH(0,Z13:Z314,1))</f>
        <v>-1.6640209912152908E-2</v>
      </c>
      <c r="AA1" s="37"/>
      <c r="AB1" s="113">
        <f>INDEX(AB13:AB314,MATCH(0,AB13:AB314,1))</f>
        <v>-4.1619295907841082E-3</v>
      </c>
      <c r="AC1" s="37"/>
      <c r="AD1" s="113">
        <f>INDEX(AD13:AD314,MATCH(0,AD13:AD314,1))</f>
        <v>-8.7285689758629745E-3</v>
      </c>
      <c r="AE1" s="37"/>
      <c r="AF1" s="113">
        <f>INDEX(AF13:AF314,MATCH(0,AF13:AF314,1))</f>
        <v>-1.4724702136971139E-2</v>
      </c>
      <c r="AG1" s="37"/>
      <c r="AH1" s="113">
        <f>INDEX(AH13:AH314,MATCH(0,AH13:AH314,1))</f>
        <v>-1.7724978591005639E-2</v>
      </c>
      <c r="AI1" s="37"/>
      <c r="AJ1" s="113">
        <f>INDEX(AJ13:AJ314,MATCH(0,AJ13:AJ314,1))</f>
        <v>-2.3616371363093854E-2</v>
      </c>
      <c r="AK1" s="37"/>
      <c r="AL1" s="113">
        <f>INDEX(AL13:AL314,MATCH(0,AL13:AL314,1))</f>
        <v>-6.8153741267866122E-2</v>
      </c>
      <c r="AM1" s="37"/>
      <c r="AW1" s="6">
        <f>INDEX(V13:V314,MATCH(0,V13:V314,1))</f>
        <v>-2.9092207060243225E-2</v>
      </c>
      <c r="AX1" s="6">
        <f>INDEX(V13:V314,MATCH(-1.645,V13:V314,1))</f>
        <v>-1.6623311969059476</v>
      </c>
      <c r="AY1" s="6">
        <f>INDEX(V13:V314,MATCH(1.645,V13:V314,1))</f>
        <v>1.6148489120894514</v>
      </c>
      <c r="AZ1" s="6">
        <f>INDEX(X13:X314,MATCH(0,X13:X314,1))</f>
        <v>-3.5991599893961695E-2</v>
      </c>
      <c r="BA1" s="6">
        <f>INDEX(X13:X314,MATCH(-1.645,X13:X314,1))</f>
        <v>-1.6703701694642816</v>
      </c>
      <c r="BB1" s="6">
        <f>INDEX(X13:X314,MATCH(1.645,X13:X314,1))</f>
        <v>1.6345400466045517</v>
      </c>
      <c r="BC1" s="6">
        <f>INDEX(Z13:Z314,MATCH(0,Z13:Z314,1))</f>
        <v>-1.6640209912152908E-2</v>
      </c>
      <c r="BD1" s="6">
        <f>INDEX(Z13:Z314,MATCH(-1.645,Z13:Z314,1))</f>
        <v>-1.6638689186813729</v>
      </c>
      <c r="BE1" s="6">
        <f>INDEX(Z13:Z314,MATCH(1.645,Z13:Z314,1))</f>
        <v>1.6348663212545833</v>
      </c>
      <c r="BF1" s="6"/>
      <c r="BG1" s="6">
        <f>INDEX(AB13:AB314,MATCH(0,AB13:AB314,1))</f>
        <v>-4.1619295907841082E-3</v>
      </c>
      <c r="BH1" s="6">
        <f>INDEX(AB13:AB314,MATCH(-1.645,AB13:AB314,1))</f>
        <v>-1.6717295937060257</v>
      </c>
      <c r="BI1" s="6">
        <f>INDEX(AB13:AB314,MATCH(1.645,AB13:AB314,1))</f>
        <v>1.6414329428616057</v>
      </c>
      <c r="BJ1" s="6">
        <f>INDEX(AD13:AD314,MATCH(0,AD13:AD314,1))</f>
        <v>-8.7285689758629745E-3</v>
      </c>
      <c r="BK1" s="6">
        <f>INDEX(AD13:AD314,MATCH(-1.645,AD13:AD314,1))</f>
        <v>-1.6530045209890964</v>
      </c>
      <c r="BL1" s="6">
        <f>INDEX(AD13:AD314,MATCH(1.645,AD13:AD314,1))</f>
        <v>1.6226235013633379</v>
      </c>
      <c r="BM1" s="6">
        <f>INDEX(AF13:AF314,MATCH(0,AF13:AF314,1))</f>
        <v>-1.4724702136971139E-2</v>
      </c>
      <c r="BN1" s="6">
        <f>INDEX(AF13:AF314,MATCH(-1.645,AF13:AF314,1))</f>
        <v>-1.665001414221313</v>
      </c>
      <c r="BO1" s="6">
        <f>INDEX(AF13:AF314,MATCH(1.645,AF13:AF314,1))</f>
        <v>1.5672937244276688</v>
      </c>
      <c r="BP1" s="6"/>
      <c r="BQ1" s="6">
        <f>INDEX(AH13:AH314,MATCH(0,AH13:AH314,1))</f>
        <v>-1.7724978591005639E-2</v>
      </c>
      <c r="BR1" s="6">
        <f>INDEX(AH13:AH314,MATCH(-1.645,AH13:AH314,1))</f>
        <v>-1.6530573586562505</v>
      </c>
      <c r="BS1" s="6">
        <f>INDEX(AH13:AH314,MATCH(1.645,AH13:AH314,1))</f>
        <v>1.6145365194540773</v>
      </c>
      <c r="BT1" s="6">
        <f>INDEX(AJ13:AJ314,MATCH(0,AJ13:AJ314,1))</f>
        <v>-2.3616371363093854E-2</v>
      </c>
      <c r="BU1" s="6">
        <f>INDEX(AJ13:AJ314,MATCH(-1.645,AJ13:AJ314,1))</f>
        <v>-1.6501285578732972</v>
      </c>
      <c r="BV1" s="6">
        <f>INDEX(AJ13:AJ314,MATCH(1.645,AJ13:AJ314,1))</f>
        <v>1.6139598043038208</v>
      </c>
      <c r="BW1" s="6">
        <f>INDEX(AL13:AL314,MATCH(0,AL13:AL314,1))</f>
        <v>-6.8153741267866122E-2</v>
      </c>
      <c r="BX1" s="6">
        <f>INDEX(AL13:AL314,MATCH(-1.645,AL13:AL314,1))</f>
        <v>-1.6685475309475122</v>
      </c>
      <c r="BY1" s="6">
        <f>INDEX(AL13:AL314,MATCH(1.645,AL13:AL314,1))</f>
        <v>1.5402541416806113</v>
      </c>
    </row>
    <row r="2" spans="1:77" x14ac:dyDescent="0.4">
      <c r="B2" s="38" t="s">
        <v>36</v>
      </c>
      <c r="C2" t="str">
        <f>'Exposure Scenario'!B3</f>
        <v>Male</v>
      </c>
      <c r="E2" s="37"/>
      <c r="F2" s="37"/>
      <c r="G2" s="37"/>
      <c r="H2" s="37"/>
      <c r="I2" s="114" cm="1">
        <f t="array" ref="I2">INDEX(I13:I314,MATCH(0,I13:I314,1)+1)</f>
        <v>9.8327897559391982E-3</v>
      </c>
      <c r="J2" s="78" t="s">
        <v>141</v>
      </c>
      <c r="K2" s="37"/>
      <c r="L2" s="37"/>
      <c r="M2" s="37"/>
      <c r="N2" s="114" cm="1">
        <f t="array" ref="N2">INDEX(N13:N314,MATCH(0,N13:N314,1)+1)</f>
        <v>9.832789755938643E-3</v>
      </c>
      <c r="O2" s="37"/>
      <c r="P2" s="114" cm="1">
        <f t="array" ref="P2">INDEX(P13:P314,MATCH(0,P13:P314,1)+1)</f>
        <v>3.2873489815086897E-3</v>
      </c>
      <c r="Q2" s="37"/>
      <c r="R2" s="114" cm="1">
        <f t="array" ref="R2">INDEX(R13:R314,MATCH(0,R13:R314,1)+1)</f>
        <v>5.64312490468225E-2</v>
      </c>
      <c r="S2" s="37"/>
      <c r="T2" s="114" cm="1">
        <f t="array" ref="T2">INDEX(T13:T314,MATCH(0,T13:T314,1)+1)</f>
        <v>1.7105692648589767E-2</v>
      </c>
      <c r="V2" s="114" cm="1">
        <f t="array" ref="V2">INDEX(V13:V314,MATCH(0,V13:V314,1)+1)</f>
        <v>1.0658839184907544E-2</v>
      </c>
      <c r="X2" s="114" cm="1">
        <f t="array" ref="X2">INDEX(X13:X314,MATCH(0,X13:X314,1)+1)</f>
        <v>1.3401850163008017E-2</v>
      </c>
      <c r="Z2" s="114" cm="1">
        <f t="array" ref="Z2">INDEX(Z13:Z314,MATCH(0,Z13:Z314,1)+1)</f>
        <v>3.9587212460524969E-2</v>
      </c>
      <c r="AB2" s="114" cm="1">
        <f t="array" ref="AB2">INDEX(AB13:AB314,MATCH(0,AB13:AB314,1)+1)</f>
        <v>3.3259063520896595E-2</v>
      </c>
      <c r="AD2" s="114" cm="1">
        <f t="array" ref="AD2">INDEX(AD13:AD314,MATCH(0,AD13:AD314,1)+1)</f>
        <v>5.3726343667696588E-2</v>
      </c>
      <c r="AF2" s="114">
        <f>INDEX(AF13:AF314,MATCH(0,AF13:AF314,1)+1)</f>
        <v>4.8672311246122653E-2</v>
      </c>
      <c r="AH2" s="114" cm="1">
        <f t="array" ref="AH2">INDEX(AH13:AH314,MATCH(0,AH13:AH314,1)+1)</f>
        <v>1.8498582171290055E-2</v>
      </c>
      <c r="AJ2" s="114" cm="1">
        <f t="array" ref="AJ2">INDEX(AJ13:AJ314,MATCH(0,AJ13:AJ314,1)+1)</f>
        <v>4.523680613252002E-2</v>
      </c>
      <c r="AL2" s="114" cm="1">
        <f t="array" ref="AL2">INDEX(AL13:AL314,MATCH(0,AL13:AL314,1)+1)</f>
        <v>1.1926391942647288E-3</v>
      </c>
      <c r="AW2" s="6" cm="1">
        <f t="array" ref="AW2">INDEX(V13:V314,MATCH(0,V13:V314,1)+1)</f>
        <v>1.0658839184907544E-2</v>
      </c>
      <c r="AX2" s="6" cm="1">
        <f t="array" ref="AX2">INDEX(V13:V314,MATCH(-1.645,V13:V314,1)+1)</f>
        <v>-1.6268626786697986</v>
      </c>
      <c r="AY2" s="6" cm="1">
        <f t="array" ref="AY2">INDEX(V13:V314,MATCH(1.645,V13:V314,1)+1)</f>
        <v>1.6551860783815637</v>
      </c>
      <c r="AZ2" s="6" cm="1">
        <f t="array" ref="AZ2">INDEX(X13:X314,MATCH(0,X13:X314,1)+1)</f>
        <v>1.3401850163008017E-2</v>
      </c>
      <c r="BA2" s="6" cm="1">
        <f t="array" ref="BA2">INDEX(X13:X314,MATCH(-1.645,X13:X314,1)+1)</f>
        <v>-1.643205354436303</v>
      </c>
      <c r="BB2" s="6" cm="1">
        <f t="array" ref="BB2">INDEX(X13:X314,MATCH(1.645,X13:X314,1)+1)</f>
        <v>1.6834109607143233</v>
      </c>
      <c r="BC2" s="6" cm="1">
        <f t="array" ref="BC2">INDEX(Z13:Z314,MATCH(0,Z13:Z314,1)+1)</f>
        <v>3.9587212460524969E-2</v>
      </c>
      <c r="BD2" s="6" cm="1">
        <f t="array" ref="BD2">INDEX(Z13:Z314,MATCH(-1.645,Z13:Z314,1)+1)</f>
        <v>-1.6345452365140258</v>
      </c>
      <c r="BE2" s="6" cm="1">
        <f t="array" ref="BE2">INDEX(Z13:Z314,MATCH(1.645,Z13:Z314,1)+1)</f>
        <v>1.7180157068876818</v>
      </c>
      <c r="BF2" s="6"/>
      <c r="BG2" s="6" cm="1">
        <f t="array" ref="BG2">INDEX(AB13:AB314,MATCH(0,AB13:AB314,1)+1)</f>
        <v>3.3259063520896595E-2</v>
      </c>
      <c r="BH2" s="6" cm="1">
        <f t="array" ref="BH2">INDEX(AB13:AB314,MATCH(-1.645,AB13:AB314,1)+1)</f>
        <v>-1.6390235969922846</v>
      </c>
      <c r="BI2" s="6" cm="1">
        <f t="array" ref="BI2">INDEX(AB13:AB314,MATCH(1.645,AB13:AB314,1)+1)</f>
        <v>1.6881069202746939</v>
      </c>
      <c r="BJ2" s="6" cm="1">
        <f t="array" ref="BJ2">INDEX(AD13:AD314,MATCH(0,AD13:AD314,1)+1)</f>
        <v>5.3726343667696588E-2</v>
      </c>
      <c r="BK2" s="6" cm="1">
        <f t="array" ref="BK2">INDEX(AD13:AD314,MATCH(-1.645,AD13:AD314,1)+1)</f>
        <v>-1.6275168503818747</v>
      </c>
      <c r="BL2" s="6" cm="1">
        <f t="array" ref="BL2">INDEX(AD13:AD314,MATCH(1.645,AD13:AD314,1)+1)</f>
        <v>1.6720676290202963</v>
      </c>
      <c r="BM2" s="6" cm="1">
        <f t="array" ref="BM2">INDEX(AF13:AF314,MATCH(0,AF13:AF314,1)+1)</f>
        <v>4.8672311246122653E-2</v>
      </c>
      <c r="BN2" s="6" cm="1">
        <f t="array" ref="BN2">INDEX(AF13:AF314,MATCH(-1.645,AF13:AF314,1)+1)</f>
        <v>-1.6360924184833725</v>
      </c>
      <c r="BO2" s="6" cm="1">
        <f t="array" ref="BO2">INDEX(AF13:AF314,MATCH(1.645,AF13:AF314,1)+1)</f>
        <v>1.6685435950965377</v>
      </c>
      <c r="BP2" s="6"/>
      <c r="BQ2" s="6" cm="1">
        <f t="array" ref="BQ2">INDEX(AH13:AH314,MATCH(0,AH13:AH314,1)+1)</f>
        <v>1.8498582171290055E-2</v>
      </c>
      <c r="BR2" s="6" cm="1">
        <f t="array" ref="BR2">INDEX(AH13:AH314,MATCH(-1.645,AH13:AH314,1)+1)</f>
        <v>-1.6213598413775481</v>
      </c>
      <c r="BS2" s="6" cm="1">
        <f t="array" ref="BS2">INDEX(AH13:AH314,MATCH(1.645,AH13:AH314,1)+1)</f>
        <v>1.6616022248917359</v>
      </c>
      <c r="BT2" s="6" cm="1">
        <f t="array" ref="BT2">INDEX(AJ13:AJ314,MATCH(0,AJ13:AJ314,1)+1)</f>
        <v>4.523680613252002E-2</v>
      </c>
      <c r="BU2" s="6" cm="1">
        <f t="array" ref="BU2">INDEX(AJ13:AJ314,MATCH(-1.645,AJ13:AJ314,1)+1)</f>
        <v>-1.6240783413091264</v>
      </c>
      <c r="BV2" s="6" cm="1">
        <f t="array" ref="BV2">INDEX(AJ13:AJ314,MATCH(1.645,AJ13:AJ314,1)+1)</f>
        <v>1.6620102095997558</v>
      </c>
      <c r="BW2" s="6" cm="1">
        <f t="array" ref="BW2">INDEX(AL13:AL314,MATCH(0,AL13:AL314,1)+1)</f>
        <v>1.1926391942647288E-3</v>
      </c>
      <c r="BX2" s="6" cm="1">
        <f t="array" ref="BX2">INDEX(AL13:AL314,MATCH(-1.645,AL13:AL314,1)+1)</f>
        <v>-1.6428347671286787</v>
      </c>
      <c r="BY2" s="6" cm="1">
        <f t="array" ref="BY2">INDEX(AL13:AL314,MATCH(1.645,AL13:AL314,1)+1)</f>
        <v>1.6551895522335338</v>
      </c>
    </row>
    <row r="3" spans="1:77" x14ac:dyDescent="0.4">
      <c r="B3" s="38" t="s">
        <v>37</v>
      </c>
      <c r="C3" t="str">
        <f>'Exposure Scenario'!B4</f>
        <v>Adult</v>
      </c>
      <c r="I3" s="113">
        <f>INDEX($B13:$B314,MATCH(0,I13:I314,1))</f>
        <v>24.293174417921602</v>
      </c>
      <c r="N3" s="113">
        <f>INDEX($B13:$B314,MATCH(0,N13:N314,1))</f>
        <v>24.293174417921602</v>
      </c>
      <c r="P3" s="113">
        <f>INDEX($B13:$B314,MATCH(0,P13:P314,1))</f>
        <v>10.992224308795002</v>
      </c>
      <c r="R3" s="113">
        <f>INDEX($B13:$B314,MATCH(0,R13:R314,1))</f>
        <v>4.4850297495527807</v>
      </c>
      <c r="T3" s="113">
        <f>INDEX($B13:$B314,MATCH(0,T13:T314,1))</f>
        <v>2.1005861506184975</v>
      </c>
      <c r="V3" s="113">
        <f>INDEX($B13:$B314,MATCH(0,V13:V314,1))</f>
        <v>9.5761327610632154</v>
      </c>
      <c r="X3" s="113">
        <f>INDEX($B13:$B314,MATCH(0,X13:X314,1))</f>
        <v>4.9737837129150959</v>
      </c>
      <c r="Z3" s="113">
        <f>INDEX($B13:$B314,MATCH(0,Z13:Z314,1))</f>
        <v>2.1742744062419574</v>
      </c>
      <c r="AB3" s="113">
        <f>INDEX($B13:$B314,MATCH(0,AB13:AB314,1))</f>
        <v>11.377829933443346</v>
      </c>
      <c r="AD3" s="113">
        <f>INDEX($B13:$B314,MATCH(0,AD13:AD314,1))</f>
        <v>4.9737837129150959</v>
      </c>
      <c r="AF3" s="113">
        <f>INDEX($B13:$B314,MATCH(0,AF13:AF314,1))</f>
        <v>2.3294965177350488</v>
      </c>
      <c r="AH3" s="113">
        <f>INDEX($B13:$B314,MATCH(0,AH13:AH314,1))</f>
        <v>11.377829933443346</v>
      </c>
      <c r="AJ3" s="113">
        <f>INDEX($B13:$B314,MATCH(0,AJ13:AJ314,1))</f>
        <v>4.1861772797015711</v>
      </c>
      <c r="AL3" s="113">
        <f>INDEX($B13:$B314,MATCH(0,AL13:AL314,1))</f>
        <v>1.9606170992849625</v>
      </c>
      <c r="AV3" s="78"/>
      <c r="AW3" s="6">
        <f>INDEX($B13:$B314,MATCH(0,V13:V314,1))</f>
        <v>9.5761327610632154</v>
      </c>
      <c r="AX3" s="6">
        <f>INDEX($B13:$B314,MATCH(-1.645,V13:V314,1))</f>
        <v>2.1005861506184975</v>
      </c>
      <c r="AY3" s="6">
        <f>INDEX($B13:$B314,MATCH(1.645,V13:V314,1))</f>
        <v>42.176055788656626</v>
      </c>
      <c r="AZ3" s="6">
        <f>INDEX($B13:$B314,MATCH(0,X13:X314,1))</f>
        <v>4.9737837129150959</v>
      </c>
      <c r="BA3" s="6">
        <f>INDEX($B13:$B314,MATCH(-1.645,X13:X314,1))</f>
        <v>1.0910313635168623</v>
      </c>
      <c r="BB3" s="6">
        <f>INDEX($B13:$B314,MATCH(1.645,X13:X314,1))</f>
        <v>14.991679372614316</v>
      </c>
      <c r="BC3" s="6">
        <f>INDEX($B13:$B314,MATCH(0,Z13:Z314,1))</f>
        <v>2.1742744062419574</v>
      </c>
      <c r="BD3" s="6">
        <f>INDEX($B13:$B314,MATCH(-1.645,Z13:Z314,1))</f>
        <v>0.58655376754108923</v>
      </c>
      <c r="BE3" s="6">
        <f>INDEX($B13:$B314,MATCH(1.645,Z13:Z314,1))</f>
        <v>5.1482633197358743</v>
      </c>
      <c r="BF3" s="6"/>
      <c r="BG3" s="6">
        <f>INDEX($B13:$B314,MATCH(0,AB13:AB314,1))</f>
        <v>11.377829933443346</v>
      </c>
      <c r="BH3" s="6">
        <f>INDEX($B13:$B314,MATCH(-1.645,AB13:AB314,1))</f>
        <v>2.2505476351193017</v>
      </c>
      <c r="BI3" s="6">
        <f>INDEX($B13:$B314,MATCH(1.645,AB13:AB314,1))</f>
        <v>50.111250752279112</v>
      </c>
      <c r="BJ3" s="6">
        <f>INDEX($B13:$B314,MATCH(0,AD13:AD314,1))</f>
        <v>4.9737837129150959</v>
      </c>
      <c r="BK3" s="6">
        <f>INDEX($B13:$B314,MATCH(-1.645,AD13:AD314,1))</f>
        <v>1.1689204245590625</v>
      </c>
      <c r="BL3" s="6">
        <f>INDEX($B13:$B314,MATCH(1.645,AD13:AD314,1))</f>
        <v>13.060351385713798</v>
      </c>
      <c r="BM3" s="6">
        <f>INDEX($B13:$B314,MATCH(0,AF13:AF314,1))</f>
        <v>2.3294965177350488</v>
      </c>
      <c r="BN3" s="6">
        <f>INDEX($B13:$B314,MATCH(-1.645,AF13:AF314,1))</f>
        <v>0.65047318271094212</v>
      </c>
      <c r="BO3" s="6">
        <f>INDEX($B13:$B314,MATCH(1.645,AF13:AF314,1))</f>
        <v>4.6423639386630704</v>
      </c>
      <c r="BP3" s="6"/>
      <c r="BQ3" s="6">
        <f>INDEX($B13:$B314,MATCH(0,AH13:AH314,1))</f>
        <v>11.377829933443346</v>
      </c>
      <c r="BR3" s="6">
        <f>INDEX($B13:$B314,MATCH(-1.645,AH13:AH314,1))</f>
        <v>2.2505476351193017</v>
      </c>
      <c r="BS3" s="6">
        <f>INDEX($B13:$B314,MATCH(1.645,AH13:AH314,1))</f>
        <v>50.111250752279112</v>
      </c>
      <c r="BT3" s="6">
        <f>INDEX($B13:$B314,MATCH(0,AJ13:AJ314,1))</f>
        <v>4.1861772797015711</v>
      </c>
      <c r="BU3" s="6">
        <f>INDEX($B13:$B314,MATCH(-1.645,AJ13:AJ314,1))</f>
        <v>1.2099259824710908</v>
      </c>
      <c r="BV3" s="6">
        <f>INDEX($B13:$B314,MATCH(1.645,AJ13:AJ314,1))</f>
        <v>10.992224308795002</v>
      </c>
      <c r="BW3" s="6">
        <f>INDEX($B13:$B314,MATCH(0,AL13:AL314,1))</f>
        <v>1.9606170992849625</v>
      </c>
      <c r="BX3" s="6">
        <f>INDEX($B13:$B314,MATCH(-1.645,AL13:AL314,1))</f>
        <v>0.54746973646021047</v>
      </c>
      <c r="BY3" s="6">
        <f>INDEX($B13:$B314,MATCH(1.645,AL13:AL314,1))</f>
        <v>3.6468860410439765</v>
      </c>
    </row>
    <row r="4" spans="1:77" ht="13.8" x14ac:dyDescent="0.4">
      <c r="B4" s="7"/>
      <c r="D4" s="38" t="s">
        <v>62</v>
      </c>
      <c r="E4" s="38" t="s">
        <v>61</v>
      </c>
      <c r="F4" s="38" t="s">
        <v>69</v>
      </c>
      <c r="G4" s="38" t="s">
        <v>78</v>
      </c>
      <c r="H4" s="38"/>
      <c r="I4" s="115" cm="1">
        <f t="array" ref="I4">INDEX($B13:$B314,MATCH(0,I13:I314,1)+1)</f>
        <v>25.145375431379691</v>
      </c>
      <c r="N4" s="115" cm="1">
        <f t="array" ref="N4">INDEX($B13:$B314,MATCH(0,N13:N314,1)+1)</f>
        <v>25.145375431379691</v>
      </c>
      <c r="P4" s="115" cm="1">
        <f t="array" ref="P4">INDEX($B13:$B314,MATCH(0,P13:P314,1)+1)</f>
        <v>11.377829933443346</v>
      </c>
      <c r="R4" s="115" cm="1">
        <f t="array" ref="R4">INDEX($B13:$B314,MATCH(0,R13:R314,1)+1)</f>
        <v>4.6423639386630704</v>
      </c>
      <c r="T4" s="115" cm="1">
        <f t="array" ref="T4">INDEX($B13:$B314,MATCH(0,T13:T314,1)+1)</f>
        <v>2.1742744062419574</v>
      </c>
      <c r="U4" s="45" t="s">
        <v>58</v>
      </c>
      <c r="V4" s="115">
        <f>INDEX($B13:$B314,MATCH(0,V13:V314,1)+1)</f>
        <v>9.9120621008685088</v>
      </c>
      <c r="X4" s="115">
        <f>INDEX($B13:$B314,MATCH(0,X13:X314,1)+1)</f>
        <v>5.1482633197358743</v>
      </c>
      <c r="Z4" s="115">
        <f>INDEX($B13:$B314,MATCH(0,Z13:Z314,1)+1)</f>
        <v>2.2505476351193017</v>
      </c>
      <c r="AA4" s="45" t="s">
        <v>59</v>
      </c>
      <c r="AB4" s="115">
        <f>INDEX($B13:$B314,MATCH(0,AB13:AB314,1)+1)</f>
        <v>11.776962547132609</v>
      </c>
      <c r="AD4" s="115">
        <f>INDEX($B13:$B314,MATCH(0,AD13:AD314,1)+1)</f>
        <v>5.1482633197358743</v>
      </c>
      <c r="AF4" s="115">
        <f>INDEX($B13:$B314,MATCH(0,AF13:AF314,1)+1)</f>
        <v>2.4112149156318821</v>
      </c>
      <c r="AG4" s="45" t="s">
        <v>60</v>
      </c>
      <c r="AH4" s="115">
        <f>INDEX($B13:$B314,MATCH(0,AH13:AH314,1)+1)</f>
        <v>11.776962547132609</v>
      </c>
      <c r="AJ4" s="115" cm="1">
        <f t="array" ref="AJ4">INDEX($B13:$B314,MATCH(0,AJ13:AJ314,1)+1)</f>
        <v>4.3330277677812639</v>
      </c>
      <c r="AL4" s="115" cm="1">
        <f t="array" ref="AL4">INDEX($B13:$B314,MATCH(0,AL13:AL314,1)+1)</f>
        <v>2.0293952610134389</v>
      </c>
      <c r="AV4" s="78"/>
      <c r="AW4" s="6">
        <f>INDEX($B13:$B314,MATCH(0,V13:V314,1)+1)</f>
        <v>9.9120621008685088</v>
      </c>
      <c r="AX4" s="6">
        <f>INDEX($B13:$B314,MATCH(-1.645,V13:V314,1)+1)</f>
        <v>2.1742744062419574</v>
      </c>
      <c r="AY4" s="6">
        <f>INDEX($B13:$B314,MATCH(1.645,V13:V314,1)+1)</f>
        <v>43.655585670936766</v>
      </c>
      <c r="AZ4" s="6">
        <f>INDEX($B13:$B314,MATCH(0,X13:X314,1)+1)</f>
        <v>5.1482633197358743</v>
      </c>
      <c r="BA4" s="6">
        <f>INDEX($B13:$B314,MATCH(-1.645,X13:X314,1)+1)</f>
        <v>1.1293045845339438</v>
      </c>
      <c r="BB4" s="6">
        <f>INDEX($B13:$B314,MATCH(1.645,X13:X314,1)+1)</f>
        <v>15.517585297257723</v>
      </c>
      <c r="BC4" s="6">
        <f>INDEX($B13:$B314,MATCH(0,Z13:Z314,1)+1)</f>
        <v>2.2505476351193017</v>
      </c>
      <c r="BD4" s="6">
        <f>INDEX($B13:$B314,MATCH(-1.645,Z13:Z314,1)+1)</f>
        <v>0.60712998811016461</v>
      </c>
      <c r="BE4" s="6">
        <f>INDEX($B13:$B314,MATCH(1.645,Z13:Z314,1)+1)</f>
        <v>5.3288636457019765</v>
      </c>
      <c r="BF4" s="6"/>
      <c r="BG4" s="6">
        <f>INDEX($B13:$B314,MATCH(0,AB13:AB314,1)+1)</f>
        <v>11.776962547132609</v>
      </c>
      <c r="BH4" s="6">
        <f>INDEX($B13:$B314,MATCH(-1.645,AB13:AB314,1)+1)</f>
        <v>2.3294965177350488</v>
      </c>
      <c r="BI4" s="6">
        <f>INDEX($B13:$B314,MATCH(1.645,AB13:AB314,1)+1)</f>
        <v>51.869146115893713</v>
      </c>
      <c r="BJ4" s="6">
        <f>INDEX($B13:$B314,MATCH(0,AD13:AD314,1)+1)</f>
        <v>5.1482633197358743</v>
      </c>
      <c r="BK4" s="6">
        <f>INDEX($B13:$B314,MATCH(-1.645,AD13:AD314,1)+1)</f>
        <v>1.2099259824710908</v>
      </c>
      <c r="BL4" s="6">
        <f>INDEX($B13:$B314,MATCH(1.645,AD13:AD314,1)+1)</f>
        <v>13.518506606416992</v>
      </c>
      <c r="BM4" s="6">
        <f>INDEX($B13:$B314,MATCH(0,AF13:AF314,1)+1)</f>
        <v>2.4112149156318821</v>
      </c>
      <c r="BN4" s="6">
        <f>INDEX($B13:$B314,MATCH(-1.645,AF13:AF314,1)+1)</f>
        <v>0.67329168703636388</v>
      </c>
      <c r="BO4" s="6">
        <f>INDEX($B13:$B314,MATCH(1.645,AF13:AF314,1)+1)</f>
        <v>4.8052173881674447</v>
      </c>
      <c r="BP4" s="6"/>
      <c r="BQ4" s="6">
        <f>INDEX($B13:$B314,MATCH(0,AH13:AH314,1)+1)</f>
        <v>11.776962547132609</v>
      </c>
      <c r="BR4" s="6">
        <f>INDEX($B13:$B314,MATCH(-1.645,AH13:AH314,1)+1)</f>
        <v>2.3294965177350488</v>
      </c>
      <c r="BS4" s="6">
        <f>INDEX($B13:$B314,MATCH(1.645,AH13:AH314,1)+1)</f>
        <v>51.869146115893713</v>
      </c>
      <c r="BT4" s="6">
        <f>INDEX($B13:$B314,MATCH(0,AJ13:AJ314,1)+1)</f>
        <v>4.3330277677812639</v>
      </c>
      <c r="BU4" s="6">
        <f>INDEX($B13:$B314,MATCH(-1.645,AJ13:AJ314,1)+1)</f>
        <v>1.2523700093706989</v>
      </c>
      <c r="BV4" s="6">
        <f>INDEX($B13:$B314,MATCH(1.645,AJ13:AJ314,1)+1)</f>
        <v>11.377829933443346</v>
      </c>
      <c r="BW4" s="6">
        <f>INDEX($B13:$B314,MATCH(0,AL13:AL314,1)+1)</f>
        <v>2.0293952610134389</v>
      </c>
      <c r="BX4" s="6">
        <f>INDEX($B13:$B314,MATCH(-1.645,AL13:AL314,1)+1)</f>
        <v>0.56667489492253287</v>
      </c>
      <c r="BY4" s="6">
        <f>INDEX($B13:$B314,MATCH(1.645,AL13:AL314,1)+1)</f>
        <v>3.7748182711707674</v>
      </c>
    </row>
    <row r="5" spans="1:77" x14ac:dyDescent="0.4">
      <c r="B5" s="38" t="s">
        <v>46</v>
      </c>
      <c r="C5" t="str">
        <f>'Exposure Scenario'!B7</f>
        <v>Sitting</v>
      </c>
      <c r="D5" s="6">
        <f>'Exposure Scenario'!I13</f>
        <v>0.75</v>
      </c>
      <c r="E5">
        <f>'Exposure Scenario'!J13</f>
        <v>12</v>
      </c>
      <c r="F5" s="25">
        <f>'Exposure Scenario'!K13</f>
        <v>0.54</v>
      </c>
      <c r="G5">
        <f>'Exposure Scenario'!E7</f>
        <v>1</v>
      </c>
      <c r="I5" s="48" t="s">
        <v>113</v>
      </c>
      <c r="N5" s="48" t="s">
        <v>113</v>
      </c>
      <c r="P5" s="48" t="s">
        <v>137</v>
      </c>
      <c r="R5" s="48" t="s">
        <v>138</v>
      </c>
      <c r="T5" s="48" t="s">
        <v>139</v>
      </c>
      <c r="U5" s="38" t="s">
        <v>75</v>
      </c>
      <c r="V5" s="48" t="s">
        <v>137</v>
      </c>
      <c r="W5" s="38" t="s">
        <v>76</v>
      </c>
      <c r="X5" s="48" t="s">
        <v>138</v>
      </c>
      <c r="Y5" s="38" t="s">
        <v>77</v>
      </c>
      <c r="Z5" s="48" t="s">
        <v>139</v>
      </c>
      <c r="AA5" s="38" t="s">
        <v>75</v>
      </c>
      <c r="AB5" s="48" t="s">
        <v>137</v>
      </c>
      <c r="AC5" s="38" t="s">
        <v>76</v>
      </c>
      <c r="AD5" s="48" t="s">
        <v>138</v>
      </c>
      <c r="AE5" s="38" t="s">
        <v>77</v>
      </c>
      <c r="AF5" s="48" t="s">
        <v>139</v>
      </c>
      <c r="AG5" s="38" t="s">
        <v>75</v>
      </c>
      <c r="AH5" s="48" t="s">
        <v>137</v>
      </c>
      <c r="AI5" s="38" t="s">
        <v>76</v>
      </c>
      <c r="AJ5" s="48" t="s">
        <v>138</v>
      </c>
      <c r="AK5" s="38" t="s">
        <v>77</v>
      </c>
      <c r="AL5" s="48" t="s">
        <v>139</v>
      </c>
      <c r="AV5" s="78"/>
      <c r="AW5" s="48" t="s">
        <v>137</v>
      </c>
      <c r="AX5" s="48" t="s">
        <v>158</v>
      </c>
      <c r="AY5" s="48" t="s">
        <v>159</v>
      </c>
      <c r="AZ5" s="48" t="s">
        <v>138</v>
      </c>
      <c r="BA5" s="48" t="s">
        <v>158</v>
      </c>
      <c r="BB5" s="48" t="s">
        <v>159</v>
      </c>
      <c r="BC5" s="48" t="s">
        <v>139</v>
      </c>
      <c r="BD5" s="48" t="s">
        <v>158</v>
      </c>
      <c r="BE5" s="48" t="s">
        <v>159</v>
      </c>
      <c r="BF5" s="48"/>
      <c r="BG5" s="48" t="s">
        <v>137</v>
      </c>
      <c r="BH5" s="48" t="s">
        <v>158</v>
      </c>
      <c r="BI5" s="48" t="s">
        <v>159</v>
      </c>
      <c r="BJ5" s="48" t="s">
        <v>138</v>
      </c>
      <c r="BK5" s="48" t="s">
        <v>158</v>
      </c>
      <c r="BL5" s="48" t="s">
        <v>159</v>
      </c>
      <c r="BM5" s="48" t="s">
        <v>139</v>
      </c>
      <c r="BN5" s="48" t="s">
        <v>158</v>
      </c>
      <c r="BO5" s="48" t="s">
        <v>159</v>
      </c>
      <c r="BP5" s="48"/>
      <c r="BQ5" s="48" t="s">
        <v>137</v>
      </c>
      <c r="BR5" s="48" t="s">
        <v>158</v>
      </c>
      <c r="BS5" s="48" t="s">
        <v>159</v>
      </c>
      <c r="BT5" s="48" t="s">
        <v>138</v>
      </c>
      <c r="BU5" s="48" t="s">
        <v>158</v>
      </c>
      <c r="BV5" s="48" t="s">
        <v>159</v>
      </c>
      <c r="BW5" s="48" t="s">
        <v>139</v>
      </c>
      <c r="BX5" s="48" t="s">
        <v>158</v>
      </c>
      <c r="BY5" s="48" t="s">
        <v>159</v>
      </c>
    </row>
    <row r="6" spans="1:77" x14ac:dyDescent="0.4">
      <c r="B6" s="38" t="s">
        <v>47</v>
      </c>
      <c r="C6" t="str">
        <f>'Exposure Scenario'!B16</f>
        <v>LightEx</v>
      </c>
      <c r="D6" s="6">
        <f>'Exposure Scenario'!I14</f>
        <v>1.25</v>
      </c>
      <c r="E6">
        <f>'Exposure Scenario'!J14</f>
        <v>20</v>
      </c>
      <c r="F6" s="25">
        <f>'Exposure Scenario'!K14</f>
        <v>1.5</v>
      </c>
      <c r="G6">
        <f>'Exposure Scenario'!E16</f>
        <v>1</v>
      </c>
      <c r="I6" s="48" t="s">
        <v>74</v>
      </c>
      <c r="N6" s="48" t="s">
        <v>114</v>
      </c>
      <c r="P6" s="48" t="s">
        <v>81</v>
      </c>
      <c r="R6" s="48" t="s">
        <v>81</v>
      </c>
      <c r="T6" s="48" t="s">
        <v>81</v>
      </c>
      <c r="U6" s="38" t="s">
        <v>73</v>
      </c>
      <c r="V6" s="48" t="s">
        <v>114</v>
      </c>
      <c r="W6" s="38" t="s">
        <v>73</v>
      </c>
      <c r="X6" s="48" t="s">
        <v>81</v>
      </c>
      <c r="Y6" s="38" t="s">
        <v>73</v>
      </c>
      <c r="Z6" s="48" t="s">
        <v>81</v>
      </c>
      <c r="AA6" s="38" t="s">
        <v>73</v>
      </c>
      <c r="AB6" s="48" t="s">
        <v>114</v>
      </c>
      <c r="AC6" s="38" t="s">
        <v>73</v>
      </c>
      <c r="AD6" s="48" t="s">
        <v>81</v>
      </c>
      <c r="AE6" s="38" t="s">
        <v>73</v>
      </c>
      <c r="AF6" s="48" t="s">
        <v>81</v>
      </c>
      <c r="AG6" s="38" t="s">
        <v>73</v>
      </c>
      <c r="AH6" s="48" t="s">
        <v>114</v>
      </c>
      <c r="AI6" s="38" t="s">
        <v>73</v>
      </c>
      <c r="AJ6" s="48" t="s">
        <v>81</v>
      </c>
      <c r="AK6" s="38" t="s">
        <v>73</v>
      </c>
      <c r="AL6" s="48" t="s">
        <v>81</v>
      </c>
      <c r="AN6" s="6"/>
      <c r="AW6" s="48" t="s">
        <v>81</v>
      </c>
      <c r="AX6" s="48" t="s">
        <v>81</v>
      </c>
      <c r="AY6" s="48" t="s">
        <v>81</v>
      </c>
      <c r="AZ6" s="48" t="s">
        <v>81</v>
      </c>
      <c r="BA6" s="48" t="s">
        <v>81</v>
      </c>
      <c r="BB6" s="48" t="s">
        <v>81</v>
      </c>
      <c r="BC6" s="48" t="s">
        <v>81</v>
      </c>
      <c r="BD6" s="48" t="s">
        <v>81</v>
      </c>
      <c r="BE6" s="48" t="s">
        <v>81</v>
      </c>
      <c r="BF6" s="48"/>
      <c r="BG6" s="48" t="s">
        <v>81</v>
      </c>
      <c r="BH6" s="48" t="s">
        <v>81</v>
      </c>
      <c r="BI6" s="48" t="s">
        <v>81</v>
      </c>
      <c r="BJ6" s="48" t="s">
        <v>81</v>
      </c>
      <c r="BK6" s="48" t="s">
        <v>81</v>
      </c>
      <c r="BL6" s="48" t="s">
        <v>81</v>
      </c>
      <c r="BM6" s="48" t="s">
        <v>81</v>
      </c>
      <c r="BN6" s="48" t="s">
        <v>81</v>
      </c>
      <c r="BO6" s="48" t="s">
        <v>81</v>
      </c>
      <c r="BP6" s="48"/>
      <c r="BQ6" s="48" t="s">
        <v>81</v>
      </c>
      <c r="BR6" s="48" t="s">
        <v>81</v>
      </c>
      <c r="BS6" s="48" t="s">
        <v>81</v>
      </c>
      <c r="BT6" s="48" t="s">
        <v>81</v>
      </c>
      <c r="BU6" s="48" t="s">
        <v>81</v>
      </c>
      <c r="BV6" s="48" t="s">
        <v>81</v>
      </c>
      <c r="BW6" s="48" t="s">
        <v>81</v>
      </c>
      <c r="BX6" s="48" t="s">
        <v>81</v>
      </c>
      <c r="BY6" s="48" t="s">
        <v>81</v>
      </c>
    </row>
    <row r="7" spans="1:77" x14ac:dyDescent="0.4">
      <c r="B7" s="38" t="s">
        <v>48</v>
      </c>
      <c r="C7" t="str">
        <f>'Exposure Scenario'!B25</f>
        <v>HeavyEx</v>
      </c>
      <c r="D7" s="6">
        <f>'Exposure Scenario'!I15</f>
        <v>1.923</v>
      </c>
      <c r="E7">
        <f>'Exposure Scenario'!J15</f>
        <v>26</v>
      </c>
      <c r="F7" s="25">
        <f>'Exposure Scenario'!K15</f>
        <v>2.9998800000000001</v>
      </c>
      <c r="G7">
        <f>'Exposure Scenario'!E25</f>
        <v>1</v>
      </c>
      <c r="I7" s="114" cm="1">
        <f t="array" ref="I7">IF(AND(ISNUMBER(I1),ISNUMBER(I2),ISNUMBER(I3),ISNUMBER(I4)),TREND(I3:I4,I1:I2,0)," ")</f>
        <v>24.746687068721723</v>
      </c>
      <c r="N7" s="114" cm="1">
        <f t="array" ref="N7">IF(AND(ISNUMBER(N1),ISNUMBER(N2),ISNUMBER(N3),ISNUMBER(N4)),TREND(N3:N4,N1:N2,0)," ")</f>
        <v>24.746687068721744</v>
      </c>
      <c r="P7" s="114" cm="1">
        <f t="array" ref="P7">IF(AND(ISNUMBER(P1),ISNUMBER(P2),ISNUMBER(P3),ISNUMBER(P4)),TREND(P3:P4,P1:P2,0)," ")</f>
        <v>11.343486606376356</v>
      </c>
      <c r="R7" s="114" cm="1">
        <f t="array" ref="R7">IF(AND(ISNUMBER(R1),ISNUMBER(R2),ISNUMBER(R3),ISNUMBER(R4)),TREND(R3:R4,R1:R2,0)," ")</f>
        <v>4.5009723715396444</v>
      </c>
      <c r="T7" s="114" cm="1">
        <f t="array" ref="T7">IF(AND(ISNUMBER(T1),ISNUMBER(T2),ISNUMBER(T3),ISNUMBER(T4)),TREND(T3:T4,T1:T2,0)," ")</f>
        <v>2.1550102170636931</v>
      </c>
      <c r="U7" s="25">
        <f>SUM(U13:U314)+'Dp&gt;100um'!O316</f>
        <v>17.912823749000754</v>
      </c>
      <c r="V7" s="114" cm="1">
        <f t="array" ref="V7">IF(AND(ISNUMBER(V1),ISNUMBER(V2),ISNUMBER(V3),ISNUMBER(V4)),TREND(V3:V4,V1:V2,0)," ")</f>
        <v>9.8219860614004002</v>
      </c>
      <c r="W7" s="25">
        <f>SUM(W13:W314)</f>
        <v>2.2981526714886229</v>
      </c>
      <c r="X7" s="114" cm="1">
        <f t="array" ref="X7">IF(AND(ISNUMBER(X1),ISNUMBER(X2),ISNUMBER(X3),ISNUMBER(X4)),TREND(X3:X4,X1:X2,0)," ")</f>
        <v>5.1009220316821828</v>
      </c>
      <c r="Y7" s="25">
        <f t="shared" ref="Y7:AK7" si="0">SUM(Y13:Y314)</f>
        <v>1.7228650831903987</v>
      </c>
      <c r="Z7" s="114" cm="1">
        <f t="array" ref="Z7">IF(AND(ISNUMBER(Z1),ISNUMBER(Z2),ISNUMBER(Z3),ISNUMBER(Z4)),TREND(Z3:Z4,Z1:Z2,0)," ")</f>
        <v>2.1968470671543563</v>
      </c>
      <c r="AA7" s="25">
        <f>SUM(AA13:AA314)+'Dp&gt;100um'!P316</f>
        <v>56.931732270220728</v>
      </c>
      <c r="AB7" s="114" cm="1">
        <f t="array" ref="AB7">IF(AND(ISNUMBER(AB1),ISNUMBER(AB2),ISNUMBER(AB3),ISNUMBER(AB4)),TREND(AB3:AB4,AB1:AB2,0)," ")</f>
        <v>11.422221107953407</v>
      </c>
      <c r="AC7" s="25">
        <f t="shared" si="0"/>
        <v>5.5291662407130655</v>
      </c>
      <c r="AD7" s="114" cm="1">
        <f t="array" ref="AD7">IF(AND(ISNUMBER(AD1),ISNUMBER(AD2),ISNUMBER(AD3),ISNUMBER(AD4)),TREND(AD3:AD4,AD1:AD2,0)," ")</f>
        <v>4.9981686206597979</v>
      </c>
      <c r="AE7" s="25">
        <f t="shared" si="0"/>
        <v>4.9022608081038017</v>
      </c>
      <c r="AF7" s="114" cm="1">
        <f t="array" ref="AF7">IF(AND(ISNUMBER(AF1),ISNUMBER(AF2),ISNUMBER(AF3),ISNUMBER(AF4)),TREND(AF3:AF4,AF1:AF2,0)," ")</f>
        <v>2.3484765769512492</v>
      </c>
      <c r="AG7" s="25">
        <f>SUM(AG13:AG314)+'Dp&gt;100um'!Q316</f>
        <v>121.68012980732229</v>
      </c>
      <c r="AH7" s="114" cm="1">
        <f t="array" ref="AH7">IF(AND(ISNUMBER(AH1),ISNUMBER(AH2),ISNUMBER(AH3),ISNUMBER(AH4)),TREND(AH3:AH4,AH1:AH2,0)," ")</f>
        <v>11.5731342294246</v>
      </c>
      <c r="AI7" s="25">
        <f t="shared" si="0"/>
        <v>11.751743705675555</v>
      </c>
      <c r="AJ7" s="114" cm="1">
        <f t="array" ref="AJ7">IF(AND(ISNUMBER(AJ1),ISNUMBER(AJ2),ISNUMBER(AJ3),ISNUMBER(AJ4)),TREND(AJ3:AJ4,AJ1:AJ2,0)," ")</f>
        <v>4.2365464244162441</v>
      </c>
      <c r="AK7" s="25">
        <f t="shared" si="0"/>
        <v>6.3518440359780612</v>
      </c>
      <c r="AL7" s="114" cm="1">
        <f t="array" ref="AL7">IF(AND(ISNUMBER(AL1),ISNUMBER(AL2),ISNUMBER(AL3),ISNUMBER(AL4)),TREND(AL3:AL4,AL1:AL2,0)," ")</f>
        <v>2.0282123942100063</v>
      </c>
      <c r="AV7" s="135" t="s">
        <v>160</v>
      </c>
      <c r="AW7" s="114" cm="1">
        <f t="array" ref="AW7">IF(AND(ISNUMBER(AW1),ISNUMBER(AW2),ISNUMBER(AW3),ISNUMBER(AW4)),TREND(AW3:AW4,AW1:AW2,0)," ")</f>
        <v>9.8219860614004002</v>
      </c>
      <c r="AX7" s="114" cm="1">
        <f t="array" ref="AX7">IF(AND(ISNUMBER(AX1),ISNUMBER(AX2),ISNUMBER(AX3),ISNUMBER(AX4)),TREND(AX3:AX4,AX1:AX2,-1.645)," ")</f>
        <v>2.1365928893089339</v>
      </c>
      <c r="AY7" s="114" cm="1">
        <f t="array" ref="AY7">IF(AND(ISNUMBER(AY1),ISNUMBER(AY2),ISNUMBER(AY3),ISNUMBER(AY4)),TREND(AY3:AY4,AY1:AY2,1.645)," ")</f>
        <v>43.281969754547553</v>
      </c>
      <c r="AZ7" s="114" cm="1">
        <f t="array" ref="AZ7">IF(AND(ISNUMBER(AZ1),ISNUMBER(AZ2),ISNUMBER(AZ3),ISNUMBER(AZ4)),TREND(AZ3:AZ4,AZ1:AZ2,0)," ")</f>
        <v>5.1009220316821828</v>
      </c>
      <c r="BA7" s="114" cm="1">
        <f t="array" ref="BA7">IF(AND(ISNUMBER(BA1),ISNUMBER(BA2),ISNUMBER(BA3),ISNUMBER(BA4)),TREND(BA3:BA4,BA1:BA2,-1.645)," ")</f>
        <v>1.1267760612866491</v>
      </c>
      <c r="BB7" s="114" cm="1">
        <f t="array" ref="BB7">IF(AND(ISNUMBER(BB1),ISNUMBER(BB2),ISNUMBER(BB3),ISNUMBER(BB4)),TREND(BB3:BB4,BB1:BB2,1.645)," ")</f>
        <v>15.104240219129366</v>
      </c>
      <c r="BC7" s="114" cm="1">
        <f t="array" ref="BC7">IF(AND(ISNUMBER(BC1),ISNUMBER(BC2),ISNUMBER(BC3),ISNUMBER(BC4)),TREND(BC3:BC4,BC1:BC2,0)," ")</f>
        <v>2.1968470671543563</v>
      </c>
      <c r="BD7" s="114" cm="1">
        <f t="array" ref="BD7">IF(AND(ISNUMBER(BD1),ISNUMBER(BD2),ISNUMBER(BD3),ISNUMBER(BD4)),TREND(BD3:BD4,BD1:BD2,-1.645)," ")</f>
        <v>0.5997939544477735</v>
      </c>
      <c r="BE7" s="114" cm="1">
        <f t="array" ref="BE7">IF(AND(ISNUMBER(BE1),ISNUMBER(BE2),ISNUMBER(BE3),ISNUMBER(BE4)),TREND(BE3:BE4,BE1:BE2,1.645)," ")</f>
        <v>5.1702736529538926</v>
      </c>
      <c r="BF7" s="135" t="s">
        <v>161</v>
      </c>
      <c r="BG7" s="114" cm="1">
        <f t="array" ref="BG7">IF(AND(ISNUMBER(BG1),ISNUMBER(BG2),ISNUMBER(BG3),ISNUMBER(BG4)),TREND(BG3:BG4,BG1:BG2,0)," ")</f>
        <v>11.422221107953407</v>
      </c>
      <c r="BH7" s="114" cm="1">
        <f t="array" ref="BH7">IF(AND(ISNUMBER(BH1),ISNUMBER(BH2),ISNUMBER(BH3),ISNUMBER(BH4)),TREND(BH3:BH4,BH1:BH2,-1.645)," ")</f>
        <v>2.3150701009635251</v>
      </c>
      <c r="BI7" s="114" cm="1">
        <f t="array" ref="BI7">IF(AND(ISNUMBER(BI1),ISNUMBER(BI2),ISNUMBER(BI3),ISNUMBER(BI4)),TREND(BI3:BI4,BI1:BI2,1.645)," ")</f>
        <v>50.245597845731943</v>
      </c>
      <c r="BJ7" s="114" cm="1">
        <f t="array" ref="BJ7">IF(AND(ISNUMBER(BJ1),ISNUMBER(BJ2),ISNUMBER(BJ3),ISNUMBER(BJ4)),TREND(BJ3:BJ4,BJ1:BJ2,0)," ")</f>
        <v>4.9981686206597979</v>
      </c>
      <c r="BK7" s="114" cm="1">
        <f t="array" ref="BK7">IF(AND(ISNUMBER(BK1),ISNUMBER(BK2),ISNUMBER(BK3),ISNUMBER(BK4)),TREND(BK3:BK4,BK1:BK2,-1.645)," ")</f>
        <v>1.1817984099204799</v>
      </c>
      <c r="BL7" s="114" cm="1">
        <f t="array" ref="BL7">IF(AND(ISNUMBER(BL1),ISNUMBER(BL2),ISNUMBER(BL3),ISNUMBER(BL4)),TREND(BL3:BL4,BL1:BL2,1.645)," ")</f>
        <v>13.267694707504651</v>
      </c>
      <c r="BM7" s="114" cm="1">
        <f t="array" ref="BM7">IF(AND(ISNUMBER(BM1),ISNUMBER(BM2),ISNUMBER(BM3),ISNUMBER(BM4)),TREND(BM3:BM4,BM1:BM2,0)," ")</f>
        <v>2.3484765769512492</v>
      </c>
      <c r="BN7" s="114" cm="1">
        <f t="array" ref="BN7">IF(AND(ISNUMBER(BN1),ISNUMBER(BN2),ISNUMBER(BN3),ISNUMBER(BN4)),TREND(BN3:BN4,BN1:BN2,-1.645)," ")</f>
        <v>0.66626073759734705</v>
      </c>
      <c r="BO7" s="114" cm="1">
        <f t="array" ref="BO7">IF(AND(ISNUMBER(BO1),ISNUMBER(BO2),ISNUMBER(BO3),ISNUMBER(BO4)),TREND(BO3:BO4,BO1:BO2,1.645)," ")</f>
        <v>4.7673491355970814</v>
      </c>
      <c r="BP7" s="135" t="s">
        <v>162</v>
      </c>
      <c r="BQ7" s="114" cm="1">
        <f t="array" ref="BQ7">IF(AND(ISNUMBER(BQ1),ISNUMBER(BQ2),ISNUMBER(BQ3),ISNUMBER(BQ4)),TREND(BQ3:BQ4,BQ1:BQ2,0)," ")</f>
        <v>11.5731342294246</v>
      </c>
      <c r="BR7" s="114" cm="1">
        <f t="array" ref="BR7">IF(AND(ISNUMBER(BR1),ISNUMBER(BR2),ISNUMBER(BR3),ISNUMBER(BR4)),TREND(BR3:BR4,BR1:BR2,-1.645)," ")</f>
        <v>2.2706160668880164</v>
      </c>
      <c r="BS7" s="114" cm="1">
        <f t="array" ref="BS7">IF(AND(ISNUMBER(BS1),ISNUMBER(BS2),ISNUMBER(BS3),ISNUMBER(BS4)),TREND(BS3:BS4,BS1:BS2,1.645)," ")</f>
        <v>51.249056097238274</v>
      </c>
      <c r="BT7" s="114" cm="1">
        <f t="array" ref="BT7">IF(AND(ISNUMBER(BT1),ISNUMBER(BT2),ISNUMBER(BT3),ISNUMBER(BT4)),TREND(BT3:BT4,BT1:BT2,0)," ")</f>
        <v>4.2365464244162441</v>
      </c>
      <c r="BU7" s="114" cm="1">
        <f t="array" ref="BU7">IF(AND(ISNUMBER(BU1),ISNUMBER(BU2),ISNUMBER(BU3),ISNUMBER(BU4)),TREND(BU3:BU4,BU1:BU2,-1.645)," ")</f>
        <v>1.2182820223448556</v>
      </c>
      <c r="BV7" s="114" cm="1">
        <f t="array" ref="BV7">IF(AND(ISNUMBER(BV1),ISNUMBER(BV2),ISNUMBER(BV3),ISNUMBER(BV4)),TREND(BV3:BV4,BV1:BV2,1.645)," ")</f>
        <v>11.241322604156197</v>
      </c>
      <c r="BW7" s="114" cm="1">
        <f t="array" ref="BW7">IF(AND(ISNUMBER(BW1),ISNUMBER(BW2),ISNUMBER(BW3),ISNUMBER(BW4)),TREND(BW3:BW4,BW1:BW2,0)," ")</f>
        <v>2.0282123942100063</v>
      </c>
      <c r="BX7" s="114" cm="1">
        <f t="array" ref="BX7">IF(AND(ISNUMBER(BX1),ISNUMBER(BX2),ISNUMBER(BX3),ISNUMBER(BX4)),TREND(BX3:BX4,BX1:BX2,-1.645)," ")</f>
        <v>0.56505765763545845</v>
      </c>
      <c r="BY7" s="114" cm="1">
        <f t="array" ref="BY7">IF(AND(ISNUMBER(BY1),ISNUMBER(BY2),ISNUMBER(BY3),ISNUMBER(BY4)),TREND(BY3:BY4,BY1:BY2,1.645)," ")</f>
        <v>3.7634764911661698</v>
      </c>
    </row>
    <row r="8" spans="1:77" x14ac:dyDescent="0.4">
      <c r="B8" s="38"/>
      <c r="I8" s="6">
        <f>EXP(INTERCEPT($A13:$A313,I13:I313))</f>
        <v>22.967632673001123</v>
      </c>
      <c r="N8" s="6">
        <f>IF(ISNUMBER(INTERCEPT($A13:$A313,N13:N313)),EXP(INTERCEPT($A13:$A313,N13:N313))," ")</f>
        <v>22.967632673001184</v>
      </c>
      <c r="P8" s="6">
        <f>IF(ISNUMBER(INTERCEPT($A13:$A313,P13:P313)),EXP(INTERCEPT($A13:$A313,P13:P313))," ")</f>
        <v>10.135022436439675</v>
      </c>
      <c r="Q8" s="25"/>
      <c r="R8" s="6">
        <f>IF(ISNUMBER(INTERCEPT($A13:$A313,R13:R313)),EXP(INTERCEPT($A13:$A313,R13:R313))," ")</f>
        <v>2.981784574544831</v>
      </c>
      <c r="S8" s="25"/>
      <c r="T8" s="6">
        <f>IF(ISNUMBER(INTERCEPT($A13:$A313,T13:T313)),EXP(INTERCEPT($A13:$A313,T13:T313))," ")</f>
        <v>1.2878566059256409</v>
      </c>
      <c r="V8" s="6">
        <f>IF(ISNUMBER(INTERCEPT($A13:$A313,V13:V313)),EXP(INTERCEPT($A13:$A313,V13:V313))," ")</f>
        <v>8.7373960846264627</v>
      </c>
      <c r="X8" s="6">
        <f>IF(ISNUMBER(INTERCEPT($A13:$A313,X13:X313)),EXP(INTERCEPT($A13:$A313,X13:X313))," ")</f>
        <v>3.3940384978749933</v>
      </c>
      <c r="Z8" s="6">
        <f>IF(ISNUMBER(INTERCEPT($A13:$A313,Z13:Z313)),EXP(INTERCEPT($A13:$A313,Z13:Z313))," ")</f>
        <v>1.4880970593730687</v>
      </c>
      <c r="AB8" s="6">
        <f>IF(ISNUMBER(INTERCEPT($A13:$A313,AB13:AB313)),EXP(INTERCEPT($A13:$A313,AB13:AB313))," ")</f>
        <v>10.191627244455699</v>
      </c>
      <c r="AD8" s="6">
        <f>IF(ISNUMBER(INTERCEPT($A13:$A313,AD13:AD313)),EXP(INTERCEPT($A13:$A313,AD13:AD313))," ")</f>
        <v>3.2735139875714232</v>
      </c>
      <c r="AF8" s="6">
        <f>IF(ISNUMBER(INTERCEPT($A13:$A313,AF13:AF313)),EXP(INTERCEPT($A13:$A313,AF13:AF313))," ")</f>
        <v>1.5169647801568784</v>
      </c>
      <c r="AH8" s="6">
        <f>IF(ISNUMBER(INTERCEPT($A13:$A313,AH13:AH313)),EXP(INTERCEPT($A13:$A313,AH13:AH313))," ")</f>
        <v>10.322114232602974</v>
      </c>
      <c r="AJ8" s="6">
        <f>IF(ISNUMBER(INTERCEPT($A13:$A313,AJ13:AJ313)),EXP(INTERCEPT($A13:$A313,AJ13:AJ313))," ")</f>
        <v>2.967011810875722</v>
      </c>
      <c r="AL8" s="6">
        <f>IF(ISNUMBER(INTERCEPT($A13:$A313,AL13:AL313)),EXP(INTERCEPT($A13:$A313,AL13:AL313))," ")</f>
        <v>1.2889147268417998</v>
      </c>
      <c r="AV8" s="45"/>
      <c r="AW8" s="136">
        <f>AW7</f>
        <v>9.8219860614004002</v>
      </c>
      <c r="AX8" s="25">
        <f t="shared" ref="AX8:BE8" si="1">AX7</f>
        <v>2.1365928893089339</v>
      </c>
      <c r="AY8" s="25">
        <f t="shared" si="1"/>
        <v>43.281969754547553</v>
      </c>
      <c r="AZ8" s="136">
        <f t="shared" si="1"/>
        <v>5.1009220316821828</v>
      </c>
      <c r="BA8" s="25">
        <f t="shared" si="1"/>
        <v>1.1267760612866491</v>
      </c>
      <c r="BB8" s="25">
        <f t="shared" si="1"/>
        <v>15.104240219129366</v>
      </c>
      <c r="BC8" s="136">
        <f t="shared" si="1"/>
        <v>2.1968470671543563</v>
      </c>
      <c r="BD8" s="25">
        <f t="shared" si="1"/>
        <v>0.5997939544477735</v>
      </c>
      <c r="BE8" s="25">
        <f t="shared" si="1"/>
        <v>5.1702736529538926</v>
      </c>
      <c r="BG8" s="136">
        <f>BG7</f>
        <v>11.422221107953407</v>
      </c>
      <c r="BH8" s="25">
        <f t="shared" ref="BH8" si="2">BH7</f>
        <v>2.3150701009635251</v>
      </c>
      <c r="BI8" s="25">
        <f t="shared" ref="BI8" si="3">BI7</f>
        <v>50.245597845731943</v>
      </c>
      <c r="BJ8" s="136">
        <f t="shared" ref="BJ8" si="4">BJ7</f>
        <v>4.9981686206597979</v>
      </c>
      <c r="BK8" s="25">
        <f t="shared" ref="BK8" si="5">BK7</f>
        <v>1.1817984099204799</v>
      </c>
      <c r="BL8" s="25">
        <f t="shared" ref="BL8" si="6">BL7</f>
        <v>13.267694707504651</v>
      </c>
      <c r="BM8" s="136">
        <f t="shared" ref="BM8" si="7">BM7</f>
        <v>2.3484765769512492</v>
      </c>
      <c r="BN8" s="25">
        <f t="shared" ref="BN8" si="8">BN7</f>
        <v>0.66626073759734705</v>
      </c>
      <c r="BO8" s="25">
        <f t="shared" ref="BO8" si="9">BO7</f>
        <v>4.7673491355970814</v>
      </c>
      <c r="BQ8" s="136">
        <f>BQ7</f>
        <v>11.5731342294246</v>
      </c>
      <c r="BR8" s="25">
        <f t="shared" ref="BR8" si="10">BR7</f>
        <v>2.2706160668880164</v>
      </c>
      <c r="BS8" s="25">
        <f t="shared" ref="BS8" si="11">BS7</f>
        <v>51.249056097238274</v>
      </c>
      <c r="BT8" s="136">
        <f t="shared" ref="BT8" si="12">BT7</f>
        <v>4.2365464244162441</v>
      </c>
      <c r="BU8" s="25">
        <f t="shared" ref="BU8" si="13">BU7</f>
        <v>1.2182820223448556</v>
      </c>
      <c r="BV8" s="25">
        <f t="shared" ref="BV8" si="14">BV7</f>
        <v>11.241322604156197</v>
      </c>
      <c r="BW8" s="136">
        <f t="shared" ref="BW8" si="15">BW7</f>
        <v>2.0282123942100063</v>
      </c>
      <c r="BX8" s="25">
        <f t="shared" ref="BX8" si="16">BX7</f>
        <v>0.56505765763545845</v>
      </c>
      <c r="BY8" s="25">
        <f t="shared" ref="BY8" si="17">BY7</f>
        <v>3.7634764911661698</v>
      </c>
    </row>
    <row r="9" spans="1:77" ht="15" x14ac:dyDescent="0.5">
      <c r="E9" s="45" t="s">
        <v>58</v>
      </c>
      <c r="F9" s="45" t="s">
        <v>59</v>
      </c>
      <c r="G9" s="45" t="s">
        <v>60</v>
      </c>
      <c r="H9" s="48" t="s">
        <v>111</v>
      </c>
      <c r="I9" s="48"/>
      <c r="J9" s="45" t="s">
        <v>58</v>
      </c>
      <c r="K9" s="45" t="s">
        <v>59</v>
      </c>
      <c r="L9" s="45" t="s">
        <v>60</v>
      </c>
      <c r="M9" s="48" t="s">
        <v>111</v>
      </c>
      <c r="N9" s="111"/>
      <c r="O9" s="112"/>
      <c r="P9" s="112"/>
      <c r="Q9" s="112"/>
      <c r="R9" s="112"/>
      <c r="S9" s="45"/>
      <c r="T9" s="109" t="s">
        <v>136</v>
      </c>
      <c r="U9" s="110">
        <f>IF($E319=0," ",U7/$E319)</f>
        <v>0.33338588775359645</v>
      </c>
      <c r="V9" s="110">
        <f>IF($E319=0," ",W7/$E319)</f>
        <v>4.2772244025472195E-2</v>
      </c>
      <c r="W9" s="110">
        <f>IF($E319=0," ",Y7/$E319)</f>
        <v>3.2065235123588262E-2</v>
      </c>
      <c r="Z9" s="109" t="s">
        <v>136</v>
      </c>
      <c r="AA9" s="110">
        <f>IF($F319=0," ",AA7/$F319)</f>
        <v>0.38145214251404141</v>
      </c>
      <c r="AB9" s="110">
        <f>IF($F319=0," ",AC7/$F319)</f>
        <v>3.7046339971276793E-2</v>
      </c>
      <c r="AC9" s="110">
        <f>IF($F319=0," ",AE7/$F319)</f>
        <v>3.2845968563509534E-2</v>
      </c>
      <c r="AF9" s="109" t="s">
        <v>136</v>
      </c>
      <c r="AG9" s="110">
        <f>IF($G319=0," ",AG7/$G319)</f>
        <v>0.40765493201745551</v>
      </c>
      <c r="AH9" s="110">
        <f>IF($G319=0," ",AI7/$G319)</f>
        <v>3.9370900483173585E-2</v>
      </c>
      <c r="AI9" s="110">
        <f>IF($G319=0," ",AK7/$G319)</f>
        <v>2.1280060703192133E-2</v>
      </c>
      <c r="AM9" s="87" t="s">
        <v>121</v>
      </c>
      <c r="AV9" s="45"/>
    </row>
    <row r="10" spans="1:77" x14ac:dyDescent="0.4">
      <c r="E10" s="38" t="s">
        <v>19</v>
      </c>
      <c r="F10" s="38" t="s">
        <v>19</v>
      </c>
      <c r="G10" s="38" t="s">
        <v>19</v>
      </c>
      <c r="H10" s="38" t="s">
        <v>19</v>
      </c>
      <c r="I10" s="38"/>
      <c r="J10" s="38" t="s">
        <v>19</v>
      </c>
      <c r="K10" s="38" t="s">
        <v>19</v>
      </c>
      <c r="L10" s="38" t="s">
        <v>19</v>
      </c>
      <c r="M10" s="38" t="s">
        <v>19</v>
      </c>
      <c r="N10" s="38"/>
      <c r="O10" s="48" t="s">
        <v>111</v>
      </c>
      <c r="P10" s="48"/>
      <c r="Q10" s="48" t="s">
        <v>111</v>
      </c>
      <c r="R10" s="48"/>
      <c r="S10" s="48" t="s">
        <v>111</v>
      </c>
      <c r="T10" s="48"/>
      <c r="U10" s="45" t="s">
        <v>58</v>
      </c>
      <c r="V10" s="45"/>
      <c r="AA10" s="45" t="s">
        <v>59</v>
      </c>
      <c r="AB10" s="45"/>
      <c r="AG10" s="45" t="s">
        <v>60</v>
      </c>
      <c r="AH10" s="45"/>
      <c r="AM10" s="45" t="s">
        <v>58</v>
      </c>
      <c r="AP10" s="45" t="s">
        <v>59</v>
      </c>
      <c r="AS10" s="45" t="s">
        <v>60</v>
      </c>
      <c r="AV10" s="45"/>
      <c r="BB10" s="45"/>
      <c r="BK10" s="45"/>
    </row>
    <row r="11" spans="1:77" x14ac:dyDescent="0.4">
      <c r="E11" s="38" t="s">
        <v>49</v>
      </c>
      <c r="F11" s="38" t="s">
        <v>49</v>
      </c>
      <c r="G11" s="38" t="s">
        <v>49</v>
      </c>
      <c r="H11" s="38" t="s">
        <v>49</v>
      </c>
      <c r="I11" s="38"/>
      <c r="J11" s="38" t="s">
        <v>74</v>
      </c>
      <c r="K11" s="38" t="s">
        <v>74</v>
      </c>
      <c r="L11" s="38" t="s">
        <v>74</v>
      </c>
      <c r="M11" s="38" t="s">
        <v>49</v>
      </c>
      <c r="N11" s="38"/>
      <c r="O11" s="38"/>
      <c r="P11" s="38"/>
      <c r="Q11" s="38"/>
      <c r="R11" s="38"/>
      <c r="S11" s="38"/>
      <c r="T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</row>
    <row r="12" spans="1:77" x14ac:dyDescent="0.4">
      <c r="A12" s="18" t="s">
        <v>112</v>
      </c>
      <c r="B12" s="24" t="s">
        <v>5</v>
      </c>
      <c r="C12" s="7"/>
      <c r="D12" s="7"/>
      <c r="E12" s="38" t="s">
        <v>18</v>
      </c>
      <c r="F12" s="38" t="s">
        <v>18</v>
      </c>
      <c r="G12" s="38" t="s">
        <v>18</v>
      </c>
      <c r="H12" s="38" t="s">
        <v>18</v>
      </c>
      <c r="I12" s="38"/>
      <c r="J12" s="38" t="s">
        <v>18</v>
      </c>
      <c r="K12" s="38" t="s">
        <v>18</v>
      </c>
      <c r="L12" s="38" t="s">
        <v>18</v>
      </c>
      <c r="M12" s="38" t="s">
        <v>18</v>
      </c>
      <c r="N12" s="38"/>
      <c r="O12" s="38" t="s">
        <v>75</v>
      </c>
      <c r="P12" s="38"/>
      <c r="Q12" s="38" t="s">
        <v>76</v>
      </c>
      <c r="R12" s="38"/>
      <c r="S12" s="38" t="s">
        <v>77</v>
      </c>
      <c r="T12" s="38"/>
      <c r="U12" s="38" t="s">
        <v>75</v>
      </c>
      <c r="V12" s="38"/>
      <c r="W12" s="38" t="s">
        <v>76</v>
      </c>
      <c r="X12" s="38"/>
      <c r="Y12" s="38" t="s">
        <v>77</v>
      </c>
      <c r="Z12" s="38"/>
      <c r="AA12" s="38" t="s">
        <v>75</v>
      </c>
      <c r="AB12" s="38"/>
      <c r="AC12" s="38" t="s">
        <v>76</v>
      </c>
      <c r="AD12" s="38"/>
      <c r="AE12" s="38" t="s">
        <v>77</v>
      </c>
      <c r="AF12" s="38"/>
      <c r="AG12" s="38" t="s">
        <v>75</v>
      </c>
      <c r="AH12" s="38"/>
      <c r="AI12" s="38" t="s">
        <v>76</v>
      </c>
      <c r="AJ12" s="38"/>
      <c r="AK12" s="38" t="s">
        <v>77</v>
      </c>
      <c r="AL12" s="38"/>
      <c r="AM12" s="38" t="s">
        <v>50</v>
      </c>
      <c r="AN12" s="38" t="s">
        <v>51</v>
      </c>
      <c r="AO12" s="38" t="s">
        <v>55</v>
      </c>
      <c r="AP12" s="38" t="s">
        <v>50</v>
      </c>
      <c r="AQ12" s="38" t="s">
        <v>51</v>
      </c>
      <c r="AR12" s="38" t="s">
        <v>55</v>
      </c>
      <c r="AS12" s="38" t="s">
        <v>50</v>
      </c>
      <c r="AT12" s="38" t="s">
        <v>51</v>
      </c>
      <c r="AU12" s="38" t="s">
        <v>55</v>
      </c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</row>
    <row r="13" spans="1:77" x14ac:dyDescent="0.4">
      <c r="A13" s="6">
        <f>LN(B13)</f>
        <v>-2.9125127825799746</v>
      </c>
      <c r="B13" s="6">
        <f>'Aerosol 1'!A17</f>
        <v>5.4339016042139802E-2</v>
      </c>
      <c r="C13" t="b">
        <f>OR(B13&lt;0.001,B13&gt;100)</f>
        <v>0</v>
      </c>
      <c r="E13" s="46">
        <f>'Aerosol 1'!$P17</f>
        <v>1.0000000000000044E-2</v>
      </c>
      <c r="F13" s="46">
        <f>'Aerosol 2'!$P17</f>
        <v>1.0000000000000044E-2</v>
      </c>
      <c r="G13" s="46">
        <f>'Aerosol 3'!$P17</f>
        <v>1.0000000000000044E-2</v>
      </c>
      <c r="H13" s="46">
        <f>SUM(E13,F13,G13)</f>
        <v>3.0000000000000131E-2</v>
      </c>
      <c r="I13" s="46">
        <f>NORMSINV(SUM(H$13:H13)/H$317)</f>
        <v>-3.7177500138711714</v>
      </c>
      <c r="J13" s="46">
        <f t="shared" ref="J13:J76" si="18">F$5*G$5*E13</f>
        <v>5.4000000000000237E-3</v>
      </c>
      <c r="K13" s="46">
        <f t="shared" ref="K13:K76" si="19">F$6*G$6*F13</f>
        <v>1.5000000000000065E-2</v>
      </c>
      <c r="L13" s="46">
        <f t="shared" ref="L13:L76" si="20">F$7*G$7*G13</f>
        <v>2.9998800000000131E-2</v>
      </c>
      <c r="M13" s="46">
        <f>SUM(J13,K13,L13)</f>
        <v>5.0398800000000216E-2</v>
      </c>
      <c r="N13" s="46">
        <f>IF(ISNUMBER(NORMSINV(SUM(M$13:M13)/M$317)),NORMSINV(SUM(M$13:M13)/M$317)," ")</f>
        <v>-3.7177500138711714</v>
      </c>
      <c r="O13" s="46">
        <f>SUM(U13,AA13,AG13)</f>
        <v>1.315251729876362E-3</v>
      </c>
      <c r="P13" s="46">
        <f>IF(ISNUMBER(NORMSINV(SUM(O$13:O13)/O$317)),NORMSINV(SUM(O$13:O13)/O$317)," ")</f>
        <v>-4.3526579262040466</v>
      </c>
      <c r="Q13" s="46">
        <f>SUM(W13,AC13,AI13)</f>
        <v>6.1612420076552878E-3</v>
      </c>
      <c r="R13" s="46">
        <f>IF(ISNUMBER(NORMSINV(SUM(Q$13:Q13)/Q$317)),NORMSINV(SUM(Q$13:Q13)/Q$317)," ")</f>
        <v>-3.4186308525132461</v>
      </c>
      <c r="S13" s="46">
        <f>SUM(Y13,AE13,AK13)</f>
        <v>1.4420326308037206E-2</v>
      </c>
      <c r="T13" s="46">
        <f>IF(ISNUMBER(NORMSINV(SUM(S$13:S13)/S$317)),NORMSINV(SUM(S$13:S13)/S$317)," ")</f>
        <v>-3.058773796619882</v>
      </c>
      <c r="U13" s="46">
        <f>IF(C13,0,$J13*AM13)</f>
        <v>2.3698538732021295E-4</v>
      </c>
      <c r="V13" s="46">
        <f>IF(ISNUMBER(NORMSINV(SUM(U$13:U13)/U$317)),NORMSINV(SUM(U$13:U13)/U$317)," ")</f>
        <v>-4.2012402120130519</v>
      </c>
      <c r="W13" s="46">
        <f>IF(C13,0,$J13*AN13)</f>
        <v>8.9332693660106358E-4</v>
      </c>
      <c r="X13" s="46">
        <f>IF(ISNUMBER(NORMSINV(SUM(W$13:W13)/W$317)),NORMSINV(SUM(W$13:W13)/W$317)," ")</f>
        <v>-3.3607077275294435</v>
      </c>
      <c r="Y13" s="46">
        <f>IF(C13,0,$J13*AO13)</f>
        <v>1.5899269366010666E-3</v>
      </c>
      <c r="Z13" s="46">
        <f>IF(ISNUMBER(NORMSINV(SUM(Y$13:Y13)/Y$317)),NORMSINV(SUM(Y$13:Y13)/Y$317)," ")</f>
        <v>-3.1140027298946262</v>
      </c>
      <c r="AA13" s="46">
        <f>IF(C13,0,$K13*AP13)</f>
        <v>4.1829274255614614E-4</v>
      </c>
      <c r="AB13" s="46">
        <f>IF(ISNUMBER(NORMSINV(SUM(AA$13:AA13)/AA$317)),NORMSINV(SUM(AA$13:AA13)/AA$317)," ")</f>
        <v>-4.3321647396386345</v>
      </c>
      <c r="AC13" s="46">
        <f>IF(C13,0,$K13*AQ13)</f>
        <v>1.9148782276684415E-3</v>
      </c>
      <c r="AD13" s="46">
        <f>IF(ISNUMBER(NORMSINV(SUM(AC$13:AC13)/AC$317)),NORMSINV(SUM(AC$13:AC13)/AC$317)," ")</f>
        <v>-3.3924735121479079</v>
      </c>
      <c r="AE13" s="46">
        <f>IF(C13,0,$K13*AR13)</f>
        <v>4.4880491978930301E-3</v>
      </c>
      <c r="AF13" s="46">
        <f>IF(ISNUMBER(NORMSINV(SUM(AE$13:AE13)/AE$317)),NORMSINV(SUM(AE$13:AE13)/AE$317)," ")</f>
        <v>-3.1163558080121034</v>
      </c>
      <c r="AG13" s="46">
        <f>IF(C13,0,$L13*AS13)</f>
        <v>6.5997360000000281E-4</v>
      </c>
      <c r="AH13" s="46">
        <f>IF(ISNUMBER(NORMSINV(SUM(AG$13:AG13)/AG$317)),NORMSINV(SUM(AG$13:AG13)/AG$317)," ")</f>
        <v>-4.3984495734378779</v>
      </c>
      <c r="AI13" s="46">
        <f>IF(C13,0,$L13*AT13)</f>
        <v>3.3530368433857829E-3</v>
      </c>
      <c r="AJ13" s="46">
        <f>IF(ISNUMBER(NORMSINV(SUM(AI$13:AI13)/AI$317)),NORMSINV(SUM(AI$13:AI13)/AI$317)," ")</f>
        <v>-3.4451962165144363</v>
      </c>
      <c r="AK13" s="46">
        <f>IF(C13,0,$L13*AU13)</f>
        <v>8.3423501735431088E-3</v>
      </c>
      <c r="AL13" s="46">
        <f>IF(ISNUMBER(NORMSINV(SUM(AK$13:AK13)/AK$317)),NORMSINV(SUM(AK$13:AK13)/AK$317)," ")</f>
        <v>-3.0083448272567614</v>
      </c>
      <c r="AM13" s="6">
        <v>4.3886182837076279E-2</v>
      </c>
      <c r="AN13" s="6">
        <v>0.16543091418538142</v>
      </c>
      <c r="AO13" s="6">
        <v>0.29443091418538142</v>
      </c>
      <c r="AP13" s="6">
        <v>2.7886182837076289E-2</v>
      </c>
      <c r="AQ13" s="6">
        <v>0.12765854851122888</v>
      </c>
      <c r="AR13" s="6">
        <v>0.29920327985953404</v>
      </c>
      <c r="AS13" s="6">
        <v>2.1999999999999999E-2</v>
      </c>
      <c r="AT13" s="6">
        <v>0.11177236567415258</v>
      </c>
      <c r="AU13" s="6">
        <v>0.27808946269661028</v>
      </c>
    </row>
    <row r="14" spans="1:77" x14ac:dyDescent="0.4">
      <c r="A14" s="6">
        <f t="shared" ref="A14:A77" si="21">LN(B14)</f>
        <v>-2.8780342051487962</v>
      </c>
      <c r="B14" s="6">
        <f>'Aerosol 1'!A18</f>
        <v>5.6245220795161463E-2</v>
      </c>
      <c r="C14" t="b">
        <f t="shared" ref="C14:C77" si="22">OR(B14&lt;0.001,B14&gt;100)</f>
        <v>0</v>
      </c>
      <c r="E14" s="46">
        <f>'Aerosol 1'!$P18</f>
        <v>8.6082146709364057E-4</v>
      </c>
      <c r="F14" s="46">
        <f>'Aerosol 2'!$P18</f>
        <v>8.6082146709364057E-4</v>
      </c>
      <c r="G14" s="46">
        <f>'Aerosol 3'!$P18</f>
        <v>8.6082146709364057E-4</v>
      </c>
      <c r="H14" s="46">
        <f t="shared" ref="H14:H77" si="23">SUM(E14,F14,G14)</f>
        <v>2.5824644012809217E-3</v>
      </c>
      <c r="I14" s="46">
        <f>NORMSINV(SUM(H$13:H14)/H$317)</f>
        <v>-3.6968305302448936</v>
      </c>
      <c r="J14" s="46">
        <f t="shared" si="18"/>
        <v>4.6484359223056596E-4</v>
      </c>
      <c r="K14" s="46">
        <f t="shared" si="19"/>
        <v>1.2912322006404609E-3</v>
      </c>
      <c r="L14" s="46">
        <f t="shared" si="20"/>
        <v>2.5823611027048707E-3</v>
      </c>
      <c r="M14" s="46">
        <f t="shared" ref="M14:M77" si="24">SUM(J14,K14,L14)</f>
        <v>4.3384368955758975E-3</v>
      </c>
      <c r="N14" s="46">
        <f>IF(ISNUMBER(NORMSINV(SUM(M$13:M14)/M$317)),NORMSINV(SUM(M$13:M14)/M$317)," ")</f>
        <v>-3.6968305302448936</v>
      </c>
      <c r="O14" s="46">
        <f t="shared" ref="O14:O77" si="25">SUM(U14,AA14,AG14)</f>
        <v>1.1157378115311722E-4</v>
      </c>
      <c r="P14" s="46">
        <f>IF(ISNUMBER(NORMSINV(SUM(O$13:O14)/O$317)),NORMSINV(SUM(O$13:O14)/O$317)," ")</f>
        <v>-4.3347793546657716</v>
      </c>
      <c r="Q14" s="46">
        <f t="shared" ref="Q14:Q77" si="26">SUM(W14,AC14,AI14)</f>
        <v>5.2003603622738392E-4</v>
      </c>
      <c r="R14" s="46">
        <f>IF(ISNUMBER(NORMSINV(SUM(Q$13:Q14)/Q$317)),NORMSINV(SUM(Q$13:Q14)/Q$317)," ")</f>
        <v>-3.3965174216600089</v>
      </c>
      <c r="S14" s="46">
        <f t="shared" ref="S14:S77" si="27">SUM(Y14,AE14,AK14)</f>
        <v>1.2122811410069272E-3</v>
      </c>
      <c r="T14" s="46">
        <f>IF(ISNUMBER(NORMSINV(SUM(S$13:S14)/S$317)),NORMSINV(SUM(S$13:S14)/S$317)," ")</f>
        <v>-3.0345078712406561</v>
      </c>
      <c r="U14" s="46">
        <f t="shared" ref="U14:U77" si="28">IF(C14,0,$J14*AM14)</f>
        <v>1.9971553536588804E-5</v>
      </c>
      <c r="V14" s="46">
        <f>IF(ISNUMBER(NORMSINV(SUM(U$13:U14)/U$317)),NORMSINV(SUM(U$13:U14)/U$317)," ")</f>
        <v>-4.1828892118508945</v>
      </c>
      <c r="W14" s="46">
        <f t="shared" ref="W14:W77" si="29">IF(C14,0,$J14*AN14)</f>
        <v>7.4811153898848783E-5</v>
      </c>
      <c r="X14" s="46">
        <f>IF(ISNUMBER(NORMSINV(SUM(W$13:W14)/W$317)),NORMSINV(SUM(W$13:W14)/W$317)," ")</f>
        <v>-3.338428890398033</v>
      </c>
      <c r="Y14" s="46">
        <f t="shared" ref="Y14:Y77" si="30">IF(C14,0,$J14*AO14)</f>
        <v>1.3474731284631944E-4</v>
      </c>
      <c r="Z14" s="46">
        <f>IF(ISNUMBER(NORMSINV(SUM(Y$13:Y14)/Y$317)),NORMSINV(SUM(Y$13:Y14)/Y$317)," ")</f>
        <v>-3.0899205871561728</v>
      </c>
      <c r="AA14" s="46">
        <f t="shared" ref="AA14:AA77" si="31">IF(C14,0,$K14*AP14)</f>
        <v>3.4843363549047764E-5</v>
      </c>
      <c r="AB14" s="46">
        <f>IF(ISNUMBER(NORMSINV(SUM(AA$13:AA14)/AA$317)),NORMSINV(SUM(AA$13:AA14)/AA$317)," ")</f>
        <v>-4.3145207329093864</v>
      </c>
      <c r="AC14" s="46">
        <f t="shared" ref="AC14:AC77" si="32">IF(C14,0,$K14*AQ14)</f>
        <v>1.6132440160707893E-4</v>
      </c>
      <c r="AD14" s="46">
        <f>IF(ISNUMBER(NORMSINV(SUM(AC$13:AC14)/AC$317)),NORMSINV(SUM(AC$13:AC14)/AC$317)," ")</f>
        <v>-3.3702499655309603</v>
      </c>
      <c r="AE14" s="46">
        <f t="shared" ref="AE14:AE77" si="33">IF(C14,0,$K14*AR14)</f>
        <v>3.7812534081579338E-4</v>
      </c>
      <c r="AF14" s="46">
        <f>IF(ISNUMBER(NORMSINV(SUM(AE$13:AE14)/AE$317)),NORMSINV(SUM(AE$13:AE14)/AE$317)," ")</f>
        <v>-3.0924259310088864</v>
      </c>
      <c r="AG14" s="46">
        <f t="shared" ref="AG14:AG77" si="34">IF(C14,0,$L14*AS14)</f>
        <v>5.6758864067480646E-5</v>
      </c>
      <c r="AH14" s="46">
        <f>IF(ISNUMBER(NORMSINV(SUM(AG$13:AG14)/AG$317)),NORMSINV(SUM(AG$13:AG14)/AG$317)," ")</f>
        <v>-4.3805070587570585</v>
      </c>
      <c r="AI14" s="46">
        <f t="shared" ref="AI14:AI77" si="35">IF(C14,0,$L14*AT14)</f>
        <v>2.839004807214562E-4</v>
      </c>
      <c r="AJ14" s="46">
        <f>IF(ISNUMBER(NORMSINV(SUM(AI$13:AI14)/AI$317)),NORMSINV(SUM(AI$13:AI14)/AI$317)," ")</f>
        <v>-3.4231665924098333</v>
      </c>
      <c r="AK14" s="46">
        <f t="shared" ref="AK14:AK77" si="36">IF(C14,0,$L14*AU14)</f>
        <v>6.9940848734481435E-4</v>
      </c>
      <c r="AL14" s="46">
        <f>IF(ISNUMBER(NORMSINV(SUM(AK$13:AK14)/AK$317)),NORMSINV(SUM(AK$13:AK14)/AK$317)," ")</f>
        <v>-2.9837953456280193</v>
      </c>
      <c r="AM14" s="6">
        <v>4.2964028912939732E-2</v>
      </c>
      <c r="AN14" s="6">
        <v>0.16093833527932527</v>
      </c>
      <c r="AO14" s="6">
        <v>0.28987667055865052</v>
      </c>
      <c r="AP14" s="6">
        <v>2.6984583819831317E-2</v>
      </c>
      <c r="AQ14" s="6">
        <v>0.1249383352793253</v>
      </c>
      <c r="AR14" s="6">
        <v>0.2928406994715903</v>
      </c>
      <c r="AS14" s="6">
        <v>2.1979445093108431E-2</v>
      </c>
      <c r="AT14" s="6">
        <v>0.10993833527932528</v>
      </c>
      <c r="AU14" s="6">
        <v>0.27084069947159028</v>
      </c>
    </row>
    <row r="15" spans="1:77" x14ac:dyDescent="0.4">
      <c r="A15" s="6">
        <f t="shared" si="21"/>
        <v>-2.8435556277176177</v>
      </c>
      <c r="B15" s="6">
        <f>'Aerosol 1'!A19</f>
        <v>5.8218294932745107E-2</v>
      </c>
      <c r="C15" t="b">
        <f t="shared" si="22"/>
        <v>0</v>
      </c>
      <c r="E15" s="46">
        <f>'Aerosol 1'!$P19</f>
        <v>9.3003586320219425E-4</v>
      </c>
      <c r="F15" s="46">
        <f>'Aerosol 2'!$P19</f>
        <v>9.3003586320219425E-4</v>
      </c>
      <c r="G15" s="46">
        <f>'Aerosol 3'!$P19</f>
        <v>9.3003586320219425E-4</v>
      </c>
      <c r="H15" s="46">
        <f t="shared" si="23"/>
        <v>2.7901075896065827E-3</v>
      </c>
      <c r="I15" s="46">
        <f>NORMSINV(SUM(H$13:H15)/H$317)</f>
        <v>-3.6759109851169773</v>
      </c>
      <c r="J15" s="46">
        <f t="shared" si="18"/>
        <v>5.0221936612918495E-4</v>
      </c>
      <c r="K15" s="46">
        <f t="shared" si="19"/>
        <v>1.3950537948032914E-3</v>
      </c>
      <c r="L15" s="46">
        <f t="shared" si="20"/>
        <v>2.7899959853029985E-3</v>
      </c>
      <c r="M15" s="46">
        <f t="shared" si="24"/>
        <v>4.6872691462354742E-3</v>
      </c>
      <c r="N15" s="46">
        <f>IF(ISNUMBER(NORMSINV(SUM(M$13:M15)/M$317)),NORMSINV(SUM(M$13:M15)/M$317)," ")</f>
        <v>-3.6759109851169773</v>
      </c>
      <c r="O15" s="46">
        <f t="shared" si="25"/>
        <v>1.1631606771338312E-4</v>
      </c>
      <c r="P15" s="46">
        <f>IF(ISNUMBER(NORMSINV(SUM(O$13:O15)/O$317)),NORMSINV(SUM(O$13:O15)/O$317)," ")</f>
        <v>-4.3175078303601397</v>
      </c>
      <c r="Q15" s="46">
        <f t="shared" si="26"/>
        <v>5.4923820309018612E-4</v>
      </c>
      <c r="R15" s="46">
        <f>IF(ISNUMBER(NORMSINV(SUM(Q$13:Q15)/Q$317)),NORMSINV(SUM(Q$13:Q15)/Q$317)," ")</f>
        <v>-3.3748360532734125</v>
      </c>
      <c r="S15" s="46">
        <f t="shared" si="27"/>
        <v>1.2779635570104007E-3</v>
      </c>
      <c r="T15" s="46">
        <f>IF(ISNUMBER(NORMSINV(SUM(S$13:S15)/S$317)),NORMSINV(SUM(S$13:S15)/S$317)," ")</f>
        <v>-3.0107255089014888</v>
      </c>
      <c r="U15" s="46">
        <f t="shared" si="28"/>
        <v>2.0789138696680524E-5</v>
      </c>
      <c r="V15" s="46">
        <f>IF(ISNUMBER(NORMSINV(SUM(U$13:U15)/U$317)),NORMSINV(SUM(U$13:U15)/U$317)," ")</f>
        <v>-4.1651745708667569</v>
      </c>
      <c r="W15" s="46">
        <f t="shared" si="29"/>
        <v>7.9475099580728314E-5</v>
      </c>
      <c r="X15" s="46">
        <f>IF(ISNUMBER(NORMSINV(SUM(W$13:W15)/W$317)),NORMSINV(SUM(W$13:W15)/W$317)," ")</f>
        <v>-3.3164465480282552</v>
      </c>
      <c r="Y15" s="46">
        <f t="shared" si="30"/>
        <v>1.4287917944532272E-4</v>
      </c>
      <c r="Z15" s="46">
        <f>IF(ISNUMBER(NORMSINV(SUM(Y$13:Y15)/Y$317)),NORMSINV(SUM(Y$13:Y15)/Y$317)," ")</f>
        <v>-3.0662027548414077</v>
      </c>
      <c r="AA15" s="46">
        <f t="shared" si="31"/>
        <v>3.6706578594362177E-5</v>
      </c>
      <c r="AB15" s="46">
        <f>IF(ISNUMBER(NORMSINV(SUM(AA$13:AA15)/AA$317)),NORMSINV(SUM(AA$13:AA15)/AA$317)," ")</f>
        <v>-4.2972805035229467</v>
      </c>
      <c r="AC15" s="46">
        <f t="shared" si="32"/>
        <v>1.7054222888910465E-4</v>
      </c>
      <c r="AD15" s="46">
        <f>IF(ISNUMBER(NORMSINV(SUM(AC$13:AC15)/AC$317)),NORMSINV(SUM(AC$13:AC15)/AC$317)," ")</f>
        <v>-3.3484366835287012</v>
      </c>
      <c r="AE15" s="46">
        <f t="shared" si="33"/>
        <v>3.9883206526898852E-4</v>
      </c>
      <c r="AF15" s="46">
        <f>IF(ISNUMBER(NORMSINV(SUM(AE$13:AE15)/AE$317)),NORMSINV(SUM(AE$13:AE15)/AE$317)," ")</f>
        <v>-3.0689686609942259</v>
      </c>
      <c r="AG15" s="46">
        <f t="shared" si="34"/>
        <v>5.8820350422340412E-5</v>
      </c>
      <c r="AH15" s="46">
        <f>IF(ISNUMBER(NORMSINV(SUM(AG$13:AG15)/AG$317)),NORMSINV(SUM(AG$13:AG15)/AG$317)," ")</f>
        <v>-4.3632906943299172</v>
      </c>
      <c r="AI15" s="46">
        <f t="shared" si="35"/>
        <v>2.9922087462035314E-4</v>
      </c>
      <c r="AJ15" s="46">
        <f>IF(ISNUMBER(NORMSINV(SUM(AI$13:AI15)/AI$317)),NORMSINV(SUM(AI$13:AI15)/AI$317)," ")</f>
        <v>-3.4016167990975053</v>
      </c>
      <c r="AK15" s="46">
        <f t="shared" si="36"/>
        <v>7.3625231229608944E-4</v>
      </c>
      <c r="AL15" s="46">
        <f>IF(ISNUMBER(NORMSINV(SUM(AK$13:AK15)/AK$317)),NORMSINV(SUM(AK$13:AK15)/AK$317)," ")</f>
        <v>-2.9597593446353496</v>
      </c>
      <c r="AM15" s="6">
        <v>4.1394538121680022E-2</v>
      </c>
      <c r="AN15" s="6">
        <v>0.15824777963716574</v>
      </c>
      <c r="AO15" s="6">
        <v>0.28449555927433146</v>
      </c>
      <c r="AP15" s="6">
        <v>2.6311944909291445E-2</v>
      </c>
      <c r="AQ15" s="6">
        <v>0.12224777963716578</v>
      </c>
      <c r="AR15" s="6">
        <v>0.28589009739601157</v>
      </c>
      <c r="AS15" s="6">
        <v>2.108259321238859E-2</v>
      </c>
      <c r="AT15" s="6">
        <v>0.10724777963716577</v>
      </c>
      <c r="AU15" s="6">
        <v>0.26389009739601155</v>
      </c>
    </row>
    <row r="16" spans="1:77" x14ac:dyDescent="0.4">
      <c r="A16" s="6">
        <f t="shared" si="21"/>
        <v>-2.8090770502864393</v>
      </c>
      <c r="B16" s="6">
        <f>'Aerosol 1'!A20</f>
        <v>6.0260584223142885E-2</v>
      </c>
      <c r="C16" t="b">
        <f t="shared" si="22"/>
        <v>0</v>
      </c>
      <c r="E16" s="46">
        <f>'Aerosol 1'!$P20</f>
        <v>1.004376094424857E-3</v>
      </c>
      <c r="F16" s="46">
        <f>'Aerosol 2'!$P20</f>
        <v>1.004376094424857E-3</v>
      </c>
      <c r="G16" s="46">
        <f>'Aerosol 3'!$P20</f>
        <v>1.004376094424857E-3</v>
      </c>
      <c r="H16" s="46">
        <f t="shared" si="23"/>
        <v>3.0131282832745708E-3</v>
      </c>
      <c r="I16" s="46">
        <f>NORMSINV(SUM(H$13:H16)/H$317)</f>
        <v>-3.654991377630425</v>
      </c>
      <c r="J16" s="46">
        <f t="shared" si="18"/>
        <v>5.4236309098942284E-4</v>
      </c>
      <c r="K16" s="46">
        <f t="shared" si="19"/>
        <v>1.5065641416372854E-3</v>
      </c>
      <c r="L16" s="46">
        <f t="shared" si="20"/>
        <v>3.0130077581432403E-3</v>
      </c>
      <c r="M16" s="46">
        <f t="shared" si="24"/>
        <v>5.0619349907699484E-3</v>
      </c>
      <c r="N16" s="46">
        <f>IF(ISNUMBER(NORMSINV(SUM(M$13:M16)/M$317)),NORMSINV(SUM(M$13:M16)/M$317)," ")</f>
        <v>-3.654991377630425</v>
      </c>
      <c r="O16" s="46">
        <f t="shared" si="25"/>
        <v>1.2129307169512757E-4</v>
      </c>
      <c r="P16" s="46">
        <f>IF(ISNUMBER(NORMSINV(SUM(O$13:O16)/O$317)),NORMSINV(SUM(O$13:O16)/O$317)," ")</f>
        <v>-4.3007719182721242</v>
      </c>
      <c r="Q16" s="46">
        <f t="shared" si="26"/>
        <v>5.8160009914327122E-4</v>
      </c>
      <c r="R16" s="46">
        <f>IF(ISNUMBER(NORMSINV(SUM(Q$13:Q16)/Q$317)),NORMSINV(SUM(Q$13:Q16)/Q$317)," ")</f>
        <v>-3.3534850705201427</v>
      </c>
      <c r="S16" s="46">
        <f t="shared" si="27"/>
        <v>1.3479232813755674E-3</v>
      </c>
      <c r="T16" s="46">
        <f>IF(ISNUMBER(NORMSINV(SUM(S$13:S16)/S$317)),NORMSINV(SUM(S$13:S16)/S$317)," ")</f>
        <v>-2.9873596995442071</v>
      </c>
      <c r="U16" s="46">
        <f t="shared" si="28"/>
        <v>2.1824046954232206E-5</v>
      </c>
      <c r="V16" s="46">
        <f>IF(ISNUMBER(NORMSINV(SUM(U$13:U16)/U$317)),NORMSINV(SUM(U$13:U16)/U$317)," ")</f>
        <v>-4.1478853242743856</v>
      </c>
      <c r="W16" s="46">
        <f t="shared" si="29"/>
        <v>8.393839061926806E-5</v>
      </c>
      <c r="X16" s="46">
        <f>IF(ISNUMBER(NORMSINV(SUM(W$13:W16)/W$317)),NORMSINV(SUM(W$13:W16)/W$317)," ")</f>
        <v>-3.294848132687282</v>
      </c>
      <c r="Y16" s="46">
        <f t="shared" si="30"/>
        <v>1.5150833731522126E-4</v>
      </c>
      <c r="Z16" s="46">
        <f>IF(ISNUMBER(NORMSINV(SUM(Y$13:Y16)/Y$317)),NORMSINV(SUM(Y$13:Y16)/Y$317)," ")</f>
        <v>-3.0428049513000368</v>
      </c>
      <c r="AA16" s="46">
        <f t="shared" si="31"/>
        <v>3.8023890526085726E-5</v>
      </c>
      <c r="AB16" s="46">
        <f>IF(ISNUMBER(NORMSINV(SUM(AA$13:AA16)/AA$317)),NORMSINV(SUM(AA$13:AA16)/AA$317)," ")</f>
        <v>-4.2806739991384974</v>
      </c>
      <c r="AC16" s="46">
        <f t="shared" si="32"/>
        <v>1.8014462161920557E-4</v>
      </c>
      <c r="AD16" s="46">
        <f>IF(ISNUMBER(NORMSINV(SUM(AC$13:AC16)/AC$317)),NORMSINV(SUM(AC$13:AC16)/AC$317)," ")</f>
        <v>-3.3270043383451853</v>
      </c>
      <c r="AE16" s="46">
        <f t="shared" si="33"/>
        <v>4.2091159588905625E-4</v>
      </c>
      <c r="AF16" s="46">
        <f>IF(ISNUMBER(NORMSINV(SUM(AE$13:AE16)/AE$317)),NORMSINV(SUM(AE$13:AE16)/AE$317)," ")</f>
        <v>-3.045917772891098</v>
      </c>
      <c r="AG16" s="46">
        <f t="shared" si="34"/>
        <v>6.1445134214809641E-5</v>
      </c>
      <c r="AH16" s="46">
        <f>IF(ISNUMBER(NORMSINV(SUM(AG$13:AG16)/AG$317)),NORMSINV(SUM(AG$13:AG16)/AG$317)," ")</f>
        <v>-4.3465886379233636</v>
      </c>
      <c r="AI16" s="46">
        <f t="shared" si="35"/>
        <v>3.1751708690479761E-4</v>
      </c>
      <c r="AJ16" s="46">
        <f>IF(ISNUMBER(NORMSINV(SUM(AI$13:AI16)/AI$317)),NORMSINV(SUM(AI$13:AI16)/AI$317)," ")</f>
        <v>-3.3803550777906786</v>
      </c>
      <c r="AK16" s="46">
        <f t="shared" si="36"/>
        <v>7.7550334817128995E-4</v>
      </c>
      <c r="AL16" s="46">
        <f>IF(ISNUMBER(NORMSINV(SUM(AK$13:AK16)/AK$317)),NORMSINV(SUM(AK$13:AK16)/AK$317)," ")</f>
        <v>-2.9361648758571866</v>
      </c>
      <c r="AM16" s="6">
        <v>4.023881292220495E-2</v>
      </c>
      <c r="AN16" s="6">
        <v>0.15476420135105584</v>
      </c>
      <c r="AO16" s="6">
        <v>0.27934853944214277</v>
      </c>
      <c r="AP16" s="6">
        <v>2.5238812922204951E-2</v>
      </c>
      <c r="AQ16" s="6">
        <v>0.11957315101329187</v>
      </c>
      <c r="AR16" s="6">
        <v>0.27938511494878876</v>
      </c>
      <c r="AS16" s="6">
        <v>2.039328775332297E-2</v>
      </c>
      <c r="AT16" s="6">
        <v>0.10538210067552792</v>
      </c>
      <c r="AU16" s="6">
        <v>0.25738511494878868</v>
      </c>
    </row>
    <row r="17" spans="1:47" x14ac:dyDescent="0.4">
      <c r="A17" s="6">
        <f t="shared" si="21"/>
        <v>-2.7745984728552608</v>
      </c>
      <c r="B17" s="6">
        <f>'Aerosol 1'!A21</f>
        <v>6.2374516723814895E-2</v>
      </c>
      <c r="C17" t="b">
        <f t="shared" si="22"/>
        <v>0</v>
      </c>
      <c r="E17" s="46">
        <f>'Aerosol 1'!$P21</f>
        <v>1.0841842741123753E-3</v>
      </c>
      <c r="F17" s="46">
        <f>'Aerosol 2'!$P21</f>
        <v>1.0841842741123753E-3</v>
      </c>
      <c r="G17" s="46">
        <f>'Aerosol 3'!$P21</f>
        <v>1.0841842741123753E-3</v>
      </c>
      <c r="H17" s="46">
        <f t="shared" si="23"/>
        <v>3.252552822337126E-3</v>
      </c>
      <c r="I17" s="46">
        <f>NORMSINV(SUM(H$13:H17)/H$317)</f>
        <v>-3.6340717069128434</v>
      </c>
      <c r="J17" s="46">
        <f t="shared" si="18"/>
        <v>5.8545950802068268E-4</v>
      </c>
      <c r="K17" s="46">
        <f t="shared" si="19"/>
        <v>1.626276411168563E-3</v>
      </c>
      <c r="L17" s="46">
        <f t="shared" si="20"/>
        <v>3.2524227202242327E-3</v>
      </c>
      <c r="M17" s="46">
        <f t="shared" si="24"/>
        <v>5.464158639413479E-3</v>
      </c>
      <c r="N17" s="46">
        <f>IF(ISNUMBER(NORMSINV(SUM(M$13:M17)/M$317)),NORMSINV(SUM(M$13:M17)/M$317)," ")</f>
        <v>-3.6340717069128434</v>
      </c>
      <c r="O17" s="46">
        <f t="shared" si="25"/>
        <v>1.2896105035259045E-4</v>
      </c>
      <c r="P17" s="46">
        <f>IF(ISNUMBER(NORMSINV(SUM(O$13:O17)/O$317)),NORMSINV(SUM(O$13:O17)/O$317)," ")</f>
        <v>-4.2842075450174795</v>
      </c>
      <c r="Q17" s="46">
        <f t="shared" si="26"/>
        <v>6.15615542550625E-4</v>
      </c>
      <c r="R17" s="46">
        <f>IF(ISNUMBER(NORMSINV(SUM(Q$13:Q17)/Q$317)),NORMSINV(SUM(Q$13:Q17)/Q$317)," ")</f>
        <v>-3.3324361326713685</v>
      </c>
      <c r="S17" s="46">
        <f t="shared" si="27"/>
        <v>1.4185367506862586E-3</v>
      </c>
      <c r="T17" s="46">
        <f>IF(ISNUMBER(NORMSINV(SUM(S$13:S17)/S$317)),NORMSINV(SUM(S$13:S17)/S$317)," ")</f>
        <v>-2.9644131886083169</v>
      </c>
      <c r="U17" s="46">
        <f t="shared" si="28"/>
        <v>2.3009896263620194E-5</v>
      </c>
      <c r="V17" s="46">
        <f>IF(ISNUMBER(NORMSINV(SUM(U$13:U17)/U$317)),NORMSINV(SUM(U$13:U17)/U$317)," ")</f>
        <v>-4.1309070357108126</v>
      </c>
      <c r="W17" s="46">
        <f t="shared" si="29"/>
        <v>8.8526828006356675E-5</v>
      </c>
      <c r="X17" s="46">
        <f>IF(ISNUMBER(NORMSINV(SUM(W$13:W17)/W$317)),NORMSINV(SUM(W$13:W17)/W$317)," ")</f>
        <v>-3.2736206370023466</v>
      </c>
      <c r="Y17" s="46">
        <f t="shared" si="30"/>
        <v>1.6075956680641754E-4</v>
      </c>
      <c r="Z17" s="46">
        <f>IF(ISNUMBER(NORMSINV(SUM(Y$13:Y17)/Y$317)),NORMSINV(SUM(Y$13:Y17)/Y$317)," ")</f>
        <v>-3.0196749668814564</v>
      </c>
      <c r="AA17" s="46">
        <f t="shared" si="31"/>
        <v>4.0656910279214078E-5</v>
      </c>
      <c r="AB17" s="46">
        <f>IF(ISNUMBER(NORMSINV(SUM(AA$13:AA17)/AA$317)),NORMSINV(SUM(AA$13:AA17)/AA$317)," ")</f>
        <v>-4.2641335972647161</v>
      </c>
      <c r="AC17" s="46">
        <f t="shared" si="32"/>
        <v>1.9012285911899969E-4</v>
      </c>
      <c r="AD17" s="46">
        <f>IF(ISNUMBER(NORMSINV(SUM(AC$13:AC17)/AC$317)),NORMSINV(SUM(AC$13:AC17)/AC$317)," ")</f>
        <v>-3.305928924763442</v>
      </c>
      <c r="AE17" s="46">
        <f t="shared" si="33"/>
        <v>4.433110882955408E-4</v>
      </c>
      <c r="AF17" s="46">
        <f>IF(ISNUMBER(NORMSINV(SUM(AE$13:AE17)/AE$317)),NORMSINV(SUM(AE$13:AE17)/AE$317)," ")</f>
        <v>-3.0232721535920635</v>
      </c>
      <c r="AG17" s="46">
        <f t="shared" si="34"/>
        <v>6.52942438097562E-5</v>
      </c>
      <c r="AH17" s="46">
        <f>IF(ISNUMBER(NORMSINV(SUM(AG$13:AG17)/AG$317)),NORMSINV(SUM(AG$13:AG17)/AG$317)," ")</f>
        <v>-4.3300762339924495</v>
      </c>
      <c r="AI17" s="46">
        <f t="shared" si="35"/>
        <v>3.3696585542526859E-4</v>
      </c>
      <c r="AJ17" s="46">
        <f>IF(ISNUMBER(NORMSINV(SUM(AI$13:AI17)/AI$317)),NORMSINV(SUM(AI$13:AI17)/AI$317)," ")</f>
        <v>-3.3593467201507181</v>
      </c>
      <c r="AK17" s="46">
        <f t="shared" si="36"/>
        <v>8.1446609558430037E-4</v>
      </c>
      <c r="AL17" s="46">
        <f>IF(ISNUMBER(NORMSINV(SUM(AK$13:AK17)/AK$317)),NORMSINV(SUM(AK$13:AK17)/AK$317)," ")</f>
        <v>-2.9130278460336636</v>
      </c>
      <c r="AM17" s="6">
        <v>3.9302284698410461E-2</v>
      </c>
      <c r="AN17" s="6">
        <v>0.15120913879364184</v>
      </c>
      <c r="AO17" s="6">
        <v>0.27458699466665482</v>
      </c>
      <c r="AP17" s="6">
        <v>2.5000000000000001E-2</v>
      </c>
      <c r="AQ17" s="6">
        <v>0.11690685409523137</v>
      </c>
      <c r="AR17" s="6">
        <v>0.27259270641268113</v>
      </c>
      <c r="AS17" s="6">
        <v>2.0075571174602607E-2</v>
      </c>
      <c r="AT17" s="6">
        <v>0.10360456939682092</v>
      </c>
      <c r="AU17" s="6">
        <v>0.25041827758728374</v>
      </c>
    </row>
    <row r="18" spans="1:47" x14ac:dyDescent="0.4">
      <c r="A18" s="6">
        <f t="shared" si="21"/>
        <v>-2.740119895424082</v>
      </c>
      <c r="B18" s="6">
        <f>'Aerosol 1'!A22</f>
        <v>6.4562605668122608E-2</v>
      </c>
      <c r="C18" t="b">
        <f t="shared" si="22"/>
        <v>0</v>
      </c>
      <c r="E18" s="46">
        <f>'Aerosol 1'!$P22</f>
        <v>1.1698223233822089E-3</v>
      </c>
      <c r="F18" s="46">
        <f>'Aerosol 2'!$P22</f>
        <v>1.1698223233822089E-3</v>
      </c>
      <c r="G18" s="46">
        <f>'Aerosol 3'!$P22</f>
        <v>1.1698223233822089E-3</v>
      </c>
      <c r="H18" s="46">
        <f t="shared" si="23"/>
        <v>3.5094669701466264E-3</v>
      </c>
      <c r="I18" s="46">
        <f>NORMSINV(SUM(H$13:H18)/H$317)</f>
        <v>-3.6131519720761172</v>
      </c>
      <c r="J18" s="46">
        <f t="shared" si="18"/>
        <v>6.3170405462639279E-4</v>
      </c>
      <c r="K18" s="46">
        <f t="shared" si="19"/>
        <v>1.7547334850733132E-3</v>
      </c>
      <c r="L18" s="46">
        <f t="shared" si="20"/>
        <v>3.509326591467821E-3</v>
      </c>
      <c r="M18" s="46">
        <f t="shared" si="24"/>
        <v>5.8957641311675269E-3</v>
      </c>
      <c r="N18" s="46">
        <f>IF(ISNUMBER(NORMSINV(SUM(M$13:M18)/M$317)),NORMSINV(SUM(M$13:M18)/M$317)," ")</f>
        <v>-3.6131519720761172</v>
      </c>
      <c r="O18" s="46">
        <f t="shared" si="25"/>
        <v>1.3524205587215474E-4</v>
      </c>
      <c r="P18" s="46">
        <f>IF(ISNUMBER(NORMSINV(SUM(O$13:O18)/O$317)),NORMSINV(SUM(O$13:O18)/O$317)," ")</f>
        <v>-4.2680134489133659</v>
      </c>
      <c r="Q18" s="46">
        <f t="shared" si="26"/>
        <v>6.5212764181002316E-4</v>
      </c>
      <c r="R18" s="46">
        <f>IF(ISNUMBER(NORMSINV(SUM(Q$13:Q18)/Q$317)),NORMSINV(SUM(Q$13:Q18)/Q$317)," ")</f>
        <v>-3.3116403338616895</v>
      </c>
      <c r="S18" s="46">
        <f t="shared" si="27"/>
        <v>1.4933019944022774E-3</v>
      </c>
      <c r="T18" s="46">
        <f>IF(ISNUMBER(NORMSINV(SUM(S$13:S18)/S$317)),NORMSINV(SUM(S$13:S18)/S$317)," ")</f>
        <v>-2.9418333683131448</v>
      </c>
      <c r="U18" s="46">
        <f t="shared" si="28"/>
        <v>2.4266884558080288E-5</v>
      </c>
      <c r="V18" s="46">
        <f>IF(ISNUMBER(NORMSINV(SUM(U$13:U18)/U$317)),NORMSINV(SUM(U$13:U18)/U$317)," ")</f>
        <v>-4.1142044417344357</v>
      </c>
      <c r="W18" s="46">
        <f t="shared" si="29"/>
        <v>9.3277313904562765E-5</v>
      </c>
      <c r="X18" s="46">
        <f>IF(ISNUMBER(NORMSINV(SUM(W$13:W18)/W$317)),NORMSINV(SUM(W$13:W18)/W$317)," ")</f>
        <v>-3.2527434328784195</v>
      </c>
      <c r="Y18" s="46">
        <f t="shared" si="30"/>
        <v>1.7033015887199824E-4</v>
      </c>
      <c r="Z18" s="46">
        <f>IF(ISNUMBER(NORMSINV(SUM(Y$13:Y18)/Y$317)),NORMSINV(SUM(Y$13:Y18)/Y$317)," ")</f>
        <v>-2.9968119126193651</v>
      </c>
      <c r="AA18" s="46">
        <f t="shared" si="31"/>
        <v>4.2841743870307723E-5</v>
      </c>
      <c r="AB18" s="46">
        <f>IF(ISNUMBER(NORMSINV(SUM(AA$13:AA18)/AA$317)),NORMSINV(SUM(AA$13:AA18)/AA$317)," ")</f>
        <v>-4.2478811935832477</v>
      </c>
      <c r="AC18" s="46">
        <f t="shared" si="32"/>
        <v>2.0149589775545412E-4</v>
      </c>
      <c r="AD18" s="46">
        <f>IF(ISNUMBER(NORMSINV(SUM(AC$13:AC18)/AC$317)),NORMSINV(SUM(AC$13:AC18)/AC$317)," ")</f>
        <v>-3.2850878745957961</v>
      </c>
      <c r="AE18" s="46">
        <f t="shared" si="33"/>
        <v>4.670305715453872E-4</v>
      </c>
      <c r="AF18" s="46">
        <f>IF(ISNUMBER(NORMSINV(SUM(AE$13:AE18)/AE$317)),NORMSINV(SUM(AE$13:AE18)/AE$317)," ")</f>
        <v>-3.0009814805388402</v>
      </c>
      <c r="AG18" s="46">
        <f t="shared" si="34"/>
        <v>6.8133427443766722E-5</v>
      </c>
      <c r="AH18" s="46">
        <f>IF(ISNUMBER(NORMSINV(SUM(AG$13:AG18)/AG$317)),NORMSINV(SUM(AG$13:AG18)/AG$317)," ")</f>
        <v>-4.3140188042631937</v>
      </c>
      <c r="AI18" s="46">
        <f t="shared" si="35"/>
        <v>3.5735443015000627E-4</v>
      </c>
      <c r="AJ18" s="46">
        <f>IF(ISNUMBER(NORMSINV(SUM(AI$13:AI18)/AI$317)),NORMSINV(SUM(AI$13:AI18)/AI$317)," ")</f>
        <v>-3.3385769455153764</v>
      </c>
      <c r="AK18" s="46">
        <f t="shared" si="36"/>
        <v>8.5594126398489182E-4</v>
      </c>
      <c r="AL18" s="46">
        <f>IF(ISNUMBER(NORMSINV(SUM(AK$13:AK18)/AK$317)),NORMSINV(SUM(AK$13:AK18)/AK$317)," ")</f>
        <v>-2.8902842448542341</v>
      </c>
      <c r="AM18" s="6">
        <v>3.8414957732750971E-2</v>
      </c>
      <c r="AN18" s="6">
        <v>0.14765983093100382</v>
      </c>
      <c r="AO18" s="6">
        <v>0.26963600696331796</v>
      </c>
      <c r="AP18" s="6">
        <v>2.4414957732750955E-2</v>
      </c>
      <c r="AQ18" s="6">
        <v>0.11482991546550192</v>
      </c>
      <c r="AR18" s="6">
        <v>0.26615470412925674</v>
      </c>
      <c r="AS18" s="6">
        <v>1.9414957732750954E-2</v>
      </c>
      <c r="AT18" s="6">
        <v>0.10182991546550194</v>
      </c>
      <c r="AU18" s="6">
        <v>0.24390470412925672</v>
      </c>
    </row>
    <row r="19" spans="1:47" x14ac:dyDescent="0.4">
      <c r="A19" s="6">
        <f t="shared" si="21"/>
        <v>-2.7056413179929035</v>
      </c>
      <c r="B19" s="6">
        <f>'Aerosol 1'!A23</f>
        <v>6.6827452453287028E-2</v>
      </c>
      <c r="C19" t="b">
        <f t="shared" si="22"/>
        <v>0</v>
      </c>
      <c r="E19" s="46">
        <f>'Aerosol 1'!$P23</f>
        <v>1.2616728870664278E-3</v>
      </c>
      <c r="F19" s="46">
        <f>'Aerosol 2'!$P23</f>
        <v>1.2616728870664278E-3</v>
      </c>
      <c r="G19" s="46">
        <f>'Aerosol 3'!$P23</f>
        <v>1.2616728870664278E-3</v>
      </c>
      <c r="H19" s="46">
        <f t="shared" si="23"/>
        <v>3.7850186611992835E-3</v>
      </c>
      <c r="I19" s="46">
        <f>NORMSINV(SUM(H$13:H19)/H$317)</f>
        <v>-3.5922321722160615</v>
      </c>
      <c r="J19" s="46">
        <f t="shared" si="18"/>
        <v>6.8130335901587103E-4</v>
      </c>
      <c r="K19" s="46">
        <f t="shared" si="19"/>
        <v>1.8925093305996417E-3</v>
      </c>
      <c r="L19" s="46">
        <f t="shared" si="20"/>
        <v>3.7848672604528359E-3</v>
      </c>
      <c r="M19" s="46">
        <f t="shared" si="24"/>
        <v>6.3586799500683485E-3</v>
      </c>
      <c r="N19" s="46">
        <f>IF(ISNUMBER(NORMSINV(SUM(M$13:M19)/M$317)),NORMSINV(SUM(M$13:M19)/M$317)," ")</f>
        <v>-3.5922321722160624</v>
      </c>
      <c r="O19" s="46">
        <f t="shared" si="25"/>
        <v>1.4263684228997867E-4</v>
      </c>
      <c r="P19" s="46">
        <f>IF(ISNUMBER(NORMSINV(SUM(O$13:O19)/O$317)),NORMSINV(SUM(O$13:O19)/O$317)," ")</f>
        <v>-4.2520660089608526</v>
      </c>
      <c r="Q19" s="46">
        <f t="shared" si="26"/>
        <v>6.8964576549505928E-4</v>
      </c>
      <c r="R19" s="46">
        <f>IF(ISNUMBER(NORMSINV(SUM(Q$13:Q19)/Q$317)),NORMSINV(SUM(Q$13:Q19)/Q$317)," ")</f>
        <v>-3.2911028080914098</v>
      </c>
      <c r="S19" s="46">
        <f t="shared" si="27"/>
        <v>1.5713981424681906E-3</v>
      </c>
      <c r="T19" s="46">
        <f>IF(ISNUMBER(NORMSINV(SUM(S$13:S19)/S$317)),NORMSINV(SUM(S$13:S19)/S$317)," ")</f>
        <v>-2.9195886392767605</v>
      </c>
      <c r="U19" s="46">
        <f t="shared" si="28"/>
        <v>2.5304140406983393E-5</v>
      </c>
      <c r="V19" s="46">
        <f>IF(ISNUMBER(NORMSINV(SUM(U$13:U19)/U$317)),NORMSINV(SUM(U$13:U19)/U$317)," ")</f>
        <v>-4.097930070101083</v>
      </c>
      <c r="W19" s="46">
        <f t="shared" si="29"/>
        <v>9.8132262449186395E-5</v>
      </c>
      <c r="X19" s="46">
        <f>IF(ISNUMBER(NORMSINV(SUM(W$13:W19)/W$317)),NORMSINV(SUM(W$13:W19)/W$317)," ")</f>
        <v>-3.2322100019504911</v>
      </c>
      <c r="Y19" s="46">
        <f t="shared" si="30"/>
        <v>1.803221609901324E-4</v>
      </c>
      <c r="Z19" s="46">
        <f>IF(ISNUMBER(NORMSINV(SUM(Y$13:Y19)/Y$317)),NORMSINV(SUM(Y$13:Y19)/Y$317)," ")</f>
        <v>-2.97420181274203</v>
      </c>
      <c r="AA19" s="46">
        <f t="shared" si="31"/>
        <v>4.5420223934391404E-5</v>
      </c>
      <c r="AB19" s="46">
        <f>IF(ISNUMBER(NORMSINV(SUM(AA$13:AA19)/AA$317)),NORMSINV(SUM(AA$13:AA19)/AA$317)," ")</f>
        <v>-4.2317943258599495</v>
      </c>
      <c r="AC19" s="46">
        <f t="shared" si="32"/>
        <v>2.1295850542350339E-4</v>
      </c>
      <c r="AD19" s="46">
        <f>IF(ISNUMBER(NORMSINV(SUM(AC$13:AC19)/AC$317)),NORMSINV(SUM(AC$13:AC19)/AC$317)," ")</f>
        <v>-3.2645098092786733</v>
      </c>
      <c r="AE19" s="46">
        <f t="shared" si="33"/>
        <v>4.9146648214028785E-4</v>
      </c>
      <c r="AF19" s="46">
        <f>IF(ISNUMBER(NORMSINV(SUM(AE$13:AE19)/AE$317)),NORMSINV(SUM(AE$13:AE19)/AE$317)," ")</f>
        <v>-2.9790309843169895</v>
      </c>
      <c r="AG19" s="46">
        <f t="shared" si="34"/>
        <v>7.1912477948603883E-5</v>
      </c>
      <c r="AH19" s="46">
        <f>IF(ISNUMBER(NORMSINV(SUM(AG$13:AG19)/AG$317)),NORMSINV(SUM(AG$13:AG19)/AG$317)," ")</f>
        <v>-4.2981968973051838</v>
      </c>
      <c r="AI19" s="46">
        <f t="shared" si="35"/>
        <v>3.785549976223695E-4</v>
      </c>
      <c r="AJ19" s="46">
        <f>IF(ISNUMBER(NORMSINV(SUM(AI$13:AI19)/AI$317)),NORMSINV(SUM(AI$13:AI19)/AI$317)," ")</f>
        <v>-3.3180408126816294</v>
      </c>
      <c r="AK19" s="46">
        <f t="shared" si="36"/>
        <v>8.9960949933777035E-4</v>
      </c>
      <c r="AL19" s="46">
        <f>IF(ISNUMBER(NORMSINV(SUM(AK$13:AK19)/AK$317)),NORMSINV(SUM(AK$13:AK19)/AK$317)," ")</f>
        <v>-2.8678896987762941</v>
      </c>
      <c r="AM19" s="6">
        <v>3.7140783282699083E-2</v>
      </c>
      <c r="AN19" s="6">
        <v>0.14403607607474073</v>
      </c>
      <c r="AO19" s="6">
        <v>0.26467234984809723</v>
      </c>
      <c r="AP19" s="6">
        <v>2.4E-2</v>
      </c>
      <c r="AQ19" s="6">
        <v>0.11252705705605555</v>
      </c>
      <c r="AR19" s="6">
        <v>0.25969038788546772</v>
      </c>
      <c r="AS19" s="6">
        <v>1.9E-2</v>
      </c>
      <c r="AT19" s="6">
        <v>0.10001803803737036</v>
      </c>
      <c r="AU19" s="6">
        <v>0.23768587837612504</v>
      </c>
    </row>
    <row r="20" spans="1:47" x14ac:dyDescent="0.4">
      <c r="A20" s="6">
        <f t="shared" si="21"/>
        <v>-2.6711627405617251</v>
      </c>
      <c r="B20" s="6">
        <f>'Aerosol 1'!A24</f>
        <v>6.917174973316409E-2</v>
      </c>
      <c r="C20" t="b">
        <f t="shared" si="22"/>
        <v>0</v>
      </c>
      <c r="E20" s="46">
        <f>'Aerosol 1'!$P24</f>
        <v>1.3601402751409527E-3</v>
      </c>
      <c r="F20" s="46">
        <f>'Aerosol 2'!$P24</f>
        <v>1.3601402751409527E-3</v>
      </c>
      <c r="G20" s="46">
        <f>'Aerosol 3'!$P24</f>
        <v>1.3601402751409527E-3</v>
      </c>
      <c r="H20" s="46">
        <f t="shared" si="23"/>
        <v>4.0804208254228581E-3</v>
      </c>
      <c r="I20" s="46">
        <f>NORMSINV(SUM(H$13:H20)/H$317)</f>
        <v>-3.5713123064120724</v>
      </c>
      <c r="J20" s="46">
        <f t="shared" si="18"/>
        <v>7.3447574857611446E-4</v>
      </c>
      <c r="K20" s="46">
        <f t="shared" si="19"/>
        <v>2.040210412711429E-3</v>
      </c>
      <c r="L20" s="46">
        <f t="shared" si="20"/>
        <v>4.0802576085898412E-3</v>
      </c>
      <c r="M20" s="46">
        <f t="shared" si="24"/>
        <v>6.8549437698773846E-3</v>
      </c>
      <c r="N20" s="46">
        <f>IF(ISNUMBER(NORMSINV(SUM(M$13:M20)/M$317)),NORMSINV(SUM(M$13:M20)/M$317)," ")</f>
        <v>-3.5713123064120724</v>
      </c>
      <c r="O20" s="46">
        <f t="shared" si="25"/>
        <v>1.5061231868173692E-4</v>
      </c>
      <c r="P20" s="46">
        <f>IF(ISNUMBER(NORMSINV(SUM(O$13:O20)/O$317)),NORMSINV(SUM(O$13:O20)/O$317)," ")</f>
        <v>-4.2363239218706719</v>
      </c>
      <c r="Q20" s="46">
        <f t="shared" si="26"/>
        <v>7.2888172352724898E-4</v>
      </c>
      <c r="R20" s="46">
        <f>IF(ISNUMBER(NORMSINV(SUM(Q$13:Q20)/Q$317)),NORMSINV(SUM(Q$13:Q20)/Q$317)," ")</f>
        <v>-3.2708073032423353</v>
      </c>
      <c r="S20" s="46">
        <f t="shared" si="27"/>
        <v>1.6517711844058333E-3</v>
      </c>
      <c r="T20" s="46">
        <f>IF(ISNUMBER(NORMSINV(SUM(S$13:S20)/S$317)),NORMSINV(SUM(S$13:S20)/S$317)," ")</f>
        <v>-2.8976660499232061</v>
      </c>
      <c r="U20" s="46">
        <f t="shared" si="28"/>
        <v>2.655185938703675E-5</v>
      </c>
      <c r="V20" s="46">
        <f>IF(ISNUMBER(NORMSINV(SUM(U$13:U20)/U$317)),NORMSINV(SUM(U$13:U20)/U$317)," ")</f>
        <v>-4.0819453699301631</v>
      </c>
      <c r="W20" s="46">
        <f t="shared" si="29"/>
        <v>1.0312937231624982E-4</v>
      </c>
      <c r="X20" s="46">
        <f>IF(ISNUMBER(NORMSINV(SUM(W$13:W20)/W$317)),NORMSINV(SUM(W$13:W20)/W$317)," ")</f>
        <v>-3.2120057730483764</v>
      </c>
      <c r="Y20" s="46">
        <f t="shared" si="30"/>
        <v>1.9068337015460437E-4</v>
      </c>
      <c r="Z20" s="46">
        <f>IF(ISNUMBER(NORMSINV(SUM(Y$13:Y20)/Y$317)),NORMSINV(SUM(Y$13:Y20)/Y$317)," ")</f>
        <v>-2.9518391656640954</v>
      </c>
      <c r="AA20" s="46">
        <f t="shared" si="31"/>
        <v>4.8155199917880931E-5</v>
      </c>
      <c r="AB20" s="46">
        <f>IF(ISNUMBER(NORMSINV(SUM(AA$13:AA20)/AA$317)),NORMSINV(SUM(AA$13:AA20)/AA$317)," ")</f>
        <v>-4.2158561467842821</v>
      </c>
      <c r="AC20" s="46">
        <f t="shared" si="32"/>
        <v>2.2504611833338024E-4</v>
      </c>
      <c r="AD20" s="46">
        <f>IF(ISNUMBER(NORMSINV(SUM(AC$13:AC20)/AC$317)),NORMSINV(SUM(AC$13:AC20)/AC$317)," ")</f>
        <v>-3.244168615308435</v>
      </c>
      <c r="AE20" s="46">
        <f t="shared" si="33"/>
        <v>5.166249157437724E-4</v>
      </c>
      <c r="AF20" s="46">
        <f>IF(ISNUMBER(NORMSINV(SUM(AE$13:AE20)/AE$317)),NORMSINV(SUM(AE$13:AE20)/AE$317)," ")</f>
        <v>-2.957406777491582</v>
      </c>
      <c r="AG20" s="46">
        <f t="shared" si="34"/>
        <v>7.590525937681923E-5</v>
      </c>
      <c r="AH20" s="46">
        <f>IF(ISNUMBER(NORMSINV(SUM(AG$13:AG20)/AG$317)),NORMSINV(SUM(AG$13:AG20)/AG$317)," ")</f>
        <v>-4.2825872734782005</v>
      </c>
      <c r="AI20" s="46">
        <f t="shared" si="35"/>
        <v>4.0070623287761885E-4</v>
      </c>
      <c r="AJ20" s="46">
        <f>IF(ISNUMBER(NORMSINV(SUM(AI$13:AI20)/AI$317)),NORMSINV(SUM(AI$13:AI20)/AI$317)," ")</f>
        <v>-3.2977272721003037</v>
      </c>
      <c r="AK20" s="46">
        <f t="shared" si="36"/>
        <v>9.4446289850745634E-4</v>
      </c>
      <c r="AL20" s="46">
        <f>IF(ISNUMBER(NORMSINV(SUM(AK$13:AK20)/AK$317)),NORMSINV(SUM(AK$13:AK20)/AK$317)," ")</f>
        <v>-2.845830405662964</v>
      </c>
      <c r="AM20" s="6">
        <v>3.6150763913595924E-2</v>
      </c>
      <c r="AN20" s="6">
        <v>0.14041222261753469</v>
      </c>
      <c r="AO20" s="6">
        <v>0.25961833392630207</v>
      </c>
      <c r="AP20" s="6">
        <v>2.3603055654383667E-2</v>
      </c>
      <c r="AQ20" s="6">
        <v>0.11030534739517142</v>
      </c>
      <c r="AR20" s="6">
        <v>0.25322138958068574</v>
      </c>
      <c r="AS20" s="6">
        <v>1.8603055654383669E-2</v>
      </c>
      <c r="AT20" s="6">
        <v>9.8206111308767358E-2</v>
      </c>
      <c r="AU20" s="6">
        <v>0.23147138958068575</v>
      </c>
    </row>
    <row r="21" spans="1:47" x14ac:dyDescent="0.4">
      <c r="A21" s="6">
        <f t="shared" si="21"/>
        <v>-2.6366841631305462</v>
      </c>
      <c r="B21" s="6">
        <f>'Aerosol 1'!A25</f>
        <v>7.1598284619514063E-2</v>
      </c>
      <c r="C21" t="b">
        <f t="shared" si="22"/>
        <v>0</v>
      </c>
      <c r="E21" s="46">
        <f>'Aerosol 1'!$P25</f>
        <v>1.4656514290845332E-3</v>
      </c>
      <c r="F21" s="46">
        <f>'Aerosol 2'!$P25</f>
        <v>1.4656514290845332E-3</v>
      </c>
      <c r="G21" s="46">
        <f>'Aerosol 3'!$P25</f>
        <v>1.4656514290845332E-3</v>
      </c>
      <c r="H21" s="46">
        <f t="shared" si="23"/>
        <v>4.3969542872535992E-3</v>
      </c>
      <c r="I21" s="46">
        <f>NORMSINV(SUM(H$13:H21)/H$317)</f>
        <v>-3.5503923737267638</v>
      </c>
      <c r="J21" s="46">
        <f t="shared" si="18"/>
        <v>7.9145177170564793E-4</v>
      </c>
      <c r="K21" s="46">
        <f t="shared" si="19"/>
        <v>2.1984771436267996E-3</v>
      </c>
      <c r="L21" s="46">
        <f t="shared" si="20"/>
        <v>4.3967784090821098E-3</v>
      </c>
      <c r="M21" s="46">
        <f t="shared" si="24"/>
        <v>7.386707324414557E-3</v>
      </c>
      <c r="N21" s="46">
        <f>IF(ISNUMBER(NORMSINV(SUM(M$13:M21)/M$317)),NORMSINV(SUM(M$13:M21)/M$317)," ")</f>
        <v>-3.5503923737267638</v>
      </c>
      <c r="O21" s="46">
        <f t="shared" si="25"/>
        <v>1.5750351314686102E-4</v>
      </c>
      <c r="P21" s="46">
        <f>IF(ISNUMBER(NORMSINV(SUM(O$13:O21)/O$317)),NORMSINV(SUM(O$13:O21)/O$317)," ")</f>
        <v>-4.2209126982228433</v>
      </c>
      <c r="Q21" s="46">
        <f t="shared" si="26"/>
        <v>7.715228558624321E-4</v>
      </c>
      <c r="R21" s="46">
        <f>IF(ISNUMBER(NORMSINV(SUM(Q$13:Q21)/Q$317)),NORMSINV(SUM(Q$13:Q21)/Q$317)," ")</f>
        <v>-3.2506980414922531</v>
      </c>
      <c r="S21" s="46">
        <f t="shared" si="27"/>
        <v>1.7346842628746697E-3</v>
      </c>
      <c r="T21" s="46">
        <f>IF(ISNUMBER(NORMSINV(SUM(S$13:S21)/S$317)),NORMSINV(SUM(S$13:S21)/S$317)," ")</f>
        <v>-2.8760503464516995</v>
      </c>
      <c r="U21" s="46">
        <f t="shared" si="28"/>
        <v>2.8266619575531979E-5</v>
      </c>
      <c r="V21" s="46">
        <f>IF(ISNUMBER(NORMSINV(SUM(U$13:U21)/U$317)),NORMSINV(SUM(U$13:U21)/U$317)," ")</f>
        <v>-4.0660018682990522</v>
      </c>
      <c r="W21" s="46">
        <f t="shared" si="29"/>
        <v>1.0876905608363672E-4</v>
      </c>
      <c r="X21" s="46">
        <f>IF(ISNUMBER(NORMSINV(SUM(W$13:W21)/W$317)),NORMSINV(SUM(W$13:W21)/W$317)," ")</f>
        <v>-3.1920282627814514</v>
      </c>
      <c r="Y21" s="46">
        <f t="shared" si="30"/>
        <v>2.0125778832141773E-4</v>
      </c>
      <c r="Z21" s="46">
        <f>IF(ISNUMBER(NORMSINV(SUM(Y$13:Y21)/Y$317)),NORMSINV(SUM(Y$13:Y21)/Y$317)," ")</f>
        <v>-2.9297355612594882</v>
      </c>
      <c r="AA21" s="46">
        <f t="shared" si="31"/>
        <v>5.0094882207851082E-5</v>
      </c>
      <c r="AB21" s="46">
        <f>IF(ISNUMBER(NORMSINV(SUM(AA$13:AA21)/AA$317)),NORMSINV(SUM(AA$13:AA21)/AA$317)," ")</f>
        <v>-4.2003395272304811</v>
      </c>
      <c r="AC21" s="46">
        <f t="shared" si="32"/>
        <v>2.387733516545319E-4</v>
      </c>
      <c r="AD21" s="46">
        <f>IF(ISNUMBER(NORMSINV(SUM(AC$13:AC21)/AC$317)),NORMSINV(SUM(AC$13:AC21)/AC$317)," ")</f>
        <v>-3.2239604497168224</v>
      </c>
      <c r="AE21" s="46">
        <f t="shared" si="33"/>
        <v>5.4303328253779693E-4</v>
      </c>
      <c r="AF21" s="46">
        <f>IF(ISNUMBER(NORMSINV(SUM(AE$13:AE21)/AE$317)),NORMSINV(SUM(AE$13:AE21)/AE$317)," ")</f>
        <v>-2.9360759349471404</v>
      </c>
      <c r="AG21" s="46">
        <f t="shared" si="34"/>
        <v>7.9142011363477971E-5</v>
      </c>
      <c r="AH21" s="46">
        <f>IF(ISNUMBER(NORMSINV(SUM(AG$13:AG21)/AG$317)),NORMSINV(SUM(AG$13:AG21)/AG$317)," ")</f>
        <v>-4.2673521124754119</v>
      </c>
      <c r="AI21" s="46">
        <f t="shared" si="35"/>
        <v>4.2398044812426352E-4</v>
      </c>
      <c r="AJ21" s="46">
        <f>IF(ISNUMBER(NORMSINV(SUM(AI$13:AI21)/AI$317)),NORMSINV(SUM(AI$13:AI21)/AI$317)," ")</f>
        <v>-3.2776195882907868</v>
      </c>
      <c r="AK21" s="46">
        <f t="shared" si="36"/>
        <v>9.9039319201545519E-4</v>
      </c>
      <c r="AL21" s="46">
        <f>IF(ISNUMBER(NORMSINV(SUM(AK$13:AK21)/AK$317)),NORMSINV(SUM(AK$13:AK21)/AK$317)," ")</f>
        <v>-2.8240957202067545</v>
      </c>
      <c r="AM21" s="6">
        <v>3.5714898350173552E-2</v>
      </c>
      <c r="AN21" s="6">
        <v>0.13742979670034711</v>
      </c>
      <c r="AO21" s="6">
        <v>0.25428939010104123</v>
      </c>
      <c r="AP21" s="6">
        <v>2.278617376263016E-2</v>
      </c>
      <c r="AQ21" s="6">
        <v>0.10860852128789047</v>
      </c>
      <c r="AR21" s="6">
        <v>0.24700428845121486</v>
      </c>
      <c r="AS21" s="6">
        <v>1.7999999999999999E-2</v>
      </c>
      <c r="AT21" s="6">
        <v>9.6429796700347126E-2</v>
      </c>
      <c r="AU21" s="6">
        <v>0.2252542884512149</v>
      </c>
    </row>
    <row r="22" spans="1:47" x14ac:dyDescent="0.4">
      <c r="A22" s="6">
        <f t="shared" si="21"/>
        <v>-2.6022055856993678</v>
      </c>
      <c r="B22" s="6">
        <f>'Aerosol 1'!A26</f>
        <v>7.4109941995570985E-2</v>
      </c>
      <c r="C22" t="b">
        <f t="shared" si="22"/>
        <v>0</v>
      </c>
      <c r="E22" s="46">
        <f>'Aerosol 1'!$P26</f>
        <v>1.5786569124891421E-3</v>
      </c>
      <c r="F22" s="46">
        <f>'Aerosol 2'!$P26</f>
        <v>1.5786569124891421E-3</v>
      </c>
      <c r="G22" s="46">
        <f>'Aerosol 3'!$P26</f>
        <v>1.5786569124891421E-3</v>
      </c>
      <c r="H22" s="46">
        <f t="shared" si="23"/>
        <v>4.7359707374674265E-3</v>
      </c>
      <c r="I22" s="46">
        <f>NORMSINV(SUM(H$13:H22)/H$317)</f>
        <v>-3.5294723732055968</v>
      </c>
      <c r="J22" s="46">
        <f t="shared" si="18"/>
        <v>8.5247473274413683E-4</v>
      </c>
      <c r="K22" s="46">
        <f t="shared" si="19"/>
        <v>2.3679853687337132E-3</v>
      </c>
      <c r="L22" s="46">
        <f t="shared" si="20"/>
        <v>4.7357812986379274E-3</v>
      </c>
      <c r="M22" s="46">
        <f t="shared" si="24"/>
        <v>7.9562414001157766E-3</v>
      </c>
      <c r="N22" s="46">
        <f>IF(ISNUMBER(NORMSINV(SUM(M$13:M22)/M$317)),NORMSINV(SUM(M$13:M22)/M$317)," ")</f>
        <v>-3.5294723732055968</v>
      </c>
      <c r="O22" s="46">
        <f t="shared" si="25"/>
        <v>1.6707402074481398E-4</v>
      </c>
      <c r="P22" s="46">
        <f>IF(ISNUMBER(NORMSINV(SUM(O$13:O22)/O$317)),NORMSINV(SUM(O$13:O22)/O$317)," ")</f>
        <v>-4.205591629079783</v>
      </c>
      <c r="Q22" s="46">
        <f t="shared" si="26"/>
        <v>8.1600169699030673E-4</v>
      </c>
      <c r="R22" s="46">
        <f>IF(ISNUMBER(NORMSINV(SUM(Q$13:Q22)/Q$317)),NORMSINV(SUM(Q$13:Q22)/Q$317)," ")</f>
        <v>-3.2307693759230864</v>
      </c>
      <c r="S22" s="46">
        <f t="shared" si="27"/>
        <v>1.8199248555302253E-3</v>
      </c>
      <c r="T22" s="46">
        <f>IF(ISNUMBER(NORMSINV(SUM(S$13:S22)/S$317)),NORMSINV(SUM(S$13:S22)/S$317)," ")</f>
        <v>-2.8547302168009381</v>
      </c>
      <c r="U22" s="46">
        <f t="shared" si="28"/>
        <v>2.9681361122334295E-5</v>
      </c>
      <c r="V22" s="46">
        <f>IF(ISNUMBER(NORMSINV(SUM(U$13:U22)/U$317)),NORMSINV(SUM(U$13:U22)/U$317)," ")</f>
        <v>-4.0503033528106291</v>
      </c>
      <c r="W22" s="46">
        <f t="shared" si="29"/>
        <v>1.1531554555836063E-4</v>
      </c>
      <c r="X22" s="46">
        <f>IF(ISNUMBER(NORMSINV(SUM(W$13:W22)/W$317)),NORMSINV(SUM(W$13:W22)/W$317)," ")</f>
        <v>-3.1721534969037868</v>
      </c>
      <c r="Y22" s="46">
        <f t="shared" si="30"/>
        <v>2.1222596967469885E-4</v>
      </c>
      <c r="Z22" s="46">
        <f>IF(ISNUMBER(NORMSINV(SUM(Y$13:Y22)/Y$317)),NORMSINV(SUM(Y$13:Y22)/Y$317)," ")</f>
        <v>-2.9078808347252041</v>
      </c>
      <c r="AA22" s="46">
        <f t="shared" si="31"/>
        <v>5.214859624699701E-5</v>
      </c>
      <c r="AB22" s="46">
        <f>IF(ISNUMBER(NORMSINV(SUM(AA$13:AA22)/AA$317)),NORMSINV(SUM(AA$13:AA22)/AA$317)," ")</f>
        <v>-4.1851940462179966</v>
      </c>
      <c r="AC22" s="46">
        <f t="shared" si="32"/>
        <v>2.5251190932278235E-4</v>
      </c>
      <c r="AD22" s="46">
        <f>IF(ISNUMBER(NORMSINV(SUM(AC$13:AC22)/AC$317)),NORMSINV(SUM(AC$13:AC22)/AC$317)," ")</f>
        <v>-3.2039316095580443</v>
      </c>
      <c r="AE22" s="46">
        <f t="shared" si="33"/>
        <v>5.7003362127252123E-4</v>
      </c>
      <c r="AF22" s="46">
        <f>IF(ISNUMBER(NORMSINV(SUM(AE$13:AE22)/AE$317)),NORMSINV(SUM(AE$13:AE22)/AE$317)," ")</f>
        <v>-2.9150347907475518</v>
      </c>
      <c r="AG22" s="46">
        <f t="shared" si="34"/>
        <v>8.524406337548269E-5</v>
      </c>
      <c r="AH22" s="46">
        <f>IF(ISNUMBER(NORMSINV(SUM(AG$13:AG22)/AG$317)),NORMSINV(SUM(AG$13:AG22)/AG$317)," ")</f>
        <v>-4.251979726175489</v>
      </c>
      <c r="AI22" s="46">
        <f t="shared" si="35"/>
        <v>4.4817424210916374E-4</v>
      </c>
      <c r="AJ22" s="46">
        <f>IF(ISNUMBER(NORMSINV(SUM(AI$13:AI22)/AI$317)),NORMSINV(SUM(AI$13:AI22)/AI$317)," ")</f>
        <v>-3.25771348781082</v>
      </c>
      <c r="AK22" s="46">
        <f t="shared" si="36"/>
        <v>1.0376652645830051E-3</v>
      </c>
      <c r="AL22" s="46">
        <f>IF(ISNUMBER(NORMSINV(SUM(AK$13:AK22)/AK$317)),NORMSINV(SUM(AK$13:AK22)/AK$317)," ")</f>
        <v>-2.8026699203274767</v>
      </c>
      <c r="AM22" s="6">
        <v>3.4817877858724651E-2</v>
      </c>
      <c r="AN22" s="6">
        <v>0.1352715114348986</v>
      </c>
      <c r="AO22" s="6">
        <v>0.2489527976876667</v>
      </c>
      <c r="AP22" s="6">
        <v>2.202234732340581E-2</v>
      </c>
      <c r="AQ22" s="6">
        <v>0.10663575571744929</v>
      </c>
      <c r="AR22" s="6">
        <v>0.24072514501107253</v>
      </c>
      <c r="AS22" s="6">
        <v>1.7999999999999999E-2</v>
      </c>
      <c r="AT22" s="6">
        <v>9.463575571744931E-2</v>
      </c>
      <c r="AU22" s="6">
        <v>0.21911173661702901</v>
      </c>
    </row>
    <row r="23" spans="1:47" x14ac:dyDescent="0.4">
      <c r="A23" s="6">
        <f t="shared" si="21"/>
        <v>-2.5677270082681889</v>
      </c>
      <c r="B23" s="6">
        <f>'Aerosol 1'!A27</f>
        <v>7.6709707945851788E-2</v>
      </c>
      <c r="C23" t="b">
        <f t="shared" si="22"/>
        <v>0</v>
      </c>
      <c r="E23" s="46">
        <f>'Aerosol 1'!$P27</f>
        <v>1.6996319251185409E-3</v>
      </c>
      <c r="F23" s="46">
        <f>'Aerosol 2'!$P27</f>
        <v>1.6996319251185409E-3</v>
      </c>
      <c r="G23" s="46">
        <f>'Aerosol 3'!$P27</f>
        <v>1.6996319251185409E-3</v>
      </c>
      <c r="H23" s="46">
        <f t="shared" si="23"/>
        <v>5.0988957753556226E-3</v>
      </c>
      <c r="I23" s="46">
        <f>NORMSINV(SUM(H$13:H23)/H$317)</f>
        <v>-3.5085523038765047</v>
      </c>
      <c r="J23" s="46">
        <f t="shared" si="18"/>
        <v>9.1780123956401217E-4</v>
      </c>
      <c r="K23" s="46">
        <f t="shared" si="19"/>
        <v>2.5494478876778113E-3</v>
      </c>
      <c r="L23" s="46">
        <f t="shared" si="20"/>
        <v>5.0986918195246086E-3</v>
      </c>
      <c r="M23" s="46">
        <f t="shared" si="24"/>
        <v>8.5659409467664319E-3</v>
      </c>
      <c r="N23" s="46">
        <f>IF(ISNUMBER(NORMSINV(SUM(M$13:M23)/M$317)),NORMSINV(SUM(M$13:M23)/M$317)," ")</f>
        <v>-3.5085523038765047</v>
      </c>
      <c r="O23" s="46">
        <f t="shared" si="25"/>
        <v>1.7592266949704988E-4</v>
      </c>
      <c r="P23" s="46">
        <f>IF(ISNUMBER(NORMSINV(SUM(O$13:O23)/O$317)),NORMSINV(SUM(O$13:O23)/O$317)," ")</f>
        <v>-4.1904597354478827</v>
      </c>
      <c r="Q23" s="46">
        <f t="shared" si="26"/>
        <v>8.6089355952614975E-4</v>
      </c>
      <c r="R23" s="46">
        <f>IF(ISNUMBER(NORMSINV(SUM(Q$13:Q23)/Q$317)),NORMSINV(SUM(Q$13:Q23)/Q$317)," ")</f>
        <v>-3.2110486740160669</v>
      </c>
      <c r="S23" s="46">
        <f t="shared" si="27"/>
        <v>1.9085152033866642E-3</v>
      </c>
      <c r="T23" s="46">
        <f>IF(ISNUMBER(NORMSINV(SUM(S$13:S23)/S$317)),NORMSINV(SUM(S$13:S23)/S$317)," ")</f>
        <v>-2.8336841382861353</v>
      </c>
      <c r="U23" s="46">
        <f t="shared" si="28"/>
        <v>3.1134179561025022E-5</v>
      </c>
      <c r="V23" s="46">
        <f>IF(ISNUMBER(NORMSINV(SUM(U$13:U23)/U$317)),NORMSINV(SUM(U$13:U23)/U$317)," ")</f>
        <v>-4.0348433308232048</v>
      </c>
      <c r="W23" s="46">
        <f t="shared" si="29"/>
        <v>1.2086551328584402E-4</v>
      </c>
      <c r="X23" s="46">
        <f>IF(ISNUMBER(NORMSINV(SUM(W$13:W23)/W$317)),NORMSINV(SUM(W$13:W23)/W$317)," ")</f>
        <v>-3.1525853573645053</v>
      </c>
      <c r="Y23" s="46">
        <f t="shared" si="30"/>
        <v>2.2360445209029876E-4</v>
      </c>
      <c r="Z23" s="46">
        <f>IF(ISNUMBER(NORMSINV(SUM(Y$13:Y23)/Y$317)),NORMSINV(SUM(Y$13:Y23)/Y$317)," ")</f>
        <v>-2.8862646031193635</v>
      </c>
      <c r="AA23" s="46">
        <f t="shared" si="31"/>
        <v>5.353840564123403E-5</v>
      </c>
      <c r="AB23" s="46">
        <f>IF(ISNUMBER(NORMSINV(SUM(AA$13:AA23)/AA$317)),NORMSINV(SUM(AA$13:AA23)/AA$317)," ")</f>
        <v>-4.170583452842922</v>
      </c>
      <c r="AC23" s="46">
        <f t="shared" si="32"/>
        <v>2.6690244393782131E-4</v>
      </c>
      <c r="AD23" s="46">
        <f>IF(ISNUMBER(NORMSINV(SUM(AC$13:AC23)/AC$317)),NORMSINV(SUM(AC$13:AC23)/AC$317)," ")</f>
        <v>-3.1840717307518647</v>
      </c>
      <c r="AE23" s="46">
        <f t="shared" si="33"/>
        <v>5.9734368900050071E-4</v>
      </c>
      <c r="AF23" s="46">
        <f>IF(ISNUMBER(NORMSINV(SUM(AE$13:AE23)/AE$317)),NORMSINV(SUM(AE$13:AE23)/AE$317)," ")</f>
        <v>-2.8942883347869586</v>
      </c>
      <c r="AG23" s="46">
        <f t="shared" si="34"/>
        <v>9.1250084294790829E-5</v>
      </c>
      <c r="AH23" s="46">
        <f>IF(ISNUMBER(NORMSINV(SUM(AG$13:AG23)/AG$317)),NORMSINV(SUM(AG$13:AG23)/AG$317)," ")</f>
        <v>-4.2365667549230164</v>
      </c>
      <c r="AI23" s="46">
        <f t="shared" si="35"/>
        <v>4.7312560230248438E-4</v>
      </c>
      <c r="AJ23" s="46">
        <f>IF(ISNUMBER(NORMSINV(SUM(AI$13:AI23)/AI$317)),NORMSINV(SUM(AI$13:AI23)/AI$317)," ")</f>
        <v>-3.2380119972082482</v>
      </c>
      <c r="AK23" s="46">
        <f t="shared" si="36"/>
        <v>1.0875670622958647E-3</v>
      </c>
      <c r="AL23" s="46">
        <f>IF(ISNUMBER(NORMSINV(SUM(AK$13:AK23)/AK$317)),NORMSINV(SUM(AK$13:AK23)/AK$317)," ")</f>
        <v>-2.781514436471459</v>
      </c>
      <c r="AM23" s="6">
        <v>3.3922573013537058E-2</v>
      </c>
      <c r="AN23" s="6">
        <v>0.13169029205414823</v>
      </c>
      <c r="AO23" s="6">
        <v>0.24363058410829641</v>
      </c>
      <c r="AP23" s="6">
        <v>2.0999999999999998E-2</v>
      </c>
      <c r="AQ23" s="6">
        <v>0.10469029205414822</v>
      </c>
      <c r="AR23" s="6">
        <v>0.23430315712183347</v>
      </c>
      <c r="AS23" s="6">
        <v>1.7896764018049398E-2</v>
      </c>
      <c r="AT23" s="6">
        <v>9.2793528036098805E-2</v>
      </c>
      <c r="AU23" s="6">
        <v>0.21330315712183348</v>
      </c>
    </row>
    <row r="24" spans="1:47" x14ac:dyDescent="0.4">
      <c r="A24" s="6">
        <f t="shared" si="21"/>
        <v>-2.53324843083701</v>
      </c>
      <c r="B24" s="6">
        <f>'Aerosol 1'!A28</f>
        <v>7.9400673306282518E-2</v>
      </c>
      <c r="C24" t="b">
        <f t="shared" si="22"/>
        <v>0</v>
      </c>
      <c r="E24" s="46">
        <f>'Aerosol 1'!$P28</f>
        <v>1.8290773394699048E-3</v>
      </c>
      <c r="F24" s="46">
        <f>'Aerosol 2'!$P28</f>
        <v>1.8290773394699048E-3</v>
      </c>
      <c r="G24" s="46">
        <f>'Aerosol 3'!$P28</f>
        <v>1.8290773394699048E-3</v>
      </c>
      <c r="H24" s="46">
        <f t="shared" si="23"/>
        <v>5.4872320184097146E-3</v>
      </c>
      <c r="I24" s="46">
        <f>NORMSINV(SUM(H$13:H24)/H$317)</f>
        <v>-3.4876321647494946</v>
      </c>
      <c r="J24" s="46">
        <f t="shared" si="18"/>
        <v>9.877017633137487E-4</v>
      </c>
      <c r="K24" s="46">
        <f t="shared" si="19"/>
        <v>2.7436160092048573E-3</v>
      </c>
      <c r="L24" s="46">
        <f t="shared" si="20"/>
        <v>5.4870125291289779E-3</v>
      </c>
      <c r="M24" s="46">
        <f t="shared" si="24"/>
        <v>9.2183303016475839E-3</v>
      </c>
      <c r="N24" s="46">
        <f>IF(ISNUMBER(NORMSINV(SUM(M$13:M24)/M$317)),NORMSINV(SUM(M$13:M24)/M$317)," ")</f>
        <v>-3.4876321647494946</v>
      </c>
      <c r="O24" s="46">
        <f t="shared" si="25"/>
        <v>1.837344749457235E-4</v>
      </c>
      <c r="P24" s="46">
        <f>IF(ISNUMBER(NORMSINV(SUM(O$13:O24)/O$317)),NORMSINV(SUM(O$13:O24)/O$317)," ")</f>
        <v>-4.1756178118759051</v>
      </c>
      <c r="Q24" s="46">
        <f t="shared" si="26"/>
        <v>9.0657731253305455E-4</v>
      </c>
      <c r="R24" s="46">
        <f>IF(ISNUMBER(NORMSINV(SUM(Q$13:Q24)/Q$317)),NORMSINV(SUM(Q$13:Q24)/Q$317)," ")</f>
        <v>-3.1915487795029396</v>
      </c>
      <c r="S24" s="46">
        <f t="shared" si="27"/>
        <v>1.9987209534736727E-3</v>
      </c>
      <c r="T24" s="46">
        <f>IF(ISNUMBER(NORMSINV(SUM(S$13:S24)/S$317)),NORMSINV(SUM(S$13:S24)/S$317)," ")</f>
        <v>-2.8129112367022633</v>
      </c>
      <c r="U24" s="46">
        <f t="shared" si="28"/>
        <v>3.2840815474616623E-5</v>
      </c>
      <c r="V24" s="46">
        <f>IF(ISNUMBER(NORMSINV(SUM(U$13:U24)/U$317)),NORMSINV(SUM(U$13:U24)/U$317)," ")</f>
        <v>-4.0195178129477034</v>
      </c>
      <c r="W24" s="46">
        <f t="shared" si="29"/>
        <v>1.2741272300077701E-4</v>
      </c>
      <c r="X24" s="46">
        <f>IF(ISNUMBER(NORMSINV(SUM(W$13:W24)/W$317)),NORMSINV(SUM(W$13:W24)/W$317)," ")</f>
        <v>-3.1331860884941825</v>
      </c>
      <c r="Y24" s="46">
        <f t="shared" si="30"/>
        <v>2.3531887248723853E-4</v>
      </c>
      <c r="Z24" s="46">
        <f>IF(ISNUMBER(NORMSINV(SUM(Y$13:Y24)/Y$317)),NORMSINV(SUM(Y$13:Y24)/Y$317)," ")</f>
        <v>-2.8648844702315852</v>
      </c>
      <c r="AA24" s="46">
        <f t="shared" si="31"/>
        <v>5.7615340292045257E-5</v>
      </c>
      <c r="AB24" s="46">
        <f>IF(ISNUMBER(NORMSINV(SUM(AA$13:AA24)/AA$317)),NORMSINV(SUM(AA$13:AA24)/AA$317)," ")</f>
        <v>-4.1557952528232516</v>
      </c>
      <c r="AC24" s="46">
        <f t="shared" si="32"/>
        <v>2.7984764113638195E-4</v>
      </c>
      <c r="AD24" s="46">
        <f>IF(ISNUMBER(NORMSINV(SUM(AC$13:AC24)/AC$317)),NORMSINV(SUM(AC$13:AC24)/AC$317)," ")</f>
        <v>-3.1645150648668969</v>
      </c>
      <c r="AE24" s="46">
        <f t="shared" si="33"/>
        <v>6.2622618279221172E-4</v>
      </c>
      <c r="AF24" s="46">
        <f>IF(ISNUMBER(NORMSINV(SUM(AE$13:AE24)/AE$317)),NORMSINV(SUM(AE$13:AE24)/AE$317)," ")</f>
        <v>-2.8737986054331239</v>
      </c>
      <c r="AG24" s="46">
        <f t="shared" si="34"/>
        <v>9.3278319179061636E-5</v>
      </c>
      <c r="AH24" s="46">
        <f>IF(ISNUMBER(NORMSINV(SUM(AG$13:AG24)/AG$317)),NORMSINV(SUM(AG$13:AG24)/AG$317)," ")</f>
        <v>-4.2217871364848607</v>
      </c>
      <c r="AI24" s="46">
        <f t="shared" si="35"/>
        <v>4.9931694839589565E-4</v>
      </c>
      <c r="AJ24" s="46">
        <f>IF(ISNUMBER(NORMSINV(SUM(AI$13:AI24)/AI$317)),NORMSINV(SUM(AI$13:AI24)/AI$317)," ")</f>
        <v>-3.2184988253515114</v>
      </c>
      <c r="AK24" s="46">
        <f t="shared" si="36"/>
        <v>1.1371758981942224E-3</v>
      </c>
      <c r="AL24" s="46">
        <f>IF(ISNUMBER(NORMSINV(SUM(AK$13:AK24)/AK$317)),NORMSINV(SUM(AK$13:AK24)/AK$317)," ")</f>
        <v>-2.7606495467853409</v>
      </c>
      <c r="AM24" s="6">
        <v>3.3249728505531241E-2</v>
      </c>
      <c r="AN24" s="6">
        <v>0.12899918551659373</v>
      </c>
      <c r="AO24" s="6">
        <v>0.23824891402212495</v>
      </c>
      <c r="AP24" s="6">
        <v>2.0999782804424983E-2</v>
      </c>
      <c r="AQ24" s="6">
        <v>0.10199956560884997</v>
      </c>
      <c r="AR24" s="6">
        <v>0.22824847963097497</v>
      </c>
      <c r="AS24" s="6">
        <v>1.6999837103318746E-2</v>
      </c>
      <c r="AT24" s="6">
        <v>9.0999782804424986E-2</v>
      </c>
      <c r="AU24" s="6">
        <v>0.20724864252765621</v>
      </c>
    </row>
    <row r="25" spans="1:47" x14ac:dyDescent="0.4">
      <c r="A25" s="6">
        <f t="shared" si="21"/>
        <v>-2.4987698534058311</v>
      </c>
      <c r="B25" s="6">
        <f>'Aerosol 1'!A29</f>
        <v>8.2186037338862386E-2</v>
      </c>
      <c r="C25" t="b">
        <f t="shared" si="22"/>
        <v>0</v>
      </c>
      <c r="E25" s="46">
        <f>'Aerosol 1'!$P29</f>
        <v>1.9675207587516543E-3</v>
      </c>
      <c r="F25" s="46">
        <f>'Aerosol 2'!$P29</f>
        <v>1.9675207587516543E-3</v>
      </c>
      <c r="G25" s="46">
        <f>'Aerosol 3'!$P29</f>
        <v>1.9675207587516543E-3</v>
      </c>
      <c r="H25" s="46">
        <f t="shared" si="23"/>
        <v>5.9025622762549634E-3</v>
      </c>
      <c r="I25" s="46">
        <f>NORMSINV(SUM(H$13:H25)/H$317)</f>
        <v>-3.4667119548162555</v>
      </c>
      <c r="J25" s="46">
        <f t="shared" si="18"/>
        <v>1.0624612097258933E-3</v>
      </c>
      <c r="K25" s="46">
        <f t="shared" si="19"/>
        <v>2.9512811381274817E-3</v>
      </c>
      <c r="L25" s="46">
        <f t="shared" si="20"/>
        <v>5.9023261737639133E-3</v>
      </c>
      <c r="M25" s="46">
        <f t="shared" si="24"/>
        <v>9.9160685216172877E-3</v>
      </c>
      <c r="N25" s="46">
        <f>IF(ISNUMBER(NORMSINV(SUM(M$13:M25)/M$317)),NORMSINV(SUM(M$13:M25)/M$317)," ")</f>
        <v>-3.4667119548162555</v>
      </c>
      <c r="O25" s="46">
        <f t="shared" si="25"/>
        <v>1.8981892084265334E-4</v>
      </c>
      <c r="P25" s="46">
        <f>IF(ISNUMBER(NORMSINV(SUM(O$13:O25)/O$317)),NORMSINV(SUM(O$13:O25)/O$317)," ")</f>
        <v>-4.1611931459083999</v>
      </c>
      <c r="Q25" s="46">
        <f t="shared" si="26"/>
        <v>9.6100983064710543E-4</v>
      </c>
      <c r="R25" s="46">
        <f>IF(ISNUMBER(NORMSINV(SUM(Q$13:Q25)/Q$317)),NORMSINV(SUM(Q$13:Q25)/Q$317)," ")</f>
        <v>-3.1721229535206237</v>
      </c>
      <c r="S25" s="46">
        <f t="shared" si="27"/>
        <v>2.0935240247463502E-3</v>
      </c>
      <c r="T25" s="46">
        <f>IF(ISNUMBER(NORMSINV(SUM(S$13:S25)/S$317)),NORMSINV(SUM(S$13:S25)/S$317)," ")</f>
        <v>-2.7923809089140494</v>
      </c>
      <c r="U25" s="46">
        <f t="shared" si="28"/>
        <v>3.4133264013148352E-5</v>
      </c>
      <c r="V25" s="46">
        <f>IF(ISNUMBER(NORMSINV(SUM(U$13:U25)/U$317)),NORMSINV(SUM(U$13:U25)/U$317)," ")</f>
        <v>-4.0045304943469242</v>
      </c>
      <c r="W25" s="46">
        <f t="shared" si="29"/>
        <v>1.3347678242392743E-4</v>
      </c>
      <c r="X25" s="46">
        <f>IF(ISNUMBER(NORMSINV(SUM(W$13:W25)/W$317)),NORMSINV(SUM(W$13:W25)/W$317)," ")</f>
        <v>-3.1140538927230281</v>
      </c>
      <c r="Y25" s="46">
        <f t="shared" si="30"/>
        <v>2.4835709837624372E-4</v>
      </c>
      <c r="Z25" s="46">
        <f>IF(ISNUMBER(NORMSINV(SUM(Y$13:Y25)/Y$317)),NORMSINV(SUM(Y$13:Y25)/Y$317)," ")</f>
        <v>-2.8436557093869244</v>
      </c>
      <c r="AA25" s="46">
        <f t="shared" si="31"/>
        <v>5.9324523433482433E-5</v>
      </c>
      <c r="AB25" s="46">
        <f>IF(ISNUMBER(NORMSINV(SUM(AA$13:AA25)/AA$317)),NORMSINV(SUM(AA$13:AA25)/AA$317)," ")</f>
        <v>-4.1414623024348582</v>
      </c>
      <c r="AC25" s="46">
        <f t="shared" si="32"/>
        <v>2.9572591515461381E-4</v>
      </c>
      <c r="AD25" s="46">
        <f>IF(ISNUMBER(NORMSINV(SUM(AC$13:AC25)/AC$317)),NORMSINV(SUM(AC$13:AC25)/AC$317)," ")</f>
        <v>-3.1450850286326353</v>
      </c>
      <c r="AE25" s="46">
        <f t="shared" si="33"/>
        <v>6.5506325650723516E-4</v>
      </c>
      <c r="AF25" s="46">
        <f>IF(ISNUMBER(NORMSINV(SUM(AE$13:AE25)/AE$317)),NORMSINV(SUM(AE$13:AE25)/AE$317)," ")</f>
        <v>-2.8535829289250465</v>
      </c>
      <c r="AG25" s="46">
        <f t="shared" si="34"/>
        <v>9.6361133396022548E-5</v>
      </c>
      <c r="AH25" s="46">
        <f>IF(ISNUMBER(NORMSINV(SUM(AG$13:AG25)/AG$317)),NORMSINV(SUM(AG$13:AG25)/AG$317)," ")</f>
        <v>-4.207429710354738</v>
      </c>
      <c r="AI25" s="46">
        <f t="shared" si="35"/>
        <v>5.3180713306856422E-4</v>
      </c>
      <c r="AJ25" s="46">
        <f>IF(ISNUMBER(NORMSINV(SUM(AI$13:AI25)/AI$317)),NORMSINV(SUM(AI$13:AI25)/AI$317)," ")</f>
        <v>-3.1989811378270785</v>
      </c>
      <c r="AK25" s="46">
        <f t="shared" si="36"/>
        <v>1.1901036698628714E-3</v>
      </c>
      <c r="AL25" s="46">
        <f>IF(ISNUMBER(NORMSINV(SUM(AK$13:AK25)/AK$317)),NORMSINV(SUM(AK$13:AK25)/AK$317)," ")</f>
        <v>-2.7400287483503352</v>
      </c>
      <c r="AM25" s="6">
        <v>3.2126597847232902E-2</v>
      </c>
      <c r="AN25" s="6">
        <v>0.1256297935416987</v>
      </c>
      <c r="AO25" s="6">
        <v>0.23375639138893164</v>
      </c>
      <c r="AP25" s="6">
        <v>2.0101278277786318E-2</v>
      </c>
      <c r="AQ25" s="6">
        <v>0.10020255655557266</v>
      </c>
      <c r="AR25" s="6">
        <v>0.2219589479445043</v>
      </c>
      <c r="AS25" s="6">
        <v>1.6325958708339743E-2</v>
      </c>
      <c r="AT25" s="6">
        <v>9.0101278277786329E-2</v>
      </c>
      <c r="AU25" s="6">
        <v>0.20163298923616454</v>
      </c>
    </row>
    <row r="26" spans="1:47" x14ac:dyDescent="0.4">
      <c r="A26" s="6">
        <f t="shared" si="21"/>
        <v>-2.4642912759746527</v>
      </c>
      <c r="B26" s="6">
        <f>'Aerosol 1'!A30</f>
        <v>8.5069111535234707E-2</v>
      </c>
      <c r="C26" t="b">
        <f t="shared" si="22"/>
        <v>0</v>
      </c>
      <c r="E26" s="46">
        <f>'Aerosol 1'!$P30</f>
        <v>2.1155175950396637E-3</v>
      </c>
      <c r="F26" s="46">
        <f>'Aerosol 2'!$P30</f>
        <v>2.1155175950396637E-3</v>
      </c>
      <c r="G26" s="46">
        <f>'Aerosol 3'!$P30</f>
        <v>2.1155175950396637E-3</v>
      </c>
      <c r="H26" s="46">
        <f t="shared" si="23"/>
        <v>6.3465527851189907E-3</v>
      </c>
      <c r="I26" s="46">
        <f>NORMSINV(SUM(H$13:H26)/H$317)</f>
        <v>-3.4457916730497415</v>
      </c>
      <c r="J26" s="46">
        <f t="shared" si="18"/>
        <v>1.1423795013214184E-3</v>
      </c>
      <c r="K26" s="46">
        <f t="shared" si="19"/>
        <v>3.1732763925594954E-3</v>
      </c>
      <c r="L26" s="46">
        <f t="shared" si="20"/>
        <v>6.3462989230075864E-3</v>
      </c>
      <c r="M26" s="46">
        <f t="shared" si="24"/>
        <v>1.0661954816888499E-2</v>
      </c>
      <c r="N26" s="46">
        <f>IF(ISNUMBER(NORMSINV(SUM(M$13:M26)/M$317)),NORMSINV(SUM(M$13:M26)/M$317)," ")</f>
        <v>-3.4457916730497415</v>
      </c>
      <c r="O26" s="46">
        <f t="shared" si="25"/>
        <v>2.0225966564857266E-4</v>
      </c>
      <c r="P26" s="46">
        <f>IF(ISNUMBER(NORMSINV(SUM(O$13:O26)/O$317)),NORMSINV(SUM(O$13:O26)/O$317)," ")</f>
        <v>-4.1467199706998841</v>
      </c>
      <c r="Q26" s="46">
        <f t="shared" si="26"/>
        <v>1.0138648089097111E-3</v>
      </c>
      <c r="R26" s="46">
        <f>IF(ISNUMBER(NORMSINV(SUM(Q$13:Q26)/Q$317)),NORMSINV(SUM(Q$13:Q26)/Q$317)," ")</f>
        <v>-3.1528487723702576</v>
      </c>
      <c r="S26" s="46">
        <f t="shared" si="27"/>
        <v>2.195585498241222E-3</v>
      </c>
      <c r="T26" s="46">
        <f>IF(ISNUMBER(NORMSINV(SUM(S$13:S26)/S$317)),NORMSINV(SUM(S$13:S26)/S$317)," ")</f>
        <v>-2.772043791404851</v>
      </c>
      <c r="U26" s="46">
        <f t="shared" si="28"/>
        <v>3.5666780298509468E-5</v>
      </c>
      <c r="V26" s="46">
        <f>IF(ISNUMBER(NORMSINV(SUM(U$13:U26)/U$317)),NORMSINV(SUM(U$13:U26)/U$317)," ")</f>
        <v>-3.9897751748322952</v>
      </c>
      <c r="W26" s="46">
        <f t="shared" si="29"/>
        <v>1.4019260037323591E-4</v>
      </c>
      <c r="X26" s="46">
        <f>IF(ISNUMBER(NORMSINV(SUM(W$13:W26)/W$317)),NORMSINV(SUM(W$13:W26)/W$317)," ")</f>
        <v>-3.0951155443146239</v>
      </c>
      <c r="Y26" s="46">
        <f t="shared" si="30"/>
        <v>2.6112383622056538E-4</v>
      </c>
      <c r="Z26" s="46">
        <f>IF(ISNUMBER(NORMSINV(SUM(Y$13:Y26)/Y$317)),NORMSINV(SUM(Y$13:Y26)/Y$317)," ")</f>
        <v>-2.8226368735684439</v>
      </c>
      <c r="AA26" s="46">
        <f t="shared" si="31"/>
        <v>6.3465527851189912E-5</v>
      </c>
      <c r="AB26" s="46">
        <f>IF(ISNUMBER(NORMSINV(SUM(AA$13:AA26)/AA$317)),NORMSINV(SUM(AA$13:AA26)/AA$317)," ")</f>
        <v>-4.127015973622111</v>
      </c>
      <c r="AC26" s="46">
        <f t="shared" si="32"/>
        <v>3.1238672956830556E-4</v>
      </c>
      <c r="AD26" s="46">
        <f>IF(ISNUMBER(NORMSINV(SUM(AC$13:AC26)/AC$317)),NORMSINV(SUM(AC$13:AC26)/AC$317)," ")</f>
        <v>-3.1257733684279478</v>
      </c>
      <c r="AE26" s="46">
        <f t="shared" si="33"/>
        <v>6.8726467279085638E-4</v>
      </c>
      <c r="AF26" s="46">
        <f>IF(ISNUMBER(NORMSINV(SUM(AE$13:AE26)/AE$317)),NORMSINV(SUM(AE$13:AE26)/AE$317)," ")</f>
        <v>-2.8335569019842861</v>
      </c>
      <c r="AG26" s="46">
        <f t="shared" si="34"/>
        <v>1.0312735749887328E-4</v>
      </c>
      <c r="AH26" s="46">
        <f>IF(ISNUMBER(NORMSINV(SUM(AG$13:AG26)/AG$317)),NORMSINV(SUM(AG$13:AG26)/AG$317)," ")</f>
        <v>-4.1929680467230881</v>
      </c>
      <c r="AI26" s="46">
        <f t="shared" si="35"/>
        <v>5.6128547896816972E-4</v>
      </c>
      <c r="AJ26" s="46">
        <f>IF(ISNUMBER(NORMSINV(SUM(AI$13:AI26)/AI$317)),NORMSINV(SUM(AI$13:AI26)/AI$317)," ")</f>
        <v>-3.1796233937004663</v>
      </c>
      <c r="AK26" s="46">
        <f t="shared" si="36"/>
        <v>1.2471969892298004E-3</v>
      </c>
      <c r="AL26" s="46">
        <f>IF(ISNUMBER(NORMSINV(SUM(AK$13:AK26)/AK$317)),NORMSINV(SUM(AK$13:AK26)/AK$317)," ")</f>
        <v>-2.7196003990175202</v>
      </c>
      <c r="AM26" s="6">
        <v>3.1221481352959178E-2</v>
      </c>
      <c r="AN26" s="6">
        <v>0.12271981439711732</v>
      </c>
      <c r="AO26" s="6">
        <v>0.22857888811775509</v>
      </c>
      <c r="AP26" s="6">
        <v>0.02</v>
      </c>
      <c r="AQ26" s="6">
        <v>9.844296270591836E-2</v>
      </c>
      <c r="AR26" s="6">
        <v>0.21657888811775508</v>
      </c>
      <c r="AS26" s="6">
        <v>1.6250000000000001E-2</v>
      </c>
      <c r="AT26" s="6">
        <v>8.8442962705918352E-2</v>
      </c>
      <c r="AU26" s="6">
        <v>0.19652351777951532</v>
      </c>
    </row>
    <row r="27" spans="1:47" x14ac:dyDescent="0.4">
      <c r="A27" s="6">
        <f t="shared" si="21"/>
        <v>-2.4298126985434738</v>
      </c>
      <c r="B27" s="6">
        <f>'Aerosol 1'!A31</f>
        <v>8.8053323553686447E-2</v>
      </c>
      <c r="C27" t="b">
        <f t="shared" si="22"/>
        <v>0</v>
      </c>
      <c r="E27" s="46">
        <f>'Aerosol 1'!$P31</f>
        <v>2.2736521662108508E-3</v>
      </c>
      <c r="F27" s="46">
        <f>'Aerosol 2'!$P31</f>
        <v>2.2736521662108508E-3</v>
      </c>
      <c r="G27" s="46">
        <f>'Aerosol 3'!$P31</f>
        <v>2.2736521662108508E-3</v>
      </c>
      <c r="H27" s="46">
        <f t="shared" si="23"/>
        <v>6.8209564986325523E-3</v>
      </c>
      <c r="I27" s="46">
        <f>NORMSINV(SUM(H$13:H27)/H$317)</f>
        <v>-3.4248713184037567</v>
      </c>
      <c r="J27" s="46">
        <f t="shared" si="18"/>
        <v>1.2277721697538594E-3</v>
      </c>
      <c r="K27" s="46">
        <f t="shared" si="19"/>
        <v>3.4104782493162762E-3</v>
      </c>
      <c r="L27" s="46">
        <f t="shared" si="20"/>
        <v>6.8206836603726074E-3</v>
      </c>
      <c r="M27" s="46">
        <f t="shared" si="24"/>
        <v>1.1458934079442743E-2</v>
      </c>
      <c r="N27" s="46">
        <f>IF(ISNUMBER(NORMSINV(SUM(M$13:M27)/M$317)),NORMSINV(SUM(M$13:M27)/M$317)," ")</f>
        <v>-3.4248713184037567</v>
      </c>
      <c r="O27" s="46">
        <f t="shared" si="25"/>
        <v>2.1710661172975003E-4</v>
      </c>
      <c r="P27" s="46">
        <f>IF(ISNUMBER(NORMSINV(SUM(O$13:O27)/O$317)),NORMSINV(SUM(O$13:O27)/O$317)," ")</f>
        <v>-4.1320940001705662</v>
      </c>
      <c r="Q27" s="46">
        <f t="shared" si="26"/>
        <v>1.0677479806886752E-3</v>
      </c>
      <c r="R27" s="46">
        <f>IF(ISNUMBER(NORMSINV(SUM(Q$13:Q27)/Q$317)),NORMSINV(SUM(Q$13:Q27)/Q$317)," ")</f>
        <v>-3.1337419159306901</v>
      </c>
      <c r="S27" s="46">
        <f t="shared" si="27"/>
        <v>2.2987468054237585E-3</v>
      </c>
      <c r="T27" s="46">
        <f>IF(ISNUMBER(NORMSINV(SUM(S$13:S27)/S$317)),NORMSINV(SUM(S$13:S27)/S$317)," ")</f>
        <v>-2.7519124858956836</v>
      </c>
      <c r="U27" s="46">
        <f t="shared" si="28"/>
        <v>3.8060937262369643E-5</v>
      </c>
      <c r="V27" s="46">
        <f>IF(ISNUMBER(NORMSINV(SUM(U$13:U27)/U$317)),NORMSINV(SUM(U$13:U27)/U$317)," ")</f>
        <v>-3.974932196254624</v>
      </c>
      <c r="W27" s="46">
        <f t="shared" si="29"/>
        <v>1.472731429384553E-4</v>
      </c>
      <c r="X27" s="46">
        <f>IF(ISNUMBER(NORMSINV(SUM(W$13:W27)/W$317)),NORMSINV(SUM(W$13:W27)/W$317)," ")</f>
        <v>-3.076348313039829</v>
      </c>
      <c r="Y27" s="46">
        <f t="shared" si="30"/>
        <v>2.7481945595737205E-4</v>
      </c>
      <c r="Z27" s="46">
        <f>IF(ISNUMBER(NORMSINV(SUM(Y$13:Y27)/Y$317)),NORMSINV(SUM(Y$13:Y27)/Y$317)," ")</f>
        <v>-2.8017848950760409</v>
      </c>
      <c r="AA27" s="46">
        <f t="shared" si="31"/>
        <v>6.820956498632553E-5</v>
      </c>
      <c r="AB27" s="46">
        <f>IF(ISNUMBER(NORMSINV(SUM(AA$13:AA27)/AA$317)),NORMSINV(SUM(AA$13:AA27)/AA$317)," ")</f>
        <v>-4.1123937388269258</v>
      </c>
      <c r="AC27" s="46">
        <f t="shared" si="32"/>
        <v>3.2956934663389221E-4</v>
      </c>
      <c r="AD27" s="46">
        <f>IF(ISNUMBER(NORMSINV(SUM(AC$13:AC27)/AC$317)),NORMSINV(SUM(AC$13:AC27)/AC$317)," ")</f>
        <v>-3.1065890703012817</v>
      </c>
      <c r="AE27" s="46">
        <f t="shared" si="33"/>
        <v>7.201328777680199E-4</v>
      </c>
      <c r="AF27" s="46">
        <f>IF(ISNUMBER(NORMSINV(SUM(AE$13:AE27)/AE$317)),NORMSINV(SUM(AE$13:AE27)/AE$317)," ")</f>
        <v>-2.8137251831192729</v>
      </c>
      <c r="AG27" s="46">
        <f t="shared" si="34"/>
        <v>1.1083610948105487E-4</v>
      </c>
      <c r="AH27" s="46">
        <f>IF(ISNUMBER(NORMSINV(SUM(AG$13:AG27)/AG$317)),NORMSINV(SUM(AG$13:AG27)/AG$317)," ")</f>
        <v>-4.178344813665233</v>
      </c>
      <c r="AI27" s="46">
        <f t="shared" si="35"/>
        <v>5.9090549111632759E-4</v>
      </c>
      <c r="AJ27" s="46">
        <f>IF(ISNUMBER(NORMSINV(SUM(AI$13:AI27)/AI$317)),NORMSINV(SUM(AI$13:AI27)/AI$317)," ")</f>
        <v>-3.1604548014128269</v>
      </c>
      <c r="AK27" s="46">
        <f t="shared" si="36"/>
        <v>1.3037944716983666E-3</v>
      </c>
      <c r="AL27" s="46">
        <f>IF(ISNUMBER(NORMSINV(SUM(AK$13:AK27)/AK$317)),NORMSINV(SUM(AK$13:AK27)/AK$317)," ")</f>
        <v>-2.6993929671746062</v>
      </c>
      <c r="AM27" s="6">
        <v>3.1E-2</v>
      </c>
      <c r="AN27" s="6">
        <v>0.11995152404210321</v>
      </c>
      <c r="AO27" s="6">
        <v>0.22383587340350544</v>
      </c>
      <c r="AP27" s="6">
        <v>0.02</v>
      </c>
      <c r="AQ27" s="6">
        <v>9.6634349361402153E-2</v>
      </c>
      <c r="AR27" s="6">
        <v>0.21115304808420646</v>
      </c>
      <c r="AS27" s="6">
        <v>1.6250000000000001E-2</v>
      </c>
      <c r="AT27" s="6">
        <v>8.6634349361402144E-2</v>
      </c>
      <c r="AU27" s="6">
        <v>0.19115304808420649</v>
      </c>
    </row>
    <row r="28" spans="1:47" x14ac:dyDescent="0.4">
      <c r="A28" s="6">
        <f t="shared" si="21"/>
        <v>-2.3953341211122949</v>
      </c>
      <c r="B28" s="6">
        <f>'Aerosol 1'!A32</f>
        <v>9.1142221294257017E-2</v>
      </c>
      <c r="C28" t="b">
        <f t="shared" si="22"/>
        <v>0</v>
      </c>
      <c r="E28" s="46">
        <f>'Aerosol 1'!$P32</f>
        <v>2.4425388100949934E-3</v>
      </c>
      <c r="F28" s="46">
        <f>'Aerosol 2'!$P32</f>
        <v>2.4425388100949934E-3</v>
      </c>
      <c r="G28" s="46">
        <f>'Aerosol 3'!$P32</f>
        <v>2.4425388100949934E-3</v>
      </c>
      <c r="H28" s="46">
        <f t="shared" si="23"/>
        <v>7.3276164302849799E-3</v>
      </c>
      <c r="I28" s="46">
        <f>NORMSINV(SUM(H$13:H28)/H$317)</f>
        <v>-3.4039508898125188</v>
      </c>
      <c r="J28" s="46">
        <f t="shared" si="18"/>
        <v>1.3189709574512965E-3</v>
      </c>
      <c r="K28" s="46">
        <f t="shared" si="19"/>
        <v>3.6638082151424899E-3</v>
      </c>
      <c r="L28" s="46">
        <f t="shared" si="20"/>
        <v>7.3273233256277688E-3</v>
      </c>
      <c r="M28" s="46">
        <f t="shared" si="24"/>
        <v>1.2310102498221554E-2</v>
      </c>
      <c r="N28" s="46">
        <f>IF(ISNUMBER(NORMSINV(SUM(M$13:M28)/M$317)),NORMSINV(SUM(M$13:M28)/M$317)," ")</f>
        <v>-3.4039508898125188</v>
      </c>
      <c r="O28" s="46">
        <f t="shared" si="25"/>
        <v>2.2498156591451113E-4</v>
      </c>
      <c r="P28" s="46">
        <f>IF(ISNUMBER(NORMSINV(SUM(O$13:O28)/O$317)),NORMSINV(SUM(O$13:O28)/O$317)," ")</f>
        <v>-4.1178160229672889</v>
      </c>
      <c r="Q28" s="46">
        <f t="shared" si="26"/>
        <v>1.1279730752335087E-3</v>
      </c>
      <c r="R28" s="46">
        <f>IF(ISNUMBER(NORMSINV(SUM(Q$13:Q28)/Q$317)),NORMSINV(SUM(Q$13:Q28)/Q$317)," ")</f>
        <v>-3.1147276492789389</v>
      </c>
      <c r="S28" s="46">
        <f t="shared" si="27"/>
        <v>2.4033920406191355E-3</v>
      </c>
      <c r="T28" s="46">
        <f>IF(ISNUMBER(NORMSINV(SUM(S$13:S28)/S$317)),NORMSINV(SUM(S$13:S28)/S$317)," ")</f>
        <v>-2.7319932016384882</v>
      </c>
      <c r="U28" s="46">
        <f t="shared" si="28"/>
        <v>4.0118490945043446E-5</v>
      </c>
      <c r="V28" s="46">
        <f>IF(ISNUMBER(NORMSINV(SUM(U$13:U28)/U$317)),NORMSINV(SUM(U$13:U28)/U$317)," ")</f>
        <v>-3.9601804755887744</v>
      </c>
      <c r="W28" s="46">
        <f t="shared" si="29"/>
        <v>1.5464871772886401E-4</v>
      </c>
      <c r="X28" s="46">
        <f>IF(ISNUMBER(NORMSINV(SUM(W$13:W28)/W$317)),NORMSINV(SUM(W$13:W28)/W$317)," ")</f>
        <v>-3.0577420967678224</v>
      </c>
      <c r="Y28" s="46">
        <f t="shared" si="30"/>
        <v>2.8852364287787019E-4</v>
      </c>
      <c r="Z28" s="46">
        <f>IF(ISNUMBER(NORMSINV(SUM(Y$13:Y28)/Y$317)),NORMSINV(SUM(Y$13:Y28)/Y$317)," ")</f>
        <v>-2.7811296807967372</v>
      </c>
      <c r="AA28" s="46">
        <f t="shared" si="31"/>
        <v>7.1138362258553296E-5</v>
      </c>
      <c r="AB28" s="46">
        <f>IF(ISNUMBER(NORMSINV(SUM(AA$13:AA28)/AA$317)),NORMSINV(SUM(AA$13:AA28)/AA$317)," ")</f>
        <v>-4.0980260582107109</v>
      </c>
      <c r="AC28" s="46">
        <f t="shared" si="32"/>
        <v>3.4744998456508604E-4</v>
      </c>
      <c r="AD28" s="46">
        <f>IF(ISNUMBER(NORMSINV(SUM(AC$13:AC28)/AC$317)),NORMSINV(SUM(AC$13:AC28)/AC$317)," ")</f>
        <v>-3.0875303206567968</v>
      </c>
      <c r="AE28" s="46">
        <f t="shared" si="33"/>
        <v>7.5382505675278711E-4</v>
      </c>
      <c r="AF28" s="46">
        <f>IF(ISNUMBER(NORMSINV(SUM(AE$13:AE28)/AE$317)),NORMSINV(SUM(AE$13:AE28)/AE$317)," ")</f>
        <v>-2.7940868906443623</v>
      </c>
      <c r="AG28" s="46">
        <f t="shared" si="34"/>
        <v>1.137247127109144E-4</v>
      </c>
      <c r="AH28" s="46">
        <f>IF(ISNUMBER(NORMSINV(SUM(AG$13:AG28)/AG$317)),NORMSINV(SUM(AG$13:AG28)/AG$317)," ")</f>
        <v>-4.1642151154421354</v>
      </c>
      <c r="AI28" s="46">
        <f t="shared" si="35"/>
        <v>6.2587437293955858E-4</v>
      </c>
      <c r="AJ28" s="46">
        <f>IF(ISNUMBER(NORMSINV(SUM(AI$13:AI28)/AI$317)),NORMSINV(SUM(AI$13:AI28)/AI$317)," ")</f>
        <v>-3.1413435315566907</v>
      </c>
      <c r="AK28" s="46">
        <f t="shared" si="36"/>
        <v>1.3610433409884783E-3</v>
      </c>
      <c r="AL28" s="46">
        <f>IF(ISNUMBER(NORMSINV(SUM(AK$13:AK28)/AK$317)),NORMSINV(SUM(AK$13:AK28)/AK$317)," ")</f>
        <v>-2.6794119235064051</v>
      </c>
      <c r="AM28" s="6">
        <v>3.0416508201640852E-2</v>
      </c>
      <c r="AN28" s="6">
        <v>0.11724952460492254</v>
      </c>
      <c r="AO28" s="6">
        <v>0.21874904920984511</v>
      </c>
      <c r="AP28" s="6">
        <v>1.9416508201640856E-2</v>
      </c>
      <c r="AQ28" s="6">
        <v>9.4833016403281706E-2</v>
      </c>
      <c r="AR28" s="6">
        <v>0.20574904920984516</v>
      </c>
      <c r="AS28" s="6">
        <v>1.5520635252051065E-2</v>
      </c>
      <c r="AT28" s="6">
        <v>8.5416508201640845E-2</v>
      </c>
      <c r="AU28" s="6">
        <v>0.18574904920984509</v>
      </c>
    </row>
    <row r="29" spans="1:47" x14ac:dyDescent="0.4">
      <c r="A29" s="6">
        <f t="shared" si="21"/>
        <v>-2.3608555436811161</v>
      </c>
      <c r="B29" s="6">
        <f>'Aerosol 1'!A33</f>
        <v>9.4339477116801421E-2</v>
      </c>
      <c r="C29" t="b">
        <f t="shared" si="22"/>
        <v>0</v>
      </c>
      <c r="E29" s="46">
        <f>'Aerosol 1'!$P33</f>
        <v>2.6228230141051717E-3</v>
      </c>
      <c r="F29" s="46">
        <f>'Aerosol 2'!$P33</f>
        <v>2.6228230141051717E-3</v>
      </c>
      <c r="G29" s="46">
        <f>'Aerosol 3'!$P33</f>
        <v>2.6228230141051717E-3</v>
      </c>
      <c r="H29" s="46">
        <f t="shared" si="23"/>
        <v>7.8684690423155151E-3</v>
      </c>
      <c r="I29" s="46">
        <f>NORMSINV(SUM(H$13:H29)/H$317)</f>
        <v>-3.3830303861902173</v>
      </c>
      <c r="J29" s="46">
        <f t="shared" si="18"/>
        <v>1.4163244276167927E-3</v>
      </c>
      <c r="K29" s="46">
        <f t="shared" si="19"/>
        <v>3.9342345211577576E-3</v>
      </c>
      <c r="L29" s="46">
        <f t="shared" si="20"/>
        <v>7.8681543035538232E-3</v>
      </c>
      <c r="M29" s="46">
        <f t="shared" si="24"/>
        <v>1.3218713252328373E-2</v>
      </c>
      <c r="N29" s="46">
        <f>IF(ISNUMBER(NORMSINV(SUM(M$13:M29)/M$317)),NORMSINV(SUM(M$13:M29)/M$317)," ")</f>
        <v>-3.3830303861902182</v>
      </c>
      <c r="O29" s="46">
        <f t="shared" si="25"/>
        <v>2.3332350852266469E-4</v>
      </c>
      <c r="P29" s="46">
        <f>IF(ISNUMBER(NORMSINV(SUM(O$13:O29)/O$317)),NORMSINV(SUM(O$13:O29)/O$317)," ")</f>
        <v>-4.1038452182907239</v>
      </c>
      <c r="Q29" s="46">
        <f t="shared" si="26"/>
        <v>1.1901305448300164E-3</v>
      </c>
      <c r="R29" s="46">
        <f>IF(ISNUMBER(NORMSINV(SUM(Q$13:Q29)/Q$317)),NORMSINV(SUM(Q$13:Q29)/Q$317)," ")</f>
        <v>-3.0958161755603557</v>
      </c>
      <c r="S29" s="46">
        <f t="shared" si="27"/>
        <v>2.5139160008565697E-3</v>
      </c>
      <c r="T29" s="46">
        <f>IF(ISNUMBER(NORMSINV(SUM(S$13:S29)/S$317)),NORMSINV(SUM(S$13:S29)/S$317)," ")</f>
        <v>-2.7122564639531919</v>
      </c>
      <c r="U29" s="46">
        <f t="shared" si="28"/>
        <v>4.1976469509377468E-5</v>
      </c>
      <c r="V29" s="46">
        <f>IF(ISNUMBER(NORMSINV(SUM(U$13:U29)/U$317)),NORMSINV(SUM(U$13:U29)/U$317)," ")</f>
        <v>-3.9456159829250663</v>
      </c>
      <c r="W29" s="46">
        <f t="shared" si="29"/>
        <v>1.6292493141921115E-4</v>
      </c>
      <c r="X29" s="46">
        <f>IF(ISNUMBER(NORMSINV(SUM(W$13:W29)/W$317)),NORMSINV(SUM(W$13:W29)/W$317)," ")</f>
        <v>-3.0392217547397804</v>
      </c>
      <c r="Y29" s="46">
        <f t="shared" si="30"/>
        <v>3.0285840201128936E-4</v>
      </c>
      <c r="Z29" s="46">
        <f>IF(ISNUMBER(NORMSINV(SUM(Y$13:Y29)/Y$317)),NORMSINV(SUM(Y$13:Y29)/Y$317)," ")</f>
        <v>-2.7606534775224021</v>
      </c>
      <c r="AA29" s="46">
        <f t="shared" si="31"/>
        <v>7.3324724459979872E-5</v>
      </c>
      <c r="AB29" s="46">
        <f>IF(ISNUMBER(NORMSINV(SUM(AA$13:AA29)/AA$317)),NORMSINV(SUM(AA$13:AA29)/AA$317)," ")</f>
        <v>-4.0840522160177546</v>
      </c>
      <c r="AC29" s="46">
        <f t="shared" si="32"/>
        <v>3.660160944767825E-4</v>
      </c>
      <c r="AD29" s="46">
        <f>IF(ISNUMBER(NORMSINV(SUM(AC$13:AC29)/AC$317)),NORMSINV(SUM(AC$13:AC29)/AC$317)," ")</f>
        <v>-3.0685967878170954</v>
      </c>
      <c r="AE29" s="46">
        <f t="shared" si="33"/>
        <v>7.8822731488917405E-4</v>
      </c>
      <c r="AF29" s="46">
        <f>IF(ISNUMBER(NORMSINV(SUM(AE$13:AE29)/AE$317)),NORMSINV(SUM(AE$13:AE29)/AE$317)," ")</f>
        <v>-2.7746434149684274</v>
      </c>
      <c r="AG29" s="46">
        <f t="shared" si="34"/>
        <v>1.1802231455330734E-4</v>
      </c>
      <c r="AH29" s="46">
        <f>IF(ISNUMBER(NORMSINV(SUM(AG$13:AG29)/AG$317)),NORMSINV(SUM(AG$13:AG29)/AG$317)," ")</f>
        <v>-4.1503807845550087</v>
      </c>
      <c r="AI29" s="46">
        <f t="shared" si="35"/>
        <v>6.6118951893402267E-4</v>
      </c>
      <c r="AJ29" s="46">
        <f>IF(ISNUMBER(NORMSINV(SUM(AI$13:AI29)/AI$317)),NORMSINV(SUM(AI$13:AI29)/AI$317)," ")</f>
        <v>-3.12232742823551</v>
      </c>
      <c r="AK29" s="46">
        <f t="shared" si="36"/>
        <v>1.4228302839561066E-3</v>
      </c>
      <c r="AL29" s="46">
        <f>IF(ISNUMBER(NORMSINV(SUM(AK$13:AK29)/AK$317)),NORMSINV(SUM(AK$13:AK29)/AK$317)," ")</f>
        <v>-2.6596079432225594</v>
      </c>
      <c r="AM29" s="6">
        <v>2.96376089339997E-2</v>
      </c>
      <c r="AN29" s="6">
        <v>0.11503362382399923</v>
      </c>
      <c r="AO29" s="6">
        <v>0.21383405955999801</v>
      </c>
      <c r="AP29" s="6">
        <v>1.8637608933999704E-2</v>
      </c>
      <c r="AQ29" s="6">
        <v>9.3033623823999212E-2</v>
      </c>
      <c r="AR29" s="6">
        <v>0.20035087147199765</v>
      </c>
      <c r="AS29" s="6">
        <v>1.4999999999999999E-2</v>
      </c>
      <c r="AT29" s="6">
        <v>8.4033623823999232E-2</v>
      </c>
      <c r="AU29" s="6">
        <v>0.18083405955999798</v>
      </c>
    </row>
    <row r="30" spans="1:47" x14ac:dyDescent="0.4">
      <c r="A30" s="6">
        <f t="shared" si="21"/>
        <v>-2.3263769662499376</v>
      </c>
      <c r="B30" s="6">
        <f>'Aerosol 1'!A34</f>
        <v>9.7648892207022539E-2</v>
      </c>
      <c r="C30" t="b">
        <f t="shared" si="22"/>
        <v>0</v>
      </c>
      <c r="E30" s="46">
        <f>'Aerosol 1'!$P34</f>
        <v>2.8151825584326728E-3</v>
      </c>
      <c r="F30" s="46">
        <f>'Aerosol 2'!$P34</f>
        <v>2.8151825584326728E-3</v>
      </c>
      <c r="G30" s="46">
        <f>'Aerosol 3'!$P34</f>
        <v>2.8151825584326728E-3</v>
      </c>
      <c r="H30" s="46">
        <f t="shared" si="23"/>
        <v>8.4455476752980183E-3</v>
      </c>
      <c r="I30" s="46">
        <f>NORMSINV(SUM(H$13:H30)/H$317)</f>
        <v>-3.3621098064305621</v>
      </c>
      <c r="J30" s="46">
        <f t="shared" si="18"/>
        <v>1.5201985815536433E-3</v>
      </c>
      <c r="K30" s="46">
        <f t="shared" si="19"/>
        <v>4.2227738376490092E-3</v>
      </c>
      <c r="L30" s="46">
        <f t="shared" si="20"/>
        <v>8.4452098533910058E-3</v>
      </c>
      <c r="M30" s="46">
        <f t="shared" si="24"/>
        <v>1.4188182272593658E-2</v>
      </c>
      <c r="N30" s="46">
        <f>IF(ISNUMBER(NORMSINV(SUM(M$13:M30)/M$317)),NORMSINV(SUM(M$13:M30)/M$317)," ")</f>
        <v>-3.3621098064305621</v>
      </c>
      <c r="O30" s="46">
        <f t="shared" si="25"/>
        <v>2.4748503809908127E-4</v>
      </c>
      <c r="P30" s="46">
        <f>IF(ISNUMBER(NORMSINV(SUM(O$13:O30)/O$317)),NORMSINV(SUM(O$13:O30)/O$317)," ")</f>
        <v>-4.089852792242394</v>
      </c>
      <c r="Q30" s="46">
        <f t="shared" si="26"/>
        <v>1.2547160261348149E-3</v>
      </c>
      <c r="R30" s="46">
        <f>IF(ISNUMBER(NORMSINV(SUM(Q$13:Q30)/Q$317)),NORMSINV(SUM(Q$13:Q30)/Q$317)," ")</f>
        <v>-3.0770091050492532</v>
      </c>
      <c r="S30" s="46">
        <f t="shared" si="27"/>
        <v>2.6287390921741621E-3</v>
      </c>
      <c r="T30" s="46">
        <f>IF(ISNUMBER(NORMSINV(SUM(S$13:S30)/S$317)),NORMSINV(SUM(S$13:S30)/S$317)," ")</f>
        <v>-2.6926894330035118</v>
      </c>
      <c r="U30" s="46">
        <f t="shared" si="28"/>
        <v>4.3741267761121754E-5</v>
      </c>
      <c r="V30" s="46">
        <f>IF(ISNUMBER(NORMSINV(SUM(U$13:U30)/U$317)),NORMSINV(SUM(U$13:U30)/U$317)," ")</f>
        <v>-3.9312801984164834</v>
      </c>
      <c r="W30" s="46">
        <f t="shared" si="29"/>
        <v>1.7170864864860631E-4</v>
      </c>
      <c r="X30" s="46">
        <f>IF(ISNUMBER(NORMSINV(SUM(W$13:W30)/W$317)),NORMSINV(SUM(W$13:W30)/W$317)," ")</f>
        <v>-3.0207693043655794</v>
      </c>
      <c r="Y30" s="46">
        <f t="shared" si="30"/>
        <v>3.1780906290632463E-4</v>
      </c>
      <c r="Z30" s="46">
        <f>IF(ISNUMBER(NORMSINV(SUM(Y$13:Y30)/Y$317)),NORMSINV(SUM(Y$13:Y30)/Y$317)," ")</f>
        <v>-2.7403426853327884</v>
      </c>
      <c r="AA30" s="46">
        <f t="shared" si="31"/>
        <v>7.7065622537094406E-5</v>
      </c>
      <c r="AB30" s="46">
        <f>IF(ISNUMBER(NORMSINV(SUM(AA$13:AA30)/AA$317)),NORMSINV(SUM(AA$13:AA30)/AA$317)," ")</f>
        <v>-4.0701773204273026</v>
      </c>
      <c r="AC30" s="46">
        <f t="shared" si="32"/>
        <v>3.8527501195560976E-4</v>
      </c>
      <c r="AD30" s="46">
        <f>IF(ISNUMBER(NORMSINV(SUM(AC$13:AC30)/AC$317)),NORMSINV(SUM(AC$13:AC30)/AC$317)," ")</f>
        <v>-3.0497882693278129</v>
      </c>
      <c r="AE30" s="46">
        <f t="shared" si="33"/>
        <v>8.2489168670601921E-4</v>
      </c>
      <c r="AF30" s="46">
        <f>IF(ISNUMBER(NORMSINV(SUM(AE$13:AE30)/AE$317)),NORMSINV(SUM(AE$13:AE30)/AE$317)," ")</f>
        <v>-2.7553598549827627</v>
      </c>
      <c r="AG30" s="46">
        <f t="shared" si="34"/>
        <v>1.2667814780086508E-4</v>
      </c>
      <c r="AH30" s="46">
        <f>IF(ISNUMBER(NORMSINV(SUM(AG$13:AG30)/AG$317)),NORMSINV(SUM(AG$13:AG30)/AG$317)," ")</f>
        <v>-4.1363656967490732</v>
      </c>
      <c r="AI30" s="46">
        <f t="shared" si="35"/>
        <v>6.977323655305988E-4</v>
      </c>
      <c r="AJ30" s="46">
        <f>IF(ISNUMBER(NORMSINV(SUM(AI$13:AI30)/AI$317)),NORMSINV(SUM(AI$13:AI30)/AI$317)," ")</f>
        <v>-3.1034140442927343</v>
      </c>
      <c r="AK30" s="46">
        <f t="shared" si="36"/>
        <v>1.486038342561818E-3</v>
      </c>
      <c r="AL30" s="46">
        <f>IF(ISNUMBER(NORMSINV(SUM(AK$13:AK30)/AK$317)),NORMSINV(SUM(AK$13:AK30)/AK$317)," ")</f>
        <v>-2.6399807597387603</v>
      </c>
      <c r="AM30" s="6">
        <v>2.8773390721374158E-2</v>
      </c>
      <c r="AN30" s="6">
        <v>0.11295145958702318</v>
      </c>
      <c r="AO30" s="6">
        <v>0.20905759731832121</v>
      </c>
      <c r="AP30" s="6">
        <v>1.8249999999999999E-2</v>
      </c>
      <c r="AQ30" s="6">
        <v>9.1237425154198665E-2</v>
      </c>
      <c r="AR30" s="6">
        <v>0.19534356288549665</v>
      </c>
      <c r="AS30" s="6">
        <v>1.4999999999999999E-2</v>
      </c>
      <c r="AT30" s="6">
        <v>8.2618712577099337E-2</v>
      </c>
      <c r="AU30" s="6">
        <v>0.17596227546259599</v>
      </c>
    </row>
    <row r="31" spans="1:47" x14ac:dyDescent="0.4">
      <c r="A31" s="6">
        <f t="shared" si="21"/>
        <v>-2.2918983888187592</v>
      </c>
      <c r="B31" s="6">
        <f>'Aerosol 1'!A35</f>
        <v>0.10107440109566297</v>
      </c>
      <c r="C31" t="b">
        <f t="shared" si="22"/>
        <v>0</v>
      </c>
      <c r="E31" s="46">
        <f>'Aerosol 1'!$P35</f>
        <v>3.0203286707065503E-3</v>
      </c>
      <c r="F31" s="46">
        <f>'Aerosol 2'!$P35</f>
        <v>3.0203286707065503E-3</v>
      </c>
      <c r="G31" s="46">
        <f>'Aerosol 3'!$P35</f>
        <v>3.0203286707065503E-3</v>
      </c>
      <c r="H31" s="46">
        <f t="shared" si="23"/>
        <v>9.0609860121196508E-3</v>
      </c>
      <c r="I31" s="46">
        <f>NORMSINV(SUM(H$13:H31)/H$317)</f>
        <v>-3.3411891494063095</v>
      </c>
      <c r="J31" s="46">
        <f t="shared" si="18"/>
        <v>1.6309774821815374E-3</v>
      </c>
      <c r="K31" s="46">
        <f t="shared" si="19"/>
        <v>4.5304930060598254E-3</v>
      </c>
      <c r="L31" s="46">
        <f t="shared" si="20"/>
        <v>9.0606235726791665E-3</v>
      </c>
      <c r="M31" s="46">
        <f t="shared" si="24"/>
        <v>1.5222094060920529E-2</v>
      </c>
      <c r="N31" s="46">
        <f>IF(ISNUMBER(NORMSINV(SUM(M$13:M31)/M$317)),NORMSINV(SUM(M$13:M31)/M$317)," ")</f>
        <v>-3.3411891494063095</v>
      </c>
      <c r="O31" s="46">
        <f t="shared" si="25"/>
        <v>3.5495506563444938E-4</v>
      </c>
      <c r="P31" s="46">
        <f>IF(ISNUMBER(NORMSINV(SUM(O$13:O31)/O$317)),NORMSINV(SUM(O$13:O31)/O$317)," ")</f>
        <v>-4.0710860578245187</v>
      </c>
      <c r="Q31" s="46">
        <f t="shared" si="26"/>
        <v>1.3180835474768649E-3</v>
      </c>
      <c r="R31" s="46">
        <f>IF(ISNUMBER(NORMSINV(SUM(Q$13:Q31)/Q$317)),NORMSINV(SUM(Q$13:Q31)/Q$317)," ")</f>
        <v>-3.0583585350184248</v>
      </c>
      <c r="S31" s="46">
        <f t="shared" si="27"/>
        <v>2.7314878587971327E-3</v>
      </c>
      <c r="T31" s="46">
        <f>IF(ISNUMBER(NORMSINV(SUM(S$13:S31)/S$317)),NORMSINV(SUM(S$13:S31)/S$317)," ")</f>
        <v>-2.673393988946783</v>
      </c>
      <c r="U31" s="46">
        <f t="shared" si="28"/>
        <v>5.5552274081817564E-5</v>
      </c>
      <c r="V31" s="46">
        <f>IF(ISNUMBER(NORMSINV(SUM(U$13:U31)/U$317)),NORMSINV(SUM(U$13:U31)/U$317)," ")</f>
        <v>-3.9141656176793482</v>
      </c>
      <c r="W31" s="46">
        <f t="shared" si="29"/>
        <v>1.7953666105323599E-4</v>
      </c>
      <c r="X31" s="46">
        <f>IF(ISNUMBER(NORMSINV(SUM(W$13:W31)/W$317)),NORMSINV(SUM(W$13:W31)/W$317)," ")</f>
        <v>-3.0025160950842293</v>
      </c>
      <c r="Y31" s="46">
        <f t="shared" si="30"/>
        <v>3.3100971952595179E-4</v>
      </c>
      <c r="Z31" s="46">
        <f>IF(ISNUMBER(NORMSINV(SUM(Y$13:Y31)/Y$317)),NORMSINV(SUM(Y$13:Y31)/Y$317)," ")</f>
        <v>-2.7203253920622061</v>
      </c>
      <c r="AA31" s="46">
        <f t="shared" si="31"/>
        <v>1.0982754213723002E-4</v>
      </c>
      <c r="AB31" s="46">
        <f>IF(ISNUMBER(NORMSINV(SUM(AA$13:AA31)/AA$317)),NORMSINV(SUM(AA$13:AA31)/AA$317)," ")</f>
        <v>-4.0516665919348105</v>
      </c>
      <c r="AC31" s="46">
        <f t="shared" si="32"/>
        <v>4.0306401799768805E-4</v>
      </c>
      <c r="AD31" s="46">
        <f>IF(ISNUMBER(NORMSINV(SUM(AC$13:AC31)/AC$317)),NORMSINV(SUM(AC$13:AC31)/AC$317)," ")</f>
        <v>-3.0312019062174222</v>
      </c>
      <c r="AE31" s="46">
        <f t="shared" si="33"/>
        <v>8.5975443430053055E-4</v>
      </c>
      <c r="AF31" s="46">
        <f>IF(ISNUMBER(NORMSINV(SUM(AE$13:AE31)/AE$317)),NORMSINV(SUM(AE$13:AE31)/AE$317)," ")</f>
        <v>-2.7362955185653766</v>
      </c>
      <c r="AG31" s="46">
        <f t="shared" si="34"/>
        <v>1.8957524941540181E-4</v>
      </c>
      <c r="AH31" s="46">
        <f>IF(ISNUMBER(NORMSINV(SUM(AG$13:AG31)/AG$317)),NORMSINV(SUM(AG$13:AG31)/AG$317)," ")</f>
        <v>-4.1168010942833773</v>
      </c>
      <c r="AI31" s="46">
        <f t="shared" si="35"/>
        <v>7.3548286842594084E-4</v>
      </c>
      <c r="AJ31" s="46">
        <f>IF(ISNUMBER(NORMSINV(SUM(AI$13:AI31)/AI$317)),NORMSINV(SUM(AI$13:AI31)/AI$317)," ")</f>
        <v>-3.0846106247513121</v>
      </c>
      <c r="AK31" s="46">
        <f t="shared" si="36"/>
        <v>1.5407237049706506E-3</v>
      </c>
      <c r="AL31" s="46">
        <f>IF(ISNUMBER(NORMSINV(SUM(AK$13:AK31)/AK$317)),NORMSINV(SUM(AK$13:AK31)/AK$317)," ")</f>
        <v>-2.6206512182642516</v>
      </c>
      <c r="AM31" s="6">
        <v>3.4060724129380882E-2</v>
      </c>
      <c r="AN31" s="6">
        <v>0.11007917829318781</v>
      </c>
      <c r="AO31" s="6">
        <v>0.20295174099105587</v>
      </c>
      <c r="AP31" s="6">
        <v>2.424185226427425E-2</v>
      </c>
      <c r="AQ31" s="6">
        <v>8.8966922023400993E-2</v>
      </c>
      <c r="AR31" s="6">
        <v>0.1897706128561624</v>
      </c>
      <c r="AS31" s="6">
        <v>2.0922980399167568E-2</v>
      </c>
      <c r="AT31" s="6">
        <v>8.1173537618720801E-2</v>
      </c>
      <c r="AU31" s="6">
        <v>0.17004610031658879</v>
      </c>
    </row>
    <row r="32" spans="1:47" x14ac:dyDescent="0.4">
      <c r="A32" s="6">
        <f t="shared" si="21"/>
        <v>-2.2574198113875807</v>
      </c>
      <c r="B32" s="6">
        <f>'Aerosol 1'!A36</f>
        <v>0.10462007633622963</v>
      </c>
      <c r="C32" t="b">
        <f t="shared" si="22"/>
        <v>0</v>
      </c>
      <c r="E32" s="46">
        <f>'Aerosol 1'!$P36</f>
        <v>3.2390071898229645E-3</v>
      </c>
      <c r="F32" s="46">
        <f>'Aerosol 2'!$P36</f>
        <v>3.2390071898229645E-3</v>
      </c>
      <c r="G32" s="46">
        <f>'Aerosol 3'!$P36</f>
        <v>3.2390071898229645E-3</v>
      </c>
      <c r="H32" s="46">
        <f t="shared" si="23"/>
        <v>9.7170215694688932E-3</v>
      </c>
      <c r="I32" s="46">
        <f>NORMSINV(SUM(H$13:H32)/H$317)</f>
        <v>-3.3202684139687837</v>
      </c>
      <c r="J32" s="46">
        <f t="shared" si="18"/>
        <v>1.7490638825044011E-3</v>
      </c>
      <c r="K32" s="46">
        <f t="shared" si="19"/>
        <v>4.8585107847344466E-3</v>
      </c>
      <c r="L32" s="46">
        <f t="shared" si="20"/>
        <v>9.7166328886061151E-3</v>
      </c>
      <c r="M32" s="46">
        <f t="shared" si="24"/>
        <v>1.6324207555844961E-2</v>
      </c>
      <c r="N32" s="46">
        <f>IF(ISNUMBER(NORMSINV(SUM(M$13:M32)/M$317)),NORMSINV(SUM(M$13:M32)/M$317)," ")</f>
        <v>-3.3202684139687837</v>
      </c>
      <c r="O32" s="46">
        <f t="shared" si="25"/>
        <v>6.347271095282894E-4</v>
      </c>
      <c r="P32" s="46">
        <f>IF(ISNUMBER(NORMSINV(SUM(O$13:O32)/O$317)),NORMSINV(SUM(O$13:O32)/O$317)," ")</f>
        <v>-4.0407297189944336</v>
      </c>
      <c r="Q32" s="46">
        <f t="shared" si="26"/>
        <v>1.3701157011881009E-3</v>
      </c>
      <c r="R32" s="46">
        <f>IF(ISNUMBER(NORMSINV(SUM(Q$13:Q32)/Q$317)),NORMSINV(SUM(Q$13:Q32)/Q$317)," ")</f>
        <v>-3.0400372979687109</v>
      </c>
      <c r="S32" s="46">
        <f t="shared" si="27"/>
        <v>2.8152746663036698E-3</v>
      </c>
      <c r="T32" s="46">
        <f>IF(ISNUMBER(NORMSINV(SUM(S$13:S32)/S$317)),NORMSINV(SUM(S$13:S32)/S$317)," ")</f>
        <v>-2.6544964173080672</v>
      </c>
      <c r="U32" s="46">
        <f t="shared" si="28"/>
        <v>8.722280519003494E-5</v>
      </c>
      <c r="V32" s="46">
        <f>IF(ISNUMBER(NORMSINV(SUM(U$13:U32)/U$317)),NORMSINV(SUM(U$13:U32)/U$317)," ")</f>
        <v>-3.8894116832961694</v>
      </c>
      <c r="W32" s="46">
        <f t="shared" si="29"/>
        <v>1.8622827968723041E-4</v>
      </c>
      <c r="X32" s="46">
        <f>IF(ISNUMBER(NORMSINV(SUM(W$13:W32)/W$317)),NORMSINV(SUM(W$13:W32)/W$317)," ")</f>
        <v>-2.9845835980400386</v>
      </c>
      <c r="Y32" s="46">
        <f t="shared" si="30"/>
        <v>3.4179465701864958E-4</v>
      </c>
      <c r="Z32" s="46">
        <f>IF(ISNUMBER(NORMSINV(SUM(Y$13:Y32)/Y$317)),NORMSINV(SUM(Y$13:Y32)/Y$317)," ")</f>
        <v>-2.700739750762108</v>
      </c>
      <c r="AA32" s="46">
        <f t="shared" si="31"/>
        <v>1.937004621249747E-4</v>
      </c>
      <c r="AB32" s="46">
        <f>IF(ISNUMBER(NORMSINV(SUM(AA$13:AA32)/AA$317)),NORMSINV(SUM(AA$13:AA32)/AA$317)," ")</f>
        <v>-4.0220598127880942</v>
      </c>
      <c r="AC32" s="46">
        <f t="shared" si="32"/>
        <v>4.1797993974267416E-4</v>
      </c>
      <c r="AD32" s="46">
        <f>IF(ISNUMBER(NORMSINV(SUM(AC$13:AC32)/AC$317)),NORMSINV(SUM(AC$13:AC32)/AC$317)," ")</f>
        <v>-3.0129736250477452</v>
      </c>
      <c r="AE32" s="46">
        <f t="shared" si="33"/>
        <v>8.8605563953989973E-4</v>
      </c>
      <c r="AF32" s="46">
        <f>IF(ISNUMBER(NORMSINV(SUM(AE$13:AE32)/AE$317)),NORMSINV(SUM(AE$13:AE32)/AE$317)," ")</f>
        <v>-2.7176362206169817</v>
      </c>
      <c r="AG32" s="46">
        <f t="shared" si="34"/>
        <v>3.5380384221327978E-4</v>
      </c>
      <c r="AH32" s="46">
        <f>IF(ISNUMBER(NORMSINV(SUM(AG$13:AG32)/AG$317)),NORMSINV(SUM(AG$13:AG32)/AG$317)," ")</f>
        <v>-4.0840288223406231</v>
      </c>
      <c r="AI32" s="46">
        <f t="shared" si="35"/>
        <v>7.6590748175819629E-4</v>
      </c>
      <c r="AJ32" s="46">
        <f>IF(ISNUMBER(NORMSINV(SUM(AI$13:AI32)/AI$317)),NORMSINV(SUM(AI$13:AI32)/AI$317)," ")</f>
        <v>-3.0661236919506645</v>
      </c>
      <c r="AK32" s="46">
        <f t="shared" si="36"/>
        <v>1.5874243697451202E-3</v>
      </c>
      <c r="AL32" s="46">
        <f>IF(ISNUMBER(NORMSINV(SUM(AK$13:AK32)/AK$317)),NORMSINV(SUM(AK$13:AK32)/AK$317)," ")</f>
        <v>-2.6017097989461444</v>
      </c>
      <c r="AM32" s="6">
        <v>4.986827871898239E-2</v>
      </c>
      <c r="AN32" s="6">
        <v>0.10647311487592953</v>
      </c>
      <c r="AO32" s="6">
        <v>0.19541576522022178</v>
      </c>
      <c r="AP32" s="6">
        <v>3.9868278718982374E-2</v>
      </c>
      <c r="AQ32" s="6">
        <v>8.6030464531637305E-2</v>
      </c>
      <c r="AR32" s="6">
        <v>0.18237185812654921</v>
      </c>
      <c r="AS32" s="6">
        <v>3.6412185812654922E-2</v>
      </c>
      <c r="AT32" s="6">
        <v>7.882437162530985E-2</v>
      </c>
      <c r="AU32" s="6">
        <v>0.1633718581265492</v>
      </c>
    </row>
    <row r="33" spans="1:47" x14ac:dyDescent="0.4">
      <c r="A33" s="6">
        <f t="shared" si="21"/>
        <v>-2.2229412339564023</v>
      </c>
      <c r="B33" s="6">
        <f>'Aerosol 1'!A37</f>
        <v>0.10829013334681213</v>
      </c>
      <c r="C33" t="b">
        <f t="shared" si="22"/>
        <v>0</v>
      </c>
      <c r="E33" s="46">
        <f>'Aerosol 1'!$P37</f>
        <v>3.4719997364535092E-3</v>
      </c>
      <c r="F33" s="46">
        <f>'Aerosol 2'!$P37</f>
        <v>3.4719997364535092E-3</v>
      </c>
      <c r="G33" s="46">
        <f>'Aerosol 3'!$P37</f>
        <v>3.4719997364535092E-3</v>
      </c>
      <c r="H33" s="46">
        <f t="shared" si="23"/>
        <v>1.0415999209360528E-2</v>
      </c>
      <c r="I33" s="46">
        <f>NORMSINV(SUM(H$13:H33)/H$317)</f>
        <v>-3.2993475989473948</v>
      </c>
      <c r="J33" s="46">
        <f t="shared" si="18"/>
        <v>1.8748798576848952E-3</v>
      </c>
      <c r="K33" s="46">
        <f t="shared" si="19"/>
        <v>5.2079996046802638E-3</v>
      </c>
      <c r="L33" s="46">
        <f t="shared" si="20"/>
        <v>1.0415582569392153E-2</v>
      </c>
      <c r="M33" s="46">
        <f t="shared" si="24"/>
        <v>1.7498462031757311E-2</v>
      </c>
      <c r="N33" s="46">
        <f>IF(ISNUMBER(NORMSINV(SUM(M$13:M33)/M$317)),NORMSINV(SUM(M$13:M33)/M$317)," ")</f>
        <v>-3.2993475989473948</v>
      </c>
      <c r="O33" s="46">
        <f t="shared" si="25"/>
        <v>6.7068388273568591E-4</v>
      </c>
      <c r="P33" s="46">
        <f>IF(ISNUMBER(NORMSINV(SUM(O$13:O33)/O$317)),NORMSINV(SUM(O$13:O33)/O$317)," ")</f>
        <v>-4.0122470163054604</v>
      </c>
      <c r="Q33" s="46">
        <f t="shared" si="26"/>
        <v>1.4476653466032876E-3</v>
      </c>
      <c r="R33" s="46">
        <f>IF(ISNUMBER(NORMSINV(SUM(Q$13:Q33)/Q$317)),NORMSINV(SUM(Q$13:Q33)/Q$317)," ")</f>
        <v>-3.0217274410130219</v>
      </c>
      <c r="S33" s="46">
        <f t="shared" si="27"/>
        <v>2.9407225348049865E-3</v>
      </c>
      <c r="T33" s="46">
        <f>IF(ISNUMBER(NORMSINV(SUM(S$13:S33)/S$317)),NORMSINV(SUM(S$13:S33)/S$317)," ")</f>
        <v>-2.6357195136295744</v>
      </c>
      <c r="U33" s="46">
        <f t="shared" si="28"/>
        <v>9.22083174747952E-5</v>
      </c>
      <c r="V33" s="46">
        <f>IF(ISNUMBER(NORMSINV(SUM(U$13:U33)/U$317)),NORMSINV(SUM(U$13:U33)/U$317)," ")</f>
        <v>-3.8656006228620479</v>
      </c>
      <c r="W33" s="46">
        <f t="shared" si="29"/>
        <v>1.9472847416685733E-4</v>
      </c>
      <c r="X33" s="46">
        <f>IF(ISNUMBER(NORMSINV(SUM(W$13:W33)/W$317)),NORMSINV(SUM(W$13:W33)/W$317)," ")</f>
        <v>-2.9668056363940778</v>
      </c>
      <c r="Y33" s="46">
        <f t="shared" si="30"/>
        <v>3.5839191516572793E-4</v>
      </c>
      <c r="Z33" s="46">
        <f>IF(ISNUMBER(NORMSINV(SUM(Y$13:Y33)/Y$317)),NORMSINV(SUM(Y$13:Y33)/Y$317)," ")</f>
        <v>-2.6812583353612283</v>
      </c>
      <c r="AA33" s="46">
        <f t="shared" si="31"/>
        <v>2.0405421916096171E-4</v>
      </c>
      <c r="AB33" s="46">
        <f>IF(ISNUMBER(NORMSINV(SUM(AA$13:AA33)/AA$317)),NORMSINV(SUM(AA$13:AA33)/AA$317)," ")</f>
        <v>-3.9942689161172282</v>
      </c>
      <c r="AC33" s="46">
        <f t="shared" si="32"/>
        <v>4.4196043575234521E-4</v>
      </c>
      <c r="AD33" s="46">
        <f>IF(ISNUMBER(NORMSINV(SUM(AC$13:AC33)/AC$317)),NORMSINV(SUM(AC$13:AC33)/AC$317)," ")</f>
        <v>-2.9947299560399072</v>
      </c>
      <c r="AE33" s="46">
        <f t="shared" si="33"/>
        <v>9.265271029205639E-4</v>
      </c>
      <c r="AF33" s="46">
        <f>IF(ISNUMBER(NORMSINV(SUM(AE$13:AE33)/AE$317)),NORMSINV(SUM(AE$13:AE33)/AE$317)," ")</f>
        <v>-2.6990865879315078</v>
      </c>
      <c r="AG33" s="46">
        <f t="shared" si="34"/>
        <v>3.7442134609992899E-4</v>
      </c>
      <c r="AH33" s="46">
        <f>IF(ISNUMBER(NORMSINV(SUM(AG$13:AG33)/AG$317)),NORMSINV(SUM(AG$13:AG33)/AG$317)," ")</f>
        <v>-4.0535466292524234</v>
      </c>
      <c r="AI33" s="46">
        <f t="shared" si="35"/>
        <v>8.1097643668408509E-4</v>
      </c>
      <c r="AJ33" s="46">
        <f>IF(ISNUMBER(NORMSINV(SUM(AI$13:AI33)/AI$317)),NORMSINV(SUM(AI$13:AI33)/AI$317)," ")</f>
        <v>-3.0476278414045246</v>
      </c>
      <c r="AK33" s="46">
        <f t="shared" si="36"/>
        <v>1.6558035167186947E-3</v>
      </c>
      <c r="AL33" s="46">
        <f>IF(ISNUMBER(NORMSINV(SUM(AK$13:AK33)/AK$317)),NORMSINV(SUM(AK$13:AK33)/AK$317)," ")</f>
        <v>-2.5828992687052184</v>
      </c>
      <c r="AM33" s="6">
        <v>4.9180920631711401E-2</v>
      </c>
      <c r="AN33" s="6">
        <v>0.10386184126342281</v>
      </c>
      <c r="AO33" s="6">
        <v>0.19115460315855698</v>
      </c>
      <c r="AP33" s="6">
        <v>3.9180920631711393E-2</v>
      </c>
      <c r="AQ33" s="6">
        <v>8.4861841263422791E-2</v>
      </c>
      <c r="AR33" s="6">
        <v>0.17790460315855697</v>
      </c>
      <c r="AS33" s="6">
        <v>3.5948190473783552E-2</v>
      </c>
      <c r="AT33" s="6">
        <v>7.7861841263422785E-2</v>
      </c>
      <c r="AU33" s="6">
        <v>0.15897368252684557</v>
      </c>
    </row>
    <row r="34" spans="1:47" x14ac:dyDescent="0.4">
      <c r="A34" s="6">
        <f t="shared" si="21"/>
        <v>-2.1884626565252239</v>
      </c>
      <c r="B34" s="6">
        <f>'Aerosol 1'!A38</f>
        <v>0.11208893542175144</v>
      </c>
      <c r="C34" t="b">
        <f t="shared" si="22"/>
        <v>0</v>
      </c>
      <c r="E34" s="46">
        <f>'Aerosol 1'!$P38</f>
        <v>3.7201248875428404E-3</v>
      </c>
      <c r="F34" s="46">
        <f>'Aerosol 2'!$P38</f>
        <v>3.7201248875428404E-3</v>
      </c>
      <c r="G34" s="46">
        <f>'Aerosol 3'!$P38</f>
        <v>3.7201248875428404E-3</v>
      </c>
      <c r="H34" s="46">
        <f t="shared" si="23"/>
        <v>1.1160374662628522E-2</v>
      </c>
      <c r="I34" s="46">
        <f>NORMSINV(SUM(H$13:H34)/H$317)</f>
        <v>-3.2784267031491168</v>
      </c>
      <c r="J34" s="46">
        <f t="shared" si="18"/>
        <v>2.008867439273134E-3</v>
      </c>
      <c r="K34" s="46">
        <f t="shared" si="19"/>
        <v>5.5801873313142611E-3</v>
      </c>
      <c r="L34" s="46">
        <f t="shared" si="20"/>
        <v>1.1159928247642016E-2</v>
      </c>
      <c r="M34" s="46">
        <f t="shared" si="24"/>
        <v>1.8748983018229411E-2</v>
      </c>
      <c r="N34" s="46">
        <f>IF(ISNUMBER(NORMSINV(SUM(M$13:M34)/M$317)),NORMSINV(SUM(M$13:M34)/M$317)," ")</f>
        <v>-3.2784267031491168</v>
      </c>
      <c r="O34" s="46">
        <f t="shared" si="25"/>
        <v>7.0417950907576644E-4</v>
      </c>
      <c r="P34" s="46">
        <f>IF(ISNUMBER(NORMSINV(SUM(O$13:O34)/O$317)),NORMSINV(SUM(O$13:O34)/O$317)," ")</f>
        <v>-3.9854779930109641</v>
      </c>
      <c r="Q34" s="46">
        <f t="shared" si="26"/>
        <v>1.5172061683597885E-3</v>
      </c>
      <c r="R34" s="46">
        <f>IF(ISNUMBER(NORMSINV(SUM(Q$13:Q34)/Q$317)),NORMSINV(SUM(Q$13:Q34)/Q$317)," ")</f>
        <v>-3.0035667636457246</v>
      </c>
      <c r="S34" s="46">
        <f t="shared" si="27"/>
        <v>3.0761839660528286E-3</v>
      </c>
      <c r="T34" s="46">
        <f>IF(ISNUMBER(NORMSINV(SUM(S$13:S34)/S$317)),NORMSINV(SUM(S$13:S34)/S$317)," ")</f>
        <v>-2.6170240551275747</v>
      </c>
      <c r="U34" s="46">
        <f t="shared" si="28"/>
        <v>9.6980976329428758E-5</v>
      </c>
      <c r="V34" s="46">
        <f>IF(ISNUMBER(NORMSINV(SUM(U$13:U34)/U$317)),NORMSINV(SUM(U$13:U34)/U$317)," ")</f>
        <v>-3.8427177546132216</v>
      </c>
      <c r="W34" s="46">
        <f t="shared" si="29"/>
        <v>2.0501072357485977E-4</v>
      </c>
      <c r="X34" s="46">
        <f>IF(ISNUMBER(NORMSINV(SUM(W$13:W34)/W$317)),NORMSINV(SUM(W$13:W34)/W$317)," ")</f>
        <v>-2.9490499374310564</v>
      </c>
      <c r="Y34" s="46">
        <f t="shared" si="30"/>
        <v>3.7491938934693965E-4</v>
      </c>
      <c r="Z34" s="46">
        <f>IF(ISNUMBER(NORMSINV(SUM(Y$13:Y34)/Y$317)),NORMSINV(SUM(Y$13:Y34)/Y$317)," ")</f>
        <v>-2.6619121777081003</v>
      </c>
      <c r="AA34" s="46">
        <f t="shared" si="31"/>
        <v>2.135897276019372E-4</v>
      </c>
      <c r="AB34" s="46">
        <f>IF(ISNUMBER(NORMSINV(SUM(AA$13:AA34)/AA$317)),NORMSINV(SUM(AA$13:AA34)/AA$317)," ")</f>
        <v>-3.9681473639565006</v>
      </c>
      <c r="AC34" s="46">
        <f t="shared" si="32"/>
        <v>4.6345067285741715E-4</v>
      </c>
      <c r="AD34" s="46">
        <f>IF(ISNUMBER(NORMSINV(SUM(AC$13:AC34)/AC$317)),NORMSINV(SUM(AC$13:AC34)/AC$317)," ")</f>
        <v>-2.9766128812136001</v>
      </c>
      <c r="AE34" s="46">
        <f t="shared" si="33"/>
        <v>9.6750526604602941E-4</v>
      </c>
      <c r="AF34" s="46">
        <f>IF(ISNUMBER(NORMSINV(SUM(AE$13:AE34)/AE$317)),NORMSINV(SUM(AE$13:AE34)/AE$317)," ")</f>
        <v>-2.680659389233448</v>
      </c>
      <c r="AG34" s="46">
        <f t="shared" si="34"/>
        <v>3.9360880514440052E-4</v>
      </c>
      <c r="AH34" s="46">
        <f>IF(ISNUMBER(NORMSINV(SUM(AG$13:AG34)/AG$317)),NORMSINV(SUM(AG$13:AG34)/AG$317)," ")</f>
        <v>-4.0251074112147114</v>
      </c>
      <c r="AI34" s="46">
        <f t="shared" si="35"/>
        <v>8.487447719275114E-4</v>
      </c>
      <c r="AJ34" s="46">
        <f>IF(ISNUMBER(NORMSINV(SUM(AI$13:AI34)/AI$317)),NORMSINV(SUM(AI$13:AI34)/AI$317)," ")</f>
        <v>-3.0293260966039699</v>
      </c>
      <c r="AK34" s="46">
        <f t="shared" si="36"/>
        <v>1.7337593106598595E-3</v>
      </c>
      <c r="AL34" s="46">
        <f>IF(ISNUMBER(NORMSINV(SUM(AK$13:AK34)/AK$317)),NORMSINV(SUM(AK$13:AK34)/AK$317)," ")</f>
        <v>-2.5641360314158539</v>
      </c>
      <c r="AM34" s="6">
        <v>4.8276443947202041E-2</v>
      </c>
      <c r="AN34" s="6">
        <v>0.10205288789440409</v>
      </c>
      <c r="AO34" s="6">
        <v>0.18663221973601019</v>
      </c>
      <c r="AP34" s="6">
        <v>3.8276443947202032E-2</v>
      </c>
      <c r="AQ34" s="6">
        <v>8.305288789440407E-2</v>
      </c>
      <c r="AR34" s="6">
        <v>0.17338221973601017</v>
      </c>
      <c r="AS34" s="6">
        <v>3.5269832960401537E-2</v>
      </c>
      <c r="AT34" s="6">
        <v>7.6052887894404064E-2</v>
      </c>
      <c r="AU34" s="6">
        <v>0.15535577578880813</v>
      </c>
    </row>
    <row r="35" spans="1:47" x14ac:dyDescent="0.4">
      <c r="A35" s="6">
        <f t="shared" si="21"/>
        <v>-2.1539840790940454</v>
      </c>
      <c r="B35" s="6">
        <f>'Aerosol 1'!A39</f>
        <v>0.11602099891911737</v>
      </c>
      <c r="C35" t="b">
        <f t="shared" si="22"/>
        <v>0</v>
      </c>
      <c r="E35" s="46">
        <f>'Aerosol 1'!$P39</f>
        <v>3.9842393518858561E-3</v>
      </c>
      <c r="F35" s="46">
        <f>'Aerosol 2'!$P39</f>
        <v>3.9842393518858561E-3</v>
      </c>
      <c r="G35" s="46">
        <f>'Aerosol 3'!$P39</f>
        <v>3.9842393518858561E-3</v>
      </c>
      <c r="H35" s="46">
        <f t="shared" si="23"/>
        <v>1.1952718055657568E-2</v>
      </c>
      <c r="I35" s="46">
        <f>NORMSINV(SUM(H$13:H35)/H$317)</f>
        <v>-3.2575057253579827</v>
      </c>
      <c r="J35" s="46">
        <f t="shared" si="18"/>
        <v>2.1514892500183623E-3</v>
      </c>
      <c r="K35" s="46">
        <f t="shared" si="19"/>
        <v>5.9763590278287841E-3</v>
      </c>
      <c r="L35" s="46">
        <f t="shared" si="20"/>
        <v>1.1952239946935343E-2</v>
      </c>
      <c r="M35" s="46">
        <f t="shared" si="24"/>
        <v>2.0080088224782487E-2</v>
      </c>
      <c r="N35" s="46">
        <f>IF(ISNUMBER(NORMSINV(SUM(M$13:M35)/M$317)),NORMSINV(SUM(M$13:M35)/M$317)," ")</f>
        <v>-3.2575057253579827</v>
      </c>
      <c r="O35" s="46">
        <f t="shared" si="25"/>
        <v>7.4396459573647074E-4</v>
      </c>
      <c r="P35" s="46">
        <f>IF(ISNUMBER(NORMSINV(SUM(O$13:O35)/O$317)),NORMSINV(SUM(O$13:O35)/O$317)," ")</f>
        <v>-3.9599923631721441</v>
      </c>
      <c r="Q35" s="46">
        <f t="shared" si="26"/>
        <v>1.5979626379921141E-3</v>
      </c>
      <c r="R35" s="46">
        <f>IF(ISNUMBER(NORMSINV(SUM(Q$13:Q35)/Q$317)),NORMSINV(SUM(Q$13:Q35)/Q$317)," ")</f>
        <v>-2.9854535118869494</v>
      </c>
      <c r="S35" s="46">
        <f t="shared" si="27"/>
        <v>3.2064548465434582E-3</v>
      </c>
      <c r="T35" s="46">
        <f>IF(ISNUMBER(NORMSINV(SUM(S$13:S35)/S$317)),NORMSINV(SUM(S$13:S35)/S$317)," ")</f>
        <v>-2.5984640413557178</v>
      </c>
      <c r="U35" s="46">
        <f t="shared" si="28"/>
        <v>1.005397047968127E-4</v>
      </c>
      <c r="V35" s="46">
        <f>IF(ISNUMBER(NORMSINV(SUM(U$13:U35)/U$317)),NORMSINV(SUM(U$13:U35)/U$317)," ")</f>
        <v>-3.8209451393356497</v>
      </c>
      <c r="W35" s="46">
        <f t="shared" si="29"/>
        <v>2.1431387969011499E-4</v>
      </c>
      <c r="X35" s="46">
        <f>IF(ISNUMBER(NORMSINV(SUM(W$13:W35)/W$317)),NORMSINV(SUM(W$13:W35)/W$317)," ")</f>
        <v>-2.9314318049366666</v>
      </c>
      <c r="Y35" s="46">
        <f t="shared" si="30"/>
        <v>3.9331216287388944E-4</v>
      </c>
      <c r="Z35" s="46">
        <f>IF(ISNUMBER(NORMSINV(SUM(Y$13:Y35)/Y$317)),NORMSINV(SUM(Y$13:Y35)/Y$317)," ")</f>
        <v>-2.6426338634544679</v>
      </c>
      <c r="AA35" s="46">
        <f t="shared" si="31"/>
        <v>2.247032905328161E-4</v>
      </c>
      <c r="AB35" s="46">
        <f>IF(ISNUMBER(NORMSINV(SUM(AA$13:AA35)/AA$317)),NORMSINV(SUM(AA$13:AA35)/AA$317)," ")</f>
        <v>-3.9433084229376134</v>
      </c>
      <c r="AC35" s="46">
        <f t="shared" si="32"/>
        <v>4.8565795322542938E-4</v>
      </c>
      <c r="AD35" s="46">
        <f>IF(ISNUMBER(NORMSINV(SUM(AC$13:AC35)/AC$317)),NORMSINV(SUM(AC$13:AC35)/AC$317)," ")</f>
        <v>-2.9586209992111736</v>
      </c>
      <c r="AE35" s="46">
        <f t="shared" si="33"/>
        <v>1.009454586360438E-3</v>
      </c>
      <c r="AF35" s="46">
        <f>IF(ISNUMBER(NORMSINV(SUM(AE$13:AE35)/AE$317)),NORMSINV(SUM(AE$13:AE35)/AE$317)," ")</f>
        <v>-2.6623567683182103</v>
      </c>
      <c r="AG35" s="46">
        <f t="shared" si="34"/>
        <v>4.1872160040684186E-4</v>
      </c>
      <c r="AH35" s="46">
        <f>IF(ISNUMBER(NORMSINV(SUM(AG$13:AG35)/AG$317)),NORMSINV(SUM(AG$13:AG35)/AG$317)," ")</f>
        <v>-3.9980496643269179</v>
      </c>
      <c r="AI35" s="46">
        <f t="shared" si="35"/>
        <v>8.9799080507656974E-4</v>
      </c>
      <c r="AJ35" s="46">
        <f>IF(ISNUMBER(NORMSINV(SUM(AI$13:AI35)/AI$317)),NORMSINV(SUM(AI$13:AI35)/AI$317)," ")</f>
        <v>-3.0110072345243468</v>
      </c>
      <c r="AK35" s="46">
        <f t="shared" si="36"/>
        <v>1.8036880973091307E-3</v>
      </c>
      <c r="AL35" s="46">
        <f>IF(ISNUMBER(NORMSINV(SUM(AK$13:AK35)/AK$317)),NORMSINV(SUM(AK$13:AK35)/AK$317)," ")</f>
        <v>-2.5455291418813677</v>
      </c>
      <c r="AM35" s="6">
        <v>4.673028452080559E-2</v>
      </c>
      <c r="AN35" s="6">
        <v>9.9611875675551659E-2</v>
      </c>
      <c r="AO35" s="6">
        <v>0.1828092624076707</v>
      </c>
      <c r="AP35" s="6">
        <v>3.7598693366059532E-2</v>
      </c>
      <c r="AQ35" s="6">
        <v>8.1263182309492088E-2</v>
      </c>
      <c r="AR35" s="6">
        <v>0.16890795577373027</v>
      </c>
      <c r="AS35" s="6">
        <v>3.5032897788686519E-2</v>
      </c>
      <c r="AT35" s="6">
        <v>7.5131591154746047E-2</v>
      </c>
      <c r="AU35" s="6">
        <v>0.15090795577373026</v>
      </c>
    </row>
    <row r="36" spans="1:47" x14ac:dyDescent="0.4">
      <c r="A36" s="6">
        <f t="shared" si="21"/>
        <v>-2.119505501662867</v>
      </c>
      <c r="B36" s="6">
        <f>'Aerosol 1'!A40</f>
        <v>0.12009099863016169</v>
      </c>
      <c r="C36" t="b">
        <f t="shared" si="22"/>
        <v>0</v>
      </c>
      <c r="E36" s="46">
        <f>'Aerosol 1'!$P40</f>
        <v>4.2652391436774177E-3</v>
      </c>
      <c r="F36" s="46">
        <f>'Aerosol 2'!$P40</f>
        <v>4.2652391436774177E-3</v>
      </c>
      <c r="G36" s="46">
        <f>'Aerosol 3'!$P40</f>
        <v>4.2652391436774177E-3</v>
      </c>
      <c r="H36" s="46">
        <f t="shared" si="23"/>
        <v>1.2795717431032253E-2</v>
      </c>
      <c r="I36" s="46">
        <f>NORMSINV(SUM(H$13:H36)/H$317)</f>
        <v>-3.2365846643345479</v>
      </c>
      <c r="J36" s="46">
        <f t="shared" si="18"/>
        <v>2.3032291375858055E-3</v>
      </c>
      <c r="K36" s="46">
        <f t="shared" si="19"/>
        <v>6.3978587155161266E-3</v>
      </c>
      <c r="L36" s="46">
        <f t="shared" si="20"/>
        <v>1.2795205602335012E-2</v>
      </c>
      <c r="M36" s="46">
        <f t="shared" si="24"/>
        <v>2.1496293455436945E-2</v>
      </c>
      <c r="N36" s="46">
        <f>IF(ISNUMBER(NORMSINV(SUM(M$13:M36)/M$317)),NORMSINV(SUM(M$13:M36)/M$317)," ")</f>
        <v>-3.2365846643345479</v>
      </c>
      <c r="O36" s="46">
        <f t="shared" si="25"/>
        <v>7.859183777315776E-4</v>
      </c>
      <c r="P36" s="46">
        <f>IF(ISNUMBER(NORMSINV(SUM(O$13:O36)/O$317)),NORMSINV(SUM(O$13:O36)/O$317)," ")</f>
        <v>-3.9356005214423382</v>
      </c>
      <c r="Q36" s="46">
        <f t="shared" si="26"/>
        <v>1.6879637195130167E-3</v>
      </c>
      <c r="R36" s="46">
        <f>IF(ISNUMBER(NORMSINV(SUM(Q$13:Q36)/Q$317)),NORMSINV(SUM(Q$13:Q36)/Q$317)," ")</f>
        <v>-2.9673275831601784</v>
      </c>
      <c r="S36" s="46">
        <f t="shared" si="27"/>
        <v>3.3496888687759214E-3</v>
      </c>
      <c r="T36" s="46">
        <f>IF(ISNUMBER(NORMSINV(SUM(S$13:S36)/S$317)),NORMSINV(SUM(S$13:S36)/S$317)," ")</f>
        <v>-2.5799858440849408</v>
      </c>
      <c r="U36" s="46">
        <f t="shared" si="28"/>
        <v>1.0666316741055188E-4</v>
      </c>
      <c r="V36" s="46">
        <f>IF(ISNUMBER(NORMSINV(SUM(U$13:U36)/U$317)),NORMSINV(SUM(U$13:U36)/U$317)," ")</f>
        <v>-3.7996698358248691</v>
      </c>
      <c r="W36" s="46">
        <f t="shared" si="29"/>
        <v>2.2466260452069857E-4</v>
      </c>
      <c r="X36" s="46">
        <f>IF(ISNUMBER(NORMSINV(SUM(W$13:W36)/W$317)),NORMSINV(SUM(W$13:W36)/W$317)," ")</f>
        <v>-2.9138905612852546</v>
      </c>
      <c r="Y36" s="46">
        <f t="shared" si="30"/>
        <v>4.1146074806843965E-4</v>
      </c>
      <c r="Z36" s="46">
        <f>IF(ISNUMBER(NORMSINV(SUM(Y$13:Y36)/Y$317)),NORMSINV(SUM(Y$13:Y36)/Y$317)," ")</f>
        <v>-2.6234649105061214</v>
      </c>
      <c r="AA36" s="46">
        <f t="shared" si="31"/>
        <v>2.3870584770077676E-4</v>
      </c>
      <c r="AB36" s="46">
        <f>IF(ISNUMBER(NORMSINV(SUM(AA$13:AA36)/AA$317)),NORMSINV(SUM(AA$13:AA36)/AA$317)," ")</f>
        <v>-3.9193418172187395</v>
      </c>
      <c r="AC36" s="46">
        <f t="shared" si="32"/>
        <v>5.1337113943249429E-4</v>
      </c>
      <c r="AD36" s="46">
        <f>IF(ISNUMBER(NORMSINV(SUM(AC$13:AC36)/AC$317)),NORMSINV(SUM(AC$13:AC36)/AC$317)," ")</f>
        <v>-2.9405893886701793</v>
      </c>
      <c r="AE36" s="46">
        <f t="shared" si="33"/>
        <v>1.0521626462640288E-3</v>
      </c>
      <c r="AF36" s="46">
        <f>IF(ISNUMBER(NORMSINV(SUM(AE$13:AE36)/AE$317)),NORMSINV(SUM(AE$13:AE36)/AE$317)," ")</f>
        <v>-2.6441839239788267</v>
      </c>
      <c r="AG36" s="46">
        <f t="shared" si="34"/>
        <v>4.4054936262024903E-4</v>
      </c>
      <c r="AH36" s="46">
        <f>IF(ISNUMBER(NORMSINV(SUM(AG$13:AG36)/AG$317)),NORMSINV(SUM(AG$13:AG36)/AG$317)," ")</f>
        <v>-3.9724258623816424</v>
      </c>
      <c r="AI36" s="46">
        <f t="shared" si="35"/>
        <v>9.4992997555982386E-4</v>
      </c>
      <c r="AJ36" s="46">
        <f>IF(ISNUMBER(NORMSINV(SUM(AI$13:AI36)/AI$317)),NORMSINV(SUM(AI$13:AI36)/AI$317)," ")</f>
        <v>-2.9926692588717985</v>
      </c>
      <c r="AK36" s="46">
        <f t="shared" si="36"/>
        <v>1.886065474443453E-3</v>
      </c>
      <c r="AL36" s="46">
        <f>IF(ISNUMBER(NORMSINV(SUM(AK$13:AK36)/AK$317)),NORMSINV(SUM(AK$13:AK36)/AK$317)," ")</f>
        <v>-2.5269713279442567</v>
      </c>
      <c r="AM36" s="6">
        <v>4.631027181357817E-2</v>
      </c>
      <c r="AN36" s="6">
        <v>9.7542446322203533E-2</v>
      </c>
      <c r="AO36" s="6">
        <v>0.1786451644579852</v>
      </c>
      <c r="AP36" s="6">
        <v>3.7310271813578169E-2</v>
      </c>
      <c r="AQ36" s="6">
        <v>8.0241087254312671E-2</v>
      </c>
      <c r="AR36" s="6">
        <v>0.16445543627156339</v>
      </c>
      <c r="AS36" s="6">
        <v>3.4430815440734508E-2</v>
      </c>
      <c r="AT36" s="6">
        <v>7.4241087254312665E-2</v>
      </c>
      <c r="AU36" s="6">
        <v>0.14740407720367249</v>
      </c>
    </row>
    <row r="37" spans="1:47" x14ac:dyDescent="0.4">
      <c r="A37" s="6">
        <f t="shared" si="21"/>
        <v>-2.0850269242316886</v>
      </c>
      <c r="B37" s="6">
        <f>'Aerosol 1'!A41</f>
        <v>0.12430377333713111</v>
      </c>
      <c r="C37" t="b">
        <f t="shared" si="22"/>
        <v>0</v>
      </c>
      <c r="E37" s="46">
        <f>'Aerosol 1'!$P41</f>
        <v>4.5640607506978858E-3</v>
      </c>
      <c r="F37" s="46">
        <f>'Aerosol 2'!$P41</f>
        <v>4.5640607506978858E-3</v>
      </c>
      <c r="G37" s="46">
        <f>'Aerosol 3'!$P41</f>
        <v>4.5640607506978858E-3</v>
      </c>
      <c r="H37" s="46">
        <f t="shared" si="23"/>
        <v>1.3692182252093657E-2</v>
      </c>
      <c r="I37" s="46">
        <f>NORMSINV(SUM(H$13:H37)/H$317)</f>
        <v>-3.2156635188153366</v>
      </c>
      <c r="J37" s="46">
        <f t="shared" si="18"/>
        <v>2.4645928053768583E-3</v>
      </c>
      <c r="K37" s="46">
        <f t="shared" si="19"/>
        <v>6.8460911260468287E-3</v>
      </c>
      <c r="L37" s="46">
        <f t="shared" si="20"/>
        <v>1.3691634564803575E-2</v>
      </c>
      <c r="M37" s="46">
        <f t="shared" si="24"/>
        <v>2.3002318496227261E-2</v>
      </c>
      <c r="N37" s="46">
        <f>IF(ISNUMBER(NORMSINV(SUM(M$13:M37)/M$317)),NORMSINV(SUM(M$13:M37)/M$317)," ")</f>
        <v>-3.2156635188153366</v>
      </c>
      <c r="O37" s="46">
        <f t="shared" si="25"/>
        <v>8.2501299760976711E-4</v>
      </c>
      <c r="P37" s="46">
        <f>IF(ISNUMBER(NORMSINV(SUM(O$13:O37)/O$317)),NORMSINV(SUM(O$13:O37)/O$317)," ")</f>
        <v>-3.9122888745815305</v>
      </c>
      <c r="Q37" s="46">
        <f t="shared" si="26"/>
        <v>1.7802225376728122E-3</v>
      </c>
      <c r="R37" s="46">
        <f>IF(ISNUMBER(NORMSINV(SUM(Q$13:Q37)/Q$317)),NORMSINV(SUM(Q$13:Q37)/Q$317)," ")</f>
        <v>-2.9492116873274883</v>
      </c>
      <c r="S37" s="46">
        <f t="shared" si="27"/>
        <v>3.4940951726798045E-3</v>
      </c>
      <c r="T37" s="46">
        <f>IF(ISNUMBER(NORMSINV(SUM(S$13:S37)/S$317)),NORMSINV(SUM(S$13:S37)/S$317)," ")</f>
        <v>-2.5616060180387534</v>
      </c>
      <c r="U37" s="46">
        <f t="shared" si="28"/>
        <v>1.1235985609203845E-4</v>
      </c>
      <c r="V37" s="46">
        <f>IF(ISNUMBER(NORMSINV(SUM(U$13:U37)/U$317)),NORMSINV(SUM(U$13:U37)/U$317)," ")</f>
        <v>-3.7789755821448576</v>
      </c>
      <c r="W37" s="46">
        <f t="shared" si="29"/>
        <v>2.3743794096491402E-4</v>
      </c>
      <c r="X37" s="46">
        <f>IF(ISNUMBER(NORMSINV(SUM(W$13:W37)/W$317)),NORMSINV(SUM(W$13:W37)/W$317)," ")</f>
        <v>-2.8962774375462863</v>
      </c>
      <c r="Y37" s="46">
        <f t="shared" si="30"/>
        <v>4.3054808803866701E-4</v>
      </c>
      <c r="Z37" s="46">
        <f>IF(ISNUMBER(NORMSINV(SUM(Y$13:Y37)/Y$317)),NORMSINV(SUM(Y$13:Y37)/Y$317)," ")</f>
        <v>-2.6043881449693402</v>
      </c>
      <c r="AA37" s="46">
        <f t="shared" si="31"/>
        <v>2.5049589123235196E-4</v>
      </c>
      <c r="AB37" s="46">
        <f>IF(ISNUMBER(NORMSINV(SUM(AA$13:AA37)/AA$317)),NORMSINV(SUM(AA$13:AA37)/AA$317)," ")</f>
        <v>-3.8963997258216003</v>
      </c>
      <c r="AC37" s="46">
        <f t="shared" si="32"/>
        <v>5.3864528365796152E-4</v>
      </c>
      <c r="AD37" s="46">
        <f>IF(ISNUMBER(NORMSINV(SUM(AC$13:AC37)/AC$317)),NORMSINV(SUM(AC$13:AC37)/AC$317)," ")</f>
        <v>-2.9226447584831967</v>
      </c>
      <c r="AE37" s="46">
        <f t="shared" si="33"/>
        <v>1.096149611065906E-3</v>
      </c>
      <c r="AF37" s="46">
        <f>IF(ISNUMBER(NORMSINV(SUM(AE$13:AE37)/AE$317)),NORMSINV(SUM(AE$13:AE37)/AE$317)," ")</f>
        <v>-2.6261365567922836</v>
      </c>
      <c r="AG37" s="46">
        <f t="shared" si="34"/>
        <v>4.6215725028537667E-4</v>
      </c>
      <c r="AH37" s="46">
        <f>IF(ISNUMBER(NORMSINV(SUM(AG$13:AG37)/AG$317)),NORMSINV(SUM(AG$13:AG37)/AG$317)," ")</f>
        <v>-3.948083978191915</v>
      </c>
      <c r="AI37" s="46">
        <f t="shared" si="35"/>
        <v>1.0041393130499367E-3</v>
      </c>
      <c r="AJ37" s="46">
        <f>IF(ISNUMBER(NORMSINV(SUM(AI$13:AI37)/AI$317)),NORMSINV(SUM(AI$13:AI37)/AI$317)," ")</f>
        <v>-2.9743202187826463</v>
      </c>
      <c r="AK37" s="46">
        <f t="shared" si="36"/>
        <v>1.9673974735752312E-3</v>
      </c>
      <c r="AL37" s="46">
        <f>IF(ISNUMBER(NORMSINV(SUM(AK$13:AK37)/AK$317)),NORMSINV(SUM(AK$13:AK37)/AK$317)," ")</f>
        <v>-2.5084980902748626</v>
      </c>
      <c r="AM37" s="6">
        <v>4.5589622694227422E-2</v>
      </c>
      <c r="AN37" s="6">
        <v>9.6339622694227425E-2</v>
      </c>
      <c r="AO37" s="6">
        <v>0.17469339645046653</v>
      </c>
      <c r="AP37" s="6">
        <v>3.6589622694227414E-2</v>
      </c>
      <c r="AQ37" s="6">
        <v>7.8679245388454833E-2</v>
      </c>
      <c r="AR37" s="6">
        <v>0.16011320779758026</v>
      </c>
      <c r="AS37" s="6">
        <v>3.3754717020670566E-2</v>
      </c>
      <c r="AT37" s="6">
        <v>7.3339622694227419E-2</v>
      </c>
      <c r="AU37" s="6">
        <v>0.14369339645046655</v>
      </c>
    </row>
    <row r="38" spans="1:47" x14ac:dyDescent="0.4">
      <c r="A38" s="6">
        <f t="shared" si="21"/>
        <v>-2.0505483468005101</v>
      </c>
      <c r="B38" s="6">
        <f>'Aerosol 1'!A42</f>
        <v>0.12866433156604737</v>
      </c>
      <c r="C38" t="b">
        <f t="shared" si="22"/>
        <v>0</v>
      </c>
      <c r="E38" s="46">
        <f>'Aerosol 1'!$P42</f>
        <v>4.8816822935833547E-3</v>
      </c>
      <c r="F38" s="46">
        <f>'Aerosol 2'!$P42</f>
        <v>4.8816822935833547E-3</v>
      </c>
      <c r="G38" s="46">
        <f>'Aerosol 3'!$P42</f>
        <v>4.8816822935833547E-3</v>
      </c>
      <c r="H38" s="46">
        <f t="shared" si="23"/>
        <v>1.4645046880750065E-2</v>
      </c>
      <c r="I38" s="46">
        <f>NORMSINV(SUM(H$13:H38)/H$317)</f>
        <v>-3.1947422875122871</v>
      </c>
      <c r="J38" s="46">
        <f t="shared" si="18"/>
        <v>2.6361084385350115E-3</v>
      </c>
      <c r="K38" s="46">
        <f t="shared" si="19"/>
        <v>7.3225234403750325E-3</v>
      </c>
      <c r="L38" s="46">
        <f t="shared" si="20"/>
        <v>1.4644461078874835E-2</v>
      </c>
      <c r="M38" s="46">
        <f t="shared" si="24"/>
        <v>2.4603092957784879E-2</v>
      </c>
      <c r="N38" s="46">
        <f>IF(ISNUMBER(NORMSINV(SUM(M$13:M38)/M$317)),NORMSINV(SUM(M$13:M38)/M$317)," ")</f>
        <v>-3.1947422875122871</v>
      </c>
      <c r="O38" s="46">
        <f t="shared" si="25"/>
        <v>8.7279491985461032E-4</v>
      </c>
      <c r="P38" s="46">
        <f>IF(ISNUMBER(NORMSINV(SUM(O$13:O38)/O$317)),NORMSINV(SUM(O$13:O38)/O$317)," ")</f>
        <v>-3.8897425897580646</v>
      </c>
      <c r="Q38" s="46">
        <f t="shared" si="26"/>
        <v>1.8717056739871233E-3</v>
      </c>
      <c r="R38" s="46">
        <f>IF(ISNUMBER(NORMSINV(SUM(Q$13:Q38)/Q$317)),NORMSINV(SUM(Q$13:Q38)/Q$317)," ")</f>
        <v>-2.9311541733643915</v>
      </c>
      <c r="S38" s="46">
        <f t="shared" si="27"/>
        <v>3.6469639484493503E-3</v>
      </c>
      <c r="T38" s="46">
        <f>IF(ISNUMBER(NORMSINV(SUM(S$13:S38)/S$317)),NORMSINV(SUM(S$13:S38)/S$317)," ")</f>
        <v>-2.5433025281948454</v>
      </c>
      <c r="U38" s="46">
        <f t="shared" si="28"/>
        <v>1.1779674811551211E-4</v>
      </c>
      <c r="V38" s="46">
        <f>IF(ISNUMBER(NORMSINV(SUM(U$13:U38)/U$317)),NORMSINV(SUM(U$13:U38)/U$317)," ")</f>
        <v>-3.7588886834557558</v>
      </c>
      <c r="W38" s="46">
        <f t="shared" si="29"/>
        <v>2.500920926429668E-4</v>
      </c>
      <c r="X38" s="46">
        <f>IF(ISNUMBER(NORMSINV(SUM(W$13:W38)/W$317)),NORMSINV(SUM(W$13:W38)/W$317)," ")</f>
        <v>-2.8786486492256813</v>
      </c>
      <c r="Y38" s="46">
        <f t="shared" si="30"/>
        <v>4.4964178301725414E-4</v>
      </c>
      <c r="Z38" s="46">
        <f>IF(ISNUMBER(NORMSINV(SUM(Y$13:Y38)/Y$317)),NORMSINV(SUM(Y$13:Y38)/Y$317)," ")</f>
        <v>-2.5854280968916554</v>
      </c>
      <c r="AA38" s="46">
        <f t="shared" si="31"/>
        <v>2.644087255967913E-4</v>
      </c>
      <c r="AB38" s="46">
        <f>IF(ISNUMBER(NORMSINV(SUM(AA$13:AA38)/AA$317)),NORMSINV(SUM(AA$13:AA38)/AA$317)," ")</f>
        <v>-3.8742208142841732</v>
      </c>
      <c r="AC38" s="46">
        <f t="shared" si="32"/>
        <v>5.6702583188203816E-4</v>
      </c>
      <c r="AD38" s="46">
        <f>IF(ISNUMBER(NORMSINV(SUM(AC$13:AC38)/AC$317)),NORMSINV(SUM(AC$13:AC38)/AC$317)," ")</f>
        <v>-2.9047192941984736</v>
      </c>
      <c r="AE38" s="46">
        <f t="shared" si="33"/>
        <v>1.1471942267809961E-3</v>
      </c>
      <c r="AF38" s="46">
        <f>IF(ISNUMBER(NORMSINV(SUM(AE$13:AE38)/AE$317)),NORMSINV(SUM(AE$13:AE38)/AE$317)," ")</f>
        <v>-2.6081222674702311</v>
      </c>
      <c r="AG38" s="46">
        <f t="shared" si="34"/>
        <v>4.9058944614230695E-4</v>
      </c>
      <c r="AH38" s="46">
        <f>IF(ISNUMBER(NORMSINV(SUM(AG$13:AG38)/AG$317)),NORMSINV(SUM(AG$13:AG38)/AG$317)," ")</f>
        <v>-3.9245731440113056</v>
      </c>
      <c r="AI38" s="46">
        <f t="shared" si="35"/>
        <v>1.0545877494621183E-3</v>
      </c>
      <c r="AJ38" s="46">
        <f>IF(ISNUMBER(NORMSINV(SUM(AI$13:AI38)/AI$317)),NORMSINV(SUM(AI$13:AI38)/AI$317)," ")</f>
        <v>-2.9560701306253181</v>
      </c>
      <c r="AK38" s="46">
        <f t="shared" si="36"/>
        <v>2.0501279386511001E-3</v>
      </c>
      <c r="AL38" s="46">
        <f>IF(ISNUMBER(NORMSINV(SUM(AK$13:AK38)/AK$317)),NORMSINV(SUM(AK$13:AK38)/AK$317)," ")</f>
        <v>-2.4901175681481491</v>
      </c>
      <c r="AM38" s="6">
        <v>4.4685850700806662E-2</v>
      </c>
      <c r="AN38" s="6">
        <v>9.4871701401613329E-2</v>
      </c>
      <c r="AO38" s="6">
        <v>0.17057029082883163</v>
      </c>
      <c r="AP38" s="6">
        <v>3.610896267520166E-2</v>
      </c>
      <c r="AQ38" s="6">
        <v>7.7435850700806663E-2</v>
      </c>
      <c r="AR38" s="6">
        <v>0.15666651477762167</v>
      </c>
      <c r="AS38" s="6">
        <v>3.3500000000000002E-2</v>
      </c>
      <c r="AT38" s="6">
        <v>7.2012738726411674E-2</v>
      </c>
      <c r="AU38" s="6">
        <v>0.13999340280322667</v>
      </c>
    </row>
    <row r="39" spans="1:47" x14ac:dyDescent="0.4">
      <c r="A39" s="6">
        <f t="shared" si="21"/>
        <v>-2.0160697693693317</v>
      </c>
      <c r="B39" s="6">
        <f>'Aerosol 1'!A43</f>
        <v>0.13317785754129421</v>
      </c>
      <c r="C39" t="b">
        <f t="shared" si="22"/>
        <v>0</v>
      </c>
      <c r="E39" s="46">
        <f>'Aerosol 1'!$P43</f>
        <v>5.2191246724060713E-3</v>
      </c>
      <c r="F39" s="46">
        <f>'Aerosol 2'!$P43</f>
        <v>5.2191246724060713E-3</v>
      </c>
      <c r="G39" s="46">
        <f>'Aerosol 3'!$P43</f>
        <v>5.2191246724060713E-3</v>
      </c>
      <c r="H39" s="46">
        <f t="shared" si="23"/>
        <v>1.5657374017218215E-2</v>
      </c>
      <c r="I39" s="46">
        <f>NORMSINV(SUM(H$13:H39)/H$317)</f>
        <v>-3.1738209691121733</v>
      </c>
      <c r="J39" s="46">
        <f t="shared" si="18"/>
        <v>2.8183273230992785E-3</v>
      </c>
      <c r="K39" s="46">
        <f t="shared" si="19"/>
        <v>7.8286870086091073E-3</v>
      </c>
      <c r="L39" s="46">
        <f t="shared" si="20"/>
        <v>1.5656747722257527E-2</v>
      </c>
      <c r="M39" s="46">
        <f t="shared" si="24"/>
        <v>2.6303762053965913E-2</v>
      </c>
      <c r="N39" s="46">
        <f>IF(ISNUMBER(NORMSINV(SUM(M$13:M39)/M$317)),NORMSINV(SUM(M$13:M39)/M$317)," ")</f>
        <v>-3.1738209691121733</v>
      </c>
      <c r="O39" s="46">
        <f t="shared" si="25"/>
        <v>9.2250375352646461E-4</v>
      </c>
      <c r="P39" s="46">
        <f>IF(ISNUMBER(NORMSINV(SUM(O$13:O39)/O$317)),NORMSINV(SUM(O$13:O39)/O$317)," ")</f>
        <v>-3.8678835157537375</v>
      </c>
      <c r="Q39" s="46">
        <f t="shared" si="26"/>
        <v>1.9660467702479548E-3</v>
      </c>
      <c r="R39" s="46">
        <f>IF(ISNUMBER(NORMSINV(SUM(Q$13:Q39)/Q$317)),NORMSINV(SUM(Q$13:Q39)/Q$317)," ")</f>
        <v>-2.9131625610589125</v>
      </c>
      <c r="S39" s="46">
        <f t="shared" si="27"/>
        <v>3.8057810285803614E-3</v>
      </c>
      <c r="T39" s="46">
        <f>IF(ISNUMBER(NORMSINV(SUM(S$13:S39)/S$317)),NORMSINV(SUM(S$13:S39)/S$317)," ")</f>
        <v>-2.5250690881503766</v>
      </c>
      <c r="U39" s="46">
        <f t="shared" si="28"/>
        <v>1.243824751805221E-4</v>
      </c>
      <c r="V39" s="46">
        <f>IF(ISNUMBER(NORMSINV(SUM(U$13:U39)/U$317)),NORMSINV(SUM(U$13:U39)/U$317)," ")</f>
        <v>-3.7392061191584913</v>
      </c>
      <c r="W39" s="46">
        <f t="shared" si="29"/>
        <v>2.6229469743836465E-4</v>
      </c>
      <c r="X39" s="46">
        <f>IF(ISNUMBER(NORMSINV(SUM(W$13:W39)/W$317)),NORMSINV(SUM(W$13:W39)/W$317)," ")</f>
        <v>-2.8610731820630684</v>
      </c>
      <c r="Y39" s="46">
        <f t="shared" si="30"/>
        <v>4.6963201207629346E-4</v>
      </c>
      <c r="Z39" s="46">
        <f>IF(ISNUMBER(NORMSINV(SUM(Y$13:Y39)/Y$317)),NORMSINV(SUM(Y$13:Y39)/Y$317)," ")</f>
        <v>-2.5665699316121859</v>
      </c>
      <c r="AA39" s="46">
        <f t="shared" si="31"/>
        <v>2.7909515842142006E-4</v>
      </c>
      <c r="AB39" s="46">
        <f>IF(ISNUMBER(NORMSINV(SUM(AA$13:AA39)/AA$317)),NORMSINV(SUM(AA$13:AA39)/AA$317)," ")</f>
        <v>-3.8527094276986404</v>
      </c>
      <c r="AC39" s="46">
        <f t="shared" si="32"/>
        <v>5.9550870262688042E-4</v>
      </c>
      <c r="AD39" s="46">
        <f>IF(ISNUMBER(NORMSINV(SUM(AC$13:AC39)/AC$317)),NORMSINV(SUM(AC$13:AC39)/AC$317)," ")</f>
        <v>-2.8868471350748028</v>
      </c>
      <c r="AE39" s="46">
        <f t="shared" si="33"/>
        <v>1.2008032640145223E-3</v>
      </c>
      <c r="AF39" s="46">
        <f>IF(ISNUMBER(NORMSINV(SUM(AE$13:AE39)/AE$317)),NORMSINV(SUM(AE$13:AE39)/AE$317)," ")</f>
        <v>-2.5901310303507734</v>
      </c>
      <c r="AG39" s="46">
        <f t="shared" si="34"/>
        <v>5.1902611992452248E-4</v>
      </c>
      <c r="AH39" s="46">
        <f>IF(ISNUMBER(NORMSINV(SUM(AG$13:AG39)/AG$317)),NORMSINV(SUM(AG$13:AG39)/AG$317)," ")</f>
        <v>-3.9018560656439538</v>
      </c>
      <c r="AI39" s="46">
        <f t="shared" si="35"/>
        <v>1.1082433701827094E-3</v>
      </c>
      <c r="AJ39" s="46">
        <f>IF(ISNUMBER(NORMSINV(SUM(AI$13:AI39)/AI$317)),NORMSINV(SUM(AI$13:AI39)/AI$317)," ")</f>
        <v>-2.9378966589349127</v>
      </c>
      <c r="AK39" s="46">
        <f t="shared" si="36"/>
        <v>2.1353457524895454E-3</v>
      </c>
      <c r="AL39" s="46">
        <f>IF(ISNUMBER(NORMSINV(SUM(AK$13:AK39)/AK$317)),NORMSINV(SUM(AK$13:AK39)/AK$317)," ")</f>
        <v>-2.4718274238885685</v>
      </c>
      <c r="AM39" s="6">
        <v>4.4133438355818899E-2</v>
      </c>
      <c r="AN39" s="6">
        <v>9.3067506846551282E-2</v>
      </c>
      <c r="AO39" s="6">
        <v>0.1666350136931026</v>
      </c>
      <c r="AP39" s="6">
        <v>3.5650315067456737E-2</v>
      </c>
      <c r="AQ39" s="6">
        <v>7.6067506846551294E-2</v>
      </c>
      <c r="AR39" s="6">
        <v>0.15338501369310259</v>
      </c>
      <c r="AS39" s="6">
        <v>3.3150315067456727E-2</v>
      </c>
      <c r="AT39" s="6">
        <v>7.0783753423275655E-2</v>
      </c>
      <c r="AU39" s="6">
        <v>0.13638501369310257</v>
      </c>
    </row>
    <row r="40" spans="1:47" x14ac:dyDescent="0.4">
      <c r="A40" s="6">
        <f t="shared" si="21"/>
        <v>-1.9815911919381533</v>
      </c>
      <c r="B40" s="6">
        <f>'Aerosol 1'!A44</f>
        <v>0.13784971734909021</v>
      </c>
      <c r="C40" t="b">
        <f t="shared" si="22"/>
        <v>0</v>
      </c>
      <c r="E40" s="46">
        <f>'Aerosol 1'!$P44</f>
        <v>5.5774526965659335E-3</v>
      </c>
      <c r="F40" s="46">
        <f>'Aerosol 2'!$P44</f>
        <v>5.5774526965659335E-3</v>
      </c>
      <c r="G40" s="46">
        <f>'Aerosol 3'!$P44</f>
        <v>5.5774526965659335E-3</v>
      </c>
      <c r="H40" s="46">
        <f t="shared" si="23"/>
        <v>1.6732358089697801E-2</v>
      </c>
      <c r="I40" s="46">
        <f>NORMSINV(SUM(H$13:H40)/H$317)</f>
        <v>-3.1528995622760063</v>
      </c>
      <c r="J40" s="46">
        <f t="shared" si="18"/>
        <v>3.0118244561456041E-3</v>
      </c>
      <c r="K40" s="46">
        <f t="shared" si="19"/>
        <v>8.3661790448489003E-3</v>
      </c>
      <c r="L40" s="46">
        <f t="shared" si="20"/>
        <v>1.6731688795374212E-2</v>
      </c>
      <c r="M40" s="46">
        <f t="shared" si="24"/>
        <v>2.8109692296368716E-2</v>
      </c>
      <c r="N40" s="46">
        <f>IF(ISNUMBER(NORMSINV(SUM(M$13:M40)/M$317)),NORMSINV(SUM(M$13:M40)/M$317)," ")</f>
        <v>-3.1528995622760063</v>
      </c>
      <c r="O40" s="46">
        <f t="shared" si="25"/>
        <v>9.7224944626968365E-4</v>
      </c>
      <c r="P40" s="46">
        <f>IF(ISNUMBER(NORMSINV(SUM(O$13:O40)/O$317)),NORMSINV(SUM(O$13:O40)/O$317)," ")</f>
        <v>-3.8466859923845251</v>
      </c>
      <c r="Q40" s="46">
        <f t="shared" si="26"/>
        <v>2.0687157196962536E-3</v>
      </c>
      <c r="R40" s="46">
        <f>IF(ISNUMBER(NORMSINV(SUM(Q$13:Q40)/Q$317)),NORMSINV(SUM(Q$13:Q40)/Q$317)," ")</f>
        <v>-2.8951973635110519</v>
      </c>
      <c r="S40" s="46">
        <f t="shared" si="27"/>
        <v>3.9657066898423562E-3</v>
      </c>
      <c r="T40" s="46">
        <f>IF(ISNUMBER(NORMSINV(SUM(S$13:S40)/S$317)),NORMSINV(SUM(S$13:S40)/S$317)," ")</f>
        <v>-2.5069223565789978</v>
      </c>
      <c r="U40" s="46">
        <f t="shared" si="28"/>
        <v>1.3088910762747288E-4</v>
      </c>
      <c r="V40" s="46">
        <f>IF(ISNUMBER(NORMSINV(SUM(U$13:U40)/U$317)),NORMSINV(SUM(U$13:U40)/U$317)," ")</f>
        <v>-3.7199480900973225</v>
      </c>
      <c r="W40" s="46">
        <f t="shared" si="29"/>
        <v>2.7491295870815067E-4</v>
      </c>
      <c r="X40" s="46">
        <f>IF(ISNUMBER(NORMSINV(SUM(W$13:W40)/W$317)),NORMSINV(SUM(W$13:W40)/W$317)," ")</f>
        <v>-2.843554154905203</v>
      </c>
      <c r="Y40" s="46">
        <f t="shared" si="30"/>
        <v>4.9109534052146214E-4</v>
      </c>
      <c r="Z40" s="46">
        <f>IF(ISNUMBER(NORMSINV(SUM(Y$13:Y40)/Y$317)),NORMSINV(SUM(Y$13:Y40)/Y$317)," ")</f>
        <v>-2.5477799608401286</v>
      </c>
      <c r="AA40" s="46">
        <f t="shared" si="31"/>
        <v>2.9490781133092379E-4</v>
      </c>
      <c r="AB40" s="46">
        <f>IF(ISNUMBER(NORMSINV(SUM(AA$13:AA40)/AA$317)),NORMSINV(SUM(AA$13:AA40)/AA$317)," ")</f>
        <v>-3.8317640184671662</v>
      </c>
      <c r="AC40" s="46">
        <f t="shared" si="32"/>
        <v>6.2444274606193847E-4</v>
      </c>
      <c r="AD40" s="46">
        <f>IF(ISNUMBER(NORMSINV(SUM(AC$13:AC40)/AC$317)),NORMSINV(SUM(AC$13:AC40)/AC$317)," ")</f>
        <v>-2.8690471155341277</v>
      </c>
      <c r="AE40" s="46">
        <f t="shared" si="33"/>
        <v>1.2510363396001831E-3</v>
      </c>
      <c r="AF40" s="46">
        <f>IF(ISNUMBER(NORMSINV(SUM(AE$13:AE40)/AE$317)),NORMSINV(SUM(AE$13:AE40)/AE$317)," ")</f>
        <v>-2.5722382750875625</v>
      </c>
      <c r="AG40" s="46">
        <f t="shared" si="34"/>
        <v>5.4645252731128698E-4</v>
      </c>
      <c r="AH40" s="46">
        <f>IF(ISNUMBER(NORMSINV(SUM(AG$13:AG40)/AG$317)),NORMSINV(SUM(AG$13:AG40)/AG$317)," ")</f>
        <v>-3.879932970661653</v>
      </c>
      <c r="AI40" s="46">
        <f t="shared" si="35"/>
        <v>1.1693600149261644E-3</v>
      </c>
      <c r="AJ40" s="46">
        <f>IF(ISNUMBER(NORMSINV(SUM(AI$13:AI40)/AI$317)),NORMSINV(SUM(AI$13:AI40)/AI$317)," ")</f>
        <v>-2.9197180525032067</v>
      </c>
      <c r="AK40" s="46">
        <f t="shared" si="36"/>
        <v>2.2235750097207106E-3</v>
      </c>
      <c r="AL40" s="46">
        <f>IF(ISNUMBER(NORMSINV(SUM(AK$13:AK40)/AK$317)),NORMSINV(SUM(AK$13:AK40)/AK$317)," ")</f>
        <v>-2.4536215260329959</v>
      </c>
      <c r="AM40" s="6">
        <v>4.345841184747494E-2</v>
      </c>
      <c r="AN40" s="6">
        <v>9.1277882463299917E-2</v>
      </c>
      <c r="AO40" s="6">
        <v>0.16305576492659987</v>
      </c>
      <c r="AP40" s="6">
        <v>3.5250000000000004E-2</v>
      </c>
      <c r="AQ40" s="6">
        <v>7.4638941231649963E-2</v>
      </c>
      <c r="AR40" s="6">
        <v>0.14953497085033732</v>
      </c>
      <c r="AS40" s="6">
        <v>3.2659735307912489E-2</v>
      </c>
      <c r="AT40" s="6">
        <v>6.9888941231649959E-2</v>
      </c>
      <c r="AU40" s="6">
        <v>0.13289602961868735</v>
      </c>
    </row>
    <row r="41" spans="1:47" x14ac:dyDescent="0.4">
      <c r="A41" s="6">
        <f t="shared" si="21"/>
        <v>-1.9471126145069748</v>
      </c>
      <c r="B41" s="6">
        <f>'Aerosol 1'!A45</f>
        <v>0.14268546531717544</v>
      </c>
      <c r="C41" t="b">
        <f t="shared" si="22"/>
        <v>0</v>
      </c>
      <c r="E41" s="46">
        <f>'Aerosol 1'!$P45</f>
        <v>5.9577761937618795E-3</v>
      </c>
      <c r="F41" s="46">
        <f>'Aerosol 2'!$P45</f>
        <v>5.9577761937618795E-3</v>
      </c>
      <c r="G41" s="46">
        <f>'Aerosol 3'!$P45</f>
        <v>5.9577761937618795E-3</v>
      </c>
      <c r="H41" s="46">
        <f t="shared" si="23"/>
        <v>1.7873328581285639E-2</v>
      </c>
      <c r="I41" s="46">
        <f>NORMSINV(SUM(H$13:H41)/H$317)</f>
        <v>-3.1319780656384308</v>
      </c>
      <c r="J41" s="46">
        <f t="shared" si="18"/>
        <v>3.2171991446314149E-3</v>
      </c>
      <c r="K41" s="46">
        <f t="shared" si="19"/>
        <v>8.9366642906428193E-3</v>
      </c>
      <c r="L41" s="46">
        <f t="shared" si="20"/>
        <v>1.7872613648142386E-2</v>
      </c>
      <c r="M41" s="46">
        <f t="shared" si="24"/>
        <v>3.002647708341662E-2</v>
      </c>
      <c r="N41" s="46">
        <f>IF(ISNUMBER(NORMSINV(SUM(M$13:M41)/M$317)),NORMSINV(SUM(M$13:M41)/M$317)," ")</f>
        <v>-3.1319780656384308</v>
      </c>
      <c r="O41" s="46">
        <f t="shared" si="25"/>
        <v>1.0301095240652079E-3</v>
      </c>
      <c r="P41" s="46">
        <f>IF(ISNUMBER(NORMSINV(SUM(O$13:O41)/O$317)),NORMSINV(SUM(O$13:O41)/O$317)," ")</f>
        <v>-3.8259663285711074</v>
      </c>
      <c r="Q41" s="46">
        <f t="shared" si="26"/>
        <v>2.1801654010347345E-3</v>
      </c>
      <c r="R41" s="46">
        <f>IF(ISNUMBER(NORMSINV(SUM(Q$13:Q41)/Q$317)),NORMSINV(SUM(Q$13:Q41)/Q$317)," ")</f>
        <v>-2.8772240867213443</v>
      </c>
      <c r="S41" s="46">
        <f t="shared" si="27"/>
        <v>4.1295938329012115E-3</v>
      </c>
      <c r="T41" s="46">
        <f>IF(ISNUMBER(NORMSINV(SUM(S$13:S41)/S$317)),NORMSINV(SUM(S$13:S41)/S$317)," ")</f>
        <v>-2.4888640569182834</v>
      </c>
      <c r="U41" s="46">
        <f t="shared" si="28"/>
        <v>1.3592054222259271E-4</v>
      </c>
      <c r="V41" s="46">
        <f>IF(ISNUMBER(NORMSINV(SUM(U$13:U41)/U$317)),NORMSINV(SUM(U$13:U41)/U$317)," ")</f>
        <v>-3.7013106001062615</v>
      </c>
      <c r="W41" s="46">
        <f t="shared" si="29"/>
        <v>2.879270801683425E-4</v>
      </c>
      <c r="X41" s="46">
        <f>IF(ISNUMBER(NORMSINV(SUM(W$13:W41)/W$317)),NORMSINV(SUM(W$13:W41)/W$317)," ")</f>
        <v>-2.8260959100320044</v>
      </c>
      <c r="Y41" s="46">
        <f t="shared" si="30"/>
        <v>5.1332138237243305E-4</v>
      </c>
      <c r="Z41" s="46">
        <f>IF(ISNUMBER(NORMSINV(SUM(Y$13:Y41)/Y$317)),NORMSINV(SUM(Y$13:Y41)/Y$317)," ")</f>
        <v>-2.5290560712700914</v>
      </c>
      <c r="AA41" s="46">
        <f t="shared" si="31"/>
        <v>3.1332903827798771E-4</v>
      </c>
      <c r="AB41" s="46">
        <f>IF(ISNUMBER(NORMSINV(SUM(AA$13:AA41)/AA$317)),NORMSINV(SUM(AA$13:AA41)/AA$317)," ")</f>
        <v>-3.8112108663281186</v>
      </c>
      <c r="AC41" s="46">
        <f t="shared" si="32"/>
        <v>6.5906198688467301E-4</v>
      </c>
      <c r="AD41" s="46">
        <f>IF(ISNUMBER(NORMSINV(SUM(AC$13:AC41)/AC$317)),NORMSINV(SUM(AC$13:AC41)/AC$317)," ")</f>
        <v>-2.8511968677161699</v>
      </c>
      <c r="AE41" s="46">
        <f t="shared" si="33"/>
        <v>1.3019050140547622E-3</v>
      </c>
      <c r="AF41" s="46">
        <f>IF(ISNUMBER(NORMSINV(SUM(AE$13:AE41)/AE$317)),NORMSINV(SUM(AE$13:AE41)/AE$317)," ")</f>
        <v>-2.5544530561697294</v>
      </c>
      <c r="AG41" s="46">
        <f t="shared" si="34"/>
        <v>5.8085994356462756E-4</v>
      </c>
      <c r="AH41" s="46">
        <f>IF(ISNUMBER(NORMSINV(SUM(AG$13:AG41)/AG$317)),NORMSINV(SUM(AG$13:AG41)/AG$317)," ")</f>
        <v>-3.8585087150681221</v>
      </c>
      <c r="AI41" s="46">
        <f t="shared" si="35"/>
        <v>1.2331763339817189E-3</v>
      </c>
      <c r="AJ41" s="46">
        <f>IF(ISNUMBER(NORMSINV(SUM(AI$13:AI41)/AI$317)),NORMSINV(SUM(AI$13:AI41)/AI$317)," ")</f>
        <v>-2.9015383539190576</v>
      </c>
      <c r="AK41" s="46">
        <f t="shared" si="36"/>
        <v>2.3143674364740161E-3</v>
      </c>
      <c r="AL41" s="46">
        <f>IF(ISNUMBER(NORMSINV(SUM(AK$13:AK41)/AK$317)),NORMSINV(SUM(AK$13:AK41)/AK$317)," ")</f>
        <v>-2.4354982302406509</v>
      </c>
      <c r="AM41" s="6">
        <v>4.2248097215059011E-2</v>
      </c>
      <c r="AN41" s="6">
        <v>8.9496194430118026E-2</v>
      </c>
      <c r="AO41" s="6">
        <v>0.15955536455647129</v>
      </c>
      <c r="AP41" s="6">
        <v>3.5061072911294261E-2</v>
      </c>
      <c r="AQ41" s="6">
        <v>7.3748097215059011E-2</v>
      </c>
      <c r="AR41" s="6">
        <v>0.14568131594894179</v>
      </c>
      <c r="AS41" s="6">
        <v>3.2500000000000001E-2</v>
      </c>
      <c r="AT41" s="6">
        <v>6.899809721505902E-2</v>
      </c>
      <c r="AU41" s="6">
        <v>0.12949238886023606</v>
      </c>
    </row>
    <row r="42" spans="1:47" x14ac:dyDescent="0.4">
      <c r="A42" s="6">
        <f t="shared" si="21"/>
        <v>-1.9126340370757962</v>
      </c>
      <c r="B42" s="6">
        <f>'Aerosol 1'!A46</f>
        <v>0.14769085061829648</v>
      </c>
      <c r="C42" t="b">
        <f t="shared" si="22"/>
        <v>0</v>
      </c>
      <c r="E42" s="46">
        <f>'Aerosol 1'!$P46</f>
        <v>6.3612510935964657E-3</v>
      </c>
      <c r="F42" s="46">
        <f>'Aerosol 2'!$P46</f>
        <v>6.3612510935964657E-3</v>
      </c>
      <c r="G42" s="46">
        <f>'Aerosol 3'!$P46</f>
        <v>6.3612510935964657E-3</v>
      </c>
      <c r="H42" s="46">
        <f t="shared" si="23"/>
        <v>1.9083753280789397E-2</v>
      </c>
      <c r="I42" s="46">
        <f>NORMSINV(SUM(H$13:H42)/H$317)</f>
        <v>-3.1110564778070979</v>
      </c>
      <c r="J42" s="46">
        <f t="shared" si="18"/>
        <v>3.4350755905420919E-3</v>
      </c>
      <c r="K42" s="46">
        <f t="shared" si="19"/>
        <v>9.5418766403946986E-3</v>
      </c>
      <c r="L42" s="46">
        <f t="shared" si="20"/>
        <v>1.9082989930658167E-2</v>
      </c>
      <c r="M42" s="46">
        <f t="shared" si="24"/>
        <v>3.2059942161594954E-2</v>
      </c>
      <c r="N42" s="46">
        <f>IF(ISNUMBER(NORMSINV(SUM(M$13:M42)/M$317)),NORMSINV(SUM(M$13:M42)/M$317)," ")</f>
        <v>-3.1110564778070979</v>
      </c>
      <c r="O42" s="46">
        <f t="shared" si="25"/>
        <v>1.0904562579343805E-3</v>
      </c>
      <c r="P42" s="46">
        <f>IF(ISNUMBER(NORMSINV(SUM(O$13:O42)/O$317)),NORMSINV(SUM(O$13:O42)/O$317)," ")</f>
        <v>-3.8056871453690815</v>
      </c>
      <c r="Q42" s="46">
        <f t="shared" si="26"/>
        <v>2.2945917360559479E-3</v>
      </c>
      <c r="R42" s="46">
        <f>IF(ISNUMBER(NORMSINV(SUM(Q$13:Q42)/Q$317)),NORMSINV(SUM(Q$13:Q42)/Q$317)," ")</f>
        <v>-2.8592605749351678</v>
      </c>
      <c r="S42" s="46">
        <f t="shared" si="27"/>
        <v>4.302632910425438E-3</v>
      </c>
      <c r="T42" s="46">
        <f>IF(ISNUMBER(NORMSINV(SUM(S$13:S42)/S$317)),NORMSINV(SUM(S$13:S42)/S$317)," ")</f>
        <v>-2.4708744227082651</v>
      </c>
      <c r="U42" s="46">
        <f t="shared" si="28"/>
        <v>1.4255563700749679E-4</v>
      </c>
      <c r="V42" s="46">
        <f>IF(ISNUMBER(NORMSINV(SUM(U$13:U42)/U$317)),NORMSINV(SUM(U$13:U42)/U$317)," ")</f>
        <v>-3.6830532983134234</v>
      </c>
      <c r="W42" s="46">
        <f t="shared" si="29"/>
        <v>3.012129189102551E-4</v>
      </c>
      <c r="X42" s="46">
        <f>IF(ISNUMBER(NORMSINV(SUM(W$13:W42)/W$317)),NORMSINV(SUM(W$13:W42)/W$317)," ")</f>
        <v>-2.8087095376807638</v>
      </c>
      <c r="Y42" s="46">
        <f t="shared" si="30"/>
        <v>5.3630063270257509E-4</v>
      </c>
      <c r="Z42" s="46">
        <f>IF(ISNUMBER(NORMSINV(SUM(Y$13:Y42)/Y$317)),NORMSINV(SUM(Y$13:Y42)/Y$317)," ")</f>
        <v>-2.5103971753669123</v>
      </c>
      <c r="AA42" s="46">
        <f t="shared" si="31"/>
        <v>3.2770344818049347E-4</v>
      </c>
      <c r="AB42" s="46">
        <f>IF(ISNUMBER(NORMSINV(SUM(AA$13:AA42)/AA$317)),NORMSINV(SUM(AA$13:AA42)/AA$317)," ")</f>
        <v>-3.79130940473773</v>
      </c>
      <c r="AC42" s="46">
        <f t="shared" si="32"/>
        <v>6.9394722690084673E-4</v>
      </c>
      <c r="AD42" s="46">
        <f>IF(ISNUMBER(NORMSINV(SUM(AC$13:AC42)/AC$317)),NORMSINV(SUM(AC$13:AC42)/AC$317)," ")</f>
        <v>-2.8333346914647182</v>
      </c>
      <c r="AE42" s="46">
        <f t="shared" si="33"/>
        <v>1.3612814690623272E-3</v>
      </c>
      <c r="AF42" s="46">
        <f>IF(ISNUMBER(NORMSINV(SUM(AE$13:AE42)/AE$317)),NORMSINV(SUM(AE$13:AE42)/AE$317)," ")</f>
        <v>-2.5366823058889878</v>
      </c>
      <c r="AG42" s="46">
        <f t="shared" si="34"/>
        <v>6.2019717274639039E-4</v>
      </c>
      <c r="AH42" s="46">
        <f>IF(ISNUMBER(NORMSINV(SUM(AG$13:AG42)/AG$317)),NORMSINV(SUM(AG$13:AG42)/AG$317)," ")</f>
        <v>-3.8374340806559042</v>
      </c>
      <c r="AI42" s="46">
        <f t="shared" si="35"/>
        <v>1.299431590244846E-3</v>
      </c>
      <c r="AJ42" s="46">
        <f>IF(ISNUMBER(NORMSINV(SUM(AI$13:AI42)/AI$317)),NORMSINV(SUM(AI$13:AI42)/AI$317)," ")</f>
        <v>-2.8833659848903248</v>
      </c>
      <c r="AK42" s="46">
        <f t="shared" si="36"/>
        <v>2.4050508086605358E-3</v>
      </c>
      <c r="AL42" s="46">
        <f>IF(ISNUMBER(NORMSINV(SUM(AK$13:AK42)/AK$317)),NORMSINV(SUM(AK$13:AK42)/AK$317)," ")</f>
        <v>-2.4174757866854453</v>
      </c>
      <c r="AM42" s="6">
        <v>4.1499999999999995E-2</v>
      </c>
      <c r="AN42" s="6">
        <v>8.768742083568544E-2</v>
      </c>
      <c r="AO42" s="6">
        <v>0.15612484167137092</v>
      </c>
      <c r="AP42" s="6">
        <v>3.4343710417842718E-2</v>
      </c>
      <c r="AQ42" s="6">
        <v>7.2726493231224765E-2</v>
      </c>
      <c r="AR42" s="6">
        <v>0.1426639140669102</v>
      </c>
      <c r="AS42" s="6">
        <v>3.2500000000000001E-2</v>
      </c>
      <c r="AT42" s="6">
        <v>6.8093710417842734E-2</v>
      </c>
      <c r="AU42" s="6">
        <v>0.12603113125352816</v>
      </c>
    </row>
    <row r="43" spans="1:47" x14ac:dyDescent="0.4">
      <c r="A43" s="6">
        <f t="shared" si="21"/>
        <v>-1.8781554596446177</v>
      </c>
      <c r="B43" s="6">
        <f>'Aerosol 1'!A47</f>
        <v>0.15287182410534089</v>
      </c>
      <c r="C43" t="b">
        <f t="shared" si="22"/>
        <v>0</v>
      </c>
      <c r="E43" s="46">
        <f>'Aerosol 1'!$P47</f>
        <v>6.7890804811279928E-3</v>
      </c>
      <c r="F43" s="46">
        <f>'Aerosol 2'!$P47</f>
        <v>6.7890804811279928E-3</v>
      </c>
      <c r="G43" s="46">
        <f>'Aerosol 3'!$P47</f>
        <v>6.7890804811279928E-3</v>
      </c>
      <c r="H43" s="46">
        <f t="shared" si="23"/>
        <v>2.0367241443383977E-2</v>
      </c>
      <c r="I43" s="46">
        <f>NORMSINV(SUM(H$13:H43)/H$317)</f>
        <v>-3.0901347973620177</v>
      </c>
      <c r="J43" s="46">
        <f t="shared" si="18"/>
        <v>3.6661034598091165E-3</v>
      </c>
      <c r="K43" s="46">
        <f t="shared" si="19"/>
        <v>1.0183620721691988E-2</v>
      </c>
      <c r="L43" s="46">
        <f t="shared" si="20"/>
        <v>2.0366426753726245E-2</v>
      </c>
      <c r="M43" s="46">
        <f t="shared" si="24"/>
        <v>3.4216150935227348E-2</v>
      </c>
      <c r="N43" s="46">
        <f>IF(ISNUMBER(NORMSINV(SUM(M$13:M43)/M$317)),NORMSINV(SUM(M$13:M43)/M$317)," ")</f>
        <v>-3.0901347973620177</v>
      </c>
      <c r="O43" s="46">
        <f t="shared" si="25"/>
        <v>1.1550330640499843E-3</v>
      </c>
      <c r="P43" s="46">
        <f>IF(ISNUMBER(NORMSINV(SUM(O$13:O43)/O$317)),NORMSINV(SUM(O$13:O43)/O$317)," ")</f>
        <v>-3.7857878646844587</v>
      </c>
      <c r="Q43" s="46">
        <f t="shared" si="26"/>
        <v>2.4080615101764007E-3</v>
      </c>
      <c r="R43" s="46">
        <f>IF(ISNUMBER(NORMSINV(SUM(Q$13:Q43)/Q$317)),NORMSINV(SUM(Q$13:Q43)/Q$317)," ")</f>
        <v>-2.841351162529357</v>
      </c>
      <c r="S43" s="46">
        <f t="shared" si="27"/>
        <v>4.488558287097941E-3</v>
      </c>
      <c r="T43" s="46">
        <f>IF(ISNUMBER(NORMSINV(SUM(S$13:S43)/S$317)),NORMSINV(SUM(S$13:S43)/S$317)," ")</f>
        <v>-2.4529224879904419</v>
      </c>
      <c r="U43" s="46">
        <f t="shared" si="28"/>
        <v>1.519729003771995E-4</v>
      </c>
      <c r="V43" s="46">
        <f>IF(ISNUMBER(NORMSINV(SUM(U$13:U43)/U$317)),NORMSINV(SUM(U$13:U43)/U$317)," ")</f>
        <v>-3.6648536686903168</v>
      </c>
      <c r="W43" s="46">
        <f t="shared" si="29"/>
        <v>3.1488731339886672E-4</v>
      </c>
      <c r="X43" s="46">
        <f>IF(ISNUMBER(NORMSINV(SUM(W$13:W43)/W$317)),NORMSINV(SUM(W$13:W43)/W$317)," ")</f>
        <v>-2.791398263209075</v>
      </c>
      <c r="Y43" s="46">
        <f t="shared" si="30"/>
        <v>5.5931573066632725E-4</v>
      </c>
      <c r="Z43" s="46">
        <f>IF(ISNUMBER(NORMSINV(SUM(Y$13:Y43)/Y$317)),NORMSINV(SUM(Y$13:Y43)/Y$317)," ")</f>
        <v>-2.4918259613768088</v>
      </c>
      <c r="AA43" s="46">
        <f t="shared" si="31"/>
        <v>3.4115129417668164E-4</v>
      </c>
      <c r="AB43" s="46">
        <f>IF(ISNUMBER(NORMSINV(SUM(AA$13:AA43)/AA$317)),NORMSINV(SUM(AA$13:AA43)/AA$317)," ")</f>
        <v>-3.7720724929281468</v>
      </c>
      <c r="AC43" s="46">
        <f t="shared" si="32"/>
        <v>7.2479411899055966E-4</v>
      </c>
      <c r="AD43" s="46">
        <f>IF(ISNUMBER(NORMSINV(SUM(AC$13:AC43)/AC$317)),NORMSINV(SUM(AC$13:AC43)/AC$317)," ")</f>
        <v>-2.8155960620457519</v>
      </c>
      <c r="AE43" s="46">
        <f t="shared" si="33"/>
        <v>1.4180907469000497E-3</v>
      </c>
      <c r="AF43" s="46">
        <f>IF(ISNUMBER(NORMSINV(SUM(AE$13:AE43)/AE$317)),NORMSINV(SUM(AE$13:AE43)/AE$317)," ")</f>
        <v>-2.518984269557992</v>
      </c>
      <c r="AG43" s="46">
        <f t="shared" si="34"/>
        <v>6.6190886949610294E-4</v>
      </c>
      <c r="AH43" s="46">
        <f>IF(ISNUMBER(NORMSINV(SUM(AG$13:AG43)/AG$317)),NORMSINV(SUM(AG$13:AG43)/AG$317)," ")</f>
        <v>-3.8166766246813637</v>
      </c>
      <c r="AI43" s="46">
        <f t="shared" si="35"/>
        <v>1.3683800777869743E-3</v>
      </c>
      <c r="AJ43" s="46">
        <f>IF(ISNUMBER(NORMSINV(SUM(AI$13:AI43)/AI$317)),NORMSINV(SUM(AI$13:AI43)/AI$317)," ")</f>
        <v>-2.865205925977425</v>
      </c>
      <c r="AK43" s="46">
        <f t="shared" si="36"/>
        <v>2.5111518095315643E-3</v>
      </c>
      <c r="AL43" s="46">
        <f>IF(ISNUMBER(NORMSINV(SUM(AK$13:AK43)/AK$317)),NORMSINV(SUM(AK$13:AK43)/AK$317)," ")</f>
        <v>-2.3994603462192656</v>
      </c>
      <c r="AM43" s="6">
        <v>4.1453521986832387E-2</v>
      </c>
      <c r="AN43" s="6">
        <v>8.5891551302608907E-2</v>
      </c>
      <c r="AO43" s="6">
        <v>0.15256408794732956</v>
      </c>
      <c r="AP43" s="6">
        <v>3.3500000000000002E-2</v>
      </c>
      <c r="AQ43" s="6">
        <v>7.117253664472066E-2</v>
      </c>
      <c r="AR43" s="6">
        <v>0.13925211726310607</v>
      </c>
      <c r="AS43" s="6">
        <v>3.2500000000000001E-2</v>
      </c>
      <c r="AT43" s="6">
        <v>6.7188029315776526E-2</v>
      </c>
      <c r="AU43" s="6">
        <v>0.12329859527627367</v>
      </c>
    </row>
    <row r="44" spans="1:47" x14ac:dyDescent="0.4">
      <c r="A44" s="6">
        <f t="shared" si="21"/>
        <v>-1.8436768822134395</v>
      </c>
      <c r="B44" s="6">
        <f>'Aerosol 1'!A48</f>
        <v>0.15823454538624715</v>
      </c>
      <c r="C44" t="b">
        <f t="shared" si="22"/>
        <v>0</v>
      </c>
      <c r="E44" s="46">
        <f>'Aerosol 1'!$P48</f>
        <v>7.2425156154654622E-3</v>
      </c>
      <c r="F44" s="46">
        <f>'Aerosol 2'!$P48</f>
        <v>7.2425156154654622E-3</v>
      </c>
      <c r="G44" s="46">
        <f>'Aerosol 3'!$P48</f>
        <v>7.2425156154654622E-3</v>
      </c>
      <c r="H44" s="46">
        <f t="shared" si="23"/>
        <v>2.1727546846396387E-2</v>
      </c>
      <c r="I44" s="46">
        <f>NORMSINV(SUM(H$13:H44)/H$317)</f>
        <v>-3.0692130228549042</v>
      </c>
      <c r="J44" s="46">
        <f t="shared" si="18"/>
        <v>3.91095843235135E-3</v>
      </c>
      <c r="K44" s="46">
        <f t="shared" si="19"/>
        <v>1.0863773423198194E-2</v>
      </c>
      <c r="L44" s="46">
        <f t="shared" si="20"/>
        <v>2.172667774452253E-2</v>
      </c>
      <c r="M44" s="46">
        <f t="shared" si="24"/>
        <v>3.6501409600072074E-2</v>
      </c>
      <c r="N44" s="46">
        <f>IF(ISNUMBER(NORMSINV(SUM(M$13:M44)/M$317)),NORMSINV(SUM(M$13:M44)/M$317)," ")</f>
        <v>-3.0692130228549042</v>
      </c>
      <c r="O44" s="46">
        <f t="shared" si="25"/>
        <v>1.2295547652374471E-3</v>
      </c>
      <c r="P44" s="46">
        <f>IF(ISNUMBER(NORMSINV(SUM(O$13:O44)/O$317)),NORMSINV(SUM(O$13:O44)/O$317)," ")</f>
        <v>-3.7661326843129688</v>
      </c>
      <c r="Q44" s="46">
        <f t="shared" si="26"/>
        <v>2.5312196320826526E-3</v>
      </c>
      <c r="R44" s="46">
        <f>IF(ISNUMBER(NORMSINV(SUM(Q$13:Q44)/Q$317)),NORMSINV(SUM(Q$13:Q44)/Q$317)," ")</f>
        <v>-2.8234593164659425</v>
      </c>
      <c r="S44" s="46">
        <f t="shared" si="27"/>
        <v>4.6759060067419079E-3</v>
      </c>
      <c r="T44" s="46">
        <f>IF(ISNUMBER(NORMSINV(SUM(S$13:S44)/S$317)),NORMSINV(SUM(S$13:S44)/S$317)," ")</f>
        <v>-2.4350256597523132</v>
      </c>
      <c r="U44" s="46">
        <f t="shared" si="28"/>
        <v>1.5950132886332542E-4</v>
      </c>
      <c r="V44" s="46">
        <f>IF(ISNUMBER(NORMSINV(SUM(U$13:U44)/U$317)),NORMSINV(SUM(U$13:U44)/U$317)," ")</f>
        <v>-3.6469743341534868</v>
      </c>
      <c r="W44" s="46">
        <f t="shared" si="29"/>
        <v>3.2980105099728637E-4</v>
      </c>
      <c r="X44" s="46">
        <f>IF(ISNUMBER(NORMSINV(SUM(W$13:W44)/W$317)),NORMSINV(SUM(W$13:W44)/W$317)," ")</f>
        <v>-2.7741215469597176</v>
      </c>
      <c r="Y44" s="46">
        <f t="shared" si="30"/>
        <v>5.8618511622464636E-4</v>
      </c>
      <c r="Z44" s="46">
        <f>IF(ISNUMBER(NORMSINV(SUM(Y$13:Y44)/Y$317)),NORMSINV(SUM(Y$13:Y44)/Y$317)," ")</f>
        <v>-2.4732430077481871</v>
      </c>
      <c r="AA44" s="46">
        <f t="shared" si="31"/>
        <v>3.6393640967713952E-4</v>
      </c>
      <c r="AB44" s="46">
        <f>IF(ISNUMBER(NORMSINV(SUM(AA$13:AA44)/AA$317)),NORMSINV(SUM(AA$13:AA44)/AA$317)," ")</f>
        <v>-3.7529817920078075</v>
      </c>
      <c r="AC44" s="46">
        <f t="shared" si="32"/>
        <v>7.6106493936928081E-4</v>
      </c>
      <c r="AD44" s="46">
        <f>IF(ISNUMBER(NORMSINV(SUM(AC$13:AC44)/AC$317)),NORMSINV(SUM(AC$13:AC44)/AC$317)," ")</f>
        <v>-2.7978766732344718</v>
      </c>
      <c r="AE44" s="46">
        <f t="shared" si="33"/>
        <v>1.4739638580286577E-3</v>
      </c>
      <c r="AF44" s="46">
        <f>IF(ISNUMBER(NORMSINV(SUM(AE$13:AE44)/AE$317)),NORMSINV(SUM(AE$13:AE44)/AE$317)," ")</f>
        <v>-2.5013887018897449</v>
      </c>
      <c r="AG44" s="46">
        <f t="shared" si="34"/>
        <v>7.0611702669698222E-4</v>
      </c>
      <c r="AH44" s="46">
        <f>IF(ISNUMBER(NORMSINV(SUM(AG$13:AG44)/AG$317)),NORMSINV(SUM(AG$13:AG44)/AG$317)," ")</f>
        <v>-3.7962079978110448</v>
      </c>
      <c r="AI44" s="46">
        <f t="shared" si="35"/>
        <v>1.4403536417160853E-3</v>
      </c>
      <c r="AJ44" s="46">
        <f>IF(ISNUMBER(NORMSINV(SUM(AI$13:AI44)/AI$317)),NORMSINV(SUM(AI$13:AI44)/AI$317)," ")</f>
        <v>-2.8470594861748282</v>
      </c>
      <c r="AK44" s="46">
        <f t="shared" si="36"/>
        <v>2.6157570324886032E-3</v>
      </c>
      <c r="AL44" s="46">
        <f>IF(ISNUMBER(NORMSINV(SUM(AK$13:AK44)/AK$317)),NORMSINV(SUM(AK$13:AK44)/AK$317)," ")</f>
        <v>-2.3814874265015913</v>
      </c>
      <c r="AM44" s="6">
        <v>4.0783181826719105E-2</v>
      </c>
      <c r="AN44" s="6">
        <v>8.4327424262344589E-2</v>
      </c>
      <c r="AO44" s="6">
        <v>0.14988272730687643</v>
      </c>
      <c r="AP44" s="6">
        <v>3.3500000000000002E-2</v>
      </c>
      <c r="AQ44" s="6">
        <v>7.0055303044531864E-2</v>
      </c>
      <c r="AR44" s="6">
        <v>0.1356769697425019</v>
      </c>
      <c r="AS44" s="6">
        <v>3.2500000000000001E-2</v>
      </c>
      <c r="AT44" s="6">
        <v>6.6294242435625483E-2</v>
      </c>
      <c r="AU44" s="6">
        <v>0.12039378791578279</v>
      </c>
    </row>
    <row r="45" spans="1:47" x14ac:dyDescent="0.4">
      <c r="A45" s="6">
        <f t="shared" si="21"/>
        <v>-1.8091983047822611</v>
      </c>
      <c r="B45" s="6">
        <f>'Aerosol 1'!A49</f>
        <v>0.16378539014710136</v>
      </c>
      <c r="C45" t="b">
        <f t="shared" si="22"/>
        <v>0</v>
      </c>
      <c r="E45" s="46">
        <f>'Aerosol 1'!$P49</f>
        <v>7.7228569082837643E-3</v>
      </c>
      <c r="F45" s="46">
        <f>'Aerosol 2'!$P49</f>
        <v>7.7228569082837643E-3</v>
      </c>
      <c r="G45" s="46">
        <f>'Aerosol 3'!$P49</f>
        <v>7.7228569082837643E-3</v>
      </c>
      <c r="H45" s="46">
        <f t="shared" si="23"/>
        <v>2.3168570724851293E-2</v>
      </c>
      <c r="I45" s="46">
        <f>NORMSINV(SUM(H$13:H45)/H$317)</f>
        <v>-3.0482911528084884</v>
      </c>
      <c r="J45" s="46">
        <f t="shared" si="18"/>
        <v>4.1703427304732327E-3</v>
      </c>
      <c r="K45" s="46">
        <f t="shared" si="19"/>
        <v>1.1584285362425647E-2</v>
      </c>
      <c r="L45" s="46">
        <f t="shared" si="20"/>
        <v>2.3167643982022298E-2</v>
      </c>
      <c r="M45" s="46">
        <f t="shared" si="24"/>
        <v>3.8922272074921174E-2</v>
      </c>
      <c r="N45" s="46">
        <f>IF(ISNUMBER(NORMSINV(SUM(M$13:M45)/M$317)),NORMSINV(SUM(M$13:M45)/M$317)," ")</f>
        <v>-3.0482911528084875</v>
      </c>
      <c r="O45" s="46">
        <f t="shared" si="25"/>
        <v>1.3150121710034639E-3</v>
      </c>
      <c r="P45" s="46">
        <f>IF(ISNUMBER(NORMSINV(SUM(O$13:O45)/O$317)),NORMSINV(SUM(O$13:O45)/O$317)," ")</f>
        <v>-3.7466064665403036</v>
      </c>
      <c r="Q45" s="46">
        <f t="shared" si="26"/>
        <v>2.6751845781276479E-3</v>
      </c>
      <c r="R45" s="46">
        <f>IF(ISNUMBER(NORMSINV(SUM(Q$13:Q45)/Q$317)),NORMSINV(SUM(Q$13:Q45)/Q$317)," ")</f>
        <v>-2.8054834947896135</v>
      </c>
      <c r="S45" s="46">
        <f t="shared" si="27"/>
        <v>4.8621793896116688E-3</v>
      </c>
      <c r="T45" s="46">
        <f>IF(ISNUMBER(NORMSINV(SUM(S$13:S45)/S$317)),NORMSINV(SUM(S$13:S45)/S$317)," ")</f>
        <v>-2.4172077247829558</v>
      </c>
      <c r="U45" s="46">
        <f t="shared" si="28"/>
        <v>1.6905268044510363E-4</v>
      </c>
      <c r="V45" s="46">
        <f>IF(ISNUMBER(NORMSINV(SUM(U$13:U45)/U$317)),NORMSINV(SUM(U$13:U45)/U$317)," ")</f>
        <v>-3.629216562251766</v>
      </c>
      <c r="W45" s="46">
        <f t="shared" si="29"/>
        <v>3.4424108846892502E-4</v>
      </c>
      <c r="X45" s="46">
        <f>IF(ISNUMBER(NORMSINV(SUM(W$13:W45)/W$317)),NORMSINV(SUM(W$13:W45)/W$317)," ")</f>
        <v>-2.7569302246553846</v>
      </c>
      <c r="Y45" s="46">
        <f t="shared" si="30"/>
        <v>6.1028825074147691E-4</v>
      </c>
      <c r="Z45" s="46">
        <f>IF(ISNUMBER(NORMSINV(SUM(Y$13:Y45)/Y$317)),NORMSINV(SUM(Y$13:Y45)/Y$317)," ")</f>
        <v>-2.4547626432527143</v>
      </c>
      <c r="AA45" s="46">
        <f t="shared" si="31"/>
        <v>3.8807355964125918E-4</v>
      </c>
      <c r="AB45" s="46">
        <f>IF(ISNUMBER(NORMSINV(SUM(AA$13:AA45)/AA$317)),NORMSINV(SUM(AA$13:AA45)/AA$317)," ")</f>
        <v>-3.7340275007044261</v>
      </c>
      <c r="AC45" s="46">
        <f t="shared" si="32"/>
        <v>8.0102457735112189E-4</v>
      </c>
      <c r="AD45" s="46">
        <f>IF(ISNUMBER(NORMSINV(SUM(AC$13:AC45)/AC$317)),NORMSINV(SUM(AC$13:AC45)/AC$317)," ")</f>
        <v>-2.780129642759388</v>
      </c>
      <c r="AE45" s="46">
        <f t="shared" si="33"/>
        <v>1.540044472552655E-3</v>
      </c>
      <c r="AF45" s="46">
        <f>IF(ISNUMBER(NORMSINV(SUM(AE$13:AE45)/AE$317)),NORMSINV(SUM(AE$13:AE45)/AE$317)," ")</f>
        <v>-2.4837958230867141</v>
      </c>
      <c r="AG45" s="46">
        <f t="shared" si="34"/>
        <v>7.5788593091710113E-4</v>
      </c>
      <c r="AH45" s="46">
        <f>IF(ISNUMBER(NORMSINV(SUM(AG$13:AG45)/AG$317)),NORMSINV(SUM(AG$13:AG45)/AG$317)," ")</f>
        <v>-3.7758757924911364</v>
      </c>
      <c r="AI45" s="46">
        <f t="shared" si="35"/>
        <v>1.5299189123076009E-3</v>
      </c>
      <c r="AJ45" s="46">
        <f>IF(ISNUMBER(NORMSINV(SUM(AI$13:AI45)/AI$317)),NORMSINV(SUM(AI$13:AI45)/AI$317)," ")</f>
        <v>-2.8287591779683394</v>
      </c>
      <c r="AK45" s="46">
        <f t="shared" si="36"/>
        <v>2.7118466663175367E-3</v>
      </c>
      <c r="AL45" s="46">
        <f>IF(ISNUMBER(NORMSINV(SUM(AK$13:AK45)/AK$317)),NORMSINV(SUM(AK$13:AK45)/AK$317)," ")</f>
        <v>-2.3636324540098257</v>
      </c>
      <c r="AM45" s="6">
        <v>4.0536879429552364E-2</v>
      </c>
      <c r="AN45" s="6">
        <v>8.2545035436418918E-2</v>
      </c>
      <c r="AO45" s="6">
        <v>0.14634007087283782</v>
      </c>
      <c r="AP45" s="6">
        <v>3.3500000000000002E-2</v>
      </c>
      <c r="AQ45" s="6">
        <v>6.9147517718209456E-2</v>
      </c>
      <c r="AR45" s="6">
        <v>0.13294255315462838</v>
      </c>
      <c r="AS45" s="6">
        <v>3.2713120570447639E-2</v>
      </c>
      <c r="AT45" s="6">
        <v>6.6036879429552359E-2</v>
      </c>
      <c r="AU45" s="6">
        <v>0.11705319144328548</v>
      </c>
    </row>
    <row r="46" spans="1:47" x14ac:dyDescent="0.4">
      <c r="A46" s="6">
        <f t="shared" si="21"/>
        <v>-1.7747197273510826</v>
      </c>
      <c r="B46" s="6">
        <f>'Aerosol 1'!A50</f>
        <v>0.16953095773212709</v>
      </c>
      <c r="C46" t="b">
        <f t="shared" si="22"/>
        <v>0</v>
      </c>
      <c r="E46" s="46">
        <f>'Aerosol 1'!$P50</f>
        <v>8.2314548569052161E-3</v>
      </c>
      <c r="F46" s="46">
        <f>'Aerosol 2'!$P50</f>
        <v>8.2314548569052161E-3</v>
      </c>
      <c r="G46" s="46">
        <f>'Aerosol 3'!$P50</f>
        <v>8.2314548569052161E-3</v>
      </c>
      <c r="H46" s="46">
        <f t="shared" si="23"/>
        <v>2.4694364570715648E-2</v>
      </c>
      <c r="I46" s="46">
        <f>NORMSINV(SUM(H$13:H46)/H$317)</f>
        <v>-3.0273691857158282</v>
      </c>
      <c r="J46" s="46">
        <f t="shared" si="18"/>
        <v>4.4449856227288167E-3</v>
      </c>
      <c r="K46" s="46">
        <f t="shared" si="19"/>
        <v>1.2347182285357824E-2</v>
      </c>
      <c r="L46" s="46">
        <f t="shared" si="20"/>
        <v>2.4693376796132819E-2</v>
      </c>
      <c r="M46" s="46">
        <f t="shared" si="24"/>
        <v>4.148554470421946E-2</v>
      </c>
      <c r="N46" s="46">
        <f>IF(ISNUMBER(NORMSINV(SUM(M$13:M46)/M$317)),NORMSINV(SUM(M$13:M46)/M$317)," ")</f>
        <v>-3.0273691857158282</v>
      </c>
      <c r="O46" s="46">
        <f t="shared" si="25"/>
        <v>1.4023606143533541E-3</v>
      </c>
      <c r="P46" s="46">
        <f>IF(ISNUMBER(NORMSINV(SUM(O$13:O46)/O$317)),NORMSINV(SUM(O$13:O46)/O$317)," ")</f>
        <v>-3.7272461051298267</v>
      </c>
      <c r="Q46" s="46">
        <f t="shared" si="26"/>
        <v>2.815164873488873E-3</v>
      </c>
      <c r="R46" s="46">
        <f>IF(ISNUMBER(NORMSINV(SUM(Q$13:Q46)/Q$317)),NORMSINV(SUM(Q$13:Q46)/Q$317)," ")</f>
        <v>-2.7874976256662323</v>
      </c>
      <c r="S46" s="46">
        <f t="shared" si="27"/>
        <v>5.0597021297471671E-3</v>
      </c>
      <c r="T46" s="46">
        <f>IF(ISNUMBER(NORMSINV(SUM(S$13:S46)/S$317)),NORMSINV(SUM(S$13:S46)/S$317)," ")</f>
        <v>-2.399446346020778</v>
      </c>
      <c r="U46" s="46">
        <f t="shared" si="28"/>
        <v>1.8002191772051708E-4</v>
      </c>
      <c r="V46" s="46">
        <f>IF(ISNUMBER(NORMSINV(SUM(U$13:U46)/U$317)),NORMSINV(SUM(U$13:U46)/U$317)," ")</f>
        <v>-3.6114858918157107</v>
      </c>
      <c r="W46" s="46">
        <f t="shared" si="29"/>
        <v>3.6140601714457893E-4</v>
      </c>
      <c r="X46" s="46">
        <f>IF(ISNUMBER(NORMSINV(SUM(W$13:W46)/W$317)),NORMSINV(SUM(W$13:W46)/W$317)," ")</f>
        <v>-2.7397176364981934</v>
      </c>
      <c r="Y46" s="46">
        <f t="shared" si="30"/>
        <v>6.3779093373304591E-4</v>
      </c>
      <c r="Z46" s="46">
        <f>IF(ISNUMBER(NORMSINV(SUM(Y$13:Y46)/Y$317)),NORMSINV(SUM(Y$13:Y46)/Y$317)," ")</f>
        <v>-2.4363054741595005</v>
      </c>
      <c r="AA46" s="46">
        <f t="shared" si="31"/>
        <v>4.1363060655948711E-4</v>
      </c>
      <c r="AB46" s="46">
        <f>IF(ISNUMBER(NORMSINV(SUM(AA$13:AA46)/AA$317)),NORMSINV(SUM(AA$13:AA46)/AA$317)," ")</f>
        <v>-3.7152008159523549</v>
      </c>
      <c r="AC46" s="46">
        <f t="shared" si="32"/>
        <v>8.4263546585665371E-4</v>
      </c>
      <c r="AD46" s="46">
        <f>IF(ISNUMBER(NORMSINV(SUM(AC$13:AC46)/AC$317)),NORMSINV(SUM(AC$13:AC46)/AC$317)," ")</f>
        <v>-2.7623599970411954</v>
      </c>
      <c r="AE46" s="46">
        <f t="shared" si="33"/>
        <v>1.601051233436026E-3</v>
      </c>
      <c r="AF46" s="46">
        <f>IF(ISNUMBER(NORMSINV(SUM(AE$13:AE46)/AE$317)),NORMSINV(SUM(AE$13:AE46)/AE$317)," ")</f>
        <v>-2.46628619338999</v>
      </c>
      <c r="AG46" s="46">
        <f t="shared" si="34"/>
        <v>8.0870809007334982E-4</v>
      </c>
      <c r="AH46" s="46">
        <f>IF(ISNUMBER(NORMSINV(SUM(AG$13:AG46)/AG$317)),NORMSINV(SUM(AG$13:AG46)/AG$317)," ")</f>
        <v>-3.7557745430723259</v>
      </c>
      <c r="AI46" s="46">
        <f t="shared" si="35"/>
        <v>1.6111233904876404E-3</v>
      </c>
      <c r="AJ46" s="46">
        <f>IF(ISNUMBER(NORMSINV(SUM(AI$13:AI46)/AI$317)),NORMSINV(SUM(AI$13:AI46)/AI$317)," ")</f>
        <v>-2.8104597394920701</v>
      </c>
      <c r="AK46" s="46">
        <f t="shared" si="36"/>
        <v>2.8208599625780956E-3</v>
      </c>
      <c r="AL46" s="46">
        <f>IF(ISNUMBER(NORMSINV(SUM(AK$13:AK46)/AK$317)),NORMSINV(SUM(AK$13:AK46)/AK$317)," ")</f>
        <v>-2.3458261917789911</v>
      </c>
      <c r="AM46" s="6">
        <v>4.0500000000000001E-2</v>
      </c>
      <c r="AN46" s="6">
        <v>8.1306453567943943E-2</v>
      </c>
      <c r="AO46" s="6">
        <v>0.14348548856306542</v>
      </c>
      <c r="AP46" s="6">
        <v>3.3500000000000002E-2</v>
      </c>
      <c r="AQ46" s="6">
        <v>6.8245162854355154E-2</v>
      </c>
      <c r="AR46" s="6">
        <v>0.12966936070383181</v>
      </c>
      <c r="AS46" s="6">
        <v>3.2750000000000001E-2</v>
      </c>
      <c r="AT46" s="6">
        <v>6.5245162854355152E-2</v>
      </c>
      <c r="AU46" s="6">
        <v>0.11423548856306542</v>
      </c>
    </row>
    <row r="47" spans="1:47" x14ac:dyDescent="0.4">
      <c r="A47" s="6">
        <f t="shared" si="21"/>
        <v>-1.740241149919904</v>
      </c>
      <c r="B47" s="6">
        <f>'Aerosol 1'!A51</f>
        <v>0.17547807898958018</v>
      </c>
      <c r="C47" t="b">
        <f t="shared" si="22"/>
        <v>0</v>
      </c>
      <c r="E47" s="46">
        <f>'Aerosol 1'!$P51</f>
        <v>8.7697109263917862E-3</v>
      </c>
      <c r="F47" s="46">
        <f>'Aerosol 2'!$P51</f>
        <v>8.7697109263917862E-3</v>
      </c>
      <c r="G47" s="46">
        <f>'Aerosol 3'!$P51</f>
        <v>8.7697109263917862E-3</v>
      </c>
      <c r="H47" s="46">
        <f t="shared" si="23"/>
        <v>2.6309132779175359E-2</v>
      </c>
      <c r="I47" s="46">
        <f>NORMSINV(SUM(H$13:H47)/H$317)</f>
        <v>-3.0064471200395824</v>
      </c>
      <c r="J47" s="46">
        <f t="shared" si="18"/>
        <v>4.7356439002515646E-3</v>
      </c>
      <c r="K47" s="46">
        <f t="shared" si="19"/>
        <v>1.3154566389587679E-2</v>
      </c>
      <c r="L47" s="46">
        <f t="shared" si="20"/>
        <v>2.6308080413864194E-2</v>
      </c>
      <c r="M47" s="46">
        <f t="shared" si="24"/>
        <v>4.4198290703703437E-2</v>
      </c>
      <c r="N47" s="46">
        <f>IF(ISNUMBER(NORMSINV(SUM(M$13:M47)/M$317)),NORMSINV(SUM(M$13:M47)/M$317)," ")</f>
        <v>-3.0064471200395824</v>
      </c>
      <c r="O47" s="46">
        <f t="shared" si="25"/>
        <v>1.5024843629944263E-3</v>
      </c>
      <c r="P47" s="46">
        <f>IF(ISNUMBER(NORMSINV(SUM(O$13:O47)/O$317)),NORMSINV(SUM(O$13:O47)/O$317)," ")</f>
        <v>-3.70794535030043</v>
      </c>
      <c r="Q47" s="46">
        <f t="shared" si="26"/>
        <v>2.9569209010147637E-3</v>
      </c>
      <c r="R47" s="46">
        <f>IF(ISNUMBER(NORMSINV(SUM(Q$13:Q47)/Q$317)),NORMSINV(SUM(Q$13:Q47)/Q$317)," ")</f>
        <v>-2.7695294074126213</v>
      </c>
      <c r="S47" s="46">
        <f t="shared" si="27"/>
        <v>5.2689873098691756E-3</v>
      </c>
      <c r="T47" s="46">
        <f>IF(ISNUMBER(NORMSINV(SUM(S$13:S47)/S$317)),NORMSINV(SUM(S$13:S47)/S$317)," ")</f>
        <v>-2.3817212029361787</v>
      </c>
      <c r="U47" s="46">
        <f t="shared" si="28"/>
        <v>1.8947271716968555E-4</v>
      </c>
      <c r="V47" s="46">
        <f>IF(ISNUMBER(NORMSINV(SUM(U$13:U47)/U$317)),NORMSINV(SUM(U$13:U47)/U$317)," ")</f>
        <v>-3.5939748871247645</v>
      </c>
      <c r="W47" s="46">
        <f t="shared" si="29"/>
        <v>3.7817181407587009E-4</v>
      </c>
      <c r="X47" s="46">
        <f>IF(ISNUMBER(NORMSINV(SUM(W$13:W47)/W$317)),NORMSINV(SUM(W$13:W47)/W$317)," ")</f>
        <v>-2.7225354544444142</v>
      </c>
      <c r="Y47" s="46">
        <f t="shared" si="30"/>
        <v>6.6672972359889979E-4</v>
      </c>
      <c r="Z47" s="46">
        <f>IF(ISNUMBER(NORMSINV(SUM(Y$13:Y47)/Y$317)),NORMSINV(SUM(Y$13:Y47)/Y$317)," ")</f>
        <v>-2.4178589844958926</v>
      </c>
      <c r="AA47" s="46">
        <f t="shared" si="31"/>
        <v>4.3423113852201291E-4</v>
      </c>
      <c r="AB47" s="46">
        <f>IF(ISNUMBER(NORMSINV(SUM(AA$13:AA47)/AA$317)),NORMSINV(SUM(AA$13:AA47)/AA$317)," ")</f>
        <v>-3.6967583564438775</v>
      </c>
      <c r="AC47" s="46">
        <f t="shared" si="32"/>
        <v>8.8591473378639635E-4</v>
      </c>
      <c r="AD47" s="46">
        <f>IF(ISNUMBER(NORMSINV(SUM(AC$13:AC47)/AC$317)),NORMSINV(SUM(AC$13:AC47)/AC$317)," ")</f>
        <v>-2.7445729763353288</v>
      </c>
      <c r="AE47" s="46">
        <f t="shared" si="33"/>
        <v>1.6678630805427158E-3</v>
      </c>
      <c r="AF47" s="46">
        <f>IF(ISNUMBER(NORMSINV(SUM(AE$13:AE47)/AE$317)),NORMSINV(SUM(AE$13:AE47)/AE$317)," ")</f>
        <v>-2.4488159371355778</v>
      </c>
      <c r="AG47" s="46">
        <f t="shared" si="34"/>
        <v>8.7878050730272772E-4</v>
      </c>
      <c r="AH47" s="46">
        <f>IF(ISNUMBER(NORMSINV(SUM(AG$13:AG47)/AG$317)),NORMSINV(SUM(AG$13:AG47)/AG$317)," ")</f>
        <v>-3.7355255325559749</v>
      </c>
      <c r="AI47" s="46">
        <f t="shared" si="35"/>
        <v>1.6928343531524973E-3</v>
      </c>
      <c r="AJ47" s="46">
        <f>IF(ISNUMBER(NORMSINV(SUM(AI$13:AI47)/AI$317)),NORMSINV(SUM(AI$13:AI47)/AI$317)," ")</f>
        <v>-2.792195158434752</v>
      </c>
      <c r="AK47" s="46">
        <f t="shared" si="36"/>
        <v>2.93439450572756E-3</v>
      </c>
      <c r="AL47" s="46">
        <f>IF(ISNUMBER(NORMSINV(SUM(AK$13:AK47)/AK$317)),NORMSINV(SUM(AK$13:AK47)/AK$317)," ")</f>
        <v>-2.3280601735737245</v>
      </c>
      <c r="AM47" s="6">
        <v>4.000991653101714E-2</v>
      </c>
      <c r="AN47" s="6">
        <v>7.9856471905706647E-2</v>
      </c>
      <c r="AO47" s="6">
        <v>0.1407896661240686</v>
      </c>
      <c r="AP47" s="6">
        <v>3.3009916531017147E-2</v>
      </c>
      <c r="AQ47" s="6">
        <v>6.7346555374689532E-2</v>
      </c>
      <c r="AR47" s="6">
        <v>0.12678966612406856</v>
      </c>
      <c r="AS47" s="6">
        <v>3.3403444625310474E-2</v>
      </c>
      <c r="AT47" s="6">
        <v>6.4346555374689529E-2</v>
      </c>
      <c r="AU47" s="6">
        <v>0.11153966612406857</v>
      </c>
    </row>
    <row r="48" spans="1:47" x14ac:dyDescent="0.4">
      <c r="A48" s="6">
        <f t="shared" si="21"/>
        <v>-1.7057625724887258</v>
      </c>
      <c r="B48" s="6">
        <f>'Aerosol 1'!A52</f>
        <v>0.18163382439287648</v>
      </c>
      <c r="C48" t="b">
        <f t="shared" si="22"/>
        <v>0</v>
      </c>
      <c r="E48" s="46">
        <f>'Aerosol 1'!$P52</f>
        <v>9.3390783748697713E-3</v>
      </c>
      <c r="F48" s="46">
        <f>'Aerosol 2'!$P52</f>
        <v>9.3390783748697713E-3</v>
      </c>
      <c r="G48" s="46">
        <f>'Aerosol 3'!$P52</f>
        <v>9.3390783748697713E-3</v>
      </c>
      <c r="H48" s="46">
        <f t="shared" si="23"/>
        <v>2.8017235124609314E-2</v>
      </c>
      <c r="I48" s="46">
        <f>NORMSINV(SUM(H$13:H48)/H$317)</f>
        <v>-2.9855249542112765</v>
      </c>
      <c r="J48" s="46">
        <f t="shared" si="18"/>
        <v>5.0431023224296765E-3</v>
      </c>
      <c r="K48" s="46">
        <f t="shared" si="19"/>
        <v>1.4008617562304657E-2</v>
      </c>
      <c r="L48" s="46">
        <f t="shared" si="20"/>
        <v>2.8016114435204329E-2</v>
      </c>
      <c r="M48" s="46">
        <f t="shared" si="24"/>
        <v>4.7067834319938662E-2</v>
      </c>
      <c r="N48" s="46">
        <f>IF(ISNUMBER(NORMSINV(SUM(M$13:M48)/M$317)),NORMSINV(SUM(M$13:M48)/M$317)," ")</f>
        <v>-2.9855249542112765</v>
      </c>
      <c r="O48" s="46">
        <f t="shared" si="25"/>
        <v>1.6040988915023641E-3</v>
      </c>
      <c r="P48" s="46">
        <f>IF(ISNUMBER(NORMSINV(SUM(O$13:O48)/O$317)),NORMSINV(SUM(O$13:O48)/O$317)," ")</f>
        <v>-3.6887583104033288</v>
      </c>
      <c r="Q48" s="46">
        <f t="shared" si="26"/>
        <v>3.1048055019356801E-3</v>
      </c>
      <c r="R48" s="46">
        <f>IF(ISNUMBER(NORMSINV(SUM(Q$13:Q48)/Q$317)),NORMSINV(SUM(Q$13:Q48)/Q$317)," ")</f>
        <v>-2.7515780033747763</v>
      </c>
      <c r="S48" s="46">
        <f t="shared" si="27"/>
        <v>5.5144167949747972E-3</v>
      </c>
      <c r="T48" s="46">
        <f>IF(ISNUMBER(NORMSINV(SUM(S$13:S48)/S$317)),NORMSINV(SUM(S$13:S48)/S$317)," ")</f>
        <v>-2.363938470502045</v>
      </c>
      <c r="U48" s="46">
        <f t="shared" si="28"/>
        <v>1.9977280414874027E-4</v>
      </c>
      <c r="V48" s="46">
        <f>IF(ISNUMBER(NORMSINV(SUM(U$13:U48)/U$317)),NORMSINV(SUM(U$13:U48)/U$317)," ")</f>
        <v>-3.5766327647277523</v>
      </c>
      <c r="W48" s="46">
        <f t="shared" si="29"/>
        <v>3.9621329321335482E-4</v>
      </c>
      <c r="X48" s="46">
        <f>IF(ISNUMBER(NORMSINV(SUM(W$13:W48)/W$317)),NORMSINV(SUM(W$13:W48)/W$317)," ")</f>
        <v>-2.7053561914450621</v>
      </c>
      <c r="Y48" s="46">
        <f t="shared" si="30"/>
        <v>6.9924944421683225E-4</v>
      </c>
      <c r="Z48" s="46">
        <f>IF(ISNUMBER(NORMSINV(SUM(Y$13:Y48)/Y$317)),NORMSINV(SUM(Y$13:Y48)/Y$317)," ")</f>
        <v>-2.3993578705585068</v>
      </c>
      <c r="AA48" s="46">
        <f t="shared" si="31"/>
        <v>4.5878222516547754E-4</v>
      </c>
      <c r="AB48" s="46">
        <f>IF(ISNUMBER(NORMSINV(SUM(AA$13:AA48)/AA$317)),NORMSINV(SUM(AA$13:AA48)/AA$317)," ")</f>
        <v>-3.6785493946440972</v>
      </c>
      <c r="AC48" s="46">
        <f t="shared" si="32"/>
        <v>9.3090500814286333E-4</v>
      </c>
      <c r="AD48" s="46">
        <f>IF(ISNUMBER(NORMSINV(SUM(AC$13:AC48)/AC$317)),NORMSINV(SUM(AC$13:AC48)/AC$317)," ")</f>
        <v>-2.7267734502186687</v>
      </c>
      <c r="AE48" s="46">
        <f t="shared" si="33"/>
        <v>1.7462389213967133E-3</v>
      </c>
      <c r="AF48" s="46">
        <f>IF(ISNUMBER(NORMSINV(SUM(AE$13:AE48)/AE$317)),NORMSINV(SUM(AE$13:AE48)/AE$317)," ")</f>
        <v>-2.4312918824870762</v>
      </c>
      <c r="AG48" s="46">
        <f t="shared" si="34"/>
        <v>9.4554386218814615E-4</v>
      </c>
      <c r="AH48" s="46">
        <f>IF(ISNUMBER(NORMSINV(SUM(AG$13:AG48)/AG$317)),NORMSINV(SUM(AG$13:AG48)/AG$317)," ")</f>
        <v>-3.7153235342998729</v>
      </c>
      <c r="AI48" s="46">
        <f t="shared" si="35"/>
        <v>1.7776872005794621E-3</v>
      </c>
      <c r="AJ48" s="46">
        <f>IF(ISNUMBER(NORMSINV(SUM(AI$13:AI48)/AI$317)),NORMSINV(SUM(AI$13:AI48)/AI$317)," ")</f>
        <v>-2.7739677234942746</v>
      </c>
      <c r="AK48" s="46">
        <f t="shared" si="36"/>
        <v>3.0689284293612521E-3</v>
      </c>
      <c r="AL48" s="46">
        <f>IF(ISNUMBER(NORMSINV(SUM(AK$13:AK48)/AK$317)),NORMSINV(SUM(AK$13:AK48)/AK$317)," ")</f>
        <v>-2.3102336917881297</v>
      </c>
      <c r="AM48" s="6">
        <v>3.9613077700254413E-2</v>
      </c>
      <c r="AN48" s="6">
        <v>7.8565388501272038E-2</v>
      </c>
      <c r="AO48" s="6">
        <v>0.13865462160203532</v>
      </c>
      <c r="AP48" s="6">
        <v>3.2750000000000001E-2</v>
      </c>
      <c r="AQ48" s="6">
        <v>6.6452310801017656E-2</v>
      </c>
      <c r="AR48" s="6">
        <v>0.1246546216020353</v>
      </c>
      <c r="AS48" s="6">
        <v>3.3750000000000002E-2</v>
      </c>
      <c r="AT48" s="6">
        <v>6.3452310801017653E-2</v>
      </c>
      <c r="AU48" s="6">
        <v>0.10954154390178088</v>
      </c>
    </row>
    <row r="49" spans="1:47" x14ac:dyDescent="0.4">
      <c r="A49" s="6">
        <f t="shared" si="21"/>
        <v>-1.6712839950575473</v>
      </c>
      <c r="B49" s="6">
        <f>'Aerosol 1'!A53</f>
        <v>0.18800551244660751</v>
      </c>
      <c r="C49" t="b">
        <f t="shared" si="22"/>
        <v>0</v>
      </c>
      <c r="E49" s="46">
        <f>'Aerosol 1'!$P53</f>
        <v>9.9410630161272627E-3</v>
      </c>
      <c r="F49" s="46">
        <f>'Aerosol 2'!$P53</f>
        <v>9.9410630161272627E-3</v>
      </c>
      <c r="G49" s="46">
        <f>'Aerosol 3'!$P53</f>
        <v>9.9410630161272627E-3</v>
      </c>
      <c r="H49" s="46">
        <f t="shared" si="23"/>
        <v>2.9823189048381788E-2</v>
      </c>
      <c r="I49" s="46">
        <f>NORMSINV(SUM(H$13:H49)/H$317)</f>
        <v>-2.9646026866305437</v>
      </c>
      <c r="J49" s="46">
        <f t="shared" si="18"/>
        <v>5.3681740287087219E-3</v>
      </c>
      <c r="K49" s="46">
        <f t="shared" si="19"/>
        <v>1.4911594524190894E-2</v>
      </c>
      <c r="L49" s="46">
        <f t="shared" si="20"/>
        <v>2.9821996120819854E-2</v>
      </c>
      <c r="M49" s="46">
        <f t="shared" si="24"/>
        <v>5.0101764673719469E-2</v>
      </c>
      <c r="N49" s="46">
        <f>IF(ISNUMBER(NORMSINV(SUM(M$13:M49)/M$317)),NORMSINV(SUM(M$13:M49)/M$317)," ")</f>
        <v>-2.9646026866305433</v>
      </c>
      <c r="O49" s="46">
        <f t="shared" si="25"/>
        <v>1.7118689250453759E-3</v>
      </c>
      <c r="P49" s="46">
        <f>IF(ISNUMBER(NORMSINV(SUM(O$13:O49)/O$317)),NORMSINV(SUM(O$13:O49)/O$317)," ")</f>
        <v>-3.6696775218694806</v>
      </c>
      <c r="Q49" s="46">
        <f t="shared" si="26"/>
        <v>3.2559104541135583E-3</v>
      </c>
      <c r="R49" s="46">
        <f>IF(ISNUMBER(NORMSINV(SUM(Q$13:Q49)/Q$317)),NORMSINV(SUM(Q$13:Q49)/Q$317)," ")</f>
        <v>-2.7336593707571661</v>
      </c>
      <c r="S49" s="46">
        <f t="shared" si="27"/>
        <v>5.7715557245181445E-3</v>
      </c>
      <c r="T49" s="46">
        <f>IF(ISNUMBER(NORMSINV(SUM(S$13:S49)/S$317)),NORMSINV(SUM(S$13:S49)/S$317)," ")</f>
        <v>-2.3460939878877101</v>
      </c>
      <c r="U49" s="46">
        <f t="shared" si="28"/>
        <v>2.1204287413399448E-4</v>
      </c>
      <c r="V49" s="46">
        <f>IF(ISNUMBER(NORMSINV(SUM(U$13:U49)/U$317)),NORMSINV(SUM(U$13:U49)/U$317)," ")</f>
        <v>-3.5593312443257088</v>
      </c>
      <c r="W49" s="46">
        <f t="shared" si="29"/>
        <v>4.1453513532775009E-4</v>
      </c>
      <c r="X49" s="46">
        <f>IF(ISNUMBER(NORMSINV(SUM(W$13:W49)/W$317)),NORMSINV(SUM(W$13:W49)/W$317)," ")</f>
        <v>-2.6881982332113363</v>
      </c>
      <c r="Y49" s="46">
        <f t="shared" si="30"/>
        <v>7.3289356845079347E-4</v>
      </c>
      <c r="Z49" s="46">
        <f>IF(ISNUMBER(NORMSINV(SUM(Y$13:Y49)/Y$317)),NORMSINV(SUM(Y$13:Y49)/Y$317)," ")</f>
        <v>-2.3808095796630924</v>
      </c>
      <c r="AA49" s="46">
        <f t="shared" si="31"/>
        <v>4.9001441864801772E-4</v>
      </c>
      <c r="AB49" s="46">
        <f>IF(ISNUMBER(NORMSINV(SUM(AA$13:AA49)/AA$317)),NORMSINV(SUM(AA$13:AA49)/AA$317)," ")</f>
        <v>-3.6603601777992583</v>
      </c>
      <c r="AC49" s="46">
        <f t="shared" si="32"/>
        <v>9.7254735273123759E-4</v>
      </c>
      <c r="AD49" s="46">
        <f>IF(ISNUMBER(NORMSINV(SUM(AC$13:AC49)/AC$317)),NORMSINV(SUM(AC$13:AC49)/AC$317)," ")</f>
        <v>-2.7090566636445801</v>
      </c>
      <c r="AE49" s="46">
        <f t="shared" si="33"/>
        <v>1.8253934465994322E-3</v>
      </c>
      <c r="AF49" s="46">
        <f>IF(ISNUMBER(NORMSINV(SUM(AE$13:AE49)/AE$317)),NORMSINV(SUM(AE$13:AE49)/AE$317)," ")</f>
        <v>-2.4137381845775283</v>
      </c>
      <c r="AG49" s="46">
        <f t="shared" si="34"/>
        <v>1.0098116322633636E-3</v>
      </c>
      <c r="AH49" s="46">
        <f>IF(ISNUMBER(NORMSINV(SUM(AG$13:AG49)/AG$317)),NORMSINV(SUM(AG$13:AG49)/AG$317)," ")</f>
        <v>-3.6953016972060277</v>
      </c>
      <c r="AI49" s="46">
        <f t="shared" si="35"/>
        <v>1.8688279660545707E-3</v>
      </c>
      <c r="AJ49" s="46">
        <f>IF(ISNUMBER(NORMSINV(SUM(AI$13:AI49)/AI$317)),NORMSINV(SUM(AI$13:AI49)/AI$317)," ")</f>
        <v>-2.7557502873665496</v>
      </c>
      <c r="AK49" s="46">
        <f t="shared" si="36"/>
        <v>3.2132687094679189E-3</v>
      </c>
      <c r="AL49" s="46">
        <f>IF(ISNUMBER(NORMSINV(SUM(AK$13:AK49)/AK$317)),NORMSINV(SUM(AK$13:AK49)/AK$317)," ")</f>
        <v>-2.2923235645762703</v>
      </c>
      <c r="AM49" s="6">
        <v>3.9499999999999993E-2</v>
      </c>
      <c r="AN49" s="6">
        <v>7.7220882391449544E-2</v>
      </c>
      <c r="AO49" s="6">
        <v>0.13652567232942076</v>
      </c>
      <c r="AP49" s="6">
        <v>3.2861302515507208E-2</v>
      </c>
      <c r="AQ49" s="6">
        <v>6.5220882391449561E-2</v>
      </c>
      <c r="AR49" s="6">
        <v>0.12241436981391354</v>
      </c>
      <c r="AS49" s="6">
        <v>3.3861302515507209E-2</v>
      </c>
      <c r="AT49" s="6">
        <v>6.2666092453478386E-2</v>
      </c>
      <c r="AU49" s="6">
        <v>0.10774827736043516</v>
      </c>
    </row>
    <row r="50" spans="1:47" x14ac:dyDescent="0.4">
      <c r="A50" s="6">
        <f t="shared" si="21"/>
        <v>-1.6368054176263691</v>
      </c>
      <c r="B50" s="6">
        <f>'Aerosol 1'!A54</f>
        <v>0.19460071838743781</v>
      </c>
      <c r="C50" t="b">
        <f t="shared" si="22"/>
        <v>0</v>
      </c>
      <c r="E50" s="46">
        <f>'Aerosol 1'!$P54</f>
        <v>1.0577223913299863E-2</v>
      </c>
      <c r="F50" s="46">
        <f>'Aerosol 2'!$P54</f>
        <v>1.0577223913299863E-2</v>
      </c>
      <c r="G50" s="46">
        <f>'Aerosol 3'!$P54</f>
        <v>1.0577223913299863E-2</v>
      </c>
      <c r="H50" s="46">
        <f t="shared" si="23"/>
        <v>3.1731671739899589E-2</v>
      </c>
      <c r="I50" s="46">
        <f>NORMSINV(SUM(H$13:H50)/H$317)</f>
        <v>-2.9436803156643445</v>
      </c>
      <c r="J50" s="46">
        <f t="shared" si="18"/>
        <v>5.711700913181926E-3</v>
      </c>
      <c r="K50" s="46">
        <f t="shared" si="19"/>
        <v>1.5865835869949795E-2</v>
      </c>
      <c r="L50" s="46">
        <f t="shared" si="20"/>
        <v>3.1730402473029995E-2</v>
      </c>
      <c r="M50" s="46">
        <f t="shared" si="24"/>
        <v>5.3307939256161715E-2</v>
      </c>
      <c r="N50" s="46">
        <f>IF(ISNUMBER(NORMSINV(SUM(M$13:M50)/M$317)),NORMSINV(SUM(M$13:M50)/M$317)," ")</f>
        <v>-2.9436803156643441</v>
      </c>
      <c r="O50" s="46">
        <f t="shared" si="25"/>
        <v>1.8321447109699543E-3</v>
      </c>
      <c r="P50" s="46">
        <f>IF(ISNUMBER(NORMSINV(SUM(O$13:O50)/O$317)),NORMSINV(SUM(O$13:O50)/O$317)," ")</f>
        <v>-3.6506357058201315</v>
      </c>
      <c r="Q50" s="46">
        <f t="shared" si="26"/>
        <v>3.4240079527343369E-3</v>
      </c>
      <c r="R50" s="46">
        <f>IF(ISNUMBER(NORMSINV(SUM(Q$13:Q50)/Q$317)),NORMSINV(SUM(Q$13:Q50)/Q$317)," ")</f>
        <v>-2.7157169782214248</v>
      </c>
      <c r="S50" s="46">
        <f t="shared" si="27"/>
        <v>6.018963997008013E-3</v>
      </c>
      <c r="T50" s="46">
        <f>IF(ISNUMBER(NORMSINV(SUM(S$13:S50)/S$317)),NORMSINV(SUM(S$13:S50)/S$317)," ")</f>
        <v>-2.3282475867685006</v>
      </c>
      <c r="U50" s="46">
        <f t="shared" si="28"/>
        <v>2.2561218607068605E-4</v>
      </c>
      <c r="V50" s="46">
        <f>IF(ISNUMBER(NORMSINV(SUM(U$13:U50)/U$317)),NORMSINV(SUM(U$13:U50)/U$317)," ")</f>
        <v>-3.5420221919685155</v>
      </c>
      <c r="W50" s="46">
        <f t="shared" si="29"/>
        <v>4.3353659121832749E-4</v>
      </c>
      <c r="X50" s="46">
        <f>IF(ISNUMBER(NORMSINV(SUM(W$13:W50)/W$317)),NORMSINV(SUM(W$13:W50)/W$317)," ")</f>
        <v>-2.6710621359711086</v>
      </c>
      <c r="Y50" s="46">
        <f t="shared" si="30"/>
        <v>7.6513781304417695E-4</v>
      </c>
      <c r="Z50" s="46">
        <f>IF(ISNUMBER(NORMSINV(SUM(Y$13:Y50)/Y$317)),NORMSINV(SUM(Y$13:Y50)/Y$317)," ")</f>
        <v>-2.3622812978837842</v>
      </c>
      <c r="AA50" s="46">
        <f t="shared" si="31"/>
        <v>5.2769884081624817E-4</v>
      </c>
      <c r="AB50" s="46">
        <f>IF(ISNUMBER(NORMSINV(SUM(AA$13:AA50)/AA$317)),NORMSINV(SUM(AA$13:AA50)/AA$317)," ")</f>
        <v>-3.6420382629322483</v>
      </c>
      <c r="AC50" s="46">
        <f t="shared" si="32"/>
        <v>1.0180045356083061E-3</v>
      </c>
      <c r="AD50" s="46">
        <f>IF(ISNUMBER(NORMSINV(SUM(AC$13:AC50)/AC$317)),NORMSINV(SUM(AC$13:AC50)/AC$317)," ")</f>
        <v>-2.6913798591999383</v>
      </c>
      <c r="AE50" s="46">
        <f t="shared" si="33"/>
        <v>1.9047963290086912E-3</v>
      </c>
      <c r="AF50" s="46">
        <f>IF(ISNUMBER(NORMSINV(SUM(AE$13:AE50)/AE$317)),NORMSINV(SUM(AE$13:AE50)/AE$317)," ")</f>
        <v>-2.396180866432716</v>
      </c>
      <c r="AG50" s="46">
        <f t="shared" si="34"/>
        <v>1.07883368408302E-3</v>
      </c>
      <c r="AH50" s="46">
        <f>IF(ISNUMBER(NORMSINV(SUM(AG$13:AG50)/AG$317)),NORMSINV(SUM(AG$13:AG50)/AG$317)," ")</f>
        <v>-3.6754311627355141</v>
      </c>
      <c r="AI50" s="46">
        <f t="shared" si="35"/>
        <v>1.9724668259077033E-3</v>
      </c>
      <c r="AJ50" s="46">
        <f>IF(ISNUMBER(NORMSINV(SUM(AI$13:AI50)/AI$317)),NORMSINV(SUM(AI$13:AI50)/AI$317)," ")</f>
        <v>-2.7374657008012253</v>
      </c>
      <c r="AK50" s="46">
        <f t="shared" si="36"/>
        <v>3.3490298549551443E-3</v>
      </c>
      <c r="AL50" s="46">
        <f>IF(ISNUMBER(NORMSINV(SUM(AK$13:AK50)/AK$317)),NORMSINV(SUM(AK$13:AK50)/AK$317)," ")</f>
        <v>-2.2744076927365202</v>
      </c>
      <c r="AM50" s="6">
        <v>3.9499999999999993E-2</v>
      </c>
      <c r="AN50" s="6">
        <v>7.5903237548341621E-2</v>
      </c>
      <c r="AO50" s="6">
        <v>0.13395971264502488</v>
      </c>
      <c r="AP50" s="6">
        <v>3.3260071838743785E-2</v>
      </c>
      <c r="AQ50" s="6">
        <v>6.4163309387085407E-2</v>
      </c>
      <c r="AR50" s="6">
        <v>0.12005647509668324</v>
      </c>
      <c r="AS50" s="6">
        <v>3.4000000000000002E-2</v>
      </c>
      <c r="AT50" s="6">
        <v>6.2163309387085405E-2</v>
      </c>
      <c r="AU50" s="6">
        <v>0.10554640325793949</v>
      </c>
    </row>
    <row r="51" spans="1:47" x14ac:dyDescent="0.4">
      <c r="A51" s="6">
        <f t="shared" si="21"/>
        <v>-1.6023268401951904</v>
      </c>
      <c r="B51" s="6">
        <f>'Aerosol 1'!A55</f>
        <v>0.20142728319022873</v>
      </c>
      <c r="C51" t="b">
        <f t="shared" si="22"/>
        <v>0</v>
      </c>
      <c r="E51" s="46">
        <f>'Aerosol 1'!$P55</f>
        <v>1.1249173997316082E-2</v>
      </c>
      <c r="F51" s="46">
        <f>'Aerosol 2'!$P55</f>
        <v>1.1249173997316082E-2</v>
      </c>
      <c r="G51" s="46">
        <f>'Aerosol 3'!$P55</f>
        <v>1.1249173997316082E-2</v>
      </c>
      <c r="H51" s="46">
        <f t="shared" si="23"/>
        <v>3.3747521991948248E-2</v>
      </c>
      <c r="I51" s="46">
        <f>NORMSINV(SUM(H$13:H51)/H$317)</f>
        <v>-2.9227578396461595</v>
      </c>
      <c r="J51" s="46">
        <f t="shared" si="18"/>
        <v>6.0745539585506849E-3</v>
      </c>
      <c r="K51" s="46">
        <f t="shared" si="19"/>
        <v>1.6873760995974124E-2</v>
      </c>
      <c r="L51" s="46">
        <f t="shared" si="20"/>
        <v>3.3746172091068567E-2</v>
      </c>
      <c r="M51" s="46">
        <f t="shared" si="24"/>
        <v>5.6694487045593378E-2</v>
      </c>
      <c r="N51" s="46">
        <f>IF(ISNUMBER(NORMSINV(SUM(M$13:M51)/M$317)),NORMSINV(SUM(M$13:M51)/M$317)," ")</f>
        <v>-2.9227578396461595</v>
      </c>
      <c r="O51" s="46">
        <f t="shared" si="25"/>
        <v>1.9588887311439047E-3</v>
      </c>
      <c r="P51" s="46">
        <f>IF(ISNUMBER(NORMSINV(SUM(O$13:O51)/O$317)),NORMSINV(SUM(O$13:O51)/O$317)," ")</f>
        <v>-3.6316420784584338</v>
      </c>
      <c r="Q51" s="46">
        <f t="shared" si="26"/>
        <v>3.6149098179625184E-3</v>
      </c>
      <c r="R51" s="46">
        <f>IF(ISNUMBER(NORMSINV(SUM(Q$13:Q51)/Q$317)),NORMSINV(SUM(Q$13:Q51)/Q$317)," ")</f>
        <v>-2.6976774773610286</v>
      </c>
      <c r="S51" s="46">
        <f t="shared" si="27"/>
        <v>6.2756216143943881E-3</v>
      </c>
      <c r="T51" s="46">
        <f>IF(ISNUMBER(NORMSINV(SUM(S$13:S51)/S$317)),NORMSINV(SUM(S$13:S51)/S$317)," ")</f>
        <v>-2.3103975549703395</v>
      </c>
      <c r="U51" s="46">
        <f t="shared" si="28"/>
        <v>2.3994488136275201E-4</v>
      </c>
      <c r="V51" s="46">
        <f>IF(ISNUMBER(NORMSINV(SUM(U$13:U51)/U$317)),NORMSINV(SUM(U$13:U51)/U$317)," ")</f>
        <v>-3.5247083672887491</v>
      </c>
      <c r="W51" s="46">
        <f t="shared" si="29"/>
        <v>4.5523400176996926E-4</v>
      </c>
      <c r="X51" s="46">
        <f>IF(ISNUMBER(NORMSINV(SUM(W$13:W51)/W$317)),NORMSINV(SUM(W$13:W51)/W$317)," ")</f>
        <v>-2.6538746216582294</v>
      </c>
      <c r="Y51" s="46">
        <f t="shared" si="30"/>
        <v>7.9883922875113877E-4</v>
      </c>
      <c r="Z51" s="46">
        <f>IF(ISNUMBER(NORMSINV(SUM(Y$13:Y51)/Y$317)),NORMSINV(SUM(Y$13:Y51)/Y$317)," ")</f>
        <v>-2.3437650513782322</v>
      </c>
      <c r="AA51" s="46">
        <f t="shared" si="31"/>
        <v>5.6948943361412676E-4</v>
      </c>
      <c r="AB51" s="46">
        <f>IF(ISNUMBER(NORMSINV(SUM(AA$13:AA51)/AA$317)),NORMSINV(SUM(AA$13:AA51)/AA$317)," ")</f>
        <v>-3.6235474292015999</v>
      </c>
      <c r="AC51" s="46">
        <f t="shared" si="32"/>
        <v>1.0757514068290778E-3</v>
      </c>
      <c r="AD51" s="46">
        <f>IF(ISNUMBER(NORMSINV(SUM(AC$13:AC51)/AC$317)),NORMSINV(SUM(AC$13:AC51)/AC$317)," ")</f>
        <v>-2.6735713443018709</v>
      </c>
      <c r="AE51" s="46">
        <f t="shared" si="33"/>
        <v>1.9922935517604446E-3</v>
      </c>
      <c r="AF51" s="46">
        <f>IF(ISNUMBER(NORMSINV(SUM(AE$13:AE51)/AE$317)),NORMSINV(SUM(AE$13:AE51)/AE$317)," ")</f>
        <v>-2.3785746138617876</v>
      </c>
      <c r="AG51" s="46">
        <f t="shared" si="34"/>
        <v>1.1494544161670262E-3</v>
      </c>
      <c r="AH51" s="46">
        <f>IF(ISNUMBER(NORMSINV(SUM(AG$13:AG51)/AG$317)),NORMSINV(SUM(AG$13:AG51)/AG$317)," ")</f>
        <v>-3.6557442376259726</v>
      </c>
      <c r="AI51" s="46">
        <f t="shared" si="35"/>
        <v>2.0839244093634715E-3</v>
      </c>
      <c r="AJ51" s="46">
        <f>IF(ISNUMBER(NORMSINV(SUM(AI$13:AI51)/AI$317)),NORMSINV(SUM(AI$13:AI51)/AI$317)," ")</f>
        <v>-2.7190932271035568</v>
      </c>
      <c r="AK51" s="46">
        <f t="shared" si="36"/>
        <v>3.4844888338828052E-3</v>
      </c>
      <c r="AL51" s="46">
        <f>IF(ISNUMBER(NORMSINV(SUM(AK$13:AK51)/AK$317)),NORMSINV(SUM(AK$13:AK51)/AK$317)," ")</f>
        <v>-2.2565110584577912</v>
      </c>
      <c r="AM51" s="6">
        <v>3.9499999999999993E-2</v>
      </c>
      <c r="AN51" s="6">
        <v>7.494114051438644E-2</v>
      </c>
      <c r="AO51" s="6">
        <v>0.13150582482301831</v>
      </c>
      <c r="AP51" s="6">
        <v>3.3750000000000002E-2</v>
      </c>
      <c r="AQ51" s="6">
        <v>6.3752912411509155E-2</v>
      </c>
      <c r="AR51" s="6">
        <v>0.11807050913165014</v>
      </c>
      <c r="AS51" s="6">
        <v>3.4061771897122714E-2</v>
      </c>
      <c r="AT51" s="6">
        <v>6.1752912411509146E-2</v>
      </c>
      <c r="AU51" s="6">
        <v>0.1032558248230183</v>
      </c>
    </row>
    <row r="52" spans="1:47" x14ac:dyDescent="0.4">
      <c r="A52" s="6">
        <f t="shared" si="21"/>
        <v>-1.567848262764012</v>
      </c>
      <c r="B52" s="6">
        <f>'Aerosol 1'!A56</f>
        <v>0.20849332289009545</v>
      </c>
      <c r="C52" t="b">
        <f t="shared" si="22"/>
        <v>0</v>
      </c>
      <c r="E52" s="46">
        <f>'Aerosol 1'!$P56</f>
        <v>1.1958580603555532E-2</v>
      </c>
      <c r="F52" s="46">
        <f>'Aerosol 2'!$P56</f>
        <v>1.1958580603555532E-2</v>
      </c>
      <c r="G52" s="46">
        <f>'Aerosol 3'!$P56</f>
        <v>1.1958580603555532E-2</v>
      </c>
      <c r="H52" s="46">
        <f t="shared" si="23"/>
        <v>3.5875741810666592E-2</v>
      </c>
      <c r="I52" s="46">
        <f>NORMSINV(SUM(H$13:H52)/H$317)</f>
        <v>-2.901835256875172</v>
      </c>
      <c r="J52" s="46">
        <f t="shared" si="18"/>
        <v>6.4576335259199872E-3</v>
      </c>
      <c r="K52" s="46">
        <f t="shared" si="19"/>
        <v>1.7937870905333296E-2</v>
      </c>
      <c r="L52" s="46">
        <f t="shared" si="20"/>
        <v>3.5874306780994167E-2</v>
      </c>
      <c r="M52" s="46">
        <f t="shared" si="24"/>
        <v>6.0269811212247448E-2</v>
      </c>
      <c r="N52" s="46">
        <f>IF(ISNUMBER(NORMSINV(SUM(M$13:M52)/M$317)),NORMSINV(SUM(M$13:M52)/M$317)," ")</f>
        <v>-2.901835256875172</v>
      </c>
      <c r="O52" s="46">
        <f t="shared" si="25"/>
        <v>2.0983708155155553E-3</v>
      </c>
      <c r="P52" s="46">
        <f>IF(ISNUMBER(NORMSINV(SUM(O$13:O52)/O$317)),NORMSINV(SUM(O$13:O52)/O$317)," ")</f>
        <v>-3.6126519765123719</v>
      </c>
      <c r="Q52" s="46">
        <f t="shared" si="26"/>
        <v>3.7880120456853334E-3</v>
      </c>
      <c r="R52" s="46">
        <f>IF(ISNUMBER(NORMSINV(SUM(Q$13:Q52)/Q$317)),NORMSINV(SUM(Q$13:Q52)/Q$317)," ")</f>
        <v>-2.6796712107138068</v>
      </c>
      <c r="S52" s="46">
        <f t="shared" si="27"/>
        <v>6.5513635502041593E-3</v>
      </c>
      <c r="T52" s="46">
        <f>IF(ISNUMBER(NORMSINV(SUM(S$13:S52)/S$317)),NORMSINV(SUM(S$13:S52)/S$317)," ")</f>
        <v>-2.2925166978096598</v>
      </c>
      <c r="U52" s="46">
        <f t="shared" si="28"/>
        <v>2.5436300187547581E-4</v>
      </c>
      <c r="V52" s="46">
        <f>IF(ISNUMBER(NORMSINV(SUM(U$13:U52)/U$317)),NORMSINV(SUM(U$13:U52)/U$317)," ")</f>
        <v>-3.5074393616089279</v>
      </c>
      <c r="W52" s="46">
        <f t="shared" si="29"/>
        <v>4.7619999532189696E-4</v>
      </c>
      <c r="X52" s="46">
        <f>IF(ISNUMBER(NORMSINV(SUM(W$13:W52)/W$317)),NORMSINV(SUM(W$13:W52)/W$317)," ")</f>
        <v>-2.6366969518090064</v>
      </c>
      <c r="Y52" s="46">
        <f t="shared" si="30"/>
        <v>8.3687610957559791E-4</v>
      </c>
      <c r="Z52" s="46">
        <f>IF(ISNUMBER(NORMSINV(SUM(Y$13:Y52)/Y$317)),NORMSINV(SUM(Y$13:Y52)/Y$317)," ")</f>
        <v>-2.3251921817024344</v>
      </c>
      <c r="AA52" s="46">
        <f t="shared" si="31"/>
        <v>6.060638119423725E-4</v>
      </c>
      <c r="AB52" s="46">
        <f>IF(ISNUMBER(NORMSINV(SUM(AA$13:AA52)/AA$317)),NORMSINV(SUM(AA$13:AA52)/AA$317)," ")</f>
        <v>-3.6051414672807223</v>
      </c>
      <c r="AC52" s="46">
        <f t="shared" si="32"/>
        <v>1.1274431914865023E-3</v>
      </c>
      <c r="AD52" s="46">
        <f>IF(ISNUMBER(NORMSINV(SUM(AC$13:AC52)/AC$317)),NORMSINV(SUM(AC$13:AC52)/AC$317)," ")</f>
        <v>-2.655774619301345</v>
      </c>
      <c r="AE52" s="46">
        <f t="shared" si="33"/>
        <v>2.0748470050322983E-3</v>
      </c>
      <c r="AF52" s="46">
        <f>IF(ISNUMBER(NORMSINV(SUM(AE$13:AE52)/AE$317)),NORMSINV(SUM(AE$13:AE52)/AE$317)," ")</f>
        <v>-2.3609903482990058</v>
      </c>
      <c r="AG52" s="46">
        <f t="shared" si="34"/>
        <v>1.237944001697707E-3</v>
      </c>
      <c r="AH52" s="46">
        <f>IF(ISNUMBER(NORMSINV(SUM(AG$13:AG52)/AG$317)),NORMSINV(SUM(AG$13:AG52)/AG$317)," ")</f>
        <v>-3.6360155417110112</v>
      </c>
      <c r="AI52" s="46">
        <f t="shared" si="35"/>
        <v>2.1843688588769343E-3</v>
      </c>
      <c r="AJ52" s="46">
        <f>IF(ISNUMBER(NORMSINV(SUM(AI$13:AI52)/AI$317)),NORMSINV(SUM(AI$13:AI52)/AI$317)," ")</f>
        <v>-2.7007723188154169</v>
      </c>
      <c r="AK52" s="46">
        <f t="shared" si="36"/>
        <v>3.6396404355962635E-3</v>
      </c>
      <c r="AL52" s="46">
        <f>IF(ISNUMBER(NORMSINV(SUM(AK$13:AK52)/AK$317)),NORMSINV(SUM(AK$13:AK52)/AK$317)," ")</f>
        <v>-2.2385585438388063</v>
      </c>
      <c r="AM52" s="6">
        <v>3.9389507139805983E-2</v>
      </c>
      <c r="AN52" s="6">
        <v>7.3742183326213934E-2</v>
      </c>
      <c r="AO52" s="6">
        <v>0.1295948595126219</v>
      </c>
      <c r="AP52" s="6">
        <v>3.3786830953398003E-2</v>
      </c>
      <c r="AQ52" s="6">
        <v>6.2852676186407969E-2</v>
      </c>
      <c r="AR52" s="6">
        <v>0.11566852141941794</v>
      </c>
      <c r="AS52" s="6">
        <v>3.4507816673786065E-2</v>
      </c>
      <c r="AT52" s="6">
        <v>6.0889507139805975E-2</v>
      </c>
      <c r="AU52" s="6">
        <v>0.10145535237281594</v>
      </c>
    </row>
    <row r="53" spans="1:47" x14ac:dyDescent="0.4">
      <c r="A53" s="6">
        <f t="shared" si="21"/>
        <v>-1.5333696853328334</v>
      </c>
      <c r="B53" s="6">
        <f>'Aerosol 1'!A57</f>
        <v>0.2158072382314806</v>
      </c>
      <c r="C53" t="b">
        <f t="shared" si="22"/>
        <v>0</v>
      </c>
      <c r="E53" s="46">
        <f>'Aerosol 1'!$P57</f>
        <v>1.2707165920061693E-2</v>
      </c>
      <c r="F53" s="46">
        <f>'Aerosol 2'!$P57</f>
        <v>1.2707165920061693E-2</v>
      </c>
      <c r="G53" s="46">
        <f>'Aerosol 3'!$P57</f>
        <v>1.2707165920061693E-2</v>
      </c>
      <c r="H53" s="46">
        <f t="shared" si="23"/>
        <v>3.8121497760185079E-2</v>
      </c>
      <c r="I53" s="46">
        <f>NORMSINV(SUM(H$13:H53)/H$317)</f>
        <v>-2.8809125656154104</v>
      </c>
      <c r="J53" s="46">
        <f t="shared" si="18"/>
        <v>6.861869596833315E-3</v>
      </c>
      <c r="K53" s="46">
        <f t="shared" si="19"/>
        <v>1.9060748880092539E-2</v>
      </c>
      <c r="L53" s="46">
        <f t="shared" si="20"/>
        <v>3.8119972900274669E-2</v>
      </c>
      <c r="M53" s="46">
        <f t="shared" si="24"/>
        <v>6.4042591377200531E-2</v>
      </c>
      <c r="N53" s="46">
        <f>IF(ISNUMBER(NORMSINV(SUM(M$13:M53)/M$317)),NORMSINV(SUM(M$13:M53)/M$317)," ")</f>
        <v>-2.8809125656154104</v>
      </c>
      <c r="O53" s="46">
        <f t="shared" si="25"/>
        <v>2.2877339152293182E-3</v>
      </c>
      <c r="P53" s="46">
        <f>IF(ISNUMBER(NORMSINV(SUM(O$13:O53)/O$317)),NORMSINV(SUM(O$13:O53)/O$317)," ")</f>
        <v>-3.5933324540768452</v>
      </c>
      <c r="Q53" s="46">
        <f t="shared" si="26"/>
        <v>3.9725663280736831E-3</v>
      </c>
      <c r="R53" s="46">
        <f>IF(ISNUMBER(NORMSINV(SUM(Q$13:Q53)/Q$317)),NORMSINV(SUM(Q$13:Q53)/Q$317)," ")</f>
        <v>-2.6616768706117133</v>
      </c>
      <c r="S53" s="46">
        <f t="shared" si="27"/>
        <v>6.837892080240833E-3</v>
      </c>
      <c r="T53" s="46">
        <f>IF(ISNUMBER(NORMSINV(SUM(S$13:S53)/S$317)),NORMSINV(SUM(S$13:S53)/S$317)," ")</f>
        <v>-2.2746040078736747</v>
      </c>
      <c r="U53" s="46">
        <f t="shared" si="28"/>
        <v>2.659796355725635E-4</v>
      </c>
      <c r="V53" s="46">
        <f>IF(ISNUMBER(NORMSINV(SUM(U$13:U53)/U$317)),NORMSINV(SUM(U$13:U53)/U$317)," ")</f>
        <v>-3.4904350077823527</v>
      </c>
      <c r="W53" s="46">
        <f t="shared" si="29"/>
        <v>4.9544132359011694E-4</v>
      </c>
      <c r="X53" s="46">
        <f>IF(ISNUMBER(NORMSINV(SUM(W$13:W53)/W$317)),NORMSINV(SUM(W$13:W53)/W$317)," ")</f>
        <v>-2.619614428508291</v>
      </c>
      <c r="Y53" s="46">
        <f t="shared" si="30"/>
        <v>8.7251539663485943E-4</v>
      </c>
      <c r="Z53" s="46">
        <f>IF(ISNUMBER(NORMSINV(SUM(Y$13:Y53)/Y$317)),NORMSINV(SUM(Y$13:Y53)/Y$317)," ")</f>
        <v>-2.3066461986497462</v>
      </c>
      <c r="AA53" s="46">
        <f t="shared" si="31"/>
        <v>6.4897866964839623E-4</v>
      </c>
      <c r="AB53" s="46">
        <f>IF(ISNUMBER(NORMSINV(SUM(AA$13:AA53)/AA$317)),NORMSINV(SUM(AA$13:AA53)/AA$317)," ")</f>
        <v>-3.5866987740248533</v>
      </c>
      <c r="AC53" s="46">
        <f t="shared" si="32"/>
        <v>1.1808532228404875E-3</v>
      </c>
      <c r="AD53" s="46">
        <f>IF(ISNUMBER(NORMSINV(SUM(AC$13:AC53)/AC$317)),NORMSINV(SUM(AC$13:AC53)/AC$317)," ")</f>
        <v>-2.6379948884773414</v>
      </c>
      <c r="AE53" s="46">
        <f t="shared" si="33"/>
        <v>2.1665620715913395E-3</v>
      </c>
      <c r="AF53" s="46">
        <f>IF(ISNUMBER(NORMSINV(SUM(AE$13:AE53)/AE$317)),NORMSINV(SUM(AE$13:AE53)/AE$317)," ")</f>
        <v>-2.3433761019919555</v>
      </c>
      <c r="AG53" s="46">
        <f t="shared" si="34"/>
        <v>1.3727756100083586E-3</v>
      </c>
      <c r="AH53" s="46">
        <f>IF(ISNUMBER(NORMSINV(SUM(AG$13:AG53)/AG$317)),NORMSINV(SUM(AG$13:AG53)/AG$317)," ")</f>
        <v>-3.6156752397025818</v>
      </c>
      <c r="AI53" s="46">
        <f t="shared" si="35"/>
        <v>2.2962717816430783E-3</v>
      </c>
      <c r="AJ53" s="46">
        <f>IF(ISNUMBER(NORMSINV(SUM(AI$13:AI53)/AI$317)),NORMSINV(SUM(AI$13:AI53)/AI$317)," ")</f>
        <v>-2.6824428152544284</v>
      </c>
      <c r="AK53" s="46">
        <f t="shared" si="36"/>
        <v>3.798814612014634E-3</v>
      </c>
      <c r="AL53" s="46">
        <f>IF(ISNUMBER(NORMSINV(SUM(AK$13:AK53)/AK$317)),NORMSINV(SUM(AK$13:AK53)/AK$317)," ")</f>
        <v>-2.2205599072649029</v>
      </c>
      <c r="AM53" s="6">
        <v>3.8761977595043552E-2</v>
      </c>
      <c r="AN53" s="6">
        <v>7.2202089619825799E-2</v>
      </c>
      <c r="AO53" s="6">
        <v>0.12715417923965164</v>
      </c>
      <c r="AP53" s="6">
        <v>3.4047910380174184E-2</v>
      </c>
      <c r="AQ53" s="6">
        <v>6.1952089619825811E-2</v>
      </c>
      <c r="AR53" s="6">
        <v>0.11366615683469519</v>
      </c>
      <c r="AS53" s="6">
        <v>3.601197759504355E-2</v>
      </c>
      <c r="AT53" s="6">
        <v>6.0238022404956452E-2</v>
      </c>
      <c r="AU53" s="6">
        <v>9.9654179239651614E-2</v>
      </c>
    </row>
    <row r="54" spans="1:47" x14ac:dyDescent="0.4">
      <c r="A54" s="6">
        <f t="shared" si="21"/>
        <v>-1.4988911079016547</v>
      </c>
      <c r="B54" s="6">
        <f>'Aerosol 1'!A58</f>
        <v>0.22337772465571595</v>
      </c>
      <c r="C54" t="b">
        <f t="shared" si="22"/>
        <v>0</v>
      </c>
      <c r="E54" s="46">
        <f>'Aerosol 1'!$P58</f>
        <v>1.3496707340452914E-2</v>
      </c>
      <c r="F54" s="46">
        <f>'Aerosol 2'!$P58</f>
        <v>1.3496707340452914E-2</v>
      </c>
      <c r="G54" s="46">
        <f>'Aerosol 3'!$P58</f>
        <v>1.3496707340452914E-2</v>
      </c>
      <c r="H54" s="46">
        <f t="shared" si="23"/>
        <v>4.0490122021358745E-2</v>
      </c>
      <c r="I54" s="46">
        <f>NORMSINV(SUM(H$13:H54)/H$317)</f>
        <v>-2.8599897640948795</v>
      </c>
      <c r="J54" s="46">
        <f t="shared" si="18"/>
        <v>7.2882219638445746E-3</v>
      </c>
      <c r="K54" s="46">
        <f t="shared" si="19"/>
        <v>2.0245061010679372E-2</v>
      </c>
      <c r="L54" s="46">
        <f t="shared" si="20"/>
        <v>4.048850241647789E-2</v>
      </c>
      <c r="M54" s="46">
        <f t="shared" si="24"/>
        <v>6.8021785391001843E-2</v>
      </c>
      <c r="N54" s="46">
        <f>IF(ISNUMBER(NORMSINV(SUM(M$13:M54)/M$317)),NORMSINV(SUM(M$13:M54)/M$317)," ")</f>
        <v>-2.8599897640948795</v>
      </c>
      <c r="O54" s="46">
        <f t="shared" si="25"/>
        <v>2.4585481636783309E-3</v>
      </c>
      <c r="P54" s="46">
        <f>IF(ISNUMBER(NORMSINV(SUM(O$13:O54)/O$317)),NORMSINV(SUM(O$13:O54)/O$317)," ")</f>
        <v>-3.573964528484292</v>
      </c>
      <c r="Q54" s="46">
        <f t="shared" si="26"/>
        <v>4.1858583864439903E-3</v>
      </c>
      <c r="R54" s="46">
        <f>IF(ISNUMBER(NORMSINV(SUM(Q$13:Q54)/Q$317)),NORMSINV(SUM(Q$13:Q54)/Q$317)," ")</f>
        <v>-2.6436049511361963</v>
      </c>
      <c r="S54" s="46">
        <f t="shared" si="27"/>
        <v>7.146095842874272E-3</v>
      </c>
      <c r="T54" s="46">
        <f>IF(ISNUMBER(NORMSINV(SUM(S$13:S54)/S$317)),NORMSINV(SUM(S$13:S54)/S$317)," ")</f>
        <v>-2.2566325304120518</v>
      </c>
      <c r="U54" s="46">
        <f t="shared" si="28"/>
        <v>2.8412870192419181E-4</v>
      </c>
      <c r="V54" s="46">
        <f>IF(ISNUMBER(NORMSINV(SUM(U$13:U54)/U$317)),NORMSINV(SUM(U$13:U54)/U$317)," ")</f>
        <v>-3.4733204036624681</v>
      </c>
      <c r="W54" s="46">
        <f t="shared" si="29"/>
        <v>5.1973363358691241E-4</v>
      </c>
      <c r="X54" s="46">
        <f>IF(ISNUMBER(NORMSINV(SUM(W$13:W54)/W$317)),NORMSINV(SUM(W$13:W54)/W$317)," ")</f>
        <v>-2.6024797169806329</v>
      </c>
      <c r="Y54" s="46">
        <f t="shared" si="30"/>
        <v>9.1374543829750591E-4</v>
      </c>
      <c r="Z54" s="46">
        <f>IF(ISNUMBER(NORMSINV(SUM(Y$13:Y54)/Y$317)),NORMSINV(SUM(Y$13:Y54)/Y$317)," ")</f>
        <v>-2.2880384919370798</v>
      </c>
      <c r="AA54" s="46">
        <f t="shared" si="31"/>
        <v>7.0733319464325983E-4</v>
      </c>
      <c r="AB54" s="46">
        <f>IF(ISNUMBER(NORMSINV(SUM(AA$13:AA54)/AA$317)),NORMSINV(SUM(AA$13:AA54)/AA$317)," ")</f>
        <v>-3.5678965696188376</v>
      </c>
      <c r="AC54" s="46">
        <f t="shared" si="32"/>
        <v>1.2361926623819597E-3</v>
      </c>
      <c r="AD54" s="46">
        <f>IF(ISNUMBER(NORMSINV(SUM(AC$13:AC54)/AC$317)),NORMSINV(SUM(AC$13:AC54)/AC$317)," ")</f>
        <v>-2.6202343013710347</v>
      </c>
      <c r="AE54" s="46">
        <f t="shared" si="33"/>
        <v>2.2696237294744966E-3</v>
      </c>
      <c r="AF54" s="46">
        <f>IF(ISNUMBER(NORMSINV(SUM(AE$13:AE54)/AE$317)),NORMSINV(SUM(AE$13:AE54)/AE$317)," ")</f>
        <v>-2.3256719497190033</v>
      </c>
      <c r="AG54" s="46">
        <f t="shared" si="34"/>
        <v>1.4670862671108792E-3</v>
      </c>
      <c r="AH54" s="46">
        <f>IF(ISNUMBER(NORMSINV(SUM(AG$13:AG54)/AG$317)),NORMSINV(SUM(AG$13:AG54)/AG$317)," ")</f>
        <v>-3.5954736882496077</v>
      </c>
      <c r="AI54" s="46">
        <f t="shared" si="35"/>
        <v>2.4299320904751179E-3</v>
      </c>
      <c r="AJ54" s="46">
        <f>IF(ISNUMBER(NORMSINV(SUM(AI$13:AI54)/AI$317)),NORMSINV(SUM(AI$13:AI54)/AI$317)," ")</f>
        <v>-2.6639802915656761</v>
      </c>
      <c r="AK54" s="46">
        <f t="shared" si="36"/>
        <v>3.962726675102269E-3</v>
      </c>
      <c r="AL54" s="46">
        <f>IF(ISNUMBER(NORMSINV(SUM(AK$13:AK54)/AK$317)),NORMSINV(SUM(AK$13:AK54)/AK$317)," ")</f>
        <v>-2.2025210424111763</v>
      </c>
      <c r="AM54" s="6">
        <v>3.898463896046224E-2</v>
      </c>
      <c r="AN54" s="6">
        <v>7.1311444158151049E-2</v>
      </c>
      <c r="AO54" s="6">
        <v>0.12537288831630211</v>
      </c>
      <c r="AP54" s="6">
        <v>3.4938555841848934E-2</v>
      </c>
      <c r="AQ54" s="6">
        <v>6.1061444158151054E-2</v>
      </c>
      <c r="AR54" s="6">
        <v>0.11210752727676436</v>
      </c>
      <c r="AS54" s="6">
        <v>3.6234638960462237E-2</v>
      </c>
      <c r="AT54" s="6">
        <v>6.0015361039537765E-2</v>
      </c>
      <c r="AU54" s="6">
        <v>9.7872888316302128E-2</v>
      </c>
    </row>
    <row r="55" spans="1:47" x14ac:dyDescent="0.4">
      <c r="A55" s="6">
        <f t="shared" si="21"/>
        <v>-1.4644125304704763</v>
      </c>
      <c r="B55" s="6">
        <f>'Aerosol 1'!A59</f>
        <v>0.23121378263894624</v>
      </c>
      <c r="C55" t="b">
        <f t="shared" si="22"/>
        <v>0</v>
      </c>
      <c r="E55" s="46">
        <f>'Aerosol 1'!$P59</f>
        <v>1.432903771458674E-2</v>
      </c>
      <c r="F55" s="46">
        <f>'Aerosol 2'!$P59</f>
        <v>1.432903771458674E-2</v>
      </c>
      <c r="G55" s="46">
        <f>'Aerosol 3'!$P59</f>
        <v>1.432903771458674E-2</v>
      </c>
      <c r="H55" s="46">
        <f t="shared" si="23"/>
        <v>4.2987113143760219E-2</v>
      </c>
      <c r="I55" s="46">
        <f>NORMSINV(SUM(H$13:H55)/H$317)</f>
        <v>-2.8390668505046621</v>
      </c>
      <c r="J55" s="46">
        <f t="shared" si="18"/>
        <v>7.7376803658768404E-3</v>
      </c>
      <c r="K55" s="46">
        <f t="shared" si="19"/>
        <v>2.149355657188011E-2</v>
      </c>
      <c r="L55" s="46">
        <f t="shared" si="20"/>
        <v>4.2985393659234469E-2</v>
      </c>
      <c r="M55" s="46">
        <f t="shared" si="24"/>
        <v>7.2216630596991419E-2</v>
      </c>
      <c r="N55" s="46">
        <f>IF(ISNUMBER(NORMSINV(SUM(M$13:M55)/M$317)),NORMSINV(SUM(M$13:M55)/M$317)," ")</f>
        <v>-2.8390668505046621</v>
      </c>
      <c r="O55" s="46">
        <f t="shared" si="25"/>
        <v>2.63195888397455E-3</v>
      </c>
      <c r="P55" s="46">
        <f>IF(ISNUMBER(NORMSINV(SUM(O$13:O55)/O$317)),NORMSINV(SUM(O$13:O55)/O$317)," ")</f>
        <v>-3.5546164446087549</v>
      </c>
      <c r="Q55" s="46">
        <f t="shared" si="26"/>
        <v>4.3853475449123864E-3</v>
      </c>
      <c r="R55" s="46">
        <f>IF(ISNUMBER(NORMSINV(SUM(Q$13:Q55)/Q$317)),NORMSINV(SUM(Q$13:Q55)/Q$317)," ")</f>
        <v>-2.6255544913979483</v>
      </c>
      <c r="S55" s="46">
        <f t="shared" si="27"/>
        <v>7.4448996354226776E-3</v>
      </c>
      <c r="T55" s="46">
        <f>IF(ISNUMBER(NORMSINV(SUM(S$13:S55)/S$317)),NORMSINV(SUM(S$13:S55)/S$317)," ")</f>
        <v>-2.2386538459930927</v>
      </c>
      <c r="U55" s="46">
        <f t="shared" si="28"/>
        <v>3.0339573289924458E-4</v>
      </c>
      <c r="V55" s="46">
        <f>IF(ISNUMBER(NORMSINV(SUM(U$13:U55)/U$317)),NORMSINV(SUM(U$13:U55)/U$317)," ")</f>
        <v>-3.4561030105965691</v>
      </c>
      <c r="W55" s="46">
        <f t="shared" si="29"/>
        <v>5.4480493154853359E-4</v>
      </c>
      <c r="X55" s="46">
        <f>IF(ISNUMBER(NORMSINV(SUM(W$13:W55)/W$317)),NORMSINV(SUM(W$13:W55)/W$317)," ")</f>
        <v>-2.5853027241946358</v>
      </c>
      <c r="Y55" s="46">
        <f t="shared" si="30"/>
        <v>9.5776107541573931E-4</v>
      </c>
      <c r="Z55" s="46">
        <f>IF(ISNUMBER(NORMSINV(SUM(Y$13:Y55)/Y$317)),NORMSINV(SUM(Y$13:Y55)/Y$317)," ")</f>
        <v>-2.2693491263976178</v>
      </c>
      <c r="AA55" s="46">
        <f t="shared" si="31"/>
        <v>7.5227448001580395E-4</v>
      </c>
      <c r="AB55" s="46">
        <f>IF(ISNUMBER(NORMSINV(SUM(AA$13:AA55)/AA$317)),NORMSINV(SUM(AA$13:AA55)/AA$317)," ")</f>
        <v>-3.5491938306970354</v>
      </c>
      <c r="AC55" s="46">
        <f t="shared" si="32"/>
        <v>1.297555295634288E-3</v>
      </c>
      <c r="AD55" s="46">
        <f>IF(ISNUMBER(NORMSINV(SUM(AC$13:AC55)/AC$317)),NORMSINV(SUM(AC$13:AC55)/AC$317)," ")</f>
        <v>-2.6024405341327141</v>
      </c>
      <c r="AE55" s="46">
        <f t="shared" si="33"/>
        <v>2.3575889334657768E-3</v>
      </c>
      <c r="AF55" s="46">
        <f>IF(ISNUMBER(NORMSINV(SUM(AE$13:AE55)/AE$317)),NORMSINV(SUM(AE$13:AE55)/AE$317)," ")</f>
        <v>-2.3080223142518057</v>
      </c>
      <c r="AG55" s="46">
        <f t="shared" si="34"/>
        <v>1.5762886710595013E-3</v>
      </c>
      <c r="AH55" s="46">
        <f>IF(ISNUMBER(NORMSINV(SUM(AG$13:AG55)/AG$317)),NORMSINV(SUM(AG$13:AG55)/AG$317)," ")</f>
        <v>-3.575288438712251</v>
      </c>
      <c r="AI55" s="46">
        <f t="shared" si="35"/>
        <v>2.5429873177295649E-3</v>
      </c>
      <c r="AJ55" s="46">
        <f>IF(ISNUMBER(NORMSINV(SUM(AI$13:AI55)/AI$317)),NORMSINV(SUM(AI$13:AI55)/AI$317)," ")</f>
        <v>-2.6455844282816776</v>
      </c>
      <c r="AK55" s="46">
        <f t="shared" si="36"/>
        <v>4.1295496265411616E-3</v>
      </c>
      <c r="AL55" s="46">
        <f>IF(ISNUMBER(NORMSINV(SUM(AK$13:AK55)/AK$317)),NORMSINV(SUM(AK$13:AK55)/AK$317)," ")</f>
        <v>-2.1844555195644646</v>
      </c>
      <c r="AM55" s="6">
        <v>3.9210166167785804E-2</v>
      </c>
      <c r="AN55" s="6">
        <v>7.0409335328856765E-2</v>
      </c>
      <c r="AO55" s="6">
        <v>0.12377883682549932</v>
      </c>
      <c r="AP55" s="6">
        <v>3.5000000000000003E-2</v>
      </c>
      <c r="AQ55" s="6">
        <v>6.0369501496642566E-2</v>
      </c>
      <c r="AR55" s="6">
        <v>0.10968817215435607</v>
      </c>
      <c r="AS55" s="6">
        <v>3.6670332335571626E-2</v>
      </c>
      <c r="AT55" s="6">
        <v>5.9159335328856755E-2</v>
      </c>
      <c r="AU55" s="6">
        <v>9.606867065771349E-2</v>
      </c>
    </row>
    <row r="56" spans="1:47" x14ac:dyDescent="0.4">
      <c r="A56" s="6">
        <f t="shared" si="21"/>
        <v>-1.4299339530392978</v>
      </c>
      <c r="B56" s="6">
        <f>'Aerosol 1'!A60</f>
        <v>0.23932472839270597</v>
      </c>
      <c r="C56" t="b">
        <f t="shared" si="22"/>
        <v>0</v>
      </c>
      <c r="E56" s="46">
        <f>'Aerosol 1'!$P60</f>
        <v>1.5206045489896212E-2</v>
      </c>
      <c r="F56" s="46">
        <f>'Aerosol 2'!$P60</f>
        <v>1.5206045489896212E-2</v>
      </c>
      <c r="G56" s="46">
        <f>'Aerosol 3'!$P60</f>
        <v>1.5206045489896212E-2</v>
      </c>
      <c r="H56" s="46">
        <f t="shared" si="23"/>
        <v>4.5618136469688639E-2</v>
      </c>
      <c r="I56" s="46">
        <f>NORMSINV(SUM(H$13:H56)/H$317)</f>
        <v>-2.8181438229979916</v>
      </c>
      <c r="J56" s="46">
        <f t="shared" si="18"/>
        <v>8.2112645645439544E-3</v>
      </c>
      <c r="K56" s="46">
        <f t="shared" si="19"/>
        <v>2.2809068234844319E-2</v>
      </c>
      <c r="L56" s="46">
        <f t="shared" si="20"/>
        <v>4.5616311744229851E-2</v>
      </c>
      <c r="M56" s="46">
        <f t="shared" si="24"/>
        <v>7.6636644543618127E-2</v>
      </c>
      <c r="N56" s="46">
        <f>IF(ISNUMBER(NORMSINV(SUM(M$13:M56)/M$317)),NORMSINV(SUM(M$13:M56)/M$317)," ")</f>
        <v>-2.8181438229979916</v>
      </c>
      <c r="O56" s="46">
        <f t="shared" si="25"/>
        <v>2.8644288414954307E-3</v>
      </c>
      <c r="P56" s="46">
        <f>IF(ISNUMBER(NORMSINV(SUM(O$13:O56)/O$317)),NORMSINV(SUM(O$13:O56)/O$317)," ")</f>
        <v>-3.5349694249541086</v>
      </c>
      <c r="Q56" s="46">
        <f t="shared" si="26"/>
        <v>4.5942444531472705E-3</v>
      </c>
      <c r="R56" s="46">
        <f>IF(ISNUMBER(NORMSINV(SUM(Q$13:Q56)/Q$317)),NORMSINV(SUM(Q$13:Q56)/Q$317)," ")</f>
        <v>-2.6075191134109081</v>
      </c>
      <c r="S56" s="46">
        <f t="shared" si="27"/>
        <v>7.7791872308073089E-3</v>
      </c>
      <c r="T56" s="46">
        <f>IF(ISNUMBER(NORMSINV(SUM(S$13:S56)/S$317)),NORMSINV(SUM(S$13:S56)/S$317)," ")</f>
        <v>-2.2206102678696658</v>
      </c>
      <c r="U56" s="46">
        <f t="shared" si="28"/>
        <v>3.2229213415835013E-4</v>
      </c>
      <c r="V56" s="46">
        <f>IF(ISNUMBER(NORMSINV(SUM(U$13:U56)/U$317)),NORMSINV(SUM(U$13:U56)/U$317)," ")</f>
        <v>-3.4388702855215514</v>
      </c>
      <c r="W56" s="46">
        <f t="shared" si="29"/>
        <v>5.7077336599358549E-4</v>
      </c>
      <c r="X56" s="46">
        <f>IF(ISNUMBER(NORMSINV(SUM(W$13:W56)/W$317)),NORMSINV(SUM(W$13:W56)/W$317)," ")</f>
        <v>-2.5680894371164267</v>
      </c>
      <c r="Y56" s="46">
        <f t="shared" si="30"/>
        <v>1.0080232040555511E-3</v>
      </c>
      <c r="Z56" s="46">
        <f>IF(ISNUMBER(NORMSINV(SUM(Y$13:Y56)/Y$317)),NORMSINV(SUM(Y$13:Y56)/Y$317)," ")</f>
        <v>-2.2504992024370334</v>
      </c>
      <c r="AA56" s="46">
        <f t="shared" si="31"/>
        <v>8.1517285951296066E-4</v>
      </c>
      <c r="AB56" s="46">
        <f>IF(ISNUMBER(NORMSINV(SUM(AA$13:AA56)/AA$317)),NORMSINV(SUM(AA$13:AA56)/AA$317)," ")</f>
        <v>-3.5302375028146131</v>
      </c>
      <c r="AC56" s="46">
        <f t="shared" si="32"/>
        <v>1.3573908898559608E-3</v>
      </c>
      <c r="AD56" s="46">
        <f>IF(ISNUMBER(NORMSINV(SUM(AC$13:AC56)/AC$317)),NORMSINV(SUM(AC$13:AC56)/AC$317)," ")</f>
        <v>-2.5846680319999651</v>
      </c>
      <c r="AE56" s="46">
        <f t="shared" si="33"/>
        <v>2.47082136553998E-3</v>
      </c>
      <c r="AF56" s="46">
        <f>IF(ISNUMBER(NORMSINV(SUM(AE$13:AE56)/AE$317)),NORMSINV(SUM(AE$13:AE56)/AE$317)," ")</f>
        <v>-2.290265528207267</v>
      </c>
      <c r="AG56" s="46">
        <f t="shared" si="34"/>
        <v>1.7269638478241199E-3</v>
      </c>
      <c r="AH56" s="46">
        <f>IF(ISNUMBER(NORMSINV(SUM(AG$13:AG56)/AG$317)),NORMSINV(SUM(AG$13:AG56)/AG$317)," ")</f>
        <v>-3.554727341891474</v>
      </c>
      <c r="AI56" s="46">
        <f t="shared" si="35"/>
        <v>2.6660801972977245E-3</v>
      </c>
      <c r="AJ56" s="46">
        <f>IF(ISNUMBER(NORMSINV(SUM(AI$13:AI56)/AI$317)),NORMSINV(SUM(AI$13:AI56)/AI$317)," ")</f>
        <v>-2.6272136282352214</v>
      </c>
      <c r="AK56" s="46">
        <f t="shared" si="36"/>
        <v>4.3003426612117776E-3</v>
      </c>
      <c r="AL56" s="46">
        <f>IF(ISNUMBER(NORMSINV(SUM(AK$13:AK56)/AK$317)),NORMSINV(SUM(AK$13:AK56)/AK$317)," ")</f>
        <v>-2.1663711359031725</v>
      </c>
      <c r="AM56" s="6">
        <v>3.9249999999999993E-2</v>
      </c>
      <c r="AN56" s="6">
        <v>6.9511018857944404E-2</v>
      </c>
      <c r="AO56" s="6">
        <v>0.12276101885794441</v>
      </c>
      <c r="AP56" s="6">
        <v>3.5738981142055606E-2</v>
      </c>
      <c r="AQ56" s="6">
        <v>5.9511018857944395E-2</v>
      </c>
      <c r="AR56" s="6">
        <v>0.10832627357243049</v>
      </c>
      <c r="AS56" s="6">
        <v>3.7858471713083403E-2</v>
      </c>
      <c r="AT56" s="6">
        <v>5.8445764143458298E-2</v>
      </c>
      <c r="AU56" s="6">
        <v>9.4272037715888796E-2</v>
      </c>
    </row>
    <row r="57" spans="1:47" x14ac:dyDescent="0.4">
      <c r="A57" s="6">
        <f t="shared" si="21"/>
        <v>-1.3954553756081192</v>
      </c>
      <c r="B57" s="6">
        <f>'Aerosol 1'!A61</f>
        <v>0.24772020493987071</v>
      </c>
      <c r="C57" t="b">
        <f t="shared" si="22"/>
        <v>0</v>
      </c>
      <c r="E57" s="46">
        <f>'Aerosol 1'!$P61</f>
        <v>1.6129674736219513E-2</v>
      </c>
      <c r="F57" s="46">
        <f>'Aerosol 2'!$P61</f>
        <v>1.6129674736219513E-2</v>
      </c>
      <c r="G57" s="46">
        <f>'Aerosol 3'!$P61</f>
        <v>1.6129674736219513E-2</v>
      </c>
      <c r="H57" s="46">
        <f t="shared" si="23"/>
        <v>4.8389024208658538E-2</v>
      </c>
      <c r="I57" s="46">
        <f>NORMSINV(SUM(H$13:H57)/H$317)</f>
        <v>-2.7972206796893015</v>
      </c>
      <c r="J57" s="46">
        <f t="shared" si="18"/>
        <v>8.7100243575585368E-3</v>
      </c>
      <c r="K57" s="46">
        <f t="shared" si="19"/>
        <v>2.4194512104329269E-2</v>
      </c>
      <c r="L57" s="46">
        <f t="shared" si="20"/>
        <v>4.8387088647690195E-2</v>
      </c>
      <c r="M57" s="46">
        <f t="shared" si="24"/>
        <v>8.1291625109577992E-2</v>
      </c>
      <c r="N57" s="46">
        <f>IF(ISNUMBER(NORMSINV(SUM(M$13:M57)/M$317)),NORMSINV(SUM(M$13:M57)/M$317)," ")</f>
        <v>-2.7972206796893015</v>
      </c>
      <c r="O57" s="46">
        <f t="shared" si="25"/>
        <v>3.0911210612872405E-3</v>
      </c>
      <c r="P57" s="46">
        <f>IF(ISNUMBER(NORMSINV(SUM(O$13:O57)/O$317)),NORMSINV(SUM(O$13:O57)/O$317)," ")</f>
        <v>-3.5151945271564786</v>
      </c>
      <c r="Q57" s="46">
        <f t="shared" si="26"/>
        <v>4.8382235048270734E-3</v>
      </c>
      <c r="R57" s="46">
        <f>IF(ISNUMBER(NORMSINV(SUM(Q$13:Q57)/Q$317)),NORMSINV(SUM(Q$13:Q57)/Q$317)," ")</f>
        <v>-2.5894004360527245</v>
      </c>
      <c r="S57" s="46">
        <f t="shared" si="27"/>
        <v>8.1302633437264817E-3</v>
      </c>
      <c r="T57" s="46">
        <f>IF(ISNUMBER(NORMSINV(SUM(S$13:S57)/S$317)),NORMSINV(SUM(S$13:S57)/S$317)," ")</f>
        <v>-2.202494470476076</v>
      </c>
      <c r="U57" s="46">
        <f t="shared" si="28"/>
        <v>3.5014784524424122E-4</v>
      </c>
      <c r="V57" s="46">
        <f>IF(ISNUMBER(NORMSINV(SUM(U$13:U57)/U$317)),NORMSINV(SUM(U$13:U57)/U$317)," ")</f>
        <v>-3.4212375804582589</v>
      </c>
      <c r="W57" s="46">
        <f t="shared" si="29"/>
        <v>5.9764959395421622E-4</v>
      </c>
      <c r="X57" s="46">
        <f>IF(ISNUMBER(NORMSINV(SUM(W$13:W57)/W$317)),NORMSINV(SUM(W$13:W57)/W$317)," ")</f>
        <v>-2.5508456731018647</v>
      </c>
      <c r="Y57" s="46">
        <f t="shared" si="30"/>
        <v>1.0614583909942083E-3</v>
      </c>
      <c r="Z57" s="46">
        <f>IF(ISNUMBER(NORMSINV(SUM(Y$13:Y57)/Y$317)),NORMSINV(SUM(Y$13:Y57)/Y$317)," ")</f>
        <v>-2.2314781166717079</v>
      </c>
      <c r="AA57" s="46">
        <f t="shared" si="31"/>
        <v>8.7483548631607077E-4</v>
      </c>
      <c r="AB57" s="46">
        <f>IF(ISNUMBER(NORMSINV(SUM(AA$13:AA57)/AA$317)),NORMSINV(SUM(AA$13:AA57)/AA$317)," ")</f>
        <v>-3.5112128873648349</v>
      </c>
      <c r="AC57" s="46">
        <f t="shared" si="32"/>
        <v>1.429691791621292E-3</v>
      </c>
      <c r="AD57" s="46">
        <f>IF(ISNUMBER(NORMSINV(SUM(AC$13:AC57)/AC$317)),NORMSINV(SUM(AC$13:AC57)/AC$317)," ")</f>
        <v>-2.5667917010864119</v>
      </c>
      <c r="AE57" s="46">
        <f t="shared" si="33"/>
        <v>2.5861759533460423E-3</v>
      </c>
      <c r="AF57" s="46">
        <f>IF(ISNUMBER(NORMSINV(SUM(AE$13:AE57)/AE$317)),NORMSINV(SUM(AE$13:AE57)/AE$317)," ")</f>
        <v>-2.2724221679524694</v>
      </c>
      <c r="AG57" s="46">
        <f t="shared" si="34"/>
        <v>1.8661377297269285E-3</v>
      </c>
      <c r="AH57" s="46">
        <f>IF(ISNUMBER(NORMSINV(SUM(AG$13:AG57)/AG$317)),NORMSINV(SUM(AG$13:AG57)/AG$317)," ")</f>
        <v>-3.5340784235759068</v>
      </c>
      <c r="AI57" s="46">
        <f t="shared" si="35"/>
        <v>2.8108821192515646E-3</v>
      </c>
      <c r="AJ57" s="46">
        <f>IF(ISNUMBER(NORMSINV(SUM(AI$13:AI57)/AI$317)),NORMSINV(SUM(AI$13:AI57)/AI$317)," ")</f>
        <v>-2.608759663519963</v>
      </c>
      <c r="AK57" s="46">
        <f t="shared" si="36"/>
        <v>4.4826289993862307E-3</v>
      </c>
      <c r="AL57" s="46">
        <f>IF(ISNUMBER(NORMSINV(SUM(AK$13:AK57)/AK$317)),NORMSINV(SUM(AK$13:AK57)/AK$317)," ")</f>
        <v>-2.1482452270561452</v>
      </c>
      <c r="AM57" s="6">
        <v>4.0200558674716426E-2</v>
      </c>
      <c r="AN57" s="6">
        <v>6.8616294216855708E-2</v>
      </c>
      <c r="AO57" s="6">
        <v>0.12186629421685571</v>
      </c>
      <c r="AP57" s="6">
        <v>3.6158426445786075E-2</v>
      </c>
      <c r="AQ57" s="6">
        <v>5.9091573554213919E-2</v>
      </c>
      <c r="AR57" s="6">
        <v>0.10689101487949751</v>
      </c>
      <c r="AS57" s="6">
        <v>3.8566852891572148E-2</v>
      </c>
      <c r="AT57" s="6">
        <v>5.8091573554213925E-2</v>
      </c>
      <c r="AU57" s="6">
        <v>9.2641014879497482E-2</v>
      </c>
    </row>
    <row r="58" spans="1:47" x14ac:dyDescent="0.4">
      <c r="A58" s="6">
        <f t="shared" si="21"/>
        <v>-1.3609767981769407</v>
      </c>
      <c r="B58" s="6">
        <f>'Aerosol 1'!A62</f>
        <v>0.25641019357915129</v>
      </c>
      <c r="C58" t="b">
        <f t="shared" si="22"/>
        <v>0</v>
      </c>
      <c r="E58" s="46">
        <f>'Aerosol 1'!$P62</f>
        <v>1.7101925046880337E-2</v>
      </c>
      <c r="F58" s="46">
        <f>'Aerosol 2'!$P62</f>
        <v>1.7101925046880337E-2</v>
      </c>
      <c r="G58" s="46">
        <f>'Aerosol 3'!$P62</f>
        <v>1.7101925046880337E-2</v>
      </c>
      <c r="H58" s="46">
        <f t="shared" si="23"/>
        <v>5.1305775140641011E-2</v>
      </c>
      <c r="I58" s="46">
        <f>NORMSINV(SUM(H$13:H58)/H$317)</f>
        <v>-2.776297418653249</v>
      </c>
      <c r="J58" s="46">
        <f t="shared" si="18"/>
        <v>9.2350395253153819E-3</v>
      </c>
      <c r="K58" s="46">
        <f t="shared" si="19"/>
        <v>2.5652887570320505E-2</v>
      </c>
      <c r="L58" s="46">
        <f t="shared" si="20"/>
        <v>5.1303722909635384E-2</v>
      </c>
      <c r="M58" s="46">
        <f t="shared" si="24"/>
        <v>8.6191650005271264E-2</v>
      </c>
      <c r="N58" s="46">
        <f>IF(ISNUMBER(NORMSINV(SUM(M$13:M58)/M$317)),NORMSINV(SUM(M$13:M58)/M$317)," ")</f>
        <v>-2.7762974186532481</v>
      </c>
      <c r="O58" s="46">
        <f t="shared" si="25"/>
        <v>3.3649091281663622E-3</v>
      </c>
      <c r="P58" s="46">
        <f>IF(ISNUMBER(NORMSINV(SUM(O$13:O58)/O$317)),NORMSINV(SUM(O$13:O58)/O$317)," ")</f>
        <v>-3.4951241152734309</v>
      </c>
      <c r="Q58" s="46">
        <f t="shared" si="26"/>
        <v>5.0804226818359118E-3</v>
      </c>
      <c r="R58" s="46">
        <f>IF(ISNUMBER(NORMSINV(SUM(Q$13:Q58)/Q$317)),NORMSINV(SUM(Q$13:Q58)/Q$317)," ")</f>
        <v>-2.5712475332273859</v>
      </c>
      <c r="S58" s="46">
        <f t="shared" si="27"/>
        <v>8.504474323617197E-3</v>
      </c>
      <c r="T58" s="46">
        <f>IF(ISNUMBER(NORMSINV(SUM(S$13:S58)/S$317)),NORMSINV(SUM(S$13:S58)/S$317)," ")</f>
        <v>-2.184287864760555</v>
      </c>
      <c r="U58" s="46">
        <f t="shared" si="28"/>
        <v>3.7878277614833688E-4</v>
      </c>
      <c r="V58" s="46">
        <f>IF(ISNUMBER(NORMSINV(SUM(U$13:U58)/U$317)),NORMSINV(SUM(U$13:U58)/U$317)," ")</f>
        <v>-3.4032892823279828</v>
      </c>
      <c r="W58" s="46">
        <f t="shared" si="29"/>
        <v>6.2538161661930493E-4</v>
      </c>
      <c r="X58" s="46">
        <f>IF(ISNUMBER(NORMSINV(SUM(W$13:W58)/W$317)),NORMSINV(SUM(W$13:W58)/W$317)," ")</f>
        <v>-2.5335787401846548</v>
      </c>
      <c r="Y58" s="46">
        <f t="shared" si="30"/>
        <v>1.1134650981047464E-3</v>
      </c>
      <c r="Z58" s="46">
        <f>IF(ISNUMBER(NORMSINV(SUM(Y$13:Y58)/Y$317)),NORMSINV(SUM(Y$13:Y58)/Y$317)," ")</f>
        <v>-2.2123563956592101</v>
      </c>
      <c r="AA58" s="46">
        <f t="shared" si="31"/>
        <v>9.4355559382264611E-4</v>
      </c>
      <c r="AB58" s="46">
        <f>IF(ISNUMBER(NORMSINV(SUM(AA$13:AA58)/AA$317)),NORMSINV(SUM(AA$13:AA58)/AA$317)," ")</f>
        <v>-3.4920252288221492</v>
      </c>
      <c r="AC58" s="46">
        <f t="shared" si="32"/>
        <v>1.4998819472503819E-3</v>
      </c>
      <c r="AD58" s="46">
        <f>IF(ISNUMBER(NORMSINV(SUM(AC$13:AC58)/AC$317)),NORMSINV(SUM(AC$13:AC58)/AC$317)," ")</f>
        <v>-2.5488796193544965</v>
      </c>
      <c r="AE58" s="46">
        <f t="shared" si="33"/>
        <v>2.6983424655494981E-3</v>
      </c>
      <c r="AF58" s="46">
        <f>IF(ISNUMBER(NORMSINV(SUM(AE$13:AE58)/AE$317)),NORMSINV(SUM(AE$13:AE58)/AE$317)," ")</f>
        <v>-2.2545453605124739</v>
      </c>
      <c r="AG58" s="46">
        <f t="shared" si="34"/>
        <v>2.0425707581953794E-3</v>
      </c>
      <c r="AH58" s="46">
        <f>IF(ISNUMBER(NORMSINV(SUM(AG$13:AG58)/AG$317)),NORMSINV(SUM(AG$13:AG58)/AG$317)," ")</f>
        <v>-3.5130808324106844</v>
      </c>
      <c r="AI58" s="46">
        <f t="shared" si="35"/>
        <v>2.9551591179662246E-3</v>
      </c>
      <c r="AJ58" s="46">
        <f>IF(ISNUMBER(NORMSINV(SUM(AI$13:AI58)/AI$317)),NORMSINV(SUM(AI$13:AI58)/AI$317)," ")</f>
        <v>-2.5902711874239417</v>
      </c>
      <c r="AK58" s="46">
        <f t="shared" si="36"/>
        <v>4.6926667599629518E-3</v>
      </c>
      <c r="AL58" s="46">
        <f>IF(ISNUMBER(NORMSINV(SUM(AK$13:AK58)/AK$317)),NORMSINV(SUM(AK$13:AK58)/AK$317)," ")</f>
        <v>-2.1299970641082884</v>
      </c>
      <c r="AM58" s="6">
        <v>4.1015826203017927E-2</v>
      </c>
      <c r="AN58" s="6">
        <v>6.7718347593964168E-2</v>
      </c>
      <c r="AO58" s="6">
        <v>0.12056960828943727</v>
      </c>
      <c r="AP58" s="6">
        <v>3.6781652406035842E-2</v>
      </c>
      <c r="AQ58" s="6">
        <v>5.8468347593964153E-2</v>
      </c>
      <c r="AR58" s="6">
        <v>0.10518669518792832</v>
      </c>
      <c r="AS58" s="6">
        <v>3.9813304812071695E-2</v>
      </c>
      <c r="AT58" s="6">
        <v>5.7601260695473125E-2</v>
      </c>
      <c r="AU58" s="6">
        <v>9.1468347593964161E-2</v>
      </c>
    </row>
    <row r="59" spans="1:47" x14ac:dyDescent="0.4">
      <c r="A59" s="6">
        <f t="shared" si="21"/>
        <v>-1.3264982207457623</v>
      </c>
      <c r="B59" s="6">
        <f>'Aerosol 1'!A63</f>
        <v>0.26540502575176073</v>
      </c>
      <c r="C59" t="b">
        <f t="shared" si="22"/>
        <v>0</v>
      </c>
      <c r="E59" s="46">
        <f>'Aerosol 1'!$P63</f>
        <v>1.8124851308704046E-2</v>
      </c>
      <c r="F59" s="46">
        <f>'Aerosol 2'!$P63</f>
        <v>1.8124851308704046E-2</v>
      </c>
      <c r="G59" s="46">
        <f>'Aerosol 3'!$P63</f>
        <v>1.8124851308704046E-2</v>
      </c>
      <c r="H59" s="46">
        <f t="shared" si="23"/>
        <v>5.4374553926112137E-2</v>
      </c>
      <c r="I59" s="46">
        <f>NORMSINV(SUM(H$13:H59)/H$317)</f>
        <v>-2.7553740379236995</v>
      </c>
      <c r="J59" s="46">
        <f t="shared" si="18"/>
        <v>9.7874197067001848E-3</v>
      </c>
      <c r="K59" s="46">
        <f t="shared" si="19"/>
        <v>2.7187276963056069E-2</v>
      </c>
      <c r="L59" s="46">
        <f t="shared" si="20"/>
        <v>5.4372378943955094E-2</v>
      </c>
      <c r="M59" s="46">
        <f t="shared" si="24"/>
        <v>9.1347075613711345E-2</v>
      </c>
      <c r="N59" s="46">
        <f>IF(ISNUMBER(NORMSINV(SUM(M$13:M59)/M$317)),NORMSINV(SUM(M$13:M59)/M$317)," ")</f>
        <v>-2.7553740379236995</v>
      </c>
      <c r="O59" s="46">
        <f t="shared" si="25"/>
        <v>3.6732247400681831E-3</v>
      </c>
      <c r="P59" s="46">
        <f>IF(ISNUMBER(NORMSINV(SUM(O$13:O59)/O$317)),NORMSINV(SUM(O$13:O59)/O$317)," ")</f>
        <v>-3.4747112311244051</v>
      </c>
      <c r="Q59" s="46">
        <f t="shared" si="26"/>
        <v>5.3289815709716866E-3</v>
      </c>
      <c r="R59" s="46">
        <f>IF(ISNUMBER(NORMSINV(SUM(Q$13:Q59)/Q$317)),NORMSINV(SUM(Q$13:Q59)/Q$317)," ")</f>
        <v>-2.5530752621456942</v>
      </c>
      <c r="S59" s="46">
        <f t="shared" si="27"/>
        <v>8.8971428311463568E-3</v>
      </c>
      <c r="T59" s="46">
        <f>IF(ISNUMBER(NORMSINV(SUM(S$13:S59)/S$317)),NORMSINV(SUM(S$13:S59)/S$317)," ")</f>
        <v>-2.1659851423942289</v>
      </c>
      <c r="U59" s="46">
        <f t="shared" si="28"/>
        <v>4.0373106290138256E-4</v>
      </c>
      <c r="V59" s="46">
        <f>IF(ISNUMBER(NORMSINV(SUM(U$13:U59)/U$317)),NORMSINV(SUM(U$13:U59)/U$317)," ")</f>
        <v>-3.3852938313748457</v>
      </c>
      <c r="W59" s="46">
        <f t="shared" si="29"/>
        <v>6.5397712862349871E-4</v>
      </c>
      <c r="X59" s="46">
        <f>IF(ISNUMBER(NORMSINV(SUM(W$13:W59)/W$317)),NORMSINV(SUM(W$13:W59)/W$317)," ")</f>
        <v>-2.5162955068856947</v>
      </c>
      <c r="Y59" s="46">
        <f t="shared" si="30"/>
        <v>1.1678166632252585E-3</v>
      </c>
      <c r="Z59" s="46">
        <f>IF(ISNUMBER(NORMSINV(SUM(Y$13:Y59)/Y$317)),NORMSINV(SUM(Y$13:Y59)/Y$317)," ")</f>
        <v>-2.1931341195733141</v>
      </c>
      <c r="AA59" s="46">
        <f t="shared" si="31"/>
        <v>1.0244673075740852E-3</v>
      </c>
      <c r="AB59" s="46">
        <f>IF(ISNUMBER(NORMSINV(SUM(AA$13:AA59)/AA$317)),NORMSINV(SUM(AA$13:AA59)/AA$317)," ")</f>
        <v>-3.4725520874887681</v>
      </c>
      <c r="AC59" s="46">
        <f t="shared" si="32"/>
        <v>1.5680561333320671E-3</v>
      </c>
      <c r="AD59" s="46">
        <f>IF(ISNUMBER(NORMSINV(SUM(AC$13:AC59)/AC$317)),NORMSINV(SUM(AC$13:AC59)/AC$317)," ")</f>
        <v>-2.5309886125170684</v>
      </c>
      <c r="AE59" s="46">
        <f t="shared" si="33"/>
        <v>2.8225323826983487E-3</v>
      </c>
      <c r="AF59" s="46">
        <f>IF(ISNUMBER(NORMSINV(SUM(AE$13:AE59)/AE$317)),NORMSINV(SUM(AE$13:AE59)/AE$317)," ")</f>
        <v>-2.2365861168036116</v>
      </c>
      <c r="AG59" s="46">
        <f t="shared" si="34"/>
        <v>2.2450263695927156E-3</v>
      </c>
      <c r="AH59" s="46">
        <f>IF(ISNUMBER(NORMSINV(SUM(AG$13:AG59)/AG$317)),NORMSINV(SUM(AG$13:AG59)/AG$317)," ")</f>
        <v>-3.4916592001643525</v>
      </c>
      <c r="AI59" s="46">
        <f t="shared" si="35"/>
        <v>3.1069483090161204E-3</v>
      </c>
      <c r="AJ59" s="46">
        <f>IF(ISNUMBER(NORMSINV(SUM(AI$13:AI59)/AI$317)),NORMSINV(SUM(AI$13:AI59)/AI$317)," ")</f>
        <v>-2.5717429546202748</v>
      </c>
      <c r="AK59" s="46">
        <f t="shared" si="36"/>
        <v>4.9067937852227484E-3</v>
      </c>
      <c r="AL59" s="46">
        <f>IF(ISNUMBER(NORMSINV(SUM(AK$13:AK59)/AK$317)),NORMSINV(SUM(AK$13:AK59)/AK$317)," ")</f>
        <v>-2.1116456501347436</v>
      </c>
      <c r="AM59" s="6">
        <v>4.1249999999999995E-2</v>
      </c>
      <c r="AN59" s="6">
        <v>6.6818134730219539E-2</v>
      </c>
      <c r="AO59" s="6">
        <v>0.11931813473021953</v>
      </c>
      <c r="AP59" s="6">
        <v>3.7681865269780471E-2</v>
      </c>
      <c r="AQ59" s="6">
        <v>5.767610104766465E-2</v>
      </c>
      <c r="AR59" s="6">
        <v>0.10381813473021953</v>
      </c>
      <c r="AS59" s="6">
        <v>4.1289831587225573E-2</v>
      </c>
      <c r="AT59" s="6">
        <v>5.7142033682554889E-2</v>
      </c>
      <c r="AU59" s="6">
        <v>9.024423577788418E-2</v>
      </c>
    </row>
    <row r="60" spans="1:47" x14ac:dyDescent="0.4">
      <c r="A60" s="6">
        <f t="shared" si="21"/>
        <v>-1.2920196433145839</v>
      </c>
      <c r="B60" s="6">
        <f>'Aerosol 1'!A64</f>
        <v>0.27471539532436218</v>
      </c>
      <c r="C60" t="b">
        <f t="shared" si="22"/>
        <v>0</v>
      </c>
      <c r="E60" s="46">
        <f>'Aerosol 1'!$P64</f>
        <v>1.9200563333646559E-2</v>
      </c>
      <c r="F60" s="46">
        <f>'Aerosol 2'!$P64</f>
        <v>1.9200563333646559E-2</v>
      </c>
      <c r="G60" s="46">
        <f>'Aerosol 3'!$P64</f>
        <v>1.9200563333646559E-2</v>
      </c>
      <c r="H60" s="46">
        <f t="shared" si="23"/>
        <v>5.7601690000939676E-2</v>
      </c>
      <c r="I60" s="46">
        <f>NORMSINV(SUM(H$13:H60)/H$317)</f>
        <v>-2.7344505354927016</v>
      </c>
      <c r="J60" s="46">
        <f t="shared" si="18"/>
        <v>1.0368304200169142E-2</v>
      </c>
      <c r="K60" s="46">
        <f t="shared" si="19"/>
        <v>2.8800845000469838E-2</v>
      </c>
      <c r="L60" s="46">
        <f t="shared" si="20"/>
        <v>5.7599385933339638E-2</v>
      </c>
      <c r="M60" s="46">
        <f t="shared" si="24"/>
        <v>9.6768535133978623E-2</v>
      </c>
      <c r="N60" s="46">
        <f>IF(ISNUMBER(NORMSINV(SUM(M$13:M60)/M$317)),NORMSINV(SUM(M$13:M60)/M$317)," ")</f>
        <v>-2.7344505354927002</v>
      </c>
      <c r="O60" s="46">
        <f t="shared" si="25"/>
        <v>3.9886146041916487E-3</v>
      </c>
      <c r="P60" s="46">
        <f>IF(ISNUMBER(NORMSINV(SUM(O$13:O60)/O$317)),NORMSINV(SUM(O$13:O60)/O$317)," ")</f>
        <v>-3.454071524988084</v>
      </c>
      <c r="Q60" s="46">
        <f t="shared" si="26"/>
        <v>5.5924563267073669E-3</v>
      </c>
      <c r="R60" s="46">
        <f>IF(ISNUMBER(NORMSINV(SUM(Q$13:Q60)/Q$317)),NORMSINV(SUM(Q$13:Q60)/Q$317)," ")</f>
        <v>-2.5348698486302372</v>
      </c>
      <c r="S60" s="46">
        <f t="shared" si="27"/>
        <v>9.3168236688676905E-3</v>
      </c>
      <c r="T60" s="46">
        <f>IF(ISNUMBER(NORMSINV(SUM(S$13:S60)/S$317)),NORMSINV(SUM(S$13:S60)/S$317)," ")</f>
        <v>-2.1475663179089208</v>
      </c>
      <c r="U60" s="46">
        <f t="shared" si="28"/>
        <v>4.3199074260919879E-4</v>
      </c>
      <c r="V60" s="46">
        <f>IF(ISNUMBER(NORMSINV(SUM(U$13:U60)/U$317)),NORMSINV(SUM(U$13:U60)/U$317)," ")</f>
        <v>-3.3671803787499224</v>
      </c>
      <c r="W60" s="46">
        <f t="shared" si="29"/>
        <v>6.8432123664987276E-4</v>
      </c>
      <c r="X60" s="46">
        <f>IF(ISNUMBER(NORMSINV(SUM(W$13:W60)/W$317)),NORMSINV(SUM(W$13:W60)/W$317)," ")</f>
        <v>-2.4989806756265081</v>
      </c>
      <c r="Y60" s="46">
        <f t="shared" si="30"/>
        <v>1.2286572071587528E-3</v>
      </c>
      <c r="Z60" s="46">
        <f>IF(ISNUMBER(NORMSINV(SUM(Y$13:Y60)/Y$317)),NORMSINV(SUM(Y$13:Y60)/Y$317)," ")</f>
        <v>-2.1737487048416519</v>
      </c>
      <c r="AA60" s="46">
        <f t="shared" si="31"/>
        <v>1.1135717500241427E-3</v>
      </c>
      <c r="AB60" s="46">
        <f>IF(ISNUMBER(NORMSINV(SUM(AA$13:AA60)/AA$317)),NORMSINV(SUM(AA$13:AA60)/AA$317)," ")</f>
        <v>-3.4527795701888189</v>
      </c>
      <c r="AC60" s="46">
        <f t="shared" si="32"/>
        <v>1.6392968332719609E-3</v>
      </c>
      <c r="AD60" s="46">
        <f>IF(ISNUMBER(NORMSINV(SUM(AC$13:AC60)/AC$317)),NORMSINV(SUM(AC$13:AC60)/AC$317)," ")</f>
        <v>-2.5131124704105234</v>
      </c>
      <c r="AE60" s="46">
        <f t="shared" si="33"/>
        <v>2.9665235890448081E-3</v>
      </c>
      <c r="AF60" s="46">
        <f>IF(ISNUMBER(NORMSINV(SUM(AE$13:AE60)/AE$317)),NORMSINV(SUM(AE$13:AE60)/AE$317)," ")</f>
        <v>-2.2184572596351639</v>
      </c>
      <c r="AG60" s="46">
        <f t="shared" si="34"/>
        <v>2.4430521115583071E-3</v>
      </c>
      <c r="AH60" s="46">
        <f>IF(ISNUMBER(NORMSINV(SUM(AG$13:AG60)/AG$317)),NORMSINV(SUM(AG$13:AG60)/AG$317)," ")</f>
        <v>-3.470035660520439</v>
      </c>
      <c r="AI60" s="46">
        <f t="shared" si="35"/>
        <v>3.2688382567855338E-3</v>
      </c>
      <c r="AJ60" s="46">
        <f>IF(ISNUMBER(NORMSINV(SUM(AI$13:AI60)/AI$317)),NORMSINV(SUM(AI$13:AI60)/AI$317)," ")</f>
        <v>-2.5531577221131991</v>
      </c>
      <c r="AK60" s="46">
        <f t="shared" si="36"/>
        <v>5.1216428726641294E-3</v>
      </c>
      <c r="AL60" s="46">
        <f>IF(ISNUMBER(NORMSINV(SUM(AK$13:AK60)/AK$317)),NORMSINV(SUM(AK$13:AK60)/AK$317)," ")</f>
        <v>-2.0932202094362133</v>
      </c>
      <c r="AM60" s="6">
        <v>4.1664551335420075E-2</v>
      </c>
      <c r="AN60" s="6">
        <v>6.6001269198747964E-2</v>
      </c>
      <c r="AO60" s="6">
        <v>0.11850126919874798</v>
      </c>
      <c r="AP60" s="6">
        <v>3.8664551335420072E-2</v>
      </c>
      <c r="AQ60" s="6">
        <v>5.6918358931663936E-2</v>
      </c>
      <c r="AR60" s="6">
        <v>0.10300126919874797</v>
      </c>
      <c r="AS60" s="6">
        <v>4.2414551335420075E-2</v>
      </c>
      <c r="AT60" s="6">
        <v>5.6751269198747956E-2</v>
      </c>
      <c r="AU60" s="6">
        <v>8.8918358931663943E-2</v>
      </c>
    </row>
    <row r="61" spans="1:47" x14ac:dyDescent="0.4">
      <c r="A61" s="6">
        <f t="shared" si="21"/>
        <v>-1.2575410658834052</v>
      </c>
      <c r="B61" s="6">
        <f>'Aerosol 1'!A65</f>
        <v>0.28435237130290081</v>
      </c>
      <c r="C61" t="b">
        <f t="shared" si="22"/>
        <v>0</v>
      </c>
      <c r="E61" s="46">
        <f>'Aerosol 1'!$P65</f>
        <v>2.0331225344673558E-2</v>
      </c>
      <c r="F61" s="46">
        <f>'Aerosol 2'!$P65</f>
        <v>2.0331225344673558E-2</v>
      </c>
      <c r="G61" s="46">
        <f>'Aerosol 3'!$P65</f>
        <v>2.0331225344673558E-2</v>
      </c>
      <c r="H61" s="46">
        <f t="shared" si="23"/>
        <v>6.0993676034020672E-2</v>
      </c>
      <c r="I61" s="46">
        <f>NORMSINV(SUM(H$13:H61)/H$317)</f>
        <v>-2.7135269093094045</v>
      </c>
      <c r="J61" s="46">
        <f t="shared" si="18"/>
        <v>1.0978861686123722E-2</v>
      </c>
      <c r="K61" s="46">
        <f t="shared" si="19"/>
        <v>3.0496838017010336E-2</v>
      </c>
      <c r="L61" s="46">
        <f t="shared" si="20"/>
        <v>6.099123628697932E-2</v>
      </c>
      <c r="M61" s="46">
        <f t="shared" si="24"/>
        <v>0.10246693599011338</v>
      </c>
      <c r="N61" s="46">
        <f>IF(ISNUMBER(NORMSINV(SUM(M$13:M61)/M$317)),NORMSINV(SUM(M$13:M61)/M$317)," ")</f>
        <v>-2.7135269093094045</v>
      </c>
      <c r="O61" s="46">
        <f t="shared" si="25"/>
        <v>4.3425465526504437E-3</v>
      </c>
      <c r="P61" s="46">
        <f>IF(ISNUMBER(NORMSINV(SUM(O$13:O61)/O$317)),NORMSINV(SUM(O$13:O61)/O$317)," ")</f>
        <v>-3.433156536644665</v>
      </c>
      <c r="Q61" s="46">
        <f t="shared" si="26"/>
        <v>5.8627951036886138E-3</v>
      </c>
      <c r="R61" s="46">
        <f>IF(ISNUMBER(NORMSINV(SUM(Q$13:Q61)/Q$317)),NORMSINV(SUM(Q$13:Q61)/Q$317)," ")</f>
        <v>-2.5166455502667473</v>
      </c>
      <c r="S61" s="46">
        <f t="shared" si="27"/>
        <v>9.7926181201536244E-3</v>
      </c>
      <c r="T61" s="46">
        <f>IF(ISNUMBER(NORMSINV(SUM(S$13:S61)/S$317)),NORMSINV(SUM(S$13:S61)/S$317)," ")</f>
        <v>-2.1289614029756843</v>
      </c>
      <c r="U61" s="46">
        <f t="shared" si="28"/>
        <v>4.6849500892418911E-4</v>
      </c>
      <c r="V61" s="46">
        <f>IF(ISNUMBER(NORMSINV(SUM(U$13:U61)/U$317)),NORMSINV(SUM(U$13:U61)/U$317)," ")</f>
        <v>-3.3487097593523778</v>
      </c>
      <c r="W61" s="46">
        <f t="shared" si="29"/>
        <v>7.165909240891957E-4</v>
      </c>
      <c r="X61" s="46">
        <f>IF(ISNUMBER(NORMSINV(SUM(W$13:W61)/W$317)),NORMSINV(SUM(W$13:W61)/W$317)," ")</f>
        <v>-2.4816181696310062</v>
      </c>
      <c r="Y61" s="46">
        <f t="shared" si="30"/>
        <v>1.2929811626106911E-3</v>
      </c>
      <c r="Z61" s="46">
        <f>IF(ISNUMBER(NORMSINV(SUM(Y$13:Y61)/Y$317)),NORMSINV(SUM(Y$13:Y61)/Y$317)," ")</f>
        <v>-2.154193773466317</v>
      </c>
      <c r="AA61" s="46">
        <f t="shared" si="31"/>
        <v>1.211637647093875E-3</v>
      </c>
      <c r="AB61" s="46">
        <f>IF(ISNUMBER(NORMSINV(SUM(AA$13:AA61)/AA$317)),NORMSINV(SUM(AA$13:AA61)/AA$317)," ")</f>
        <v>-3.4326963463022855</v>
      </c>
      <c r="AC61" s="46">
        <f t="shared" si="32"/>
        <v>1.7154471384568314E-3</v>
      </c>
      <c r="AD61" s="46">
        <f>IF(ISNUMBER(NORMSINV(SUM(AC$13:AC61)/AC$317)),NORMSINV(SUM(AC$13:AC61)/AC$317)," ")</f>
        <v>-2.495227885508049</v>
      </c>
      <c r="AE61" s="46">
        <f t="shared" si="33"/>
        <v>3.1206664876770843E-3</v>
      </c>
      <c r="AF61" s="46">
        <f>IF(ISNUMBER(NORMSINV(SUM(AE$13:AE61)/AE$317)),NORMSINV(SUM(AE$13:AE61)/AE$317)," ")</f>
        <v>-2.2001419595481422</v>
      </c>
      <c r="AG61" s="46">
        <f t="shared" si="34"/>
        <v>2.6624138966323801E-3</v>
      </c>
      <c r="AH61" s="46">
        <f>IF(ISNUMBER(NORMSINV(SUM(AG$13:AG61)/AG$317)),NORMSINV(SUM(AG$13:AG61)/AG$317)," ")</f>
        <v>-3.4481827356016552</v>
      </c>
      <c r="AI61" s="46">
        <f t="shared" si="35"/>
        <v>3.4307570411425867E-3</v>
      </c>
      <c r="AJ61" s="46">
        <f>IF(ISNUMBER(NORMSINV(SUM(AI$13:AI61)/AI$317)),NORMSINV(SUM(AI$13:AI61)/AI$317)," ")</f>
        <v>-2.5345562057818158</v>
      </c>
      <c r="AK61" s="46">
        <f t="shared" si="36"/>
        <v>5.3789704698658488E-3</v>
      </c>
      <c r="AL61" s="46">
        <f>IF(ISNUMBER(NORMSINV(SUM(AK$13:AK61)/AK$317)),NORMSINV(SUM(AK$13:AK61)/AK$317)," ")</f>
        <v>-2.0746048355192426</v>
      </c>
      <c r="AM61" s="6">
        <v>4.2672457520466264E-2</v>
      </c>
      <c r="AN61" s="6">
        <v>6.5270056639378307E-2</v>
      </c>
      <c r="AO61" s="6">
        <v>0.11777005663937831</v>
      </c>
      <c r="AP61" s="6">
        <v>3.9729943360621689E-2</v>
      </c>
      <c r="AQ61" s="6">
        <v>5.6250000000000001E-2</v>
      </c>
      <c r="AR61" s="6">
        <v>0.10232754247953373</v>
      </c>
      <c r="AS61" s="6">
        <v>4.365240088108796E-2</v>
      </c>
      <c r="AT61" s="6">
        <v>5.6250000000000001E-2</v>
      </c>
      <c r="AU61" s="6">
        <v>8.8192514159844554E-2</v>
      </c>
    </row>
    <row r="62" spans="1:47" x14ac:dyDescent="0.4">
      <c r="A62" s="6">
        <f t="shared" si="21"/>
        <v>-1.2230624884522268</v>
      </c>
      <c r="B62" s="6">
        <f>'Aerosol 1'!A66</f>
        <v>0.29432741099243476</v>
      </c>
      <c r="C62" t="b">
        <f t="shared" si="22"/>
        <v>0</v>
      </c>
      <c r="E62" s="46">
        <f>'Aerosol 1'!$P66</f>
        <v>2.1519055308576174E-2</v>
      </c>
      <c r="F62" s="46">
        <f>'Aerosol 2'!$P66</f>
        <v>2.1519055308576174E-2</v>
      </c>
      <c r="G62" s="46">
        <f>'Aerosol 3'!$P66</f>
        <v>2.1519055308576174E-2</v>
      </c>
      <c r="H62" s="46">
        <f t="shared" si="23"/>
        <v>6.4557165925728521E-2</v>
      </c>
      <c r="I62" s="46">
        <f>NORMSINV(SUM(H$13:H62)/H$317)</f>
        <v>-2.692603157278973</v>
      </c>
      <c r="J62" s="46">
        <f t="shared" si="18"/>
        <v>1.1620289866631134E-2</v>
      </c>
      <c r="K62" s="46">
        <f t="shared" si="19"/>
        <v>3.2278582962864261E-2</v>
      </c>
      <c r="L62" s="46">
        <f t="shared" si="20"/>
        <v>6.4554583639091501E-2</v>
      </c>
      <c r="M62" s="46">
        <f t="shared" si="24"/>
        <v>0.1084534564685869</v>
      </c>
      <c r="N62" s="46">
        <f>IF(ISNUMBER(NORMSINV(SUM(M$13:M62)/M$317)),NORMSINV(SUM(M$13:M62)/M$317)," ")</f>
        <v>-2.692603157278973</v>
      </c>
      <c r="O62" s="46">
        <f t="shared" si="25"/>
        <v>4.7387826644425153E-3</v>
      </c>
      <c r="P62" s="46">
        <f>IF(ISNUMBER(NORMSINV(SUM(O$13:O62)/O$317)),NORMSINV(SUM(O$13:O62)/O$317)," ")</f>
        <v>-3.411926059242957</v>
      </c>
      <c r="Q62" s="46">
        <f t="shared" si="26"/>
        <v>6.1899481759078289E-3</v>
      </c>
      <c r="R62" s="46">
        <f>IF(ISNUMBER(NORMSINV(SUM(Q$13:Q62)/Q$317)),NORMSINV(SUM(Q$13:Q62)/Q$317)," ")</f>
        <v>-2.4982703348307242</v>
      </c>
      <c r="S62" s="46">
        <f t="shared" si="27"/>
        <v>1.0314619209891081E-2</v>
      </c>
      <c r="T62" s="46">
        <f>IF(ISNUMBER(NORMSINV(SUM(S$13:S62)/S$317)),NORMSINV(SUM(S$13:S62)/S$317)," ")</f>
        <v>-2.1101302942558551</v>
      </c>
      <c r="U62" s="46">
        <f t="shared" si="28"/>
        <v>5.0330503363929253E-4</v>
      </c>
      <c r="V62" s="46">
        <f>IF(ISNUMBER(NORMSINV(SUM(U$13:U62)/U$317)),NORMSINV(SUM(U$13:U62)/U$317)," ")</f>
        <v>-3.3300624200200089</v>
      </c>
      <c r="W62" s="46">
        <f t="shared" si="29"/>
        <v>7.4914494794396018E-4</v>
      </c>
      <c r="X62" s="46">
        <f>IF(ISNUMBER(NORMSINV(SUM(W$13:W62)/W$317)),NORMSINV(SUM(W$13:W62)/W$317)," ")</f>
        <v>-2.4642328526317359</v>
      </c>
      <c r="Y62" s="46">
        <f t="shared" si="30"/>
        <v>1.3595739143958427E-3</v>
      </c>
      <c r="Z62" s="46">
        <f>IF(ISNUMBER(NORMSINV(SUM(Y$13:Y62)/Y$317)),NORMSINV(SUM(Y$13:Y62)/Y$317)," ")</f>
        <v>-2.134483170146376</v>
      </c>
      <c r="AA62" s="46">
        <f t="shared" si="31"/>
        <v>1.3123346718536134E-3</v>
      </c>
      <c r="AB62" s="46">
        <f>IF(ISNUMBER(NORMSINV(SUM(AA$13:AA62)/AA$317)),NORMSINV(SUM(AA$13:AA62)/AA$317)," ")</f>
        <v>-3.4124005297500237</v>
      </c>
      <c r="AC62" s="46">
        <f t="shared" si="32"/>
        <v>1.8116286421750263E-3</v>
      </c>
      <c r="AD62" s="46">
        <f>IF(ISNUMBER(NORMSINV(SUM(AC$13:AC62)/AC$317)),NORMSINV(SUM(AC$13:AC62)/AC$317)," ")</f>
        <v>-2.4771688083362089</v>
      </c>
      <c r="AE62" s="46">
        <f t="shared" si="33"/>
        <v>3.28030416698535E-3</v>
      </c>
      <c r="AF62" s="46">
        <f>IF(ISNUMBER(NORMSINV(SUM(AE$13:AE62)/AE$317)),NORMSINV(SUM(AE$13:AE62)/AE$317)," ")</f>
        <v>-2.1816536127371005</v>
      </c>
      <c r="AG62" s="46">
        <f t="shared" si="34"/>
        <v>2.9231429589496091E-3</v>
      </c>
      <c r="AH62" s="46">
        <f>IF(ISNUMBER(NORMSINV(SUM(AG$13:AG62)/AG$317)),NORMSINV(SUM(AG$13:AG62)/AG$317)," ")</f>
        <v>-3.4259460382472691</v>
      </c>
      <c r="AI62" s="46">
        <f t="shared" si="35"/>
        <v>3.6291745857888425E-3</v>
      </c>
      <c r="AJ62" s="46">
        <f>IF(ISNUMBER(NORMSINV(SUM(AI$13:AI62)/AI$317)),NORMSINV(SUM(AI$13:AI62)/AI$317)," ")</f>
        <v>-2.5157889889384872</v>
      </c>
      <c r="AK62" s="46">
        <f t="shared" si="36"/>
        <v>5.6747411285098873E-3</v>
      </c>
      <c r="AL62" s="46">
        <f>IF(ISNUMBER(NORMSINV(SUM(AK$13:AK62)/AK$317)),NORMSINV(SUM(AK$13:AK62)/AK$317)," ")</f>
        <v>-2.0557152123505533</v>
      </c>
      <c r="AM62" s="6">
        <v>4.3312605745282229E-2</v>
      </c>
      <c r="AN62" s="6">
        <v>6.4468697127358893E-2</v>
      </c>
      <c r="AO62" s="6">
        <v>0.11699999999999999</v>
      </c>
      <c r="AP62" s="6">
        <v>4.0656514363205568E-2</v>
      </c>
      <c r="AQ62" s="6">
        <v>5.6124788509435551E-2</v>
      </c>
      <c r="AR62" s="6">
        <v>0.10162478850943554</v>
      </c>
      <c r="AS62" s="6">
        <v>4.5281725853770022E-2</v>
      </c>
      <c r="AT62" s="6">
        <v>5.6218697127358892E-2</v>
      </c>
      <c r="AU62" s="6">
        <v>8.790609138207664E-2</v>
      </c>
    </row>
    <row r="63" spans="1:47" x14ac:dyDescent="0.4">
      <c r="A63" s="6">
        <f t="shared" si="21"/>
        <v>-1.1885839110210483</v>
      </c>
      <c r="B63" s="6">
        <f>'Aerosol 1'!A67</f>
        <v>0.30465237361861197</v>
      </c>
      <c r="C63" t="b">
        <f t="shared" si="22"/>
        <v>0</v>
      </c>
      <c r="E63" s="46">
        <f>'Aerosol 1'!$P67</f>
        <v>2.2766324108438325E-2</v>
      </c>
      <c r="F63" s="46">
        <f>'Aerosol 2'!$P67</f>
        <v>2.2766324108438325E-2</v>
      </c>
      <c r="G63" s="46">
        <f>'Aerosol 3'!$P67</f>
        <v>2.2766324108438325E-2</v>
      </c>
      <c r="H63" s="46">
        <f t="shared" si="23"/>
        <v>6.8298972325314983E-2</v>
      </c>
      <c r="I63" s="46">
        <f>NORMSINV(SUM(H$13:H63)/H$317)</f>
        <v>-2.6716792772614433</v>
      </c>
      <c r="J63" s="46">
        <f t="shared" si="18"/>
        <v>1.2293815018556696E-2</v>
      </c>
      <c r="K63" s="46">
        <f t="shared" si="19"/>
        <v>3.4149486162657491E-2</v>
      </c>
      <c r="L63" s="46">
        <f t="shared" si="20"/>
        <v>6.829624036642197E-2</v>
      </c>
      <c r="M63" s="46">
        <f t="shared" si="24"/>
        <v>0.11473954154763616</v>
      </c>
      <c r="N63" s="46">
        <f>IF(ISNUMBER(NORMSINV(SUM(M$13:M63)/M$317)),NORMSINV(SUM(M$13:M63)/M$317)," ")</f>
        <v>-2.6716792772614433</v>
      </c>
      <c r="O63" s="46">
        <f t="shared" si="25"/>
        <v>5.196376801433325E-3</v>
      </c>
      <c r="P63" s="46">
        <f>IF(ISNUMBER(NORMSINV(SUM(O$13:O63)/O$317)),NORMSINV(SUM(O$13:O63)/O$317)," ")</f>
        <v>-3.3902873651877039</v>
      </c>
      <c r="Q63" s="46">
        <f t="shared" si="26"/>
        <v>6.499436408042833E-3</v>
      </c>
      <c r="R63" s="46">
        <f>IF(ISNUMBER(NORMSINV(SUM(Q$13:Q63)/Q$317)),NORMSINV(SUM(Q$13:Q63)/Q$317)," ")</f>
        <v>-2.4798432498363869</v>
      </c>
      <c r="S63" s="46">
        <f t="shared" si="27"/>
        <v>1.0835488698229277E-2</v>
      </c>
      <c r="T63" s="46">
        <f>IF(ISNUMBER(NORMSINV(SUM(S$13:S63)/S$317)),NORMSINV(SUM(S$13:S63)/S$317)," ")</f>
        <v>-2.0911224223450313</v>
      </c>
      <c r="U63" s="46">
        <f t="shared" si="28"/>
        <v>5.3858247699204603E-4</v>
      </c>
      <c r="V63" s="46">
        <f>IF(ISNUMBER(NORMSINV(SUM(U$13:U63)/U$317)),NORMSINV(SUM(U$13:U63)/U$317)," ")</f>
        <v>-3.3113126582707393</v>
      </c>
      <c r="W63" s="46">
        <f t="shared" si="29"/>
        <v>7.8960458871844613E-4</v>
      </c>
      <c r="X63" s="46">
        <f>IF(ISNUMBER(NORMSINV(SUM(W$13:W63)/W$317)),NORMSINV(SUM(W$13:W63)/W$317)," ")</f>
        <v>-2.4466806523454547</v>
      </c>
      <c r="Y63" s="46">
        <f t="shared" si="30"/>
        <v>1.4381033309473119E-3</v>
      </c>
      <c r="Z63" s="46">
        <f>IF(ISNUMBER(NORMSINV(SUM(Y$13:Y63)/Y$317)),NORMSINV(SUM(Y$13:Y63)/Y$317)," ")</f>
        <v>-2.1144988581216362</v>
      </c>
      <c r="AA63" s="46">
        <f t="shared" si="31"/>
        <v>1.4277634637637018E-3</v>
      </c>
      <c r="AB63" s="46">
        <f>IF(ISNUMBER(NORMSINV(SUM(AA$13:AA63)/AA$317)),NORMSINV(SUM(AA$13:AA63)/AA$317)," ")</f>
        <v>-3.3918075479028547</v>
      </c>
      <c r="AC63" s="46">
        <f t="shared" si="32"/>
        <v>1.8867591104868265E-3</v>
      </c>
      <c r="AD63" s="46">
        <f>IF(ISNUMBER(NORMSINV(SUM(AC$13:AC63)/AC$317)),NORMSINV(SUM(AC$13:AC63)/AC$317)," ")</f>
        <v>-2.4591820042872223</v>
      </c>
      <c r="AE63" s="46">
        <f t="shared" si="33"/>
        <v>3.4405607308877423E-3</v>
      </c>
      <c r="AF63" s="46">
        <f>IF(ISNUMBER(NORMSINV(SUM(AE$13:AE63)/AE$317)),NORMSINV(SUM(AE$13:AE63)/AE$317)," ")</f>
        <v>-2.163031333373103</v>
      </c>
      <c r="AG63" s="46">
        <f t="shared" si="34"/>
        <v>3.230030860677577E-3</v>
      </c>
      <c r="AH63" s="46">
        <f>IF(ISNUMBER(NORMSINV(SUM(AG$13:AG63)/AG$317)),NORMSINV(SUM(AG$13:AG63)/AG$317)," ")</f>
        <v>-3.4031972220340512</v>
      </c>
      <c r="AI63" s="46">
        <f t="shared" si="35"/>
        <v>3.8230727088375605E-3</v>
      </c>
      <c r="AJ63" s="46">
        <f>IF(ISNUMBER(NORMSINV(SUM(AI$13:AI63)/AI$317)),NORMSINV(SUM(AI$13:AI63)/AI$317)," ")</f>
        <v>-2.4969329029458747</v>
      </c>
      <c r="AK63" s="46">
        <f t="shared" si="36"/>
        <v>5.9568246363942224E-3</v>
      </c>
      <c r="AL63" s="46">
        <f>IF(ISNUMBER(NORMSINV(SUM(AK$13:AK63)/AK$317)),NORMSINV(SUM(AK$13:AK63)/AK$317)," ")</f>
        <v>-2.0366453442795684</v>
      </c>
      <c r="AM63" s="6">
        <v>4.3809222456909561E-2</v>
      </c>
      <c r="AN63" s="6">
        <v>6.4227791578658905E-2</v>
      </c>
      <c r="AO63" s="6">
        <v>0.11697779157865891</v>
      </c>
      <c r="AP63" s="6">
        <v>4.1809222456909559E-2</v>
      </c>
      <c r="AQ63" s="6">
        <v>5.525E-2</v>
      </c>
      <c r="AR63" s="6">
        <v>0.10075000000000001</v>
      </c>
      <c r="AS63" s="6">
        <v>4.7294416842682166E-2</v>
      </c>
      <c r="AT63" s="6">
        <v>5.5977791578658911E-2</v>
      </c>
      <c r="AU63" s="6">
        <v>8.7220388771545199E-2</v>
      </c>
    </row>
    <row r="64" spans="1:47" x14ac:dyDescent="0.4">
      <c r="A64" s="6">
        <f t="shared" si="21"/>
        <v>-1.1541053335898699</v>
      </c>
      <c r="B64" s="6">
        <f>'Aerosol 1'!A68</f>
        <v>0.31533953442698531</v>
      </c>
      <c r="C64" t="b">
        <f t="shared" si="22"/>
        <v>0</v>
      </c>
      <c r="E64" s="46">
        <f>'Aerosol 1'!$P68</f>
        <v>2.4075354548544349E-2</v>
      </c>
      <c r="F64" s="46">
        <f>'Aerosol 2'!$P68</f>
        <v>2.4075354548544349E-2</v>
      </c>
      <c r="G64" s="46">
        <f>'Aerosol 3'!$P68</f>
        <v>2.4075354548544349E-2</v>
      </c>
      <c r="H64" s="46">
        <f t="shared" si="23"/>
        <v>7.2226063645633054E-2</v>
      </c>
      <c r="I64" s="46">
        <f>NORMSINV(SUM(H$13:H64)/H$317)</f>
        <v>-2.6507552670705641</v>
      </c>
      <c r="J64" s="46">
        <f t="shared" si="18"/>
        <v>1.3000691456213949E-2</v>
      </c>
      <c r="K64" s="46">
        <f t="shared" si="19"/>
        <v>3.6113031822816527E-2</v>
      </c>
      <c r="L64" s="46">
        <f t="shared" si="20"/>
        <v>7.222317460308722E-2</v>
      </c>
      <c r="M64" s="46">
        <f t="shared" si="24"/>
        <v>0.1213368978821177</v>
      </c>
      <c r="N64" s="46">
        <f>IF(ISNUMBER(NORMSINV(SUM(M$13:M64)/M$317)),NORMSINV(SUM(M$13:M64)/M$317)," ")</f>
        <v>-2.6507552670705641</v>
      </c>
      <c r="O64" s="46">
        <f t="shared" si="25"/>
        <v>5.6806704316261407E-3</v>
      </c>
      <c r="P64" s="46">
        <f>IF(ISNUMBER(NORMSINV(SUM(O$13:O64)/O$317)),NORMSINV(SUM(O$13:O64)/O$317)," ")</f>
        <v>-3.368317613381814</v>
      </c>
      <c r="Q64" s="46">
        <f t="shared" si="26"/>
        <v>6.8157410899845868E-3</v>
      </c>
      <c r="R64" s="46">
        <f>IF(ISNUMBER(NORMSINV(SUM(Q$13:Q64)/Q$317)),NORMSINV(SUM(Q$13:Q64)/Q$317)," ")</f>
        <v>-2.4613832716069179</v>
      </c>
      <c r="S64" s="46">
        <f t="shared" si="27"/>
        <v>1.1384894503827001E-2</v>
      </c>
      <c r="T64" s="46">
        <f>IF(ISNUMBER(NORMSINV(SUM(S$13:S64)/S$317)),NORMSINV(SUM(S$13:S64)/S$317)," ")</f>
        <v>-2.0719326578214483</v>
      </c>
      <c r="U64" s="46">
        <f t="shared" si="28"/>
        <v>5.929015253111229E-4</v>
      </c>
      <c r="V64" s="46">
        <f>IF(ISNUMBER(NORMSINV(SUM(U$13:U64)/U$317)),NORMSINV(SUM(U$13:U64)/U$317)," ")</f>
        <v>-3.2919346805288874</v>
      </c>
      <c r="W64" s="46">
        <f t="shared" si="29"/>
        <v>8.2624894827358533E-4</v>
      </c>
      <c r="X64" s="46">
        <f>IF(ISNUMBER(NORMSINV(SUM(W$13:W64)/W$317)),NORMSINV(SUM(W$13:W64)/W$317)," ")</f>
        <v>-2.4290868173509823</v>
      </c>
      <c r="Y64" s="46">
        <f t="shared" si="30"/>
        <v>1.5120354225888709E-3</v>
      </c>
      <c r="Z64" s="46">
        <f>IF(ISNUMBER(NORMSINV(SUM(Y$13:Y64)/Y$317)),NORMSINV(SUM(Y$13:Y64)/Y$317)," ")</f>
        <v>-2.0943598211179983</v>
      </c>
      <c r="AA64" s="46">
        <f t="shared" si="31"/>
        <v>1.5747226177741528E-3</v>
      </c>
      <c r="AB64" s="46">
        <f>IF(ISNUMBER(NORMSINV(SUM(AA$13:AA64)/AA$317)),NORMSINV(SUM(AA$13:AA64)/AA$317)," ")</f>
        <v>-3.3706476747605985</v>
      </c>
      <c r="AC64" s="46">
        <f t="shared" si="32"/>
        <v>1.9952450082106133E-3</v>
      </c>
      <c r="AD64" s="46">
        <f>IF(ISNUMBER(NORMSINV(SUM(AC$13:AC64)/AC$317)),NORMSINV(SUM(AC$13:AC64)/AC$317)," ")</f>
        <v>-2.4409886138063333</v>
      </c>
      <c r="AE64" s="46">
        <f t="shared" si="33"/>
        <v>3.6383879561487655E-3</v>
      </c>
      <c r="AF64" s="46">
        <f>IF(ISNUMBER(NORMSINV(SUM(AE$13:AE64)/AE$317)),NORMSINV(SUM(AE$13:AE64)/AE$317)," ")</f>
        <v>-2.1441216449171003</v>
      </c>
      <c r="AG64" s="46">
        <f t="shared" si="34"/>
        <v>3.5130462885408649E-3</v>
      </c>
      <c r="AH64" s="46">
        <f>IF(ISNUMBER(NORMSINV(SUM(AG$13:AG64)/AG$317)),NORMSINV(SUM(AG$13:AG64)/AG$317)," ")</f>
        <v>-3.3803039792628486</v>
      </c>
      <c r="AI64" s="46">
        <f t="shared" si="35"/>
        <v>3.9942471335003881E-3</v>
      </c>
      <c r="AJ64" s="46">
        <f>IF(ISNUMBER(NORMSINV(SUM(AI$13:AI64)/AI$317)),NORMSINV(SUM(AI$13:AI64)/AI$317)," ")</f>
        <v>-2.4781371506077714</v>
      </c>
      <c r="AK64" s="46">
        <f t="shared" si="36"/>
        <v>6.2344711250893643E-3</v>
      </c>
      <c r="AL64" s="46">
        <f>IF(ISNUMBER(NORMSINV(SUM(AK$13:AK64)/AK$317)),NORMSINV(SUM(AK$13:AK64)/AK$317)," ")</f>
        <v>-2.0174493833024618</v>
      </c>
      <c r="AM64" s="6">
        <v>4.5605383937308452E-2</v>
      </c>
      <c r="AN64" s="6">
        <v>6.3554231023509336E-2</v>
      </c>
      <c r="AO64" s="6">
        <v>0.11630423102350933</v>
      </c>
      <c r="AP64" s="6">
        <v>4.3605383937308451E-2</v>
      </c>
      <c r="AQ64" s="6">
        <v>5.525E-2</v>
      </c>
      <c r="AR64" s="6">
        <v>0.10075000000000001</v>
      </c>
      <c r="AS64" s="6">
        <v>4.8641537952981338E-2</v>
      </c>
      <c r="AT64" s="6">
        <v>5.5304231023509336E-2</v>
      </c>
      <c r="AU64" s="6">
        <v>8.6322308031345774E-2</v>
      </c>
    </row>
    <row r="65" spans="1:47" x14ac:dyDescent="0.4">
      <c r="A65" s="6">
        <f t="shared" si="21"/>
        <v>-1.119626756158691</v>
      </c>
      <c r="B65" s="6">
        <f>'Aerosol 1'!A69</f>
        <v>0.32640159927693047</v>
      </c>
      <c r="C65" t="b">
        <f t="shared" si="22"/>
        <v>0</v>
      </c>
      <c r="E65" s="46">
        <f>'Aerosol 1'!$P69</f>
        <v>2.5448520184633699E-2</v>
      </c>
      <c r="F65" s="46">
        <f>'Aerosol 2'!$P69</f>
        <v>2.5448520184633699E-2</v>
      </c>
      <c r="G65" s="46">
        <f>'Aerosol 3'!$P69</f>
        <v>2.5448520184633699E-2</v>
      </c>
      <c r="H65" s="46">
        <f t="shared" si="23"/>
        <v>7.6345560553901098E-2</v>
      </c>
      <c r="I65" s="46">
        <f>NORMSINV(SUM(H$13:H65)/H$317)</f>
        <v>-2.6298311244725943</v>
      </c>
      <c r="J65" s="46">
        <f t="shared" si="18"/>
        <v>1.3742200899702199E-2</v>
      </c>
      <c r="K65" s="46">
        <f t="shared" si="19"/>
        <v>3.8172780276950549E-2</v>
      </c>
      <c r="L65" s="46">
        <f t="shared" si="20"/>
        <v>7.6342506731478951E-2</v>
      </c>
      <c r="M65" s="46">
        <f t="shared" si="24"/>
        <v>0.12825748790813168</v>
      </c>
      <c r="N65" s="46">
        <f>IF(ISNUMBER(NORMSINV(SUM(M$13:M65)/M$317)),NORMSINV(SUM(M$13:M65)/M$317)," ")</f>
        <v>-2.6298311244725943</v>
      </c>
      <c r="O65" s="46">
        <f t="shared" si="25"/>
        <v>6.1803084063436816E-3</v>
      </c>
      <c r="P65" s="46">
        <f>IF(ISNUMBER(NORMSINV(SUM(O$13:O65)/O$317)),NORMSINV(SUM(O$13:O65)/O$317)," ")</f>
        <v>-3.3461286445779135</v>
      </c>
      <c r="Q65" s="46">
        <f t="shared" si="26"/>
        <v>7.1568884099570138E-3</v>
      </c>
      <c r="R65" s="46">
        <f>IF(ISNUMBER(NORMSINV(SUM(Q$13:Q65)/Q$317)),NORMSINV(SUM(Q$13:Q65)/Q$317)," ")</f>
        <v>-2.4428617419164143</v>
      </c>
      <c r="S65" s="46">
        <f t="shared" si="27"/>
        <v>1.196014651218268E-2</v>
      </c>
      <c r="T65" s="46">
        <f>IF(ISNUMBER(NORMSINV(SUM(S$13:S65)/S$317)),NORMSINV(SUM(S$13:S65)/S$317)," ")</f>
        <v>-2.0525626832274493</v>
      </c>
      <c r="U65" s="46">
        <f t="shared" si="28"/>
        <v>6.3153215137834809E-4</v>
      </c>
      <c r="V65" s="46">
        <f>IF(ISNUMBER(NORMSINV(SUM(U$13:U65)/U$317)),NORMSINV(SUM(U$13:U65)/U$317)," ")</f>
        <v>-3.2725692502622321</v>
      </c>
      <c r="W65" s="46">
        <f t="shared" si="29"/>
        <v>8.6132391626319985E-4</v>
      </c>
      <c r="X65" s="46">
        <f>IF(ISNUMBER(NORMSINV(SUM(W$13:W65)/W$317)),NORMSINV(SUM(W$13:W65)/W$317)," ")</f>
        <v>-2.4115129749993844</v>
      </c>
      <c r="Y65" s="46">
        <f t="shared" si="30"/>
        <v>1.6003573148073533E-3</v>
      </c>
      <c r="Z65" s="46">
        <f>IF(ISNUMBER(NORMSINV(SUM(Y$13:Y65)/Y$317)),NORMSINV(SUM(Y$13:Y65)/Y$317)," ")</f>
        <v>-2.0739309398029468</v>
      </c>
      <c r="AA65" s="46">
        <f t="shared" si="31"/>
        <v>1.6857616938775446E-3</v>
      </c>
      <c r="AB65" s="46">
        <f>IF(ISNUMBER(NORMSINV(SUM(AA$13:AA65)/AA$317)),NORMSINV(SUM(AA$13:AA65)/AA$317)," ")</f>
        <v>-3.3495526895240784</v>
      </c>
      <c r="AC65" s="46">
        <f t="shared" si="32"/>
        <v>2.0776409967796015E-3</v>
      </c>
      <c r="AD65" s="46">
        <f>IF(ISNUMBER(NORMSINV(SUM(AC$13:AC65)/AC$317)),NORMSINV(SUM(AC$13:AC65)/AC$317)," ")</f>
        <v>-2.4228652546569691</v>
      </c>
      <c r="AE65" s="46">
        <f t="shared" si="33"/>
        <v>3.8223537777613307E-3</v>
      </c>
      <c r="AF65" s="46">
        <f>IF(ISNUMBER(NORMSINV(SUM(AE$13:AE65)/AE$317)),NORMSINV(SUM(AE$13:AE65)/AE$317)," ")</f>
        <v>-2.1250485011295281</v>
      </c>
      <c r="AG65" s="46">
        <f t="shared" si="34"/>
        <v>3.8630145610877892E-3</v>
      </c>
      <c r="AH65" s="46">
        <f>IF(ISNUMBER(NORMSINV(SUM(AG$13:AG65)/AG$317)),NORMSINV(SUM(AG$13:AG65)/AG$317)," ")</f>
        <v>-3.3570201810032936</v>
      </c>
      <c r="AI65" s="46">
        <f t="shared" si="35"/>
        <v>4.2179234969142122E-3</v>
      </c>
      <c r="AJ65" s="46">
        <f>IF(ISNUMBER(NORMSINV(SUM(AI$13:AI65)/AI$317)),NORMSINV(SUM(AI$13:AI65)/AI$317)," ")</f>
        <v>-2.4591955523178552</v>
      </c>
      <c r="AK65" s="46">
        <f t="shared" si="36"/>
        <v>6.5374354196139966E-3</v>
      </c>
      <c r="AL65" s="46">
        <f>IF(ISNUMBER(NORMSINV(SUM(AK$13:AK65)/AK$317)),NORMSINV(SUM(AK$13:AK65)/AK$317)," ")</f>
        <v>-1.9980884177867273</v>
      </c>
      <c r="AM65" s="6">
        <v>4.5955677404776824E-2</v>
      </c>
      <c r="AN65" s="6">
        <v>6.2677290380892717E-2</v>
      </c>
      <c r="AO65" s="6">
        <v>0.11645567740477683</v>
      </c>
      <c r="AP65" s="6">
        <v>4.4161354809553646E-2</v>
      </c>
      <c r="AQ65" s="6">
        <v>5.4427290380892709E-2</v>
      </c>
      <c r="AR65" s="6">
        <v>0.10013296778566953</v>
      </c>
      <c r="AS65" s="6">
        <v>5.0601096642991415E-2</v>
      </c>
      <c r="AT65" s="6">
        <v>5.525E-2</v>
      </c>
      <c r="AU65" s="6">
        <v>8.5632967785669534E-2</v>
      </c>
    </row>
    <row r="66" spans="1:47" x14ac:dyDescent="0.4">
      <c r="A66" s="6">
        <f t="shared" si="21"/>
        <v>-1.0851481787275123</v>
      </c>
      <c r="B66" s="6">
        <f>'Aerosol 1'!A70</f>
        <v>0.3378517197475156</v>
      </c>
      <c r="C66" t="b">
        <f t="shared" si="22"/>
        <v>0</v>
      </c>
      <c r="E66" s="46">
        <f>'Aerosol 1'!$P70</f>
        <v>2.6888243972526468E-2</v>
      </c>
      <c r="F66" s="46">
        <f>'Aerosol 2'!$P70</f>
        <v>2.6888243972526468E-2</v>
      </c>
      <c r="G66" s="46">
        <f>'Aerosol 3'!$P70</f>
        <v>2.6888243972526468E-2</v>
      </c>
      <c r="H66" s="46">
        <f t="shared" si="23"/>
        <v>8.0664731917579405E-2</v>
      </c>
      <c r="I66" s="46">
        <f>NORMSINV(SUM(H$13:H66)/H$317)</f>
        <v>-2.6089068471850672</v>
      </c>
      <c r="J66" s="46">
        <f t="shared" si="18"/>
        <v>1.4519651745164295E-2</v>
      </c>
      <c r="K66" s="46">
        <f t="shared" si="19"/>
        <v>4.0332365958789702E-2</v>
      </c>
      <c r="L66" s="46">
        <f t="shared" si="20"/>
        <v>8.0661505328302699E-2</v>
      </c>
      <c r="M66" s="46">
        <f t="shared" si="24"/>
        <v>0.13551352303225669</v>
      </c>
      <c r="N66" s="46">
        <f>IF(ISNUMBER(NORMSINV(SUM(M$13:M66)/M$317)),NORMSINV(SUM(M$13:M66)/M$317)," ")</f>
        <v>-2.6089068471850672</v>
      </c>
      <c r="O66" s="46">
        <f t="shared" si="25"/>
        <v>6.8041122484469377E-3</v>
      </c>
      <c r="P66" s="46">
        <f>IF(ISNUMBER(NORMSINV(SUM(O$13:O66)/O$317)),NORMSINV(SUM(O$13:O66)/O$317)," ")</f>
        <v>-3.3234661430058581</v>
      </c>
      <c r="Q66" s="46">
        <f t="shared" si="26"/>
        <v>7.5375948993283487E-3</v>
      </c>
      <c r="R66" s="46">
        <f>IF(ISNUMBER(NORMSINV(SUM(Q$13:Q66)/Q$317)),NORMSINV(SUM(Q$13:Q66)/Q$317)," ")</f>
        <v>-2.424220601710998</v>
      </c>
      <c r="S66" s="46">
        <f t="shared" si="27"/>
        <v>1.262133472976049E-2</v>
      </c>
      <c r="T66" s="46">
        <f>IF(ISNUMBER(NORMSINV(SUM(S$13:S66)/S$317)),NORMSINV(SUM(S$13:S66)/S$317)," ")</f>
        <v>-2.0329240222330363</v>
      </c>
      <c r="U66" s="46">
        <f t="shared" si="28"/>
        <v>6.8873060799504377E-4</v>
      </c>
      <c r="V66" s="46">
        <f>IF(ISNUMBER(NORMSINV(SUM(U$13:U66)/U$317)),NORMSINV(SUM(U$13:U66)/U$317)," ")</f>
        <v>-3.2527611868008091</v>
      </c>
      <c r="W66" s="46">
        <f t="shared" si="29"/>
        <v>9.0747823407276841E-4</v>
      </c>
      <c r="X66" s="46">
        <f>IF(ISNUMBER(NORMSINV(SUM(W$13:W66)/W$317)),NORMSINV(SUM(W$13:W66)/W$317)," ")</f>
        <v>-2.3937693396457052</v>
      </c>
      <c r="Y66" s="46">
        <f t="shared" si="30"/>
        <v>1.6915394283116404E-3</v>
      </c>
      <c r="Z66" s="46">
        <f>IF(ISNUMBER(NORMSINV(SUM(Y$13:Y66)/Y$317)),NORMSINV(SUM(Y$13:Y66)/Y$317)," ")</f>
        <v>-2.053239445755032</v>
      </c>
      <c r="AA66" s="46">
        <f t="shared" si="31"/>
        <v>1.8425589373361282E-3</v>
      </c>
      <c r="AB66" s="46">
        <f>IF(ISNUMBER(NORMSINV(SUM(AA$13:AA66)/AA$317)),NORMSINV(SUM(AA$13:AA66)/AA$317)," ")</f>
        <v>-3.3280821172430661</v>
      </c>
      <c r="AC66" s="46">
        <f t="shared" si="32"/>
        <v>2.1880308532643412E-3</v>
      </c>
      <c r="AD66" s="46">
        <f>IF(ISNUMBER(NORMSINV(SUM(AC$13:AC66)/AC$317)),NORMSINV(SUM(AC$13:AC66)/AC$317)," ")</f>
        <v>-2.404601994145517</v>
      </c>
      <c r="AE66" s="46">
        <f t="shared" si="33"/>
        <v>4.0332365958789702E-3</v>
      </c>
      <c r="AF66" s="46">
        <f>IF(ISNUMBER(NORMSINV(SUM(AE$13:AE66)/AE$317)),NORMSINV(SUM(AE$13:AE66)/AE$317)," ")</f>
        <v>-2.1057275430155795</v>
      </c>
      <c r="AG66" s="46">
        <f t="shared" si="34"/>
        <v>4.272822703115766E-3</v>
      </c>
      <c r="AH66" s="46">
        <f>IF(ISNUMBER(NORMSINV(SUM(AG$13:AG66)/AG$317)),NORMSINV(SUM(AG$13:AG66)/AG$317)," ")</f>
        <v>-3.3332232772859824</v>
      </c>
      <c r="AI66" s="46">
        <f t="shared" si="35"/>
        <v>4.4420858119912391E-3</v>
      </c>
      <c r="AJ66" s="46">
        <f>IF(ISNUMBER(NORMSINV(SUM(AI$13:AI66)/AI$317)),NORMSINV(SUM(AI$13:AI66)/AI$317)," ")</f>
        <v>-2.4401574397831216</v>
      </c>
      <c r="AK66" s="46">
        <f t="shared" si="36"/>
        <v>6.89655870556988E-3</v>
      </c>
      <c r="AL66" s="46">
        <f>IF(ISNUMBER(NORMSINV(SUM(AK$13:AK66)/AK$317)),NORMSINV(SUM(AK$13:AK66)/AK$317)," ")</f>
        <v>-1.9784444533142971</v>
      </c>
      <c r="AM66" s="6">
        <v>4.7434375154653582E-2</v>
      </c>
      <c r="AN66" s="6">
        <v>6.25E-2</v>
      </c>
      <c r="AO66" s="6">
        <v>0.11650000000000001</v>
      </c>
      <c r="AP66" s="6">
        <v>4.5684375154653581E-2</v>
      </c>
      <c r="AQ66" s="6">
        <v>5.425E-2</v>
      </c>
      <c r="AR66" s="6">
        <v>0.1</v>
      </c>
      <c r="AS66" s="6">
        <v>5.2972265837648677E-2</v>
      </c>
      <c r="AT66" s="6">
        <v>5.5070703105668299E-2</v>
      </c>
      <c r="AU66" s="6">
        <v>8.5499999999999993E-2</v>
      </c>
    </row>
    <row r="67" spans="1:47" x14ac:dyDescent="0.4">
      <c r="A67" s="6">
        <f t="shared" si="21"/>
        <v>-1.0506696012963337</v>
      </c>
      <c r="B67" s="6">
        <f>'Aerosol 1'!A71</f>
        <v>0.34970350877328349</v>
      </c>
      <c r="C67" t="b">
        <f t="shared" si="22"/>
        <v>0</v>
      </c>
      <c r="E67" s="46">
        <f>'Aerosol 1'!$P71</f>
        <v>2.8396996728339164E-2</v>
      </c>
      <c r="F67" s="46">
        <f>'Aerosol 2'!$P71</f>
        <v>2.8396996728339164E-2</v>
      </c>
      <c r="G67" s="46">
        <f>'Aerosol 3'!$P71</f>
        <v>2.8396996728339164E-2</v>
      </c>
      <c r="H67" s="46">
        <f t="shared" si="23"/>
        <v>8.5190990185017496E-2</v>
      </c>
      <c r="I67" s="46">
        <f>NORMSINV(SUM(H$13:H67)/H$317)</f>
        <v>-2.5879824328755143</v>
      </c>
      <c r="J67" s="46">
        <f t="shared" si="18"/>
        <v>1.533437823330315E-2</v>
      </c>
      <c r="K67" s="46">
        <f t="shared" si="19"/>
        <v>4.2595495092508748E-2</v>
      </c>
      <c r="L67" s="46">
        <f t="shared" si="20"/>
        <v>8.518758254541009E-2</v>
      </c>
      <c r="M67" s="46">
        <f t="shared" si="24"/>
        <v>0.14311745587122199</v>
      </c>
      <c r="N67" s="46">
        <f>IF(ISNUMBER(NORMSINV(SUM(M$13:M67)/M$317)),NORMSINV(SUM(M$13:M67)/M$317)," ")</f>
        <v>-2.5879824328755143</v>
      </c>
      <c r="O67" s="46">
        <f t="shared" si="25"/>
        <v>7.4811798544653632E-3</v>
      </c>
      <c r="P67" s="46">
        <f>IF(ISNUMBER(NORMSINV(SUM(O$13:O67)/O$317)),NORMSINV(SUM(O$13:O67)/O$317)," ")</f>
        <v>-3.3003729306452523</v>
      </c>
      <c r="Q67" s="46">
        <f t="shared" si="26"/>
        <v>7.8793817368699275E-3</v>
      </c>
      <c r="R67" s="46">
        <f>IF(ISNUMBER(NORMSINV(SUM(Q$13:Q67)/Q$317)),NORMSINV(SUM(Q$13:Q67)/Q$317)," ")</f>
        <v>-2.405594815205331</v>
      </c>
      <c r="S67" s="46">
        <f t="shared" si="27"/>
        <v>1.3292499355950688E-2</v>
      </c>
      <c r="T67" s="46">
        <f>IF(ISNUMBER(NORMSINV(SUM(S$13:S67)/S$317)),NORMSINV(SUM(S$13:S67)/S$317)," ")</f>
        <v>-2.0130551406957595</v>
      </c>
      <c r="U67" s="46">
        <f t="shared" si="28"/>
        <v>7.5496680277294971E-4</v>
      </c>
      <c r="V67" s="46">
        <f>IF(ISNUMBER(NORMSINV(SUM(U$13:U67)/U$317)),NORMSINV(SUM(U$13:U67)/U$317)," ")</f>
        <v>-3.2324207224208514</v>
      </c>
      <c r="W67" s="46">
        <f t="shared" si="29"/>
        <v>9.4894031579424774E-4</v>
      </c>
      <c r="X67" s="46">
        <f>IF(ISNUMBER(NORMSINV(SUM(W$13:W67)/W$317)),NORMSINV(SUM(W$13:W67)/W$317)," ")</f>
        <v>-2.3759873844738357</v>
      </c>
      <c r="Y67" s="46">
        <f t="shared" si="30"/>
        <v>1.7888196451266171E-3</v>
      </c>
      <c r="Z67" s="46">
        <f>IF(ISNUMBER(NORMSINV(SUM(Y$13:Y67)/Y$317)),NORMSINV(SUM(Y$13:Y67)/Y$317)," ")</f>
        <v>-2.0322740075284469</v>
      </c>
      <c r="AA67" s="46">
        <f t="shared" si="31"/>
        <v>2.0291561716985242E-3</v>
      </c>
      <c r="AB67" s="46">
        <f>IF(ISNUMBER(NORMSINV(SUM(AA$13:AA67)/AA$317)),NORMSINV(SUM(AA$13:AA67)/AA$317)," ")</f>
        <v>-3.3060871079478509</v>
      </c>
      <c r="AC67" s="46">
        <f t="shared" si="32"/>
        <v>2.2845324871374906E-3</v>
      </c>
      <c r="AD67" s="46">
        <f>IF(ISNUMBER(NORMSINV(SUM(AC$13:AC67)/AC$317)),NORMSINV(SUM(AC$13:AC67)/AC$317)," ")</f>
        <v>-2.386352224820619</v>
      </c>
      <c r="AE67" s="46">
        <f t="shared" si="33"/>
        <v>4.2595495092508746E-3</v>
      </c>
      <c r="AF67" s="46">
        <f>IF(ISNUMBER(NORMSINV(SUM(AE$13:AE67)/AE$317)),NORMSINV(SUM(AE$13:AE67)/AE$317)," ")</f>
        <v>-2.086141408695704</v>
      </c>
      <c r="AG67" s="46">
        <f t="shared" si="34"/>
        <v>4.6970568799938892E-3</v>
      </c>
      <c r="AH67" s="46">
        <f>IF(ISNUMBER(NORMSINV(SUM(AG$13:AG67)/AG$317)),NORMSINV(SUM(AG$13:AG67)/AG$317)," ")</f>
        <v>-3.309072755232533</v>
      </c>
      <c r="AI67" s="46">
        <f t="shared" si="35"/>
        <v>4.6459089339381896E-3</v>
      </c>
      <c r="AJ67" s="46">
        <f>IF(ISNUMBER(NORMSINV(SUM(AI$13:AI67)/AI$317)),NORMSINV(SUM(AI$13:AI67)/AI$317)," ")</f>
        <v>-2.4211489162993396</v>
      </c>
      <c r="AK67" s="46">
        <f t="shared" si="36"/>
        <v>7.2441302015731979E-3</v>
      </c>
      <c r="AL67" s="46">
        <f>IF(ISNUMBER(NORMSINV(SUM(AK$13:AK67)/AK$317)),NORMSINV(SUM(AK$13:AK67)/AK$317)," ")</f>
        <v>-1.9586009138793234</v>
      </c>
      <c r="AM67" s="6">
        <v>4.9233610341847145E-2</v>
      </c>
      <c r="AN67" s="6">
        <v>6.1883194829076435E-2</v>
      </c>
      <c r="AO67" s="6">
        <v>0.11665420129273091</v>
      </c>
      <c r="AP67" s="6">
        <v>4.7637811634578024E-2</v>
      </c>
      <c r="AQ67" s="6">
        <v>5.3633194829076428E-2</v>
      </c>
      <c r="AR67" s="6">
        <v>0.1</v>
      </c>
      <c r="AS67" s="6">
        <v>5.5137811634578038E-2</v>
      </c>
      <c r="AT67" s="6">
        <v>5.4537396121807323E-2</v>
      </c>
      <c r="AU67" s="6">
        <v>8.5037396121807329E-2</v>
      </c>
    </row>
    <row r="68" spans="1:47" x14ac:dyDescent="0.4">
      <c r="A68" s="6">
        <f t="shared" si="21"/>
        <v>-1.0161910238651548</v>
      </c>
      <c r="B68" s="6">
        <f>'Aerosol 1'!A72</f>
        <v>0.3619710568285342</v>
      </c>
      <c r="C68" t="b">
        <f t="shared" si="22"/>
        <v>0</v>
      </c>
      <c r="E68" s="46">
        <f>'Aerosol 1'!$P72</f>
        <v>2.9977295393686116E-2</v>
      </c>
      <c r="F68" s="46">
        <f>'Aerosol 2'!$P72</f>
        <v>2.9977295393686116E-2</v>
      </c>
      <c r="G68" s="46">
        <f>'Aerosol 3'!$P72</f>
        <v>2.9977295393686116E-2</v>
      </c>
      <c r="H68" s="46">
        <f t="shared" si="23"/>
        <v>8.9931886181058351E-2</v>
      </c>
      <c r="I68" s="46">
        <f>NORMSINV(SUM(H$13:H68)/H$317)</f>
        <v>-2.5670578791601555</v>
      </c>
      <c r="J68" s="46">
        <f t="shared" si="18"/>
        <v>1.6187739512590504E-2</v>
      </c>
      <c r="K68" s="46">
        <f t="shared" si="19"/>
        <v>4.4965943090529176E-2</v>
      </c>
      <c r="L68" s="46">
        <f t="shared" si="20"/>
        <v>8.9928288905611109E-2</v>
      </c>
      <c r="M68" s="46">
        <f t="shared" si="24"/>
        <v>0.15108197150873079</v>
      </c>
      <c r="N68" s="46">
        <f>IF(ISNUMBER(NORMSINV(SUM(M$13:M68)/M$317)),NORMSINV(SUM(M$13:M68)/M$317)," ")</f>
        <v>-2.5670578791601555</v>
      </c>
      <c r="O68" s="46">
        <f t="shared" si="25"/>
        <v>8.2686319228246572E-3</v>
      </c>
      <c r="P68" s="46">
        <f>IF(ISNUMBER(NORMSINV(SUM(O$13:O68)/O$317)),NORMSINV(SUM(O$13:O68)/O$317)," ")</f>
        <v>-3.2767430558277066</v>
      </c>
      <c r="Q68" s="46">
        <f t="shared" si="26"/>
        <v>8.2685921227243983E-3</v>
      </c>
      <c r="R68" s="46">
        <f>IF(ISNUMBER(NORMSINV(SUM(Q$13:Q68)/Q$317)),NORMSINV(SUM(Q$13:Q68)/Q$317)," ")</f>
        <v>-2.386906807840619</v>
      </c>
      <c r="S68" s="46">
        <f t="shared" si="27"/>
        <v>1.4018374518586375E-2</v>
      </c>
      <c r="T68" s="46">
        <f>IF(ISNUMBER(NORMSINV(SUM(S$13:S68)/S$317)),NORMSINV(SUM(S$13:S68)/S$317)," ")</f>
        <v>-1.9929280233727868</v>
      </c>
      <c r="U68" s="46">
        <f t="shared" si="28"/>
        <v>8.1982611231750139E-4</v>
      </c>
      <c r="V68" s="46">
        <f>IF(ISNUMBER(NORMSINV(SUM(U$13:U68)/U$317)),NORMSINV(SUM(U$13:U68)/U$317)," ")</f>
        <v>-3.2117494328834622</v>
      </c>
      <c r="W68" s="46">
        <f t="shared" si="29"/>
        <v>9.9554598002431606E-4</v>
      </c>
      <c r="X68" s="46">
        <f>IF(ISNUMBER(NORMSINV(SUM(W$13:W68)/W$317)),NORMSINV(SUM(W$13:W68)/W$317)," ")</f>
        <v>-2.3581059570529157</v>
      </c>
      <c r="Y68" s="46">
        <f t="shared" si="30"/>
        <v>1.9003577247829176E-3</v>
      </c>
      <c r="Z68" s="46">
        <f>IF(ISNUMBER(NORMSINV(SUM(Y$13:Y68)/Y$317)),NORMSINV(SUM(Y$13:Y68)/Y$317)," ")</f>
        <v>-2.0109383601223216</v>
      </c>
      <c r="AA68" s="46">
        <f t="shared" si="31"/>
        <v>2.2272444029483368E-3</v>
      </c>
      <c r="AB68" s="46">
        <f>IF(ISNUMBER(NORMSINV(SUM(AA$13:AA68)/AA$317)),NORMSINV(SUM(AA$13:AA68)/AA$317)," ")</f>
        <v>-3.2836544635351705</v>
      </c>
      <c r="AC68" s="46">
        <f t="shared" si="32"/>
        <v>2.3944364695706786E-3</v>
      </c>
      <c r="AD68" s="46">
        <f>IF(ISNUMBER(NORMSINV(SUM(AC$13:AC68)/AC$317)),NORMSINV(SUM(AC$13:AC68)/AC$317)," ")</f>
        <v>-2.3680409633099311</v>
      </c>
      <c r="AE68" s="46">
        <f t="shared" si="33"/>
        <v>4.4965943090529174E-3</v>
      </c>
      <c r="AF68" s="46">
        <f>IF(ISNUMBER(NORMSINV(SUM(AE$13:AE68)/AE$317)),NORMSINV(SUM(AE$13:AE68)/AE$317)," ")</f>
        <v>-2.0662983838855205</v>
      </c>
      <c r="AG68" s="46">
        <f t="shared" si="34"/>
        <v>5.2215614075588196E-3</v>
      </c>
      <c r="AH68" s="46">
        <f>IF(ISNUMBER(NORMSINV(SUM(AG$13:AG68)/AG$317)),NORMSINV(SUM(AG$13:AG68)/AG$317)," ")</f>
        <v>-3.28431256321652</v>
      </c>
      <c r="AI68" s="46">
        <f t="shared" si="35"/>
        <v>4.8786096731294028E-3</v>
      </c>
      <c r="AJ68" s="46">
        <f>IF(ISNUMBER(NORMSINV(SUM(AI$13:AI68)/AI$317)),NORMSINV(SUM(AI$13:AI68)/AI$317)," ")</f>
        <v>-2.4020873274493981</v>
      </c>
      <c r="AK68" s="46">
        <f t="shared" si="36"/>
        <v>7.621422484750541E-3</v>
      </c>
      <c r="AL68" s="46">
        <f>IF(ISNUMBER(NORMSINV(SUM(AK$13:AK68)/AK$317)),NORMSINV(SUM(AK$13:AK68)/AK$317)," ")</f>
        <v>-1.9385242627975079</v>
      </c>
      <c r="AM68" s="6">
        <v>5.0644879211199118E-2</v>
      </c>
      <c r="AN68" s="6">
        <v>6.1499999999999999E-2</v>
      </c>
      <c r="AO68" s="6">
        <v>0.11739487921119912</v>
      </c>
      <c r="AP68" s="6">
        <v>4.9531806737918592E-2</v>
      </c>
      <c r="AQ68" s="6">
        <v>5.3249999999999999E-2</v>
      </c>
      <c r="AR68" s="6">
        <v>0.1</v>
      </c>
      <c r="AS68" s="6">
        <v>5.8063613475837175E-2</v>
      </c>
      <c r="AT68" s="6">
        <v>5.425E-2</v>
      </c>
      <c r="AU68" s="6">
        <v>8.4749999999999992E-2</v>
      </c>
    </row>
    <row r="69" spans="1:47" x14ac:dyDescent="0.4">
      <c r="A69" s="6">
        <f t="shared" si="21"/>
        <v>-0.98171244643397615</v>
      </c>
      <c r="B69" s="6">
        <f>'Aerosol 1'!A73</f>
        <v>0.37466894867934986</v>
      </c>
      <c r="C69" t="b">
        <f t="shared" si="22"/>
        <v>0</v>
      </c>
      <c r="E69" s="46">
        <f>'Aerosol 1'!$P73</f>
        <v>3.1631701099519516E-2</v>
      </c>
      <c r="F69" s="46">
        <f>'Aerosol 2'!$P73</f>
        <v>3.1631701099519516E-2</v>
      </c>
      <c r="G69" s="46">
        <f>'Aerosol 3'!$P73</f>
        <v>3.1631701099519516E-2</v>
      </c>
      <c r="H69" s="46">
        <f t="shared" si="23"/>
        <v>9.4895103298558547E-2</v>
      </c>
      <c r="I69" s="46">
        <f>NORMSINV(SUM(H$13:H69)/H$317)</f>
        <v>-2.5461331836025458</v>
      </c>
      <c r="J69" s="46">
        <f t="shared" si="18"/>
        <v>1.7081118593740539E-2</v>
      </c>
      <c r="K69" s="46">
        <f t="shared" si="19"/>
        <v>4.7447551649279274E-2</v>
      </c>
      <c r="L69" s="46">
        <f t="shared" si="20"/>
        <v>9.4891307494426605E-2</v>
      </c>
      <c r="M69" s="46">
        <f t="shared" si="24"/>
        <v>0.15941997773744643</v>
      </c>
      <c r="N69" s="46">
        <f>IF(ISNUMBER(NORMSINV(SUM(M$13:M69)/M$317)),NORMSINV(SUM(M$13:M69)/M$317)," ")</f>
        <v>-2.5461331836025458</v>
      </c>
      <c r="O69" s="46">
        <f t="shared" si="25"/>
        <v>9.1284205211692917E-3</v>
      </c>
      <c r="P69" s="46">
        <f>IF(ISNUMBER(NORMSINV(SUM(O$13:O69)/O$317)),NORMSINV(SUM(O$13:O69)/O$317)," ")</f>
        <v>-3.2526193640009002</v>
      </c>
      <c r="Q69" s="46">
        <f t="shared" si="26"/>
        <v>8.7196141253976442E-3</v>
      </c>
      <c r="R69" s="46">
        <f>IF(ISNUMBER(NORMSINV(SUM(Q$13:Q69)/Q$317)),NORMSINV(SUM(Q$13:Q69)/Q$317)," ")</f>
        <v>-2.3680626904814375</v>
      </c>
      <c r="S69" s="46">
        <f t="shared" si="27"/>
        <v>1.4814362644173962E-2</v>
      </c>
      <c r="T69" s="46">
        <f>IF(ISNUMBER(NORMSINV(SUM(S$13:S69)/S$317)),NORMSINV(SUM(S$13:S69)/S$317)," ")</f>
        <v>-1.972500435264426</v>
      </c>
      <c r="U69" s="46">
        <f t="shared" si="28"/>
        <v>8.9133800297169091E-4</v>
      </c>
      <c r="V69" s="46">
        <f>IF(ISNUMBER(NORMSINV(SUM(U$13:U69)/U$317)),NORMSINV(SUM(U$13:U69)/U$317)," ")</f>
        <v>-3.1907304400996659</v>
      </c>
      <c r="W69" s="46">
        <f t="shared" si="29"/>
        <v>1.0451785685008804E-3</v>
      </c>
      <c r="X69" s="46">
        <f>IF(ISNUMBER(NORMSINV(SUM(W$13:W69)/W$317)),NORMSINV(SUM(W$13:W69)/W$317)," ")</f>
        <v>-2.3401105863580489</v>
      </c>
      <c r="Y69" s="46">
        <f t="shared" si="30"/>
        <v>2.0226522940802673E-3</v>
      </c>
      <c r="Z69" s="46">
        <f>IF(ISNUMBER(NORMSINV(SUM(Y$13:Y69)/Y$317)),NORMSINV(SUM(Y$13:Y69)/Y$317)," ")</f>
        <v>-1.9891923319231199</v>
      </c>
      <c r="AA69" s="46">
        <f t="shared" si="31"/>
        <v>2.4551038584459677E-3</v>
      </c>
      <c r="AB69" s="46">
        <f>IF(ISNUMBER(NORMSINV(SUM(AA$13:AA69)/AA$317)),NORMSINV(SUM(AA$13:AA69)/AA$317)," ")</f>
        <v>-3.26070248807879</v>
      </c>
      <c r="AC69" s="46">
        <f t="shared" si="32"/>
        <v>2.5265821253241212E-3</v>
      </c>
      <c r="AD69" s="46">
        <f>IF(ISNUMBER(NORMSINV(SUM(AC$13:AC69)/AC$317)),NORMSINV(SUM(AC$13:AC69)/AC$317)," ")</f>
        <v>-2.3495431257084625</v>
      </c>
      <c r="AE69" s="46">
        <f t="shared" si="33"/>
        <v>4.7496720399410408E-3</v>
      </c>
      <c r="AF69" s="46">
        <f>IF(ISNUMBER(NORMSINV(SUM(AE$13:AE69)/AE$317)),NORMSINV(SUM(AE$13:AE69)/AE$317)," ")</f>
        <v>-2.0461861291171903</v>
      </c>
      <c r="AG69" s="46">
        <f t="shared" si="34"/>
        <v>5.7819786597516337E-3</v>
      </c>
      <c r="AH69" s="46">
        <f>IF(ISNUMBER(NORMSINV(SUM(AG$13:AG69)/AG$317)),NORMSINV(SUM(AG$13:AG69)/AG$317)," ")</f>
        <v>-3.2590569076132736</v>
      </c>
      <c r="AI69" s="46">
        <f t="shared" si="35"/>
        <v>5.1478534315726431E-3</v>
      </c>
      <c r="AJ69" s="46">
        <f>IF(ISNUMBER(NORMSINV(SUM(AI$13:AI69)/AI$317)),NORMSINV(SUM(AI$13:AI69)/AI$317)," ")</f>
        <v>-2.3828773470691451</v>
      </c>
      <c r="AK69" s="46">
        <f t="shared" si="36"/>
        <v>8.0420383101526532E-3</v>
      </c>
      <c r="AL69" s="46">
        <f>IF(ISNUMBER(NORMSINV(SUM(AK$13:AK69)/AK$317)),NORMSINV(SUM(AK$13:AK69)/AK$317)," ")</f>
        <v>-1.9181540258275471</v>
      </c>
      <c r="AM69" s="6">
        <v>5.2182648231148411E-2</v>
      </c>
      <c r="AN69" s="6">
        <v>6.1189117256283863E-2</v>
      </c>
      <c r="AO69" s="6">
        <v>0.11841451032495484</v>
      </c>
      <c r="AP69" s="6">
        <v>5.1743530974864553E-2</v>
      </c>
      <c r="AQ69" s="6">
        <v>5.3249999999999999E-2</v>
      </c>
      <c r="AR69" s="6">
        <v>0.10010362758123871</v>
      </c>
      <c r="AS69" s="6">
        <v>6.0932648231148419E-2</v>
      </c>
      <c r="AT69" s="6">
        <v>5.425E-2</v>
      </c>
      <c r="AU69" s="6">
        <v>8.4749999999999992E-2</v>
      </c>
    </row>
    <row r="70" spans="1:47" x14ac:dyDescent="0.4">
      <c r="A70" s="6">
        <f t="shared" si="21"/>
        <v>-0.94723386900279749</v>
      </c>
      <c r="B70" s="6">
        <f>'Aerosol 1'!A74</f>
        <v>0.3878122807232785</v>
      </c>
      <c r="C70" t="b">
        <f t="shared" si="22"/>
        <v>0</v>
      </c>
      <c r="E70" s="46">
        <f>'Aerosol 1'!$P74</f>
        <v>3.3362817022530508E-2</v>
      </c>
      <c r="F70" s="46">
        <f>'Aerosol 2'!$P74</f>
        <v>3.3362817022530508E-2</v>
      </c>
      <c r="G70" s="46">
        <f>'Aerosol 3'!$P74</f>
        <v>3.3362817022530508E-2</v>
      </c>
      <c r="H70" s="46">
        <f t="shared" si="23"/>
        <v>0.10008845106759152</v>
      </c>
      <c r="I70" s="46">
        <f>NORMSINV(SUM(H$13:H70)/H$317)</f>
        <v>-2.5252083437121824</v>
      </c>
      <c r="J70" s="46">
        <f t="shared" si="18"/>
        <v>1.8015921192166474E-2</v>
      </c>
      <c r="K70" s="46">
        <f t="shared" si="19"/>
        <v>5.0044225533795762E-2</v>
      </c>
      <c r="L70" s="46">
        <f t="shared" si="20"/>
        <v>0.10008444752954883</v>
      </c>
      <c r="M70" s="46">
        <f t="shared" si="24"/>
        <v>0.16814459425551107</v>
      </c>
      <c r="N70" s="46">
        <f>IF(ISNUMBER(NORMSINV(SUM(M$13:M70)/M$317)),NORMSINV(SUM(M$13:M70)/M$317)," ")</f>
        <v>-2.5252083437121824</v>
      </c>
      <c r="O70" s="46">
        <f t="shared" si="25"/>
        <v>1.0028213621185477E-2</v>
      </c>
      <c r="P70" s="46">
        <f>IF(ISNUMBER(NORMSINV(SUM(O$13:O70)/O$317)),NORMSINV(SUM(O$13:O70)/O$317)," ")</f>
        <v>-3.2281322493355598</v>
      </c>
      <c r="Q70" s="46">
        <f t="shared" si="26"/>
        <v>9.1456706444258146E-3</v>
      </c>
      <c r="R70" s="46">
        <f>IF(ISNUMBER(NORMSINV(SUM(Q$13:Q70)/Q$317)),NORMSINV(SUM(Q$13:Q70)/Q$317)," ")</f>
        <v>-2.3491616652103096</v>
      </c>
      <c r="S70" s="46">
        <f t="shared" si="27"/>
        <v>1.5661850640473724E-2</v>
      </c>
      <c r="T70" s="46">
        <f>IF(ISNUMBER(NORMSINV(SUM(S$13:S70)/S$317)),NORMSINV(SUM(S$13:S70)/S$317)," ")</f>
        <v>-1.9517634269464681</v>
      </c>
      <c r="U70" s="46">
        <f t="shared" si="28"/>
        <v>9.7517126086703321E-4</v>
      </c>
      <c r="V70" s="46">
        <f>IF(ISNUMBER(NORMSINV(SUM(U$13:U70)/U$317)),NORMSINV(SUM(U$13:U70)/U$317)," ")</f>
        <v>-3.1692423476818816</v>
      </c>
      <c r="W70" s="46">
        <f t="shared" si="29"/>
        <v>1.0944672124241132E-3</v>
      </c>
      <c r="X70" s="46">
        <f>IF(ISNUMBER(NORMSINV(SUM(W$13:W70)/W$317)),NORMSINV(SUM(W$13:W70)/W$317)," ")</f>
        <v>-2.3220451181109452</v>
      </c>
      <c r="Y70" s="46">
        <f t="shared" si="30"/>
        <v>2.1509692950466399E-3</v>
      </c>
      <c r="Z70" s="46">
        <f>IF(ISNUMBER(NORMSINV(SUM(Y$13:Y70)/Y$317)),NORMSINV(SUM(Y$13:Y70)/Y$317)," ")</f>
        <v>-1.9670543461116401</v>
      </c>
      <c r="AA70" s="46">
        <f t="shared" si="31"/>
        <v>2.7127394319522197E-3</v>
      </c>
      <c r="AB70" s="46">
        <f>IF(ISNUMBER(NORMSINV(SUM(AA$13:AA70)/AA$317)),NORMSINV(SUM(AA$13:AA70)/AA$317)," ")</f>
        <v>-3.2371921491943287</v>
      </c>
      <c r="AC70" s="46">
        <f t="shared" si="32"/>
        <v>2.6530638877099088E-3</v>
      </c>
      <c r="AD70" s="46">
        <f>IF(ISNUMBER(NORMSINV(SUM(AC$13:AC70)/AC$317)),NORMSINV(SUM(AC$13:AC70)/AC$317)," ")</f>
        <v>-2.3309475028825588</v>
      </c>
      <c r="AE70" s="46">
        <f t="shared" si="33"/>
        <v>5.020863983751264E-3</v>
      </c>
      <c r="AF70" s="46">
        <f>IF(ISNUMBER(NORMSINV(SUM(AE$13:AE70)/AE$317)),NORMSINV(SUM(AE$13:AE70)/AE$317)," ")</f>
        <v>-2.0257886389341091</v>
      </c>
      <c r="AG70" s="46">
        <f t="shared" si="34"/>
        <v>6.340302928366225E-3</v>
      </c>
      <c r="AH70" s="46">
        <f>IF(ISNUMBER(NORMSINV(SUM(AG$13:AG70)/AG$317)),NORMSINV(SUM(AG$13:AG70)/AG$317)," ")</f>
        <v>-3.2335606888724251</v>
      </c>
      <c r="AI70" s="46">
        <f t="shared" si="35"/>
        <v>5.3981395442917928E-3</v>
      </c>
      <c r="AJ70" s="46">
        <f>IF(ISNUMBER(NORMSINV(SUM(AI$13:AI70)/AI$317)),NORMSINV(SUM(AI$13:AI70)/AI$317)," ")</f>
        <v>-2.3636353985882916</v>
      </c>
      <c r="AK70" s="46">
        <f t="shared" si="36"/>
        <v>8.4900173616758202E-3</v>
      </c>
      <c r="AL70" s="46">
        <f>IF(ISNUMBER(NORMSINV(SUM(AK$13:AK70)/AK$317)),NORMSINV(SUM(AK$13:AK70)/AK$317)," ")</f>
        <v>-1.8974791454133415</v>
      </c>
      <c r="AM70" s="6">
        <v>5.4128304096437138E-2</v>
      </c>
      <c r="AN70" s="6">
        <v>6.0749999999999998E-2</v>
      </c>
      <c r="AO70" s="6">
        <v>0.11939269006027321</v>
      </c>
      <c r="AP70" s="6">
        <v>5.4206842108491783E-2</v>
      </c>
      <c r="AQ70" s="6">
        <v>5.3014385963836071E-2</v>
      </c>
      <c r="AR70" s="6">
        <v>0.10032853801205464</v>
      </c>
      <c r="AS70" s="6">
        <v>6.3349532168764988E-2</v>
      </c>
      <c r="AT70" s="6">
        <v>5.3935847951781433E-2</v>
      </c>
      <c r="AU70" s="6">
        <v>8.482853801205463E-2</v>
      </c>
    </row>
    <row r="71" spans="1:47" x14ac:dyDescent="0.4">
      <c r="A71" s="6">
        <f t="shared" si="21"/>
        <v>-0.91275529157161883</v>
      </c>
      <c r="B71" s="6">
        <f>'Aerosol 1'!A75</f>
        <v>0.40141667893729105</v>
      </c>
      <c r="C71" t="b">
        <f t="shared" si="22"/>
        <v>0</v>
      </c>
      <c r="E71" s="46">
        <f>'Aerosol 1'!$P75</f>
        <v>3.5173286028349245E-2</v>
      </c>
      <c r="F71" s="46">
        <f>'Aerosol 2'!$P75</f>
        <v>3.5173286028349245E-2</v>
      </c>
      <c r="G71" s="46">
        <f>'Aerosol 3'!$P75</f>
        <v>3.5173286028349245E-2</v>
      </c>
      <c r="H71" s="46">
        <f t="shared" si="23"/>
        <v>0.10551985808504774</v>
      </c>
      <c r="I71" s="46">
        <f>NORMSINV(SUM(H$13:H71)/H$317)</f>
        <v>-2.5042833569430667</v>
      </c>
      <c r="J71" s="46">
        <f t="shared" si="18"/>
        <v>1.8993574455308592E-2</v>
      </c>
      <c r="K71" s="46">
        <f t="shared" si="19"/>
        <v>5.275992904252387E-2</v>
      </c>
      <c r="L71" s="46">
        <f t="shared" si="20"/>
        <v>0.10551563729072433</v>
      </c>
      <c r="M71" s="46">
        <f t="shared" si="24"/>
        <v>0.17726914078855679</v>
      </c>
      <c r="N71" s="46">
        <f>IF(ISNUMBER(NORMSINV(SUM(M$13:M71)/M$317)),NORMSINV(SUM(M$13:M71)/M$317)," ")</f>
        <v>-2.5042833569430667</v>
      </c>
      <c r="O71" s="46">
        <f t="shared" si="25"/>
        <v>1.1060025104169766E-2</v>
      </c>
      <c r="P71" s="46">
        <f>IF(ISNUMBER(NORMSINV(SUM(O$13:O71)/O$317)),NORMSINV(SUM(O$13:O71)/O$317)," ")</f>
        <v>-3.2031963634346061</v>
      </c>
      <c r="Q71" s="46">
        <f t="shared" si="26"/>
        <v>9.5396593178320912E-3</v>
      </c>
      <c r="R71" s="46">
        <f>IF(ISNUMBER(NORMSINV(SUM(Q$13:Q71)/Q$317)),NORMSINV(SUM(Q$13:Q71)/Q$317)," ")</f>
        <v>-2.3303017004550313</v>
      </c>
      <c r="S71" s="46">
        <f t="shared" si="27"/>
        <v>1.6571444253326656E-2</v>
      </c>
      <c r="T71" s="46">
        <f>IF(ISNUMBER(NORMSINV(SUM(S$13:S71)/S$317)),NORMSINV(SUM(S$13:S71)/S$317)," ")</f>
        <v>-1.9306990883281765</v>
      </c>
      <c r="U71" s="46">
        <f t="shared" si="28"/>
        <v>1.0632292844340197E-3</v>
      </c>
      <c r="V71" s="46">
        <f>IF(ISNUMBER(NORMSINV(SUM(U$13:U71)/U$317)),NORMSINV(SUM(U$13:U71)/U$317)," ")</f>
        <v>-3.1473696336802504</v>
      </c>
      <c r="W71" s="46">
        <f t="shared" si="29"/>
        <v>1.1538596481599969E-3</v>
      </c>
      <c r="X71" s="46">
        <f>IF(ISNUMBER(NORMSINV(SUM(W$13:W71)/W$317)),NORMSINV(SUM(W$13:W71)/W$317)," ")</f>
        <v>-2.3037858274335958</v>
      </c>
      <c r="Y71" s="46">
        <f t="shared" si="30"/>
        <v>2.2890250516755207E-3</v>
      </c>
      <c r="Z71" s="46">
        <f>IF(ISNUMBER(NORMSINV(SUM(Y$13:Y71)/Y$317)),NORMSINV(SUM(Y$13:Y71)/Y$317)," ")</f>
        <v>-1.9445083746807086</v>
      </c>
      <c r="AA71" s="46">
        <f t="shared" si="31"/>
        <v>2.9694089520354988E-3</v>
      </c>
      <c r="AB71" s="46">
        <f>IF(ISNUMBER(NORMSINV(SUM(AA$13:AA71)/AA$317)),NORMSINV(SUM(AA$13:AA71)/AA$317)," ")</f>
        <v>-3.2133558739813326</v>
      </c>
      <c r="AC71" s="46">
        <f t="shared" si="32"/>
        <v>2.7670919839410234E-3</v>
      </c>
      <c r="AD71" s="46">
        <f>IF(ISNUMBER(NORMSINV(SUM(AC$13:AC71)/AC$317)),NORMSINV(SUM(AC$13:AC71)/AC$317)," ")</f>
        <v>-2.3123748421351578</v>
      </c>
      <c r="AE71" s="46">
        <f t="shared" si="33"/>
        <v>5.3135900319395664E-3</v>
      </c>
      <c r="AF71" s="46">
        <f>IF(ISNUMBER(NORMSINV(SUM(AE$13:AE71)/AE$317)),NORMSINV(SUM(AE$13:AE71)/AE$317)," ")</f>
        <v>-2.0050821940293404</v>
      </c>
      <c r="AG71" s="46">
        <f t="shared" si="34"/>
        <v>7.0273868677002476E-3</v>
      </c>
      <c r="AH71" s="46">
        <f>IF(ISNUMBER(NORMSINV(SUM(AG$13:AG71)/AG$317)),NORMSINV(SUM(AG$13:AG71)/AG$317)," ")</f>
        <v>-3.2075591537383756</v>
      </c>
      <c r="AI71" s="46">
        <f t="shared" si="35"/>
        <v>5.6187076857310706E-3</v>
      </c>
      <c r="AJ71" s="46">
        <f>IF(ISNUMBER(NORMSINV(SUM(AI$13:AI71)/AI$317)),NORMSINV(SUM(AI$13:AI71)/AI$317)," ")</f>
        <v>-2.344495382975964</v>
      </c>
      <c r="AK71" s="46">
        <f t="shared" si="36"/>
        <v>8.9688291697115671E-3</v>
      </c>
      <c r="AL71" s="46">
        <f>IF(ISNUMBER(NORMSINV(SUM(AK$13:AK71)/AK$317)),NORMSINV(SUM(AK$13:AK71)/AK$317)," ")</f>
        <v>-1.8764848241939796</v>
      </c>
      <c r="AM71" s="6">
        <v>5.5978367154416973E-2</v>
      </c>
      <c r="AN71" s="6">
        <v>6.0749999999999998E-2</v>
      </c>
      <c r="AO71" s="6">
        <v>0.12051575953023164</v>
      </c>
      <c r="AP71" s="6">
        <v>5.6281519060463303E-2</v>
      </c>
      <c r="AQ71" s="6">
        <v>5.2446848093953662E-2</v>
      </c>
      <c r="AR71" s="6">
        <v>0.10071260762418532</v>
      </c>
      <c r="AS71" s="6">
        <v>6.6600430496741275E-2</v>
      </c>
      <c r="AT71" s="6">
        <v>5.3249999999999999E-2</v>
      </c>
      <c r="AU71" s="6">
        <v>8.4999999999999992E-2</v>
      </c>
    </row>
    <row r="72" spans="1:47" x14ac:dyDescent="0.4">
      <c r="A72" s="6">
        <f t="shared" si="21"/>
        <v>-0.87827671414043995</v>
      </c>
      <c r="B72" s="6">
        <f>'Aerosol 1'!A76</f>
        <v>0.41549831745535037</v>
      </c>
      <c r="C72" t="b">
        <f t="shared" si="22"/>
        <v>0</v>
      </c>
      <c r="E72" s="46">
        <f>'Aerosol 1'!$P76</f>
        <v>3.7065788096122751E-2</v>
      </c>
      <c r="F72" s="46">
        <f>'Aerosol 2'!$P76</f>
        <v>3.7065788096122751E-2</v>
      </c>
      <c r="G72" s="46">
        <f>'Aerosol 3'!$P76</f>
        <v>3.7065788096122751E-2</v>
      </c>
      <c r="H72" s="46">
        <f t="shared" si="23"/>
        <v>0.11119736428836825</v>
      </c>
      <c r="I72" s="46">
        <f>NORMSINV(SUM(H$13:H72)/H$317)</f>
        <v>-2.483358220692228</v>
      </c>
      <c r="J72" s="46">
        <f t="shared" si="18"/>
        <v>2.0015525571906286E-2</v>
      </c>
      <c r="K72" s="46">
        <f t="shared" si="19"/>
        <v>5.5598682144184126E-2</v>
      </c>
      <c r="L72" s="46">
        <f t="shared" si="20"/>
        <v>0.11119291639379672</v>
      </c>
      <c r="M72" s="46">
        <f t="shared" si="24"/>
        <v>0.18680712410988715</v>
      </c>
      <c r="N72" s="46">
        <f>IF(ISNUMBER(NORMSINV(SUM(M$13:M72)/M$317)),NORMSINV(SUM(M$13:M72)/M$317)," ")</f>
        <v>-2.483358220692228</v>
      </c>
      <c r="O72" s="46">
        <f t="shared" si="25"/>
        <v>1.2217497266435978E-2</v>
      </c>
      <c r="P72" s="46">
        <f>IF(ISNUMBER(NORMSINV(SUM(O$13:O72)/O$317)),NORMSINV(SUM(O$13:O72)/O$317)," ")</f>
        <v>-3.1777848699786859</v>
      </c>
      <c r="Q72" s="46">
        <f t="shared" si="26"/>
        <v>1.0041997118496602E-2</v>
      </c>
      <c r="R72" s="46">
        <f>IF(ISNUMBER(NORMSINV(SUM(Q$13:Q72)/Q$317)),NORMSINV(SUM(Q$13:Q72)/Q$317)," ")</f>
        <v>-2.3113052485820345</v>
      </c>
      <c r="S72" s="46">
        <f t="shared" si="27"/>
        <v>1.7544756971984571E-2</v>
      </c>
      <c r="T72" s="46">
        <f>IF(ISNUMBER(NORMSINV(SUM(S$13:S72)/S$317)),NORMSINV(SUM(S$13:S72)/S$317)," ")</f>
        <v>-1.9092933527193645</v>
      </c>
      <c r="U72" s="46">
        <f t="shared" si="28"/>
        <v>1.1614512729217193E-3</v>
      </c>
      <c r="V72" s="46">
        <f>IF(ISNUMBER(NORMSINV(SUM(U$13:U72)/U$317)),NORMSINV(SUM(U$13:U72)/U$317)," ")</f>
        <v>-3.1250804642135863</v>
      </c>
      <c r="W72" s="46">
        <f t="shared" si="29"/>
        <v>1.2159431784933069E-3</v>
      </c>
      <c r="X72" s="46">
        <f>IF(ISNUMBER(NORMSINV(SUM(W$13:W72)/W$317)),NORMSINV(SUM(W$13:W72)/W$317)," ")</f>
        <v>-2.2853406537562329</v>
      </c>
      <c r="Y72" s="46">
        <f t="shared" si="30"/>
        <v>2.4346636925586789E-3</v>
      </c>
      <c r="Z72" s="46">
        <f>IF(ISNUMBER(NORMSINV(SUM(Y$13:Y72)/Y$317)),NORMSINV(SUM(Y$13:Y72)/Y$317)," ")</f>
        <v>-1.9215653433319668</v>
      </c>
      <c r="AA72" s="46">
        <f t="shared" si="31"/>
        <v>3.2571388053791624E-3</v>
      </c>
      <c r="AB72" s="46">
        <f>IF(ISNUMBER(NORMSINV(SUM(AA$13:AA72)/AA$317)),NORMSINV(SUM(AA$13:AA72)/AA$317)," ")</f>
        <v>-3.1891520905439297</v>
      </c>
      <c r="AC72" s="46">
        <f t="shared" si="32"/>
        <v>2.9050311420336203E-3</v>
      </c>
      <c r="AD72" s="46">
        <f>IF(ISNUMBER(NORMSINV(SUM(AC$13:AC72)/AC$317)),NORMSINV(SUM(AC$13:AC72)/AC$317)," ")</f>
        <v>-2.2936982364392948</v>
      </c>
      <c r="AE72" s="46">
        <f t="shared" si="33"/>
        <v>5.6463521660480949E-3</v>
      </c>
      <c r="AF72" s="46">
        <f>IF(ISNUMBER(NORMSINV(SUM(AE$13:AE72)/AE$317)),NORMSINV(SUM(AE$13:AE72)/AE$317)," ")</f>
        <v>-1.9839821361855279</v>
      </c>
      <c r="AG72" s="46">
        <f t="shared" si="34"/>
        <v>7.7989071881350977E-3</v>
      </c>
      <c r="AH72" s="46">
        <f>IF(ISNUMBER(NORMSINV(SUM(AG$13:AG72)/AG$317)),NORMSINV(SUM(AG$13:AG72)/AG$317)," ")</f>
        <v>-3.1810343255235685</v>
      </c>
      <c r="AI72" s="46">
        <f t="shared" si="35"/>
        <v>5.9210227979696753E-3</v>
      </c>
      <c r="AJ72" s="46">
        <f>IF(ISNUMBER(NORMSINV(SUM(AI$13:AI72)/AI$317)),NORMSINV(SUM(AI$13:AI72)/AI$317)," ")</f>
        <v>-2.3252138048515207</v>
      </c>
      <c r="AK72" s="46">
        <f t="shared" si="36"/>
        <v>9.4637411133777997E-3</v>
      </c>
      <c r="AL72" s="46">
        <f>IF(ISNUMBER(NORMSINV(SUM(AK$13:AK72)/AK$317)),NORMSINV(SUM(AK$13:AK72)/AK$317)," ")</f>
        <v>-1.8551936569357055</v>
      </c>
      <c r="AM72" s="6">
        <v>5.8027518125825676E-2</v>
      </c>
      <c r="AN72" s="6">
        <v>6.0749999999999998E-2</v>
      </c>
      <c r="AO72" s="6">
        <v>0.12163875906291283</v>
      </c>
      <c r="AP72" s="6">
        <v>5.8583021750990796E-2</v>
      </c>
      <c r="AQ72" s="6">
        <v>5.2249999999999998E-2</v>
      </c>
      <c r="AR72" s="6">
        <v>0.10155550362516513</v>
      </c>
      <c r="AS72" s="6">
        <v>7.0138525376155947E-2</v>
      </c>
      <c r="AT72" s="6">
        <v>5.3249999999999999E-2</v>
      </c>
      <c r="AU72" s="6">
        <v>8.5111007250330273E-2</v>
      </c>
    </row>
    <row r="73" spans="1:47" x14ac:dyDescent="0.4">
      <c r="A73" s="6">
        <f t="shared" si="21"/>
        <v>-0.8437981367092614</v>
      </c>
      <c r="B73" s="6">
        <f>'Aerosol 1'!A77</f>
        <v>0.43007393779767822</v>
      </c>
      <c r="C73" t="b">
        <f t="shared" si="22"/>
        <v>0</v>
      </c>
      <c r="E73" s="46">
        <f>'Aerosol 1'!$P77</f>
        <v>3.9043037519466153E-2</v>
      </c>
      <c r="F73" s="46">
        <f>'Aerosol 2'!$P77</f>
        <v>3.9043037519466153E-2</v>
      </c>
      <c r="G73" s="46">
        <f>'Aerosol 3'!$P77</f>
        <v>3.9043037519466153E-2</v>
      </c>
      <c r="H73" s="46">
        <f t="shared" si="23"/>
        <v>0.11712911255839846</v>
      </c>
      <c r="I73" s="46">
        <f>NORMSINV(SUM(H$13:H73)/H$317)</f>
        <v>-2.4624329322981984</v>
      </c>
      <c r="J73" s="46">
        <f t="shared" si="18"/>
        <v>2.1083240260511723E-2</v>
      </c>
      <c r="K73" s="46">
        <f t="shared" si="19"/>
        <v>5.856455627919923E-2</v>
      </c>
      <c r="L73" s="46">
        <f t="shared" si="20"/>
        <v>0.11712442739389613</v>
      </c>
      <c r="M73" s="46">
        <f t="shared" si="24"/>
        <v>0.19677222393360708</v>
      </c>
      <c r="N73" s="46">
        <f>IF(ISNUMBER(NORMSINV(SUM(M$13:M73)/M$317)),NORMSINV(SUM(M$13:M73)/M$317)," ")</f>
        <v>-2.4624329322981984</v>
      </c>
      <c r="O73" s="46">
        <f t="shared" si="25"/>
        <v>1.3444033041485934E-2</v>
      </c>
      <c r="P73" s="46">
        <f>IF(ISNUMBER(NORMSINV(SUM(O$13:O73)/O$317)),NORMSINV(SUM(O$13:O73)/O$317)," ")</f>
        <v>-3.1520065859978859</v>
      </c>
      <c r="Q73" s="46">
        <f t="shared" si="26"/>
        <v>1.0577680670139214E-2</v>
      </c>
      <c r="R73" s="46">
        <f>IF(ISNUMBER(NORMSINV(SUM(Q$13:Q73)/Q$317)),NORMSINV(SUM(Q$13:Q73)/Q$317)," ")</f>
        <v>-2.2921583088798778</v>
      </c>
      <c r="S73" s="46">
        <f t="shared" si="27"/>
        <v>1.863559931130368E-2</v>
      </c>
      <c r="T73" s="46">
        <f>IF(ISNUMBER(NORMSINV(SUM(S$13:S73)/S$317)),NORMSINV(SUM(S$13:S73)/S$317)," ")</f>
        <v>-1.8874757673999147</v>
      </c>
      <c r="U73" s="46">
        <f t="shared" si="28"/>
        <v>1.2709200779063372E-3</v>
      </c>
      <c r="V73" s="46">
        <f>IF(ISNUMBER(NORMSINV(SUM(U$13:U73)/U$317)),NORMSINV(SUM(U$13:U73)/U$317)," ")</f>
        <v>-3.1023473921888818</v>
      </c>
      <c r="W73" s="46">
        <f t="shared" si="29"/>
        <v>1.2808068458260871E-3</v>
      </c>
      <c r="X73" s="46">
        <f>IF(ISNUMBER(NORMSINV(SUM(W$13:W73)/W$317)),NORMSINV(SUM(W$13:W73)/W$317)," ")</f>
        <v>-2.2667172941892479</v>
      </c>
      <c r="Y73" s="46">
        <f t="shared" si="30"/>
        <v>2.5884043101181515E-3</v>
      </c>
      <c r="Z73" s="46">
        <f>IF(ISNUMBER(NORMSINV(SUM(Y$13:Y73)/Y$317)),NORMSINV(SUM(Y$13:Y73)/Y$317)," ")</f>
        <v>-1.8982341794931208</v>
      </c>
      <c r="AA73" s="46">
        <f t="shared" si="31"/>
        <v>3.5885949336993466E-3</v>
      </c>
      <c r="AB73" s="46">
        <f>IF(ISNUMBER(NORMSINV(SUM(AA$13:AA73)/AA$317)),NORMSINV(SUM(AA$13:AA73)/AA$317)," ")</f>
        <v>-3.1644845182299237</v>
      </c>
      <c r="AC73" s="46">
        <f t="shared" si="32"/>
        <v>3.0599980655881594E-3</v>
      </c>
      <c r="AD73" s="46">
        <f>IF(ISNUMBER(NORMSINV(SUM(AC$13:AC73)/AC$317)),NORMSINV(SUM(AC$13:AC73)/AC$317)," ")</f>
        <v>-2.2748539084992832</v>
      </c>
      <c r="AE73" s="46">
        <f t="shared" si="33"/>
        <v>5.9741910851176788E-3</v>
      </c>
      <c r="AF73" s="46">
        <f>IF(ISNUMBER(NORMSINV(SUM(AE$13:AE73)/AE$317)),NORMSINV(SUM(AE$13:AE73)/AE$317)," ")</f>
        <v>-1.9625786614088452</v>
      </c>
      <c r="AG73" s="46">
        <f t="shared" si="34"/>
        <v>8.5845180298802504E-3</v>
      </c>
      <c r="AH73" s="46">
        <f>IF(ISNUMBER(NORMSINV(SUM(AG$13:AG73)/AG$317)),NORMSINV(SUM(AG$13:AG73)/AG$317)," ")</f>
        <v>-3.1542126485786204</v>
      </c>
      <c r="AI73" s="46">
        <f t="shared" si="35"/>
        <v>6.2368757587249685E-3</v>
      </c>
      <c r="AJ73" s="46">
        <f>IF(ISNUMBER(NORMSINV(SUM(AI$13:AI73)/AI$317)),NORMSINV(SUM(AI$13:AI73)/AI$317)," ")</f>
        <v>-2.3057971617446493</v>
      </c>
      <c r="AK73" s="46">
        <f t="shared" si="36"/>
        <v>1.0073003916067852E-2</v>
      </c>
      <c r="AL73" s="46">
        <f>IF(ISNUMBER(NORMSINV(SUM(AK$13:AK73)/AK$317)),NORMSINV(SUM(AK$13:AK73)/AK$317)," ")</f>
        <v>-1.8334191913047202</v>
      </c>
      <c r="AM73" s="6">
        <v>6.0281060321013963E-2</v>
      </c>
      <c r="AN73" s="6">
        <v>6.0749999999999998E-2</v>
      </c>
      <c r="AO73" s="6">
        <v>0.12277070688067598</v>
      </c>
      <c r="AP73" s="6">
        <v>6.1275883600844974E-2</v>
      </c>
      <c r="AQ73" s="6">
        <v>5.2249999999999998E-2</v>
      </c>
      <c r="AR73" s="6">
        <v>0.10201035344033799</v>
      </c>
      <c r="AS73" s="6">
        <v>7.3294002121436441E-2</v>
      </c>
      <c r="AT73" s="6">
        <v>5.3249999999999999E-2</v>
      </c>
      <c r="AU73" s="6">
        <v>8.6002588360084495E-2</v>
      </c>
    </row>
    <row r="74" spans="1:47" x14ac:dyDescent="0.4">
      <c r="A74" s="6">
        <f t="shared" si="21"/>
        <v>-0.80931955927808275</v>
      </c>
      <c r="B74" s="6">
        <f>'Aerosol 1'!A78</f>
        <v>0.44516086877458289</v>
      </c>
      <c r="C74" t="b">
        <f t="shared" si="22"/>
        <v>0</v>
      </c>
      <c r="E74" s="46">
        <f>'Aerosol 1'!$P78</f>
        <v>4.1107779879163892E-2</v>
      </c>
      <c r="F74" s="46">
        <f>'Aerosol 2'!$P78</f>
        <v>4.1107779879163892E-2</v>
      </c>
      <c r="G74" s="46">
        <f>'Aerosol 3'!$P78</f>
        <v>4.1107779879163892E-2</v>
      </c>
      <c r="H74" s="46">
        <f t="shared" si="23"/>
        <v>0.12332333963749167</v>
      </c>
      <c r="I74" s="46">
        <f>NORMSINV(SUM(H$13:H74)/H$317)</f>
        <v>-2.4415074890394339</v>
      </c>
      <c r="J74" s="46">
        <f t="shared" si="18"/>
        <v>2.2198201134748501E-2</v>
      </c>
      <c r="K74" s="46">
        <f t="shared" si="19"/>
        <v>6.1661669818745837E-2</v>
      </c>
      <c r="L74" s="46">
        <f t="shared" si="20"/>
        <v>0.12331840670390617</v>
      </c>
      <c r="M74" s="46">
        <f t="shared" si="24"/>
        <v>0.20717827765740052</v>
      </c>
      <c r="N74" s="46">
        <f>IF(ISNUMBER(NORMSINV(SUM(M$13:M74)/M$317)),NORMSINV(SUM(M$13:M74)/M$317)," ")</f>
        <v>-2.4415074890394339</v>
      </c>
      <c r="O74" s="46">
        <f t="shared" si="25"/>
        <v>1.4823904610042609E-2</v>
      </c>
      <c r="P74" s="46">
        <f>IF(ISNUMBER(NORMSINV(SUM(O$13:O74)/O$317)),NORMSINV(SUM(O$13:O74)/O$317)," ")</f>
        <v>-3.1258176523024366</v>
      </c>
      <c r="Q74" s="46">
        <f t="shared" si="26"/>
        <v>1.1137068123948445E-2</v>
      </c>
      <c r="R74" s="46">
        <f>IF(ISNUMBER(NORMSINV(SUM(Q$13:Q74)/Q$317)),NORMSINV(SUM(Q$13:Q74)/Q$317)," ")</f>
        <v>-2.2728675880717324</v>
      </c>
      <c r="S74" s="46">
        <f t="shared" si="27"/>
        <v>1.9744049203182054E-2</v>
      </c>
      <c r="T74" s="46">
        <f>IF(ISNUMBER(NORMSINV(SUM(S$13:S74)/S$317)),NORMSINV(SUM(S$13:S74)/S$317)," ")</f>
        <v>-1.8653004693719502</v>
      </c>
      <c r="U74" s="46">
        <f t="shared" si="28"/>
        <v>1.3979351602523822E-3</v>
      </c>
      <c r="V74" s="46">
        <f>IF(ISNUMBER(NORMSINV(SUM(U$13:U74)/U$317)),NORMSINV(SUM(U$13:U74)/U$317)," ")</f>
        <v>-3.0790650492166538</v>
      </c>
      <c r="W74" s="46">
        <f t="shared" si="29"/>
        <v>1.3485407189359714E-3</v>
      </c>
      <c r="X74" s="46">
        <f>IF(ISNUMBER(NORMSINV(SUM(W$13:W74)/W$317)),NORMSINV(SUM(W$13:W74)/W$317)," ")</f>
        <v>-2.247923193148111</v>
      </c>
      <c r="Y74" s="46">
        <f t="shared" si="30"/>
        <v>2.7651582172129019E-3</v>
      </c>
      <c r="Z74" s="46">
        <f>IF(ISNUMBER(NORMSINV(SUM(Y$13:Y74)/Y$317)),NORMSINV(SUM(Y$13:Y74)/Y$317)," ")</f>
        <v>-1.8744008715317988</v>
      </c>
      <c r="AA74" s="46">
        <f t="shared" si="31"/>
        <v>3.9168086233513869E-3</v>
      </c>
      <c r="AB74" s="46">
        <f>IF(ISNUMBER(NORMSINV(SUM(AA$13:AA74)/AA$317)),NORMSINV(SUM(AA$13:AA74)/AA$317)," ")</f>
        <v>-3.1395914292975884</v>
      </c>
      <c r="AC74" s="46">
        <f t="shared" si="32"/>
        <v>3.2218222480294698E-3</v>
      </c>
      <c r="AD74" s="46">
        <f>IF(ISNUMBER(NORMSINV(SUM(AC$13:AC74)/AC$317)),NORMSINV(SUM(AC$13:AC74)/AC$317)," ")</f>
        <v>-2.2558490418075716</v>
      </c>
      <c r="AE74" s="46">
        <f t="shared" si="33"/>
        <v>6.3455028602933568E-3</v>
      </c>
      <c r="AF74" s="46">
        <f>IF(ISNUMBER(NORMSINV(SUM(AE$13:AE74)/AE$317)),NORMSINV(SUM(AE$13:AE74)/AE$317)," ")</f>
        <v>-1.9407883150868344</v>
      </c>
      <c r="AG74" s="46">
        <f t="shared" si="34"/>
        <v>9.5091608264388401E-3</v>
      </c>
      <c r="AH74" s="46">
        <f>IF(ISNUMBER(NORMSINV(SUM(AG$13:AG74)/AG$317)),NORMSINV(SUM(AG$13:AG74)/AG$317)," ")</f>
        <v>-3.1269319476054331</v>
      </c>
      <c r="AI74" s="46">
        <f t="shared" si="35"/>
        <v>6.5667051569830038E-3</v>
      </c>
      <c r="AJ74" s="46">
        <f>IF(ISNUMBER(NORMSINV(SUM(AI$13:AI74)/AI$317)),NORMSINV(SUM(AI$13:AI74)/AI$317)," ")</f>
        <v>-2.2862516600932046</v>
      </c>
      <c r="AK74" s="46">
        <f t="shared" si="36"/>
        <v>1.0633388125675795E-2</v>
      </c>
      <c r="AL74" s="46">
        <f>IF(ISNUMBER(NORMSINV(SUM(AK$13:AK74)/AK$317)),NORMSINV(SUM(AK$13:AK74)/AK$317)," ")</f>
        <v>-1.811339065198349</v>
      </c>
      <c r="AM74" s="6">
        <v>6.2975155138318389E-2</v>
      </c>
      <c r="AN74" s="6">
        <v>6.0749999999999998E-2</v>
      </c>
      <c r="AO74" s="6">
        <v>0.12456677009221226</v>
      </c>
      <c r="AP74" s="6">
        <v>6.3520962615265297E-2</v>
      </c>
      <c r="AQ74" s="6">
        <v>5.2249999999999998E-2</v>
      </c>
      <c r="AR74" s="6">
        <v>0.10290838504610611</v>
      </c>
      <c r="AS74" s="6">
        <v>7.7110636445951036E-2</v>
      </c>
      <c r="AT74" s="6">
        <v>5.3249999999999999E-2</v>
      </c>
      <c r="AU74" s="6">
        <v>8.6227096261526526E-2</v>
      </c>
    </row>
    <row r="75" spans="1:47" x14ac:dyDescent="0.4">
      <c r="A75" s="6">
        <f t="shared" si="21"/>
        <v>-0.77484098184690386</v>
      </c>
      <c r="B75" s="6">
        <f>'Aerosol 1'!A79</f>
        <v>0.46077704708850942</v>
      </c>
      <c r="C75" t="b">
        <f t="shared" si="22"/>
        <v>0</v>
      </c>
      <c r="E75" s="46">
        <f>'Aerosol 1'!$P79</f>
        <v>4.3262788783515575E-2</v>
      </c>
      <c r="F75" s="46">
        <f>'Aerosol 2'!$P79</f>
        <v>4.3262788783515575E-2</v>
      </c>
      <c r="G75" s="46">
        <f>'Aerosol 3'!$P79</f>
        <v>4.3262788783515575E-2</v>
      </c>
      <c r="H75" s="46">
        <f t="shared" si="23"/>
        <v>0.12978836635054672</v>
      </c>
      <c r="I75" s="46">
        <f>NORMSINV(SUM(H$13:H75)/H$317)</f>
        <v>-2.4205818881327015</v>
      </c>
      <c r="J75" s="46">
        <f t="shared" si="18"/>
        <v>2.3361905943098411E-2</v>
      </c>
      <c r="K75" s="46">
        <f t="shared" si="19"/>
        <v>6.4894183175273359E-2</v>
      </c>
      <c r="L75" s="46">
        <f t="shared" si="20"/>
        <v>0.12978317481589272</v>
      </c>
      <c r="M75" s="46">
        <f t="shared" si="24"/>
        <v>0.21803926393426448</v>
      </c>
      <c r="N75" s="46">
        <f>IF(ISNUMBER(NORMSINV(SUM(M$13:M75)/M$317)),NORMSINV(SUM(M$13:M75)/M$317)," ")</f>
        <v>-2.4205818881327015</v>
      </c>
      <c r="O75" s="46">
        <f t="shared" si="25"/>
        <v>1.6329512307162862E-2</v>
      </c>
      <c r="P75" s="46">
        <f>IF(ISNUMBER(NORMSINV(SUM(O$13:O75)/O$317)),NORMSINV(SUM(O$13:O75)/O$317)," ")</f>
        <v>-3.0992519946087493</v>
      </c>
      <c r="Q75" s="46">
        <f t="shared" si="26"/>
        <v>1.1706816630895907E-2</v>
      </c>
      <c r="R75" s="46">
        <f>IF(ISNUMBER(NORMSINV(SUM(Q$13:Q75)/Q$317)),NORMSINV(SUM(Q$13:Q75)/Q$317)," ")</f>
        <v>-2.2534623652667647</v>
      </c>
      <c r="S75" s="46">
        <f t="shared" si="27"/>
        <v>2.1030329054580944E-2</v>
      </c>
      <c r="T75" s="46">
        <f>IF(ISNUMBER(NORMSINV(SUM(S$13:S75)/S$317)),NORMSINV(SUM(S$13:S75)/S$317)," ")</f>
        <v>-1.8426476188105814</v>
      </c>
      <c r="U75" s="46">
        <f t="shared" si="28"/>
        <v>1.5340176909075442E-3</v>
      </c>
      <c r="V75" s="46">
        <f>IF(ISNUMBER(NORMSINV(SUM(U$13:U75)/U$317)),NORMSINV(SUM(U$13:U75)/U$317)," ")</f>
        <v>-3.0553013656209358</v>
      </c>
      <c r="W75" s="46">
        <f t="shared" si="29"/>
        <v>1.405141501041586E-3</v>
      </c>
      <c r="X75" s="46">
        <f>IF(ISNUMBER(NORMSINV(SUM(W$13:W75)/W$317)),NORMSINV(SUM(W$13:W75)/W$317)," ")</f>
        <v>-2.2291499058412363</v>
      </c>
      <c r="Y75" s="46">
        <f t="shared" si="30"/>
        <v>2.9566806214064542E-3</v>
      </c>
      <c r="Z75" s="46">
        <f>IF(ISNUMBER(NORMSINV(SUM(Y$13:Y75)/Y$317)),NORMSINV(SUM(Y$13:Y75)/Y$317)," ")</f>
        <v>-1.8500421352766807</v>
      </c>
      <c r="AA75" s="46">
        <f t="shared" si="31"/>
        <v>4.2936073441085937E-3</v>
      </c>
      <c r="AB75" s="46">
        <f>IF(ISNUMBER(NORMSINV(SUM(AA$13:AA75)/AA$317)),NORMSINV(SUM(AA$13:AA75)/AA$317)," ")</f>
        <v>-3.1143681369500058</v>
      </c>
      <c r="AC75" s="46">
        <f t="shared" si="32"/>
        <v>3.3907210709080331E-3</v>
      </c>
      <c r="AD75" s="46">
        <f>IF(ISNUMBER(NORMSINV(SUM(AC$13:AC75)/AC$317)),NORMSINV(SUM(AC$13:AC75)/AC$317)," ")</f>
        <v>-2.2366905467070839</v>
      </c>
      <c r="AE75" s="46">
        <f t="shared" si="33"/>
        <v>6.7493521865052038E-3</v>
      </c>
      <c r="AF75" s="46">
        <f>IF(ISNUMBER(NORMSINV(SUM(AE$13:AE75)/AE$317)),NORMSINV(SUM(AE$13:AE75)/AE$317)," ")</f>
        <v>-1.9185798629439743</v>
      </c>
      <c r="AG75" s="46">
        <f t="shared" si="34"/>
        <v>1.0501887272146725E-2</v>
      </c>
      <c r="AH75" s="46">
        <f>IF(ISNUMBER(NORMSINV(SUM(AG$13:AG75)/AG$317)),NORMSINV(SUM(AG$13:AG75)/AG$317)," ")</f>
        <v>-3.0992827057733976</v>
      </c>
      <c r="AI75" s="46">
        <f t="shared" si="35"/>
        <v>6.9109540589462866E-3</v>
      </c>
      <c r="AJ75" s="46">
        <f>IF(ISNUMBER(NORMSINV(SUM(AI$13:AI75)/AI$317)),NORMSINV(SUM(AI$13:AI75)/AI$317)," ")</f>
        <v>-2.2665832190588495</v>
      </c>
      <c r="AK75" s="46">
        <f t="shared" si="36"/>
        <v>1.1324296246669288E-2</v>
      </c>
      <c r="AL75" s="46">
        <f>IF(ISNUMBER(NORMSINV(SUM(AK$13:AK75)/AK$317)),NORMSINV(SUM(AK$13:AK75)/AK$317)," ")</f>
        <v>-1.7887564082794223</v>
      </c>
      <c r="AM75" s="6">
        <v>6.566320807231589E-2</v>
      </c>
      <c r="AN75" s="6">
        <v>6.014669798192103E-2</v>
      </c>
      <c r="AO75" s="6">
        <v>0.12655990605423692</v>
      </c>
      <c r="AP75" s="6">
        <v>6.6163208072315904E-2</v>
      </c>
      <c r="AQ75" s="6">
        <v>5.2249999999999998E-2</v>
      </c>
      <c r="AR75" s="6">
        <v>0.10400550336346495</v>
      </c>
      <c r="AS75" s="6">
        <v>8.091871143578086E-2</v>
      </c>
      <c r="AT75" s="6">
        <v>5.3249999999999999E-2</v>
      </c>
      <c r="AU75" s="6">
        <v>8.7255503363464965E-2</v>
      </c>
    </row>
    <row r="76" spans="1:47" x14ac:dyDescent="0.4">
      <c r="A76" s="6">
        <f t="shared" si="21"/>
        <v>-0.74036240441572509</v>
      </c>
      <c r="B76" s="6">
        <f>'Aerosol 1'!A80</f>
        <v>0.47694103865880688</v>
      </c>
      <c r="C76" t="b">
        <f t="shared" si="22"/>
        <v>0</v>
      </c>
      <c r="E76" s="46">
        <f>'Aerosol 1'!$P80</f>
        <v>4.5510862372714379E-2</v>
      </c>
      <c r="F76" s="46">
        <f>'Aerosol 2'!$P80</f>
        <v>4.5510862372714379E-2</v>
      </c>
      <c r="G76" s="46">
        <f>'Aerosol 3'!$P80</f>
        <v>4.5510862372714379E-2</v>
      </c>
      <c r="H76" s="46">
        <f t="shared" si="23"/>
        <v>0.13653258711814314</v>
      </c>
      <c r="I76" s="46">
        <f>NORMSINV(SUM(H$13:H76)/H$317)</f>
        <v>-2.3996561267314007</v>
      </c>
      <c r="J76" s="46">
        <f t="shared" si="18"/>
        <v>2.4575865681265765E-2</v>
      </c>
      <c r="K76" s="46">
        <f t="shared" si="19"/>
        <v>6.8266293559071572E-2</v>
      </c>
      <c r="L76" s="46">
        <f t="shared" si="20"/>
        <v>0.13652712581465842</v>
      </c>
      <c r="M76" s="46">
        <f t="shared" si="24"/>
        <v>0.22936928505499576</v>
      </c>
      <c r="N76" s="46">
        <f>IF(ISNUMBER(NORMSINV(SUM(M$13:M76)/M$317)),NORMSINV(SUM(M$13:M76)/M$317)," ")</f>
        <v>-2.3996561267314016</v>
      </c>
      <c r="O76" s="46">
        <f t="shared" si="25"/>
        <v>1.8001944082538548E-2</v>
      </c>
      <c r="P76" s="46">
        <f>IF(ISNUMBER(NORMSINV(SUM(O$13:O76)/O$317)),NORMSINV(SUM(O$13:O76)/O$317)," ")</f>
        <v>-3.0722964952700114</v>
      </c>
      <c r="Q76" s="46">
        <f t="shared" si="26"/>
        <v>1.228846914758909E-2</v>
      </c>
      <c r="R76" s="46">
        <f>IF(ISNUMBER(NORMSINV(SUM(Q$13:Q76)/Q$317)),NORMSINV(SUM(Q$13:Q76)/Q$317)," ")</f>
        <v>-2.2339664988476562</v>
      </c>
      <c r="S76" s="46">
        <f t="shared" si="27"/>
        <v>2.2427170650692316E-2</v>
      </c>
      <c r="T76" s="46">
        <f>IF(ISNUMBER(NORMSINV(SUM(S$13:S76)/S$317)),NORMSINV(SUM(S$13:S76)/S$317)," ")</f>
        <v>-1.8194885129821592</v>
      </c>
      <c r="U76" s="46">
        <f t="shared" si="28"/>
        <v>1.6714000039693062E-3</v>
      </c>
      <c r="V76" s="46">
        <f>IF(ISNUMBER(NORMSINV(SUM(U$13:U76)/U$317)),NORMSINV(SUM(U$13:U76)/U$317)," ")</f>
        <v>-3.0312339024849067</v>
      </c>
      <c r="W76" s="46">
        <f t="shared" si="29"/>
        <v>1.4875266116515806E-3</v>
      </c>
      <c r="X76" s="46">
        <f>IF(ISNUMBER(NORMSINV(SUM(W$13:W76)/W$317)),NORMSINV(SUM(W$13:W76)/W$317)," ")</f>
        <v>-2.2100963883538549</v>
      </c>
      <c r="Y76" s="46">
        <f t="shared" si="30"/>
        <v>3.1600589538476566E-3</v>
      </c>
      <c r="Z76" s="46">
        <f>IF(ISNUMBER(NORMSINV(SUM(Y$13:Y76)/Y$317)),NORMSINV(SUM(Y$13:Y76)/Y$317)," ")</f>
        <v>-1.8251668579363678</v>
      </c>
      <c r="AA76" s="46">
        <f t="shared" si="31"/>
        <v>4.7610060239437592E-3</v>
      </c>
      <c r="AB76" s="46">
        <f>IF(ISNUMBER(NORMSINV(SUM(AA$13:AA76)/AA$317)),NORMSINV(SUM(AA$13:AA76)/AA$317)," ")</f>
        <v>-3.0885366327394217</v>
      </c>
      <c r="AC76" s="46">
        <f t="shared" si="32"/>
        <v>3.5308730863069485E-3</v>
      </c>
      <c r="AD76" s="46">
        <f>IF(ISNUMBER(NORMSINV(SUM(AC$13:AC76)/AC$317)),NORMSINV(SUM(AC$13:AC76)/AC$317)," ")</f>
        <v>-2.2175760366169075</v>
      </c>
      <c r="AE76" s="46">
        <f t="shared" si="33"/>
        <v>7.2248833599968358E-3</v>
      </c>
      <c r="AF76" s="46">
        <f>IF(ISNUMBER(NORMSINV(SUM(AE$13:AE76)/AE$317)),NORMSINV(SUM(AE$13:AE76)/AE$317)," ")</f>
        <v>-1.8958105670006777</v>
      </c>
      <c r="AG76" s="46">
        <f t="shared" si="34"/>
        <v>1.1569538054625482E-2</v>
      </c>
      <c r="AH76" s="46">
        <f>IF(ISNUMBER(NORMSINV(SUM(AG$13:AG76)/AG$317)),NORMSINV(SUM(AG$13:AG76)/AG$317)," ")</f>
        <v>-3.0713368698426491</v>
      </c>
      <c r="AI76" s="46">
        <f t="shared" si="35"/>
        <v>7.2700694496305607E-3</v>
      </c>
      <c r="AJ76" s="46">
        <f>IF(ISNUMBER(NORMSINV(SUM(AI$13:AI76)/AI$317)),NORMSINV(SUM(AI$13:AI76)/AI$317)," ")</f>
        <v>-2.2467974755318134</v>
      </c>
      <c r="AK76" s="46">
        <f t="shared" si="36"/>
        <v>1.2042228336847824E-2</v>
      </c>
      <c r="AL76" s="46">
        <f>IF(ISNUMBER(NORMSINV(SUM(AK$13:AK76)/AK$317)),NORMSINV(SUM(AK$13:AK76)/AK$317)," ")</f>
        <v>-1.7657024543895878</v>
      </c>
      <c r="AM76" s="6">
        <v>6.8009811969448469E-2</v>
      </c>
      <c r="AN76" s="6">
        <v>6.0527943590834535E-2</v>
      </c>
      <c r="AO76" s="6">
        <v>0.12858383077250363</v>
      </c>
      <c r="AP76" s="6">
        <v>6.9741680348062385E-2</v>
      </c>
      <c r="AQ76" s="6">
        <v>5.1722056409165461E-2</v>
      </c>
      <c r="AR76" s="6">
        <v>0.10583383077250363</v>
      </c>
      <c r="AS76" s="6">
        <v>8.4741680348062398E-2</v>
      </c>
      <c r="AT76" s="6">
        <v>5.3249999999999999E-2</v>
      </c>
      <c r="AU76" s="6">
        <v>8.8203924787779386E-2</v>
      </c>
    </row>
    <row r="77" spans="1:47" x14ac:dyDescent="0.4">
      <c r="A77" s="6">
        <f t="shared" si="21"/>
        <v>-0.70588382698454644</v>
      </c>
      <c r="B77" s="6">
        <f>'Aerosol 1'!A81</f>
        <v>0.49367206069456598</v>
      </c>
      <c r="C77" t="b">
        <f t="shared" si="22"/>
        <v>0</v>
      </c>
      <c r="E77" s="46">
        <f>'Aerosol 1'!$P81</f>
        <v>4.7854819584171315E-2</v>
      </c>
      <c r="F77" s="46">
        <f>'Aerosol 2'!$P81</f>
        <v>4.7854819584171315E-2</v>
      </c>
      <c r="G77" s="46">
        <f>'Aerosol 3'!$P81</f>
        <v>4.7854819584171315E-2</v>
      </c>
      <c r="H77" s="46">
        <f t="shared" si="23"/>
        <v>0.14356445875251395</v>
      </c>
      <c r="I77" s="46">
        <f>NORMSINV(SUM(H$13:H77)/H$317)</f>
        <v>-2.3787302019238434</v>
      </c>
      <c r="J77" s="46">
        <f t="shared" ref="J77:J140" si="37">F$5*G$5*E77</f>
        <v>2.584160257545251E-2</v>
      </c>
      <c r="K77" s="46">
        <f t="shared" ref="K77:K140" si="38">F$6*G$6*F77</f>
        <v>7.1782229376256973E-2</v>
      </c>
      <c r="L77" s="46">
        <f t="shared" ref="L77:L140" si="39">F$7*G$7*G77</f>
        <v>0.14355871617416385</v>
      </c>
      <c r="M77" s="46">
        <f t="shared" si="24"/>
        <v>0.24118254812587334</v>
      </c>
      <c r="N77" s="46">
        <f>IF(ISNUMBER(NORMSINV(SUM(M$13:M77)/M$317)),NORMSINV(SUM(M$13:M77)/M$317)," ")</f>
        <v>-2.3787302019238434</v>
      </c>
      <c r="O77" s="46">
        <f t="shared" si="25"/>
        <v>1.9868343073342041E-2</v>
      </c>
      <c r="P77" s="46">
        <f>IF(ISNUMBER(NORMSINV(SUM(O$13:O77)/O$317)),NORMSINV(SUM(O$13:O77)/O$317)," ")</f>
        <v>-3.0449281828517774</v>
      </c>
      <c r="Q77" s="46">
        <f t="shared" si="26"/>
        <v>1.2911163805610198E-2</v>
      </c>
      <c r="R77" s="46">
        <f>IF(ISNUMBER(NORMSINV(SUM(Q$13:Q77)/Q$317)),NORMSINV(SUM(Q$13:Q77)/Q$317)," ")</f>
        <v>-2.214358140841536</v>
      </c>
      <c r="S77" s="46">
        <f t="shared" si="27"/>
        <v>2.3919121387019425E-2</v>
      </c>
      <c r="T77" s="46">
        <f>IF(ISNUMBER(NORMSINV(SUM(S$13:S77)/S$317)),NORMSINV(SUM(S$13:S77)/S$317)," ")</f>
        <v>-1.7958188665368655</v>
      </c>
      <c r="U77" s="46">
        <f t="shared" si="28"/>
        <v>1.842692566478488E-3</v>
      </c>
      <c r="V77" s="46">
        <f>IF(ISNUMBER(NORMSINV(SUM(U$13:U77)/U$317)),NORMSINV(SUM(U$13:U77)/U$317)," ")</f>
        <v>-3.0065883989825974</v>
      </c>
      <c r="W77" s="46">
        <f t="shared" si="29"/>
        <v>1.56987735645874E-3</v>
      </c>
      <c r="X77" s="46">
        <f>IF(ISNUMBER(NORMSINV(SUM(W$13:W77)/W$317)),NORMSINV(SUM(W$13:W77)/W$317)," ")</f>
        <v>-2.190821922712654</v>
      </c>
      <c r="Y77" s="46">
        <f t="shared" si="30"/>
        <v>3.3750119272740113E-3</v>
      </c>
      <c r="Z77" s="46">
        <f>IF(ISNUMBER(NORMSINV(SUM(Y$13:Y77)/Y$317)),NORMSINV(SUM(Y$13:Y77)/Y$317)," ")</f>
        <v>-1.7997902777299279</v>
      </c>
      <c r="AA77" s="46">
        <f t="shared" si="31"/>
        <v>5.2477071503916634E-3</v>
      </c>
      <c r="AB77" s="46">
        <f>IF(ISNUMBER(NORMSINV(SUM(AA$13:AA77)/AA$317)),NORMSINV(SUM(AA$13:AA77)/AA$317)," ")</f>
        <v>-3.0622656215274362</v>
      </c>
      <c r="AC77" s="46">
        <f t="shared" si="32"/>
        <v>3.6967848128772332E-3</v>
      </c>
      <c r="AD77" s="46">
        <f>IF(ISNUMBER(NORMSINV(SUM(AC$13:AC77)/AC$317)),NORMSINV(SUM(AC$13:AC77)/AC$317)," ")</f>
        <v>-2.1983953103029181</v>
      </c>
      <c r="AE77" s="46">
        <f t="shared" si="33"/>
        <v>7.7311896369584628E-3</v>
      </c>
      <c r="AF77" s="46">
        <f>IF(ISNUMBER(NORMSINV(SUM(AE$13:AE77)/AE$317)),NORMSINV(SUM(AE$13:AE77)/AE$317)," ")</f>
        <v>-1.8724872051823622</v>
      </c>
      <c r="AG77" s="46">
        <f t="shared" si="34"/>
        <v>1.277794335647189E-2</v>
      </c>
      <c r="AH77" s="46">
        <f>IF(ISNUMBER(NORMSINV(SUM(AG$13:AG77)/AG$317)),NORMSINV(SUM(AG$13:AG77)/AG$317)," ")</f>
        <v>-3.043026632553405</v>
      </c>
      <c r="AI77" s="46">
        <f t="shared" si="35"/>
        <v>7.6445016362742249E-3</v>
      </c>
      <c r="AJ77" s="46">
        <f>IF(ISNUMBER(NORMSINV(SUM(AI$13:AI77)/AI$317)),NORMSINV(SUM(AI$13:AI77)/AI$317)," ")</f>
        <v>-2.2268997901254872</v>
      </c>
      <c r="AK77" s="46">
        <f t="shared" si="36"/>
        <v>1.2812919822786949E-2</v>
      </c>
      <c r="AL77" s="46">
        <f>IF(ISNUMBER(NORMSINV(SUM(AK$13:AK77)/AK$317)),NORMSINV(SUM(AK$13:AK77)/AK$317)," ")</f>
        <v>-1.7421615809144093</v>
      </c>
      <c r="AM77" s="6">
        <v>7.1307209415444731E-2</v>
      </c>
      <c r="AN77" s="6">
        <v>6.0749999999999998E-2</v>
      </c>
      <c r="AO77" s="6">
        <v>0.13060381674935312</v>
      </c>
      <c r="AP77" s="6">
        <v>7.3105937165660384E-2</v>
      </c>
      <c r="AQ77" s="6">
        <v>5.149999999999999E-2</v>
      </c>
      <c r="AR77" s="6">
        <v>0.10770339266609164</v>
      </c>
      <c r="AS77" s="6">
        <v>8.9008481665229094E-2</v>
      </c>
      <c r="AT77" s="6">
        <v>5.3249999999999999E-2</v>
      </c>
      <c r="AU77" s="6">
        <v>8.9252120416307257E-2</v>
      </c>
    </row>
    <row r="78" spans="1:47" x14ac:dyDescent="0.4">
      <c r="A78" s="6">
        <f t="shared" ref="A78:A141" si="40">LN(B78)</f>
        <v>-0.67140524955336756</v>
      </c>
      <c r="B78" s="6">
        <f>'Aerosol 1'!A82</f>
        <v>0.51099000454176802</v>
      </c>
      <c r="C78" t="b">
        <f t="shared" ref="C78:C141" si="41">OR(B78&lt;0.001,B78&gt;100)</f>
        <v>0</v>
      </c>
      <c r="E78" s="46">
        <f>'Aerosol 1'!$P82</f>
        <v>5.0297496176306133E-2</v>
      </c>
      <c r="F78" s="46">
        <f>'Aerosol 2'!$P82</f>
        <v>5.0297496176306133E-2</v>
      </c>
      <c r="G78" s="46">
        <f>'Aerosol 3'!$P82</f>
        <v>5.0297496176306133E-2</v>
      </c>
      <c r="H78" s="46">
        <f t="shared" ref="H78:H141" si="42">SUM(E78,F78,G78)</f>
        <v>0.1508924885289184</v>
      </c>
      <c r="I78" s="46">
        <f>NORMSINV(SUM(H$13:H78)/H$317)</f>
        <v>-2.3578041107314731</v>
      </c>
      <c r="J78" s="46">
        <f t="shared" si="37"/>
        <v>2.7160647935205316E-2</v>
      </c>
      <c r="K78" s="46">
        <f t="shared" si="38"/>
        <v>7.54462442644592E-2</v>
      </c>
      <c r="L78" s="46">
        <f t="shared" si="39"/>
        <v>0.15088645282937724</v>
      </c>
      <c r="M78" s="46">
        <f t="shared" ref="M78:M141" si="43">SUM(J78,K78,L78)</f>
        <v>0.25349334502904175</v>
      </c>
      <c r="N78" s="46">
        <f>IF(ISNUMBER(NORMSINV(SUM(M$13:M78)/M$317)),NORMSINV(SUM(M$13:M78)/M$317)," ")</f>
        <v>-2.3578041107314731</v>
      </c>
      <c r="O78" s="46">
        <f t="shared" ref="O78:O141" si="44">SUM(U78,AA78,AG78)</f>
        <v>2.1962326936267408E-2</v>
      </c>
      <c r="P78" s="46">
        <f>IF(ISNUMBER(NORMSINV(SUM(O$13:O78)/O$317)),NORMSINV(SUM(O$13:O78)/O$317)," ")</f>
        <v>-3.0171132726466294</v>
      </c>
      <c r="Q78" s="46">
        <f t="shared" ref="Q78:Q141" si="45">SUM(W78,AC78,AI78)</f>
        <v>1.3573586173044685E-2</v>
      </c>
      <c r="R78" s="46">
        <f>IF(ISNUMBER(NORMSINV(SUM(Q$13:Q78)/Q$317)),NORMSINV(SUM(Q$13:Q78)/Q$317)," ")</f>
        <v>-2.1946224333658004</v>
      </c>
      <c r="S78" s="46">
        <f t="shared" ref="S78:S141" si="46">SUM(Y78,AE78,AK78)</f>
        <v>2.5519299569016128E-2</v>
      </c>
      <c r="T78" s="46">
        <f>IF(ISNUMBER(NORMSINV(SUM(S$13:S78)/S$317)),NORMSINV(SUM(S$13:S78)/S$317)," ")</f>
        <v>-1.7716279146192124</v>
      </c>
      <c r="U78" s="46">
        <f t="shared" ref="U78:U141" si="47">IF(C78,0,$J78*AM78)</f>
        <v>2.0268183358306937E-3</v>
      </c>
      <c r="V78" s="46">
        <f>IF(ISNUMBER(NORMSINV(SUM(U$13:U78)/U$317)),NORMSINV(SUM(U$13:U78)/U$317)," ")</f>
        <v>-2.9814355578004545</v>
      </c>
      <c r="W78" s="46">
        <f t="shared" ref="W78:W141" si="48">IF(C78,0,$J78*AN78)</f>
        <v>1.6534009802607001E-3</v>
      </c>
      <c r="X78" s="46">
        <f>IF(ISNUMBER(NORMSINV(SUM(W$13:W78)/W$317)),NORMSINV(SUM(W$13:W78)/W$317)," ")</f>
        <v>-2.1713652012407065</v>
      </c>
      <c r="Y78" s="46">
        <f t="shared" ref="Y78:Y141" si="49">IF(C78,0,$J78*AO78)</f>
        <v>3.6123246218432267E-3</v>
      </c>
      <c r="Z78" s="46">
        <f>IF(ISNUMBER(NORMSINV(SUM(Y$13:Y78)/Y$317)),NORMSINV(SUM(Y$13:Y78)/Y$317)," ")</f>
        <v>-1.7738549140772075</v>
      </c>
      <c r="AA78" s="46">
        <f t="shared" ref="AA78:AA141" si="50">IF(C78,0,$K78*AP78)</f>
        <v>5.8091684308676176E-3</v>
      </c>
      <c r="AB78" s="46">
        <f>IF(ISNUMBER(NORMSINV(SUM(AA$13:AA78)/AA$317)),NORMSINV(SUM(AA$13:AA78)/AA$317)," ")</f>
        <v>-3.0354540352302539</v>
      </c>
      <c r="AC78" s="46">
        <f t="shared" ref="AC78:AC141" si="51">IF(C78,0,$K78*AQ78)</f>
        <v>3.8854815796196479E-3</v>
      </c>
      <c r="AD78" s="46">
        <f>IF(ISNUMBER(NORMSINV(SUM(AC$13:AC78)/AC$317)),NORMSINV(SUM(AC$13:AC78)/AC$317)," ")</f>
        <v>-2.1790709628268212</v>
      </c>
      <c r="AE78" s="46">
        <f t="shared" ref="AE78:AE141" si="52">IF(C78,0,$K78*AR78)</f>
        <v>8.2707079576182559E-3</v>
      </c>
      <c r="AF78" s="46">
        <f>IF(ISNUMBER(NORMSINV(SUM(AE$13:AE78)/AE$317)),NORMSINV(SUM(AE$13:AE78)/AE$317)," ")</f>
        <v>-1.8486146709800293</v>
      </c>
      <c r="AG78" s="46">
        <f t="shared" ref="AG78:AG141" si="53">IF(C78,0,$L78*AS78)</f>
        <v>1.4126340169569096E-2</v>
      </c>
      <c r="AH78" s="46">
        <f>IF(ISNUMBER(NORMSINV(SUM(AG$13:AG78)/AG$317)),NORMSINV(SUM(AG$13:AG78)/AG$317)," ")</f>
        <v>-3.0143292118213778</v>
      </c>
      <c r="AI78" s="46">
        <f t="shared" ref="AI78:AI141" si="54">IF(C78,0,$L78*AT78)</f>
        <v>8.0347036131643377E-3</v>
      </c>
      <c r="AJ78" s="46">
        <f>IF(ISNUMBER(NORMSINV(SUM(AI$13:AI78)/AI$317)),NORMSINV(SUM(AI$13:AI78)/AI$317)," ")</f>
        <v>-2.2068952539795528</v>
      </c>
      <c r="AK78" s="46">
        <f t="shared" ref="AK78:AK141" si="55">IF(C78,0,$L78*AU78)</f>
        <v>1.3636266989554646E-2</v>
      </c>
      <c r="AL78" s="46">
        <f>IF(ISNUMBER(NORMSINV(SUM(AK$13:AK78)/AK$317)),NORMSINV(SUM(AK$13:AK78)/AK$317)," ")</f>
        <v>-1.7181250155457144</v>
      </c>
      <c r="AM78" s="6">
        <v>7.4623342589833996E-2</v>
      </c>
      <c r="AN78" s="6">
        <v>6.0874872506910302E-2</v>
      </c>
      <c r="AO78" s="6">
        <v>0.13299847008292368</v>
      </c>
      <c r="AP78" s="6">
        <v>7.6997450138206136E-2</v>
      </c>
      <c r="AQ78" s="6">
        <v>5.149999999999999E-2</v>
      </c>
      <c r="AR78" s="6">
        <v>0.10962385256219274</v>
      </c>
      <c r="AS78" s="6">
        <v>9.3622322645116426E-2</v>
      </c>
      <c r="AT78" s="6">
        <v>5.3249999999999999E-2</v>
      </c>
      <c r="AU78" s="6">
        <v>9.0374362534551528E-2</v>
      </c>
    </row>
    <row r="79" spans="1:47" x14ac:dyDescent="0.4">
      <c r="A79" s="6">
        <f t="shared" si="40"/>
        <v>-0.63692667212218901</v>
      </c>
      <c r="B79" s="6">
        <f>'Aerosol 1'!A83</f>
        <v>0.5289154593319082</v>
      </c>
      <c r="C79" t="b">
        <f t="shared" si="41"/>
        <v>0</v>
      </c>
      <c r="E79" s="46">
        <f>'Aerosol 1'!$P83</f>
        <v>5.2841740508993186E-2</v>
      </c>
      <c r="F79" s="46">
        <f>'Aerosol 2'!$P83</f>
        <v>5.2841740508993186E-2</v>
      </c>
      <c r="G79" s="46">
        <f>'Aerosol 3'!$P83</f>
        <v>5.2841740508993186E-2</v>
      </c>
      <c r="H79" s="46">
        <f t="shared" si="42"/>
        <v>0.15852522152697957</v>
      </c>
      <c r="I79" s="46">
        <f>NORMSINV(SUM(H$13:H79)/H$317)</f>
        <v>-2.336877850107034</v>
      </c>
      <c r="J79" s="46">
        <f t="shared" si="37"/>
        <v>2.8534539874856324E-2</v>
      </c>
      <c r="K79" s="46">
        <f t="shared" si="38"/>
        <v>7.9262610763489783E-2</v>
      </c>
      <c r="L79" s="46">
        <f t="shared" si="39"/>
        <v>0.15851888051811849</v>
      </c>
      <c r="M79" s="46">
        <f t="shared" si="43"/>
        <v>0.26631603115646463</v>
      </c>
      <c r="N79" s="46">
        <f>IF(ISNUMBER(NORMSINV(SUM(M$13:M79)/M$317)),NORMSINV(SUM(M$13:M79)/M$317)," ")</f>
        <v>-2.336877850107034</v>
      </c>
      <c r="O79" s="46">
        <f t="shared" si="44"/>
        <v>2.4256419579496171E-2</v>
      </c>
      <c r="P79" s="46">
        <f>IF(ISNUMBER(NORMSINV(SUM(O$13:O79)/O$317)),NORMSINV(SUM(O$13:O79)/O$317)," ")</f>
        <v>-2.9888834520303891</v>
      </c>
      <c r="Q79" s="46">
        <f t="shared" si="45"/>
        <v>1.4263761774275768E-2</v>
      </c>
      <c r="R79" s="46">
        <f>IF(ISNUMBER(NORMSINV(SUM(Q$13:Q79)/Q$317)),NORMSINV(SUM(Q$13:Q79)/Q$317)," ")</f>
        <v>-2.1747649442471051</v>
      </c>
      <c r="S79" s="46">
        <f t="shared" si="46"/>
        <v>2.7228114080430656E-2</v>
      </c>
      <c r="T79" s="46">
        <f>IF(ISNUMBER(NORMSINV(SUM(S$13:S79)/S$317)),NORMSINV(SUM(S$13:S79)/S$317)," ")</f>
        <v>-1.7469113456653089</v>
      </c>
      <c r="U79" s="46">
        <f t="shared" si="47"/>
        <v>2.2325162384747329E-3</v>
      </c>
      <c r="V79" s="46">
        <f>IF(ISNUMBER(NORMSINV(SUM(U$13:U79)/U$317)),NORMSINV(SUM(U$13:U79)/U$317)," ")</f>
        <v>-2.9557520550191141</v>
      </c>
      <c r="W79" s="46">
        <f t="shared" si="48"/>
        <v>1.7406069323662357E-3</v>
      </c>
      <c r="X79" s="46">
        <f>IF(ISNUMBER(NORMSINV(SUM(W$13:W79)/W$317)),NORMSINV(SUM(W$13:W79)/W$317)," ")</f>
        <v>-2.1517333089055453</v>
      </c>
      <c r="Y79" s="46">
        <f t="shared" si="49"/>
        <v>3.874788035629185E-3</v>
      </c>
      <c r="Z79" s="46">
        <f>IF(ISNUMBER(NORMSINV(SUM(Y$13:Y79)/Y$317)),NORMSINV(SUM(Y$13:Y79)/Y$317)," ")</f>
        <v>-1.7473004974096129</v>
      </c>
      <c r="AA79" s="46">
        <f t="shared" si="50"/>
        <v>6.435388491987431E-3</v>
      </c>
      <c r="AB79" s="46">
        <f>IF(ISNUMBER(NORMSINV(SUM(AA$13:AA79)/AA$317)),NORMSINV(SUM(AA$13:AA79)/AA$317)," ")</f>
        <v>-3.0080964590887547</v>
      </c>
      <c r="AC79" s="46">
        <f t="shared" si="51"/>
        <v>4.0820244543197234E-3</v>
      </c>
      <c r="AD79" s="46">
        <f>IF(ISNUMBER(NORMSINV(SUM(AC$13:AC79)/AC$317)),NORMSINV(SUM(AC$13:AC79)/AC$317)," ")</f>
        <v>-2.1596091503856831</v>
      </c>
      <c r="AE79" s="46">
        <f t="shared" si="52"/>
        <v>8.8492811083276651E-3</v>
      </c>
      <c r="AF79" s="46">
        <f>IF(ISNUMBER(NORMSINV(SUM(AE$13:AE79)/AE$317)),NORMSINV(SUM(AE$13:AE79)/AE$317)," ")</f>
        <v>-1.8241873163648681</v>
      </c>
      <c r="AG79" s="46">
        <f t="shared" si="53"/>
        <v>1.5588514849034008E-2</v>
      </c>
      <c r="AH79" s="46">
        <f>IF(ISNUMBER(NORMSINV(SUM(AG$13:AG79)/AG$317)),NORMSINV(SUM(AG$13:AG79)/AG$317)," ")</f>
        <v>-2.9853001020474954</v>
      </c>
      <c r="AI79" s="46">
        <f t="shared" si="54"/>
        <v>8.441130387589809E-3</v>
      </c>
      <c r="AJ79" s="46">
        <f>IF(ISNUMBER(NORMSINV(SUM(AI$13:AI79)/AI$317)),NORMSINV(SUM(AI$13:AI79)/AI$317)," ")</f>
        <v>-2.186788696208128</v>
      </c>
      <c r="AK79" s="46">
        <f t="shared" si="55"/>
        <v>1.4504044936473805E-2</v>
      </c>
      <c r="AL79" s="46">
        <f>IF(ISNUMBER(NORMSINV(SUM(AK$13:AK79)/AK$317)),NORMSINV(SUM(AK$13:AK79)/AK$317)," ")</f>
        <v>-1.6936032934744283</v>
      </c>
      <c r="AM79" s="6">
        <v>7.8239083169585333E-2</v>
      </c>
      <c r="AN79" s="6">
        <v>6.0999999999999999E-2</v>
      </c>
      <c r="AO79" s="6">
        <v>0.13579290406023045</v>
      </c>
      <c r="AP79" s="6">
        <v>8.1190720694147539E-2</v>
      </c>
      <c r="AQ79" s="6">
        <v>5.149999999999999E-2</v>
      </c>
      <c r="AR79" s="6">
        <v>0.11164508742631339</v>
      </c>
      <c r="AS79" s="6">
        <v>9.8338537328064593E-2</v>
      </c>
      <c r="AT79" s="6">
        <v>5.3249999999999999E-2</v>
      </c>
      <c r="AU79" s="6">
        <v>9.1497270792396321E-2</v>
      </c>
    </row>
    <row r="80" spans="1:47" x14ac:dyDescent="0.4">
      <c r="A80" s="6">
        <f t="shared" si="40"/>
        <v>-0.60244809469101013</v>
      </c>
      <c r="B80" s="6">
        <f>'Aerosol 1'!A84</f>
        <v>0.54746973646021047</v>
      </c>
      <c r="C80" t="b">
        <f t="shared" si="41"/>
        <v>0</v>
      </c>
      <c r="E80" s="46">
        <f>'Aerosol 1'!$P84</f>
        <v>5.5490409079426636E-2</v>
      </c>
      <c r="F80" s="46">
        <f>'Aerosol 2'!$P84</f>
        <v>5.5490409079426636E-2</v>
      </c>
      <c r="G80" s="46">
        <f>'Aerosol 3'!$P84</f>
        <v>5.5490409079426636E-2</v>
      </c>
      <c r="H80" s="46">
        <f t="shared" si="42"/>
        <v>0.1664712272382799</v>
      </c>
      <c r="I80" s="46">
        <f>NORMSINV(SUM(H$13:H80)/H$317)</f>
        <v>-2.3159514169326729</v>
      </c>
      <c r="J80" s="46">
        <f t="shared" si="37"/>
        <v>2.9964820902890387E-2</v>
      </c>
      <c r="K80" s="46">
        <f t="shared" si="38"/>
        <v>8.3235613619139948E-2</v>
      </c>
      <c r="L80" s="46">
        <f t="shared" si="39"/>
        <v>0.16646456838919038</v>
      </c>
      <c r="M80" s="46">
        <f t="shared" si="43"/>
        <v>0.27966500291122071</v>
      </c>
      <c r="N80" s="46">
        <f>IF(ISNUMBER(NORMSINV(SUM(M$13:M80)/M$317)),NORMSINV(SUM(M$13:M80)/M$317)," ")</f>
        <v>-2.3159514169326729</v>
      </c>
      <c r="O80" s="46">
        <f t="shared" si="44"/>
        <v>2.6710108243619125E-2</v>
      </c>
      <c r="P80" s="46">
        <f>IF(ISNUMBER(NORMSINV(SUM(O$13:O80)/O$317)),NORMSINV(SUM(O$13:O80)/O$317)," ")</f>
        <v>-2.9603271403751119</v>
      </c>
      <c r="Q80" s="46">
        <f t="shared" si="45"/>
        <v>1.4993318392284766E-2</v>
      </c>
      <c r="R80" s="46">
        <f>IF(ISNUMBER(NORMSINV(SUM(Q$13:Q80)/Q$317)),NORMSINV(SUM(Q$13:Q80)/Q$317)," ")</f>
        <v>-2.1547768347220684</v>
      </c>
      <c r="S80" s="46">
        <f t="shared" si="46"/>
        <v>2.90731494249327E-2</v>
      </c>
      <c r="T80" s="46">
        <f>IF(ISNUMBER(NORMSINV(SUM(S$13:S80)/S$317)),NORMSINV(SUM(S$13:S80)/S$317)," ")</f>
        <v>-1.721647199474277</v>
      </c>
      <c r="U80" s="46">
        <f t="shared" si="47"/>
        <v>2.4658052223164723E-3</v>
      </c>
      <c r="V80" s="46">
        <f>IF(ISNUMBER(NORMSINV(SUM(U$13:U80)/U$317)),NORMSINV(SUM(U$13:U80)/U$317)," ")</f>
        <v>-2.9294813510148132</v>
      </c>
      <c r="W80" s="46">
        <f t="shared" si="48"/>
        <v>1.8300800410732156E-3</v>
      </c>
      <c r="X80" s="46">
        <f>IF(ISNUMBER(NORMSINV(SUM(W$13:W80)/W$317)),NORMSINV(SUM(W$13:W80)/W$317)," ")</f>
        <v>-2.1319492569002865</v>
      </c>
      <c r="Y80" s="46">
        <f t="shared" si="49"/>
        <v>4.1565916373328769E-3</v>
      </c>
      <c r="Z80" s="46">
        <f>IF(ISNUMBER(NORMSINV(SUM(Y$13:Y80)/Y$317)),NORMSINV(SUM(Y$13:Y80)/Y$317)," ")</f>
        <v>-1.7201210761610093</v>
      </c>
      <c r="AA80" s="46">
        <f t="shared" si="50"/>
        <v>7.076097701567789E-3</v>
      </c>
      <c r="AB80" s="46">
        <f>IF(ISNUMBER(NORMSINV(SUM(AA$13:AA80)/AA$317)),NORMSINV(SUM(AA$13:AA80)/AA$317)," ")</f>
        <v>-2.9804054040027093</v>
      </c>
      <c r="AC80" s="46">
        <f t="shared" si="51"/>
        <v>4.2866341013857064E-3</v>
      </c>
      <c r="AD80" s="46">
        <f>IF(ISNUMBER(NORMSINV(SUM(AC$13:AC80)/AC$317)),NORMSINV(SUM(AC$13:AC80)/AC$317)," ")</f>
        <v>-2.1400157616427586</v>
      </c>
      <c r="AE80" s="46">
        <f t="shared" si="52"/>
        <v>9.4612734888853637E-3</v>
      </c>
      <c r="AF80" s="46">
        <f>IF(ISNUMBER(NORMSINV(SUM(AE$13:AE80)/AE$317)),NORMSINV(SUM(AE$13:AE80)/AE$317)," ")</f>
        <v>-1.7992210445845409</v>
      </c>
      <c r="AG80" s="46">
        <f t="shared" si="53"/>
        <v>1.7168205319734862E-2</v>
      </c>
      <c r="AH80" s="46">
        <f>IF(ISNUMBER(NORMSINV(SUM(AG$13:AG80)/AG$317)),NORMSINV(SUM(AG$13:AG80)/AG$317)," ")</f>
        <v>-2.9559952098562574</v>
      </c>
      <c r="AI80" s="46">
        <f t="shared" si="54"/>
        <v>8.8766042498258438E-3</v>
      </c>
      <c r="AJ80" s="46">
        <f>IF(ISNUMBER(NORMSINV(SUM(AI$13:AI80)/AI$317)),NORMSINV(SUM(AI$13:AI80)/AI$317)," ")</f>
        <v>-2.1665571170814029</v>
      </c>
      <c r="AK80" s="46">
        <f t="shared" si="55"/>
        <v>1.5455284298714461E-2</v>
      </c>
      <c r="AL80" s="46">
        <f>IF(ISNUMBER(NORMSINV(SUM(AK$13:AK80)/AK$317)),NORMSINV(SUM(AK$13:AK80)/AK$317)," ")</f>
        <v>-1.6685475309475122</v>
      </c>
      <c r="AM80" s="6">
        <v>8.2290003678233969E-2</v>
      </c>
      <c r="AN80" s="6">
        <v>6.107428597701671E-2</v>
      </c>
      <c r="AO80" s="6">
        <v>0.13871571770121727</v>
      </c>
      <c r="AP80" s="6">
        <v>8.5012861609284118E-2</v>
      </c>
      <c r="AQ80" s="6">
        <v>5.149999999999999E-2</v>
      </c>
      <c r="AR80" s="6">
        <v>0.1136685737931504</v>
      </c>
      <c r="AS80" s="6">
        <v>0.10313429149436767</v>
      </c>
      <c r="AT80" s="6">
        <v>5.332428597701671E-2</v>
      </c>
      <c r="AU80" s="6">
        <v>9.2844287816133686E-2</v>
      </c>
    </row>
    <row r="81" spans="1:47" x14ac:dyDescent="0.4">
      <c r="A81" s="6">
        <f t="shared" si="40"/>
        <v>-0.56796951725983147</v>
      </c>
      <c r="B81" s="6">
        <f>'Aerosol 1'!A85</f>
        <v>0.56667489492253287</v>
      </c>
      <c r="C81" t="b">
        <f t="shared" si="41"/>
        <v>0</v>
      </c>
      <c r="E81" s="46">
        <f>'Aerosol 1'!$P85</f>
        <v>5.8246361812947824E-2</v>
      </c>
      <c r="F81" s="46">
        <f>'Aerosol 2'!$P85</f>
        <v>5.8246361812947824E-2</v>
      </c>
      <c r="G81" s="46">
        <f>'Aerosol 3'!$P85</f>
        <v>5.8246361812947824E-2</v>
      </c>
      <c r="H81" s="46">
        <f t="shared" si="42"/>
        <v>0.17473908543884348</v>
      </c>
      <c r="I81" s="46">
        <f>NORMSINV(SUM(H$13:H81)/H$317)</f>
        <v>-2.2950248080179967</v>
      </c>
      <c r="J81" s="46">
        <f t="shared" si="37"/>
        <v>3.1453035378991828E-2</v>
      </c>
      <c r="K81" s="46">
        <f t="shared" si="38"/>
        <v>8.7369542719421739E-2</v>
      </c>
      <c r="L81" s="46">
        <f t="shared" si="39"/>
        <v>0.17473209587542593</v>
      </c>
      <c r="M81" s="46">
        <f t="shared" si="43"/>
        <v>0.2935546739738395</v>
      </c>
      <c r="N81" s="46">
        <f>IF(ISNUMBER(NORMSINV(SUM(M$13:M81)/M$317)),NORMSINV(SUM(M$13:M81)/M$317)," ")</f>
        <v>-2.2950248080179967</v>
      </c>
      <c r="O81" s="46">
        <f t="shared" si="44"/>
        <v>2.939015583927141E-2</v>
      </c>
      <c r="P81" s="46">
        <f>IF(ISNUMBER(NORMSINV(SUM(O$13:O81)/O$317)),NORMSINV(SUM(O$13:O81)/O$317)," ")</f>
        <v>-2.9314655914497454</v>
      </c>
      <c r="Q81" s="46">
        <f t="shared" si="45"/>
        <v>1.5783231584339218E-2</v>
      </c>
      <c r="R81" s="46">
        <f>IF(ISNUMBER(NORMSINV(SUM(Q$13:Q81)/Q$317)),NORMSINV(SUM(Q$13:Q81)/Q$317)," ")</f>
        <v>-2.1346261710707455</v>
      </c>
      <c r="S81" s="46">
        <f t="shared" si="46"/>
        <v>3.1124912754976645E-2</v>
      </c>
      <c r="T81" s="46">
        <f>IF(ISNUMBER(NORMSINV(SUM(S$13:S81)/S$317)),NORMSINV(SUM(S$13:S81)/S$317)," ")</f>
        <v>-1.6957649980358127</v>
      </c>
      <c r="U81" s="46">
        <f t="shared" si="47"/>
        <v>2.6969183221826937E-3</v>
      </c>
      <c r="V81" s="46">
        <f>IF(ISNUMBER(NORMSINV(SUM(U$13:U81)/U$317)),NORMSINV(SUM(U$13:U81)/U$317)," ")</f>
        <v>-2.9028891862442219</v>
      </c>
      <c r="W81" s="46">
        <f t="shared" si="48"/>
        <v>1.9311894530352201E-3</v>
      </c>
      <c r="X81" s="46">
        <f>IF(ISNUMBER(NORMSINV(SUM(W$13:W81)/W$317)),NORMSINV(SUM(W$13:W81)/W$317)," ")</f>
        <v>-2.1119392145512177</v>
      </c>
      <c r="Y81" s="46">
        <f t="shared" si="49"/>
        <v>4.4567694901070437E-3</v>
      </c>
      <c r="Z81" s="46">
        <f>IF(ISNUMBER(NORMSINV(SUM(Y$13:Y81)/Y$317)),NORMSINV(SUM(Y$13:Y81)/Y$317)," ")</f>
        <v>-1.6923245602929637</v>
      </c>
      <c r="AA81" s="46">
        <f t="shared" si="50"/>
        <v>7.7797343495974265E-3</v>
      </c>
      <c r="AB81" s="46">
        <f>IF(ISNUMBER(NORMSINV(SUM(AA$13:AA81)/AA$317)),NORMSINV(SUM(AA$13:AA81)/AA$317)," ")</f>
        <v>-2.9523861734637373</v>
      </c>
      <c r="AC81" s="46">
        <f t="shared" si="51"/>
        <v>4.50387500196871E-3</v>
      </c>
      <c r="AD81" s="46">
        <f>IF(ISNUMBER(NORMSINV(SUM(AC$13:AC81)/AC$317)),NORMSINV(SUM(AC$13:AC81)/AC$317)," ")</f>
        <v>-2.120277778727357</v>
      </c>
      <c r="AE81" s="46">
        <f t="shared" si="52"/>
        <v>1.0121462421435249E-2</v>
      </c>
      <c r="AF81" s="46">
        <f>IF(ISNUMBER(NORMSINV(SUM(AE$13:AE81)/AE$317)),NORMSINV(SUM(AE$13:AE81)/AE$317)," ")</f>
        <v>-1.7736985542330503</v>
      </c>
      <c r="AG81" s="46">
        <f t="shared" si="53"/>
        <v>1.891350316749129E-2</v>
      </c>
      <c r="AH81" s="46">
        <f>IF(ISNUMBER(NORMSINV(SUM(AG$13:AG81)/AG$317)),NORMSINV(SUM(AG$13:AG81)/AG$317)," ")</f>
        <v>-2.9264026180835718</v>
      </c>
      <c r="AI81" s="46">
        <f t="shared" si="54"/>
        <v>9.3481671293352865E-3</v>
      </c>
      <c r="AJ81" s="46">
        <f>IF(ISNUMBER(NORMSINV(SUM(AI$13:AI81)/AI$317)),NORMSINV(SUM(AI$13:AI81)/AI$317)," ")</f>
        <v>-2.1461679513532985</v>
      </c>
      <c r="AK81" s="46">
        <f t="shared" si="55"/>
        <v>1.6546680843434351E-2</v>
      </c>
      <c r="AL81" s="46">
        <f>IF(ISNUMBER(NORMSINV(SUM(AK$13:AK81)/AK$317)),NORMSINV(SUM(AK$13:AK81)/AK$317)," ")</f>
        <v>-1.6428347671286787</v>
      </c>
      <c r="AM81" s="6">
        <v>8.574429430057566E-2</v>
      </c>
      <c r="AN81" s="6">
        <v>6.1399144145086355E-2</v>
      </c>
      <c r="AO81" s="6">
        <v>0.14169600601040297</v>
      </c>
      <c r="AP81" s="6">
        <v>8.9044009015604442E-2</v>
      </c>
      <c r="AQ81" s="6">
        <v>5.1549714715028776E-2</v>
      </c>
      <c r="AR81" s="6">
        <v>0.11584657658034539</v>
      </c>
      <c r="AS81" s="6">
        <v>0.10824286787571955</v>
      </c>
      <c r="AT81" s="6">
        <v>5.3499999999999992E-2</v>
      </c>
      <c r="AU81" s="6">
        <v>9.4697432435259035E-2</v>
      </c>
    </row>
    <row r="82" spans="1:47" x14ac:dyDescent="0.4">
      <c r="A82" s="6">
        <f t="shared" si="40"/>
        <v>-0.5334909398286527</v>
      </c>
      <c r="B82" s="6">
        <f>'Aerosol 1'!A86</f>
        <v>0.58655376754108923</v>
      </c>
      <c r="C82" t="b">
        <f t="shared" si="41"/>
        <v>0</v>
      </c>
      <c r="E82" s="46">
        <f>'Aerosol 1'!$P86</f>
        <v>6.111245710915536E-2</v>
      </c>
      <c r="F82" s="46">
        <f>'Aerosol 2'!$P86</f>
        <v>6.111245710915536E-2</v>
      </c>
      <c r="G82" s="46">
        <f>'Aerosol 3'!$P86</f>
        <v>6.111245710915536E-2</v>
      </c>
      <c r="H82" s="46">
        <f t="shared" si="42"/>
        <v>0.18333737132746608</v>
      </c>
      <c r="I82" s="46">
        <f>NORMSINV(SUM(H$13:H82)/H$317)</f>
        <v>-2.2740980200980454</v>
      </c>
      <c r="J82" s="46">
        <f t="shared" si="37"/>
        <v>3.3000726838943895E-2</v>
      </c>
      <c r="K82" s="46">
        <f t="shared" si="38"/>
        <v>9.1668685663733041E-2</v>
      </c>
      <c r="L82" s="46">
        <f t="shared" si="39"/>
        <v>0.18333003783261298</v>
      </c>
      <c r="M82" s="46">
        <f t="shared" si="43"/>
        <v>0.30799945033528991</v>
      </c>
      <c r="N82" s="46">
        <f>IF(ISNUMBER(NORMSINV(SUM(M$13:M82)/M$317)),NORMSINV(SUM(M$13:M82)/M$317)," ")</f>
        <v>-2.2740980200980454</v>
      </c>
      <c r="O82" s="46">
        <f t="shared" si="44"/>
        <v>3.2462763391641516E-2</v>
      </c>
      <c r="P82" s="46">
        <f>IF(ISNUMBER(NORMSINV(SUM(O$13:O82)/O$317)),NORMSINV(SUM(O$13:O82)/O$317)," ")</f>
        <v>-2.9021906202166003</v>
      </c>
      <c r="Q82" s="46">
        <f t="shared" si="45"/>
        <v>1.6598868535862545E-2</v>
      </c>
      <c r="R82" s="46">
        <f>IF(ISNUMBER(NORMSINV(SUM(Q$13:Q82)/Q$317)),NORMSINV(SUM(Q$13:Q82)/Q$317)," ")</f>
        <v>-2.1143295367430044</v>
      </c>
      <c r="S82" s="46">
        <f t="shared" si="46"/>
        <v>3.3385932611916719E-2</v>
      </c>
      <c r="T82" s="46">
        <f>IF(ISNUMBER(NORMSINV(SUM(S$13:S82)/S$317)),NORMSINV(SUM(S$13:S82)/S$317)," ")</f>
        <v>-1.669209811791097</v>
      </c>
      <c r="U82" s="46">
        <f t="shared" si="47"/>
        <v>2.9788664926011232E-3</v>
      </c>
      <c r="V82" s="46">
        <f>IF(ISNUMBER(NORMSINV(SUM(U$13:U82)/U$317)),NORMSINV(SUM(U$13:U82)/U$317)," ")</f>
        <v>-2.8757217351837316</v>
      </c>
      <c r="W82" s="46">
        <f t="shared" si="48"/>
        <v>2.0468570287195649E-3</v>
      </c>
      <c r="X82" s="46">
        <f>IF(ISNUMBER(NORMSINV(SUM(W$13:W82)/W$317)),NORMSINV(SUM(W$13:W82)/W$317)," ")</f>
        <v>-2.0916149988850008</v>
      </c>
      <c r="Y82" s="46">
        <f t="shared" si="49"/>
        <v>4.7848443223282577E-3</v>
      </c>
      <c r="Z82" s="46">
        <f>IF(ISNUMBER(NORMSINV(SUM(Y$13:Y82)/Y$317)),NORMSINV(SUM(Y$13:Y82)/Y$317)," ")</f>
        <v>-1.6638689186813729</v>
      </c>
      <c r="AA82" s="46">
        <f t="shared" si="50"/>
        <v>8.5954695459372968E-3</v>
      </c>
      <c r="AB82" s="46">
        <f>IF(ISNUMBER(NORMSINV(SUM(AA$13:AA82)/AA$317)),NORMSINV(SUM(AA$13:AA82)/AA$317)," ")</f>
        <v>-2.9239062082612843</v>
      </c>
      <c r="AC82" s="46">
        <f t="shared" si="51"/>
        <v>4.7438544830981843E-3</v>
      </c>
      <c r="AD82" s="46">
        <f>IF(ISNUMBER(NORMSINV(SUM(AC$13:AC82)/AC$317)),NORMSINV(SUM(AC$13:AC82)/AC$317)," ")</f>
        <v>-2.100344300213508</v>
      </c>
      <c r="AE82" s="46">
        <f t="shared" si="52"/>
        <v>1.0869143027418551E-2</v>
      </c>
      <c r="AF82" s="46">
        <f>IF(ISNUMBER(NORMSINV(SUM(AE$13:AE82)/AE$317)),NORMSINV(SUM(AE$13:AE82)/AE$317)," ")</f>
        <v>-1.7475189271980025</v>
      </c>
      <c r="AG82" s="46">
        <f t="shared" si="53"/>
        <v>2.0888427353103093E-2</v>
      </c>
      <c r="AH82" s="46">
        <f>IF(ISNUMBER(NORMSINV(SUM(AG$13:AG82)/AG$317)),NORMSINV(SUM(AG$13:AG82)/AG$317)," ")</f>
        <v>-2.8964470676685279</v>
      </c>
      <c r="AI82" s="46">
        <f t="shared" si="54"/>
        <v>9.8081570240447936E-3</v>
      </c>
      <c r="AJ82" s="46">
        <f>IF(ISNUMBER(NORMSINV(SUM(AI$13:AI82)/AI$317)),NORMSINV(SUM(AI$13:AI82)/AI$317)," ")</f>
        <v>-2.1256932741559318</v>
      </c>
      <c r="AK82" s="46">
        <f t="shared" si="55"/>
        <v>1.7731945262169906E-2</v>
      </c>
      <c r="AL82" s="46">
        <f>IF(ISNUMBER(NORMSINV(SUM(AK$13:AK82)/AK$317)),NORMSINV(SUM(AK$13:AK82)/AK$317)," ")</f>
        <v>-1.6164346678752415</v>
      </c>
      <c r="AM82" s="6">
        <v>9.0266693431909101E-2</v>
      </c>
      <c r="AN82" s="6">
        <v>6.2024604449138529E-2</v>
      </c>
      <c r="AO82" s="6">
        <v>0.14499208898277055</v>
      </c>
      <c r="AP82" s="6">
        <v>9.3766693431909104E-2</v>
      </c>
      <c r="AQ82" s="6">
        <v>5.1749999999999997E-2</v>
      </c>
      <c r="AR82" s="6">
        <v>0.11856985783880088</v>
      </c>
      <c r="AS82" s="6">
        <v>0.11393892457587879</v>
      </c>
      <c r="AT82" s="6">
        <v>5.3499999999999992E-2</v>
      </c>
      <c r="AU82" s="6">
        <v>9.6721440042246754E-2</v>
      </c>
    </row>
    <row r="83" spans="1:47" x14ac:dyDescent="0.4">
      <c r="A83" s="6">
        <f t="shared" si="40"/>
        <v>-0.49901236239747387</v>
      </c>
      <c r="B83" s="6">
        <f>'Aerosol 1'!A87</f>
        <v>0.60712998811016461</v>
      </c>
      <c r="C83" t="b">
        <f t="shared" si="41"/>
        <v>0</v>
      </c>
      <c r="E83" s="46">
        <f>'Aerosol 1'!$P87</f>
        <v>6.409154664423436E-2</v>
      </c>
      <c r="F83" s="46">
        <f>'Aerosol 2'!$P87</f>
        <v>6.409154664423436E-2</v>
      </c>
      <c r="G83" s="46">
        <f>'Aerosol 3'!$P87</f>
        <v>6.409154664423436E-2</v>
      </c>
      <c r="H83" s="46">
        <f t="shared" si="42"/>
        <v>0.19227463993270308</v>
      </c>
      <c r="I83" s="46">
        <f>NORMSINV(SUM(H$13:H83)/H$317)</f>
        <v>-2.2531710498312263</v>
      </c>
      <c r="J83" s="46">
        <f t="shared" si="37"/>
        <v>3.4609435187886554E-2</v>
      </c>
      <c r="K83" s="46">
        <f t="shared" si="38"/>
        <v>9.6137319966351539E-2</v>
      </c>
      <c r="L83" s="46">
        <f t="shared" si="39"/>
        <v>0.19226694894710578</v>
      </c>
      <c r="M83" s="46">
        <f t="shared" si="43"/>
        <v>0.32301370410134389</v>
      </c>
      <c r="N83" s="46">
        <f>IF(ISNUMBER(NORMSINV(SUM(M$13:M83)/M$317)),NORMSINV(SUM(M$13:M83)/M$317)," ")</f>
        <v>-2.2531710498312263</v>
      </c>
      <c r="O83" s="46">
        <f t="shared" si="44"/>
        <v>3.5871309677800466E-2</v>
      </c>
      <c r="P83" s="46">
        <f>IF(ISNUMBER(NORMSINV(SUM(O$13:O83)/O$317)),NORMSINV(SUM(O$13:O83)/O$317)," ")</f>
        <v>-2.8724947964487448</v>
      </c>
      <c r="Q83" s="46">
        <f t="shared" si="45"/>
        <v>1.7415798964624092E-2</v>
      </c>
      <c r="R83" s="46">
        <f>IF(ISNUMBER(NORMSINV(SUM(Q$13:Q83)/Q$317)),NORMSINV(SUM(Q$13:Q83)/Q$317)," ")</f>
        <v>-2.0939306993699334</v>
      </c>
      <c r="S83" s="46">
        <f t="shared" si="46"/>
        <v>3.5838349267164782E-2</v>
      </c>
      <c r="T83" s="46">
        <f>IF(ISNUMBER(NORMSINV(SUM(S$13:S83)/S$317)),NORMSINV(SUM(S$13:S83)/S$317)," ")</f>
        <v>-1.6419557087744925</v>
      </c>
      <c r="U83" s="46">
        <f t="shared" si="47"/>
        <v>3.2873408350846335E-3</v>
      </c>
      <c r="V83" s="46">
        <f>IF(ISNUMBER(NORMSINV(SUM(U$13:U83)/U$317)),NORMSINV(SUM(U$13:U83)/U$317)," ")</f>
        <v>-2.8480155743225835</v>
      </c>
      <c r="W83" s="46">
        <f t="shared" si="48"/>
        <v>2.1544108876952435E-3</v>
      </c>
      <c r="X83" s="46">
        <f>IF(ISNUMBER(NORMSINV(SUM(W$13:W83)/W$317)),NORMSINV(SUM(W$13:W83)/W$317)," ")</f>
        <v>-2.071116862564482</v>
      </c>
      <c r="Y83" s="46">
        <f t="shared" si="49"/>
        <v>5.1735815055751451E-3</v>
      </c>
      <c r="Z83" s="46">
        <f>IF(ISNUMBER(NORMSINV(SUM(Y$13:Y83)/Y$317)),NORMSINV(SUM(Y$13:Y83)/Y$317)," ")</f>
        <v>-1.6345452365140258</v>
      </c>
      <c r="AA83" s="46">
        <f t="shared" si="50"/>
        <v>9.4679829395617667E-3</v>
      </c>
      <c r="AB83" s="46">
        <f>IF(ISNUMBER(NORMSINV(SUM(AA$13:AA83)/AA$317)),NORMSINV(SUM(AA$13:AA83)/AA$317)," ")</f>
        <v>-2.8950573292672108</v>
      </c>
      <c r="AC83" s="46">
        <f t="shared" si="51"/>
        <v>4.975106308258692E-3</v>
      </c>
      <c r="AD83" s="46">
        <f>IF(ISNUMBER(NORMSINV(SUM(AC$13:AC83)/AC$317)),NORMSINV(SUM(AC$13:AC83)/AC$317)," ")</f>
        <v>-2.0802986190321704</v>
      </c>
      <c r="AE83" s="46">
        <f t="shared" si="52"/>
        <v>1.1679729137692179E-2</v>
      </c>
      <c r="AF83" s="46">
        <f>IF(ISNUMBER(NORMSINV(SUM(AE$13:AE83)/AE$317)),NORMSINV(SUM(AE$13:AE83)/AE$317)," ")</f>
        <v>-1.7206607508414551</v>
      </c>
      <c r="AG83" s="46">
        <f t="shared" si="53"/>
        <v>2.3115985903154068E-2</v>
      </c>
      <c r="AH83" s="46">
        <f>IF(ISNUMBER(NORMSINV(SUM(AG$13:AG83)/AG$317)),NORMSINV(SUM(AG$13:AG83)/AG$317)," ")</f>
        <v>-2.8660705050759412</v>
      </c>
      <c r="AI83" s="46">
        <f t="shared" si="54"/>
        <v>1.0286281768670158E-2</v>
      </c>
      <c r="AJ83" s="46">
        <f>IF(ISNUMBER(NORMSINV(SUM(AI$13:AI83)/AI$317)),NORMSINV(SUM(AI$13:AI83)/AI$317)," ")</f>
        <v>-2.1051367735300817</v>
      </c>
      <c r="AK83" s="46">
        <f t="shared" si="55"/>
        <v>1.8985038623897457E-2</v>
      </c>
      <c r="AL83" s="46">
        <f>IF(ISNUMBER(NORMSINV(SUM(AK$13:AK83)/AK$317)),NORMSINV(SUM(AK$13:AK83)/AK$317)," ")</f>
        <v>-1.5893642903932643</v>
      </c>
      <c r="AM83" s="6">
        <v>9.4983949239229898E-2</v>
      </c>
      <c r="AN83" s="6">
        <v>6.2249235678058568E-2</v>
      </c>
      <c r="AO83" s="6">
        <v>0.14948471356117132</v>
      </c>
      <c r="AP83" s="6">
        <v>9.8483949239229887E-2</v>
      </c>
      <c r="AQ83" s="6">
        <v>5.1749999999999997E-2</v>
      </c>
      <c r="AR83" s="6">
        <v>0.12149006381476135</v>
      </c>
      <c r="AS83" s="6">
        <v>0.12022859898563984</v>
      </c>
      <c r="AT83" s="6">
        <v>5.3499999999999992E-2</v>
      </c>
      <c r="AU83" s="6">
        <v>9.8743121102527087E-2</v>
      </c>
    </row>
    <row r="84" spans="1:47" x14ac:dyDescent="0.4">
      <c r="A84" s="6">
        <f t="shared" si="40"/>
        <v>-0.46453378496629505</v>
      </c>
      <c r="B84" s="6">
        <f>'Aerosol 1'!A88</f>
        <v>0.62842801949409866</v>
      </c>
      <c r="C84" t="b">
        <f t="shared" si="41"/>
        <v>0</v>
      </c>
      <c r="E84" s="46">
        <f>'Aerosol 1'!$P88</f>
        <v>6.7186469931512949E-2</v>
      </c>
      <c r="F84" s="46">
        <f>'Aerosol 2'!$P88</f>
        <v>6.7186469931512949E-2</v>
      </c>
      <c r="G84" s="46">
        <f>'Aerosol 3'!$P88</f>
        <v>6.7186469931512949E-2</v>
      </c>
      <c r="H84" s="46">
        <f t="shared" si="42"/>
        <v>0.20155940979453885</v>
      </c>
      <c r="I84" s="46">
        <f>NORMSINV(SUM(H$13:H84)/H$317)</f>
        <v>-2.2322438937971576</v>
      </c>
      <c r="J84" s="46">
        <f t="shared" si="37"/>
        <v>3.6280693763016993E-2</v>
      </c>
      <c r="K84" s="46">
        <f t="shared" si="38"/>
        <v>0.10077970489726942</v>
      </c>
      <c r="L84" s="46">
        <f t="shared" si="39"/>
        <v>0.20155134741814706</v>
      </c>
      <c r="M84" s="46">
        <f t="shared" si="43"/>
        <v>0.33861174607843347</v>
      </c>
      <c r="N84" s="46">
        <f>IF(ISNUMBER(NORMSINV(SUM(M$13:M84)/M$317)),NORMSINV(SUM(M$13:M84)/M$317)," ")</f>
        <v>-2.2322438937971576</v>
      </c>
      <c r="O84" s="46">
        <f t="shared" si="44"/>
        <v>3.937538753715799E-2</v>
      </c>
      <c r="P84" s="46">
        <f>IF(ISNUMBER(NORMSINV(SUM(O$13:O84)/O$317)),NORMSINV(SUM(O$13:O84)/O$317)," ")</f>
        <v>-2.8425729808530589</v>
      </c>
      <c r="Q84" s="46">
        <f t="shared" si="45"/>
        <v>1.8356596574724104E-2</v>
      </c>
      <c r="R84" s="46">
        <f>IF(ISNUMBER(NORMSINV(SUM(Q$13:Q84)/Q$317)),NORMSINV(SUM(Q$13:Q84)/Q$317)," ")</f>
        <v>-2.0733332186898403</v>
      </c>
      <c r="S84" s="46">
        <f t="shared" si="46"/>
        <v>3.8540873156188829E-2</v>
      </c>
      <c r="T84" s="46">
        <f>IF(ISNUMBER(NORMSINV(SUM(S$13:S84)/S$317)),NORMSINV(SUM(S$13:S84)/S$317)," ")</f>
        <v>-1.6139463157684613</v>
      </c>
      <c r="U84" s="46">
        <f t="shared" si="47"/>
        <v>3.6165557474411906E-3</v>
      </c>
      <c r="V84" s="46">
        <f>IF(ISNUMBER(NORMSINV(SUM(U$13:U84)/U$317)),NORMSINV(SUM(U$13:U84)/U$317)," ")</f>
        <v>-2.8198652521981673</v>
      </c>
      <c r="W84" s="46">
        <f t="shared" si="48"/>
        <v>2.2908331562629652E-3</v>
      </c>
      <c r="X84" s="46">
        <f>IF(ISNUMBER(NORMSINV(SUM(W$13:W84)/W$317)),NORMSINV(SUM(W$13:W84)/W$317)," ")</f>
        <v>-2.0502349755114189</v>
      </c>
      <c r="Y84" s="46">
        <f t="shared" si="49"/>
        <v>5.5614935880104587E-3</v>
      </c>
      <c r="Z84" s="46">
        <f>IF(ISNUMBER(NORMSINV(SUM(Y$13:Y84)/Y$317)),NORMSINV(SUM(Y$13:Y84)/Y$317)," ")</f>
        <v>-1.6045153003764721</v>
      </c>
      <c r="AA84" s="46">
        <f t="shared" si="50"/>
        <v>1.0398717154477086E-2</v>
      </c>
      <c r="AB84" s="46">
        <f>IF(ISNUMBER(NORMSINV(SUM(AA$13:AA84)/AA$317)),NORMSINV(SUM(AA$13:AA84)/AA$317)," ")</f>
        <v>-2.8659232510534123</v>
      </c>
      <c r="AC84" s="46">
        <f t="shared" si="51"/>
        <v>5.2827663315902704E-3</v>
      </c>
      <c r="AD84" s="46">
        <f>IF(ISNUMBER(NORMSINV(SUM(AC$13:AC84)/AC$317)),NORMSINV(SUM(AC$13:AC84)/AC$317)," ")</f>
        <v>-2.0598903540155411</v>
      </c>
      <c r="AE84" s="46">
        <f t="shared" si="52"/>
        <v>1.253687275869674E-2</v>
      </c>
      <c r="AF84" s="46">
        <f>IF(ISNUMBER(NORMSINV(SUM(AE$13:AE84)/AE$317)),NORMSINV(SUM(AE$13:AE84)/AE$317)," ")</f>
        <v>-1.6931488727573374</v>
      </c>
      <c r="AG84" s="46">
        <f t="shared" si="53"/>
        <v>2.5360114635239715E-2</v>
      </c>
      <c r="AH84" s="46">
        <f>IF(ISNUMBER(NORMSINV(SUM(AG$13:AG84)/AG$317)),NORMSINV(SUM(AG$13:AG84)/AG$317)," ")</f>
        <v>-2.8355306015004089</v>
      </c>
      <c r="AI84" s="46">
        <f t="shared" si="54"/>
        <v>1.0782997086870867E-2</v>
      </c>
      <c r="AJ84" s="46">
        <f>IF(ISNUMBER(NORMSINV(SUM(AI$13:AI84)/AI$317)),NORMSINV(SUM(AI$13:AI84)/AI$317)," ")</f>
        <v>-2.0845019235405515</v>
      </c>
      <c r="AK84" s="46">
        <f t="shared" si="55"/>
        <v>2.0442506809481634E-2</v>
      </c>
      <c r="AL84" s="46">
        <f>IF(ISNUMBER(NORMSINV(SUM(AK$13:AK84)/AK$317)),NORMSINV(SUM(AK$13:AK84)/AK$317)," ")</f>
        <v>-1.5614615576185022</v>
      </c>
      <c r="AM84" s="6">
        <v>9.9682651358992333E-2</v>
      </c>
      <c r="AN84" s="6">
        <v>6.3141933592189017E-2</v>
      </c>
      <c r="AO84" s="6">
        <v>0.15329071776680331</v>
      </c>
      <c r="AP84" s="6">
        <v>0.10318265135899235</v>
      </c>
      <c r="AQ84" s="6">
        <v>5.2418950194141764E-2</v>
      </c>
      <c r="AR84" s="6">
        <v>0.12439878417461431</v>
      </c>
      <c r="AS84" s="6">
        <v>0.12582458495118137</v>
      </c>
      <c r="AT84" s="6">
        <v>5.3499999999999992E-2</v>
      </c>
      <c r="AU84" s="6">
        <v>0.10142580077656704</v>
      </c>
    </row>
    <row r="85" spans="1:47" x14ac:dyDescent="0.4">
      <c r="A85" s="6">
        <f t="shared" si="40"/>
        <v>-0.43005520753511628</v>
      </c>
      <c r="B85" s="6">
        <f>'Aerosol 1'!A89</f>
        <v>0.65047318271094212</v>
      </c>
      <c r="C85" t="b">
        <f t="shared" si="41"/>
        <v>0</v>
      </c>
      <c r="E85" s="46">
        <f>'Aerosol 1'!$P89</f>
        <v>7.0400048642829144E-2</v>
      </c>
      <c r="F85" s="46">
        <f>'Aerosol 2'!$P89</f>
        <v>7.0400048642829144E-2</v>
      </c>
      <c r="G85" s="46">
        <f>'Aerosol 3'!$P89</f>
        <v>7.0400048642829144E-2</v>
      </c>
      <c r="H85" s="46">
        <f t="shared" si="42"/>
        <v>0.21120014592848743</v>
      </c>
      <c r="I85" s="46">
        <f>NORMSINV(SUM(H$13:H85)/H$317)</f>
        <v>-2.211316548494461</v>
      </c>
      <c r="J85" s="46">
        <f t="shared" si="37"/>
        <v>3.8016026267127738E-2</v>
      </c>
      <c r="K85" s="46">
        <f t="shared" si="38"/>
        <v>0.10560007296424372</v>
      </c>
      <c r="L85" s="46">
        <f t="shared" si="39"/>
        <v>0.2111916979226503</v>
      </c>
      <c r="M85" s="46">
        <f t="shared" si="43"/>
        <v>0.35480779715402178</v>
      </c>
      <c r="N85" s="46">
        <f>IF(ISNUMBER(NORMSINV(SUM(M$13:M85)/M$317)),NORMSINV(SUM(M$13:M85)/M$317)," ")</f>
        <v>-2.211316548494461</v>
      </c>
      <c r="O85" s="46">
        <f t="shared" si="44"/>
        <v>4.338119565696158E-2</v>
      </c>
      <c r="P85" s="46">
        <f>IF(ISNUMBER(NORMSINV(SUM(O$13:O85)/O$317)),NORMSINV(SUM(O$13:O85)/O$317)," ")</f>
        <v>-2.8123096845184281</v>
      </c>
      <c r="Q85" s="46">
        <f t="shared" si="45"/>
        <v>1.931748915467358E-2</v>
      </c>
      <c r="R85" s="46">
        <f>IF(ISNUMBER(NORMSINV(SUM(Q$13:Q85)/Q$317)),NORMSINV(SUM(Q$13:Q85)/Q$317)," ")</f>
        <v>-2.0525673223040419</v>
      </c>
      <c r="S85" s="46">
        <f t="shared" si="46"/>
        <v>4.1283049500173502E-2</v>
      </c>
      <c r="T85" s="46">
        <f>IF(ISNUMBER(NORMSINV(SUM(S$13:S85)/S$317)),NORMSINV(SUM(S$13:S85)/S$317)," ")</f>
        <v>-1.5852850636435027</v>
      </c>
      <c r="U85" s="46">
        <f t="shared" si="47"/>
        <v>3.9540493922575167E-3</v>
      </c>
      <c r="V85" s="46">
        <f>IF(ISNUMBER(NORMSINV(SUM(U$13:U85)/U$317)),NORMSINV(SUM(U$13:U85)/U$317)," ")</f>
        <v>-2.7914472673296045</v>
      </c>
      <c r="W85" s="46">
        <f t="shared" si="48"/>
        <v>2.4120369644999328E-3</v>
      </c>
      <c r="X85" s="46">
        <f>IF(ISNUMBER(NORMSINV(SUM(W$13:W85)/W$317)),NORMSINV(SUM(W$13:W85)/W$317)," ")</f>
        <v>-2.0291735570039902</v>
      </c>
      <c r="Y85" s="46">
        <f t="shared" si="49"/>
        <v>5.972860191340643E-3</v>
      </c>
      <c r="Z85" s="46">
        <f>IF(ISNUMBER(NORMSINV(SUM(Y$13:Y85)/Y$317)),NORMSINV(SUM(Y$13:Y85)/Y$317)," ")</f>
        <v>-1.5737980232259769</v>
      </c>
      <c r="AA85" s="46">
        <f t="shared" si="50"/>
        <v>1.1499357238669961E-2</v>
      </c>
      <c r="AB85" s="46">
        <f>IF(ISNUMBER(NORMSINV(SUM(AA$13:AA85)/AA$317)),NORMSINV(SUM(AA$13:AA85)/AA$317)," ")</f>
        <v>-2.8363067688887771</v>
      </c>
      <c r="AC85" s="46">
        <f t="shared" si="51"/>
        <v>5.5649018948008598E-3</v>
      </c>
      <c r="AD85" s="46">
        <f>IF(ISNUMBER(NORMSINV(SUM(AC$13:AC85)/AC$317)),NORMSINV(SUM(AC$13:AC85)/AC$317)," ")</f>
        <v>-2.0392814059841289</v>
      </c>
      <c r="AE85" s="46">
        <f t="shared" si="52"/>
        <v>1.3445283936604239E-2</v>
      </c>
      <c r="AF85" s="46">
        <f>IF(ISNUMBER(NORMSINV(SUM(AE$13:AE85)/AE$317)),NORMSINV(SUM(AE$13:AE85)/AE$317)," ")</f>
        <v>-1.665001414221313</v>
      </c>
      <c r="AG85" s="46">
        <f t="shared" si="53"/>
        <v>2.7927789026034107E-2</v>
      </c>
      <c r="AH85" s="46">
        <f>IF(ISNUMBER(NORMSINV(SUM(AG$13:AG85)/AG$317)),NORMSINV(SUM(AG$13:AG85)/AG$317)," ")</f>
        <v>-2.8047010097059397</v>
      </c>
      <c r="AI85" s="46">
        <f t="shared" si="54"/>
        <v>1.1340550295372787E-2</v>
      </c>
      <c r="AJ85" s="46">
        <f>IF(ISNUMBER(NORMSINV(SUM(AI$13:AI85)/AI$317)),NORMSINV(SUM(AI$13:AI85)/AI$317)," ")</f>
        <v>-2.0637170116279382</v>
      </c>
      <c r="AK85" s="46">
        <f t="shared" si="55"/>
        <v>2.186490537222862E-2</v>
      </c>
      <c r="AL85" s="46">
        <f>IF(ISNUMBER(NORMSINV(SUM(AK$13:AK85)/AK$317)),NORMSINV(SUM(AK$13:AK85)/AK$317)," ")</f>
        <v>-1.5329041530652907</v>
      </c>
      <c r="AM85" s="6">
        <v>0.10401006576735672</v>
      </c>
      <c r="AN85" s="6">
        <v>6.3447898198281935E-2</v>
      </c>
      <c r="AO85" s="6">
        <v>0.15711426937079281</v>
      </c>
      <c r="AP85" s="6">
        <v>0.10889535315533024</v>
      </c>
      <c r="AQ85" s="6">
        <v>5.2697898198281933E-2</v>
      </c>
      <c r="AR85" s="6">
        <v>0.12732267657766511</v>
      </c>
      <c r="AS85" s="6">
        <v>0.13223904775017603</v>
      </c>
      <c r="AT85" s="6">
        <v>5.3697898198281933E-2</v>
      </c>
      <c r="AU85" s="6">
        <v>0.10353108378453739</v>
      </c>
    </row>
    <row r="86" spans="1:47" x14ac:dyDescent="0.4">
      <c r="A86" s="6">
        <f t="shared" si="40"/>
        <v>-0.39557663010393757</v>
      </c>
      <c r="B86" s="6">
        <f>'Aerosol 1'!A90</f>
        <v>0.67329168703636388</v>
      </c>
      <c r="C86" t="b">
        <f t="shared" si="41"/>
        <v>0</v>
      </c>
      <c r="E86" s="46">
        <f>'Aerosol 1'!$P90</f>
        <v>7.3735080694420196E-2</v>
      </c>
      <c r="F86" s="46">
        <f>'Aerosol 2'!$P90</f>
        <v>7.3735080694420196E-2</v>
      </c>
      <c r="G86" s="46">
        <f>'Aerosol 3'!$P90</f>
        <v>7.3735080694420196E-2</v>
      </c>
      <c r="H86" s="46">
        <f t="shared" si="42"/>
        <v>0.22120524208326059</v>
      </c>
      <c r="I86" s="46">
        <f>NORMSINV(SUM(H$13:H86)/H$317)</f>
        <v>-2.1903890103384702</v>
      </c>
      <c r="J86" s="46">
        <f t="shared" si="37"/>
        <v>3.9816943574986906E-2</v>
      </c>
      <c r="K86" s="46">
        <f t="shared" si="38"/>
        <v>0.11060262104163029</v>
      </c>
      <c r="L86" s="46">
        <f t="shared" si="39"/>
        <v>0.22119639387357726</v>
      </c>
      <c r="M86" s="46">
        <f t="shared" si="43"/>
        <v>0.37161595849019446</v>
      </c>
      <c r="N86" s="46">
        <f>IF(ISNUMBER(NORMSINV(SUM(M$13:M86)/M$317)),NORMSINV(SUM(M$13:M86)/M$317)," ")</f>
        <v>-2.1903890103384702</v>
      </c>
      <c r="O86" s="46">
        <f t="shared" si="44"/>
        <v>4.7608843992047484E-2</v>
      </c>
      <c r="P86" s="46">
        <f>IF(ISNUMBER(NORMSINV(SUM(O$13:O86)/O$317)),NORMSINV(SUM(O$13:O86)/O$317)," ")</f>
        <v>-2.7818166114926428</v>
      </c>
      <c r="Q86" s="46">
        <f t="shared" si="45"/>
        <v>2.039358248520956E-2</v>
      </c>
      <c r="R86" s="46">
        <f>IF(ISNUMBER(NORMSINV(SUM(Q$13:Q86)/Q$317)),NORMSINV(SUM(Q$13:Q86)/Q$317)," ")</f>
        <v>-2.0315645093589536</v>
      </c>
      <c r="S86" s="46">
        <f t="shared" si="46"/>
        <v>4.4370082335231556E-2</v>
      </c>
      <c r="T86" s="46">
        <f>IF(ISNUMBER(NORMSINV(SUM(S$13:S86)/S$317)),NORMSINV(SUM(S$13:S86)/S$317)," ")</f>
        <v>-1.5558664115327641</v>
      </c>
      <c r="U86" s="46">
        <f t="shared" si="47"/>
        <v>4.3452371853673752E-3</v>
      </c>
      <c r="V86" s="46">
        <f>IF(ISNUMBER(NORMSINV(SUM(U$13:U86)/U$317)),NORMSINV(SUM(U$13:U86)/U$317)," ")</f>
        <v>-2.7626160150076733</v>
      </c>
      <c r="W86" s="46">
        <f t="shared" si="48"/>
        <v>2.5557856020106268E-3</v>
      </c>
      <c r="X86" s="46">
        <f>IF(ISNUMBER(NORMSINV(SUM(W$13:W86)/W$317)),NORMSINV(SUM(W$13:W86)/W$317)," ")</f>
        <v>-2.0077974059896966</v>
      </c>
      <c r="Y86" s="46">
        <f t="shared" si="49"/>
        <v>6.4281255098427225E-3</v>
      </c>
      <c r="Z86" s="46">
        <f>IF(ISNUMBER(NORMSINV(SUM(Y$13:Y86)/Y$317)),NORMSINV(SUM(Y$13:Y86)/Y$317)," ")</f>
        <v>-1.5423182108460476</v>
      </c>
      <c r="AA86" s="46">
        <f t="shared" si="50"/>
        <v>1.2650767053155711E-2</v>
      </c>
      <c r="AB86" s="46">
        <f>IF(ISNUMBER(NORMSINV(SUM(AA$13:AA86)/AA$317)),NORMSINV(SUM(AA$13:AA86)/AA$317)," ")</f>
        <v>-2.8063637501006484</v>
      </c>
      <c r="AC86" s="46">
        <f t="shared" si="51"/>
        <v>5.8342882599459979E-3</v>
      </c>
      <c r="AD86" s="46">
        <f>IF(ISNUMBER(NORMSINV(SUM(AC$13:AC86)/AC$317)),NORMSINV(SUM(AC$13:AC86)/AC$317)," ")</f>
        <v>-2.0185662823991581</v>
      </c>
      <c r="AE86" s="46">
        <f t="shared" si="52"/>
        <v>1.4480722052344158E-2</v>
      </c>
      <c r="AF86" s="46">
        <f>IF(ISNUMBER(NORMSINV(SUM(AE$13:AE86)/AE$317)),NORMSINV(SUM(AE$13:AE86)/AE$317)," ")</f>
        <v>-1.6360924184833725</v>
      </c>
      <c r="AG86" s="46">
        <f t="shared" si="53"/>
        <v>3.0612839753524395E-2</v>
      </c>
      <c r="AH86" s="46">
        <f>IF(ISNUMBER(NORMSINV(SUM(AG$13:AG86)/AG$317)),NORMSINV(SUM(AG$13:AG86)/AG$317)," ")</f>
        <v>-2.7737133758825796</v>
      </c>
      <c r="AI86" s="46">
        <f t="shared" si="54"/>
        <v>1.2003508623252937E-2</v>
      </c>
      <c r="AJ86" s="46">
        <f>IF(ISNUMBER(NORMSINV(SUM(AI$13:AI86)/AI$317)),NORMSINV(SUM(AI$13:AI86)/AI$317)," ")</f>
        <v>-2.0426469213899132</v>
      </c>
      <c r="AK86" s="46">
        <f t="shared" si="55"/>
        <v>2.3461234773044678E-2</v>
      </c>
      <c r="AL86" s="46">
        <f>IF(ISNUMBER(NORMSINV(SUM(AK$13:AK86)/AK$317)),NORMSINV(SUM(AK$13:AK86)/AK$317)," ")</f>
        <v>-1.5035910675897342</v>
      </c>
      <c r="AM86" s="6">
        <v>0.10913035495012387</v>
      </c>
      <c r="AN86" s="6">
        <v>6.4188392491687313E-2</v>
      </c>
      <c r="AO86" s="6">
        <v>0.16144196245843656</v>
      </c>
      <c r="AP86" s="6">
        <v>0.11438035495012386</v>
      </c>
      <c r="AQ86" s="6">
        <v>5.2749999999999998E-2</v>
      </c>
      <c r="AR86" s="6">
        <v>0.13092566808967107</v>
      </c>
      <c r="AS86" s="6">
        <v>0.13839664931888934</v>
      </c>
      <c r="AT86" s="6">
        <v>5.4266294368765483E-2</v>
      </c>
      <c r="AU86" s="6">
        <v>0.10606517747506194</v>
      </c>
    </row>
    <row r="87" spans="1:47" x14ac:dyDescent="0.4">
      <c r="A87" s="6">
        <f t="shared" si="40"/>
        <v>-0.36109805267275896</v>
      </c>
      <c r="B87" s="6">
        <f>'Aerosol 1'!A91</f>
        <v>0.69691066116359857</v>
      </c>
      <c r="C87" t="b">
        <f t="shared" si="41"/>
        <v>0</v>
      </c>
      <c r="E87" s="46">
        <f>'Aerosol 1'!$P91</f>
        <v>7.719433410174649E-2</v>
      </c>
      <c r="F87" s="46">
        <f>'Aerosol 2'!$P91</f>
        <v>7.719433410174649E-2</v>
      </c>
      <c r="G87" s="46">
        <f>'Aerosol 3'!$P91</f>
        <v>7.719433410174649E-2</v>
      </c>
      <c r="H87" s="46">
        <f t="shared" si="42"/>
        <v>0.23158300230523948</v>
      </c>
      <c r="I87" s="46">
        <f>NORMSINV(SUM(H$13:H87)/H$317)</f>
        <v>-2.1694612756588758</v>
      </c>
      <c r="J87" s="46">
        <f t="shared" si="37"/>
        <v>4.1684940414943104E-2</v>
      </c>
      <c r="K87" s="46">
        <f t="shared" si="38"/>
        <v>0.11579150115261974</v>
      </c>
      <c r="L87" s="46">
        <f t="shared" si="39"/>
        <v>0.23157373898514727</v>
      </c>
      <c r="M87" s="46">
        <f t="shared" si="43"/>
        <v>0.38905018055271012</v>
      </c>
      <c r="N87" s="46">
        <f>IF(ISNUMBER(NORMSINV(SUM(M$13:M87)/M$317)),NORMSINV(SUM(M$13:M87)/M$317)," ")</f>
        <v>-2.1694612756588758</v>
      </c>
      <c r="O87" s="46">
        <f t="shared" si="44"/>
        <v>5.2339700943256004E-2</v>
      </c>
      <c r="P87" s="46">
        <f>IF(ISNUMBER(NORMSINV(SUM(O$13:O87)/O$317)),NORMSINV(SUM(O$13:O87)/O$317)," ")</f>
        <v>-2.7510321920863374</v>
      </c>
      <c r="Q87" s="46">
        <f t="shared" si="45"/>
        <v>2.1475888375670972E-2</v>
      </c>
      <c r="R87" s="46">
        <f>IF(ISNUMBER(NORMSINV(SUM(Q$13:Q87)/Q$317)),NORMSINV(SUM(Q$13:Q87)/Q$317)," ")</f>
        <v>-2.0103749157010529</v>
      </c>
      <c r="S87" s="46">
        <f t="shared" si="46"/>
        <v>4.7727037251498038E-2</v>
      </c>
      <c r="T87" s="46">
        <f>IF(ISNUMBER(NORMSINV(SUM(S$13:S87)/S$317)),NORMSINV(SUM(S$13:S87)/S$317)," ")</f>
        <v>-1.5256561761969769</v>
      </c>
      <c r="U87" s="46">
        <f t="shared" si="47"/>
        <v>4.779925350448363E-3</v>
      </c>
      <c r="V87" s="46">
        <f>IF(ISNUMBER(NORMSINV(SUM(U$13:U87)/U$317)),NORMSINV(SUM(U$13:U87)/U$317)," ")</f>
        <v>-2.7333463667317672</v>
      </c>
      <c r="W87" s="46">
        <f t="shared" si="48"/>
        <v>2.713142171066179E-3</v>
      </c>
      <c r="X87" s="46">
        <f>IF(ISNUMBER(NORMSINV(SUM(W$13:W87)/W$317)),NORMSINV(SUM(W$13:W87)/W$317)," ")</f>
        <v>-1.986066187462072</v>
      </c>
      <c r="Y87" s="46">
        <f t="shared" si="49"/>
        <v>6.904731101996295E-3</v>
      </c>
      <c r="Z87" s="46">
        <f>IF(ISNUMBER(NORMSINV(SUM(Y$13:Y87)/Y$317)),NORMSINV(SUM(Y$13:Y87)/Y$317)," ")</f>
        <v>-1.5101243737776173</v>
      </c>
      <c r="AA87" s="46">
        <f t="shared" si="50"/>
        <v>1.3936441453759937E-2</v>
      </c>
      <c r="AB87" s="46">
        <f>IF(ISNUMBER(NORMSINV(SUM(AA$13:AA87)/AA$317)),NORMSINV(SUM(AA$13:AA87)/AA$317)," ")</f>
        <v>-2.7760518713044635</v>
      </c>
      <c r="AC87" s="46">
        <f t="shared" si="51"/>
        <v>6.1080016858006915E-3</v>
      </c>
      <c r="AD87" s="46">
        <f>IF(ISNUMBER(NORMSINV(SUM(AC$13:AC87)/AC$317)),NORMSINV(SUM(AC$13:AC87)/AC$317)," ")</f>
        <v>-1.9977691462128806</v>
      </c>
      <c r="AE87" s="46">
        <f t="shared" si="52"/>
        <v>1.5602231404614468E-2</v>
      </c>
      <c r="AF87" s="46">
        <f>IF(ISNUMBER(NORMSINV(SUM(AE$13:AE87)/AE$317)),NORMSINV(SUM(AE$13:AE87)/AE$317)," ")</f>
        <v>-1.606402201410029</v>
      </c>
      <c r="AG87" s="46">
        <f t="shared" si="53"/>
        <v>3.3623334139047702E-2</v>
      </c>
      <c r="AH87" s="46">
        <f>IF(ISNUMBER(NORMSINV(SUM(AG$13:AG87)/AG$317)),NORMSINV(SUM(AG$13:AG87)/AG$317)," ")</f>
        <v>-2.7424915290495067</v>
      </c>
      <c r="AI87" s="46">
        <f t="shared" si="54"/>
        <v>1.2654744518804103E-2</v>
      </c>
      <c r="AJ87" s="46">
        <f>IF(ISNUMBER(NORMSINV(SUM(AI$13:AI87)/AI$317)),NORMSINV(SUM(AI$13:AI87)/AI$317)," ")</f>
        <v>-2.0213738251337081</v>
      </c>
      <c r="AK87" s="46">
        <f t="shared" si="55"/>
        <v>2.5220074744887275E-2</v>
      </c>
      <c r="AL87" s="46">
        <f>IF(ISNUMBER(NORMSINV(SUM(AK$13:AK87)/AK$317)),NORMSINV(SUM(AK$13:AK87)/AK$317)," ")</f>
        <v>-1.473457494578535</v>
      </c>
      <c r="AM87" s="6">
        <v>0.11466791850648461</v>
      </c>
      <c r="AN87" s="6">
        <v>6.5086866961037548E-2</v>
      </c>
      <c r="AO87" s="6">
        <v>0.16564090132466894</v>
      </c>
      <c r="AP87" s="6">
        <v>0.1203580687272628</v>
      </c>
      <c r="AQ87" s="6">
        <v>5.2749999999999998E-2</v>
      </c>
      <c r="AR87" s="6">
        <v>0.13474418458440957</v>
      </c>
      <c r="AS87" s="6">
        <v>0.1451949356883003</v>
      </c>
      <c r="AT87" s="6">
        <v>5.464671674025938E-2</v>
      </c>
      <c r="AU87" s="6">
        <v>0.108907317623372</v>
      </c>
    </row>
    <row r="88" spans="1:47" x14ac:dyDescent="0.4">
      <c r="A88" s="6">
        <f t="shared" si="40"/>
        <v>-0.3266194752415803</v>
      </c>
      <c r="B88" s="6">
        <f>'Aerosol 1'!A92</f>
        <v>0.72135818545648067</v>
      </c>
      <c r="C88" t="b">
        <f t="shared" si="41"/>
        <v>0</v>
      </c>
      <c r="E88" s="46">
        <f>'Aerosol 1'!$P92</f>
        <v>8.0780540608804158E-2</v>
      </c>
      <c r="F88" s="46">
        <f>'Aerosol 2'!$P92</f>
        <v>8.0780540608804158E-2</v>
      </c>
      <c r="G88" s="46">
        <f>'Aerosol 3'!$P92</f>
        <v>8.0780540608804158E-2</v>
      </c>
      <c r="H88" s="46">
        <f t="shared" si="42"/>
        <v>0.24234162182641247</v>
      </c>
      <c r="I88" s="46">
        <f>NORMSINV(SUM(H$13:H88)/H$317)</f>
        <v>-2.1485333406972815</v>
      </c>
      <c r="J88" s="46">
        <f t="shared" si="37"/>
        <v>4.3621491928754245E-2</v>
      </c>
      <c r="K88" s="46">
        <f t="shared" si="38"/>
        <v>0.12117081091320624</v>
      </c>
      <c r="L88" s="46">
        <f t="shared" si="39"/>
        <v>0.24233192816153942</v>
      </c>
      <c r="M88" s="46">
        <f t="shared" si="43"/>
        <v>0.40712423100349993</v>
      </c>
      <c r="N88" s="46">
        <f>IF(ISNUMBER(NORMSINV(SUM(M$13:M88)/M$317)),NORMSINV(SUM(M$13:M88)/M$317)," ")</f>
        <v>-2.1485333406972815</v>
      </c>
      <c r="O88" s="46">
        <f t="shared" si="44"/>
        <v>5.7474585406090392E-2</v>
      </c>
      <c r="P88" s="46">
        <f>IF(ISNUMBER(NORMSINV(SUM(O$13:O88)/O$317)),NORMSINV(SUM(O$13:O88)/O$317)," ")</f>
        <v>-2.7199837502762283</v>
      </c>
      <c r="Q88" s="46">
        <f t="shared" si="45"/>
        <v>2.2596706239786053E-2</v>
      </c>
      <c r="R88" s="46">
        <f>IF(ISNUMBER(NORMSINV(SUM(Q$13:Q88)/Q$317)),NORMSINV(SUM(Q$13:Q88)/Q$317)," ")</f>
        <v>-1.9890129335833706</v>
      </c>
      <c r="S88" s="46">
        <f t="shared" si="46"/>
        <v>5.1323525817821014E-2</v>
      </c>
      <c r="T88" s="46">
        <f>IF(ISNUMBER(NORMSINV(SUM(S$13:S88)/S$317)),NORMSINV(SUM(S$13:S88)/S$317)," ")</f>
        <v>-1.494651363303056</v>
      </c>
      <c r="U88" s="46">
        <f t="shared" si="47"/>
        <v>5.2735728514620162E-3</v>
      </c>
      <c r="V88" s="46">
        <f>IF(ISNUMBER(NORMSINV(SUM(U$13:U88)/U$317)),NORMSINV(SUM(U$13:U88)/U$317)," ")</f>
        <v>-2.7035578643814988</v>
      </c>
      <c r="W88" s="46">
        <f t="shared" si="48"/>
        <v>2.8784014443754809E-3</v>
      </c>
      <c r="X88" s="46">
        <f>IF(ISNUMBER(NORMSINV(SUM(W$13:W88)/W$317)),NORMSINV(SUM(W$13:W88)/W$317)," ")</f>
        <v>-1.9639926450546445</v>
      </c>
      <c r="Y88" s="46">
        <f t="shared" si="49"/>
        <v>7.4337622363188013E-3</v>
      </c>
      <c r="Z88" s="46">
        <f>IF(ISNUMBER(NORMSINV(SUM(Y$13:Y88)/Y$317)),NORMSINV(SUM(Y$13:Y88)/Y$317)," ")</f>
        <v>-1.4771283845347216</v>
      </c>
      <c r="AA88" s="46">
        <f t="shared" si="50"/>
        <v>1.5331684752091618E-2</v>
      </c>
      <c r="AB88" s="46">
        <f>IF(ISNUMBER(NORMSINV(SUM(AA$13:AA88)/AA$317)),NORMSINV(SUM(AA$13:AA88)/AA$317)," ")</f>
        <v>-2.745410446514676</v>
      </c>
      <c r="AC88" s="46">
        <f t="shared" si="51"/>
        <v>6.450631728566289E-3</v>
      </c>
      <c r="AD88" s="46">
        <f>IF(ISNUMBER(NORMSINV(SUM(AC$13:AC88)/AC$317)),NORMSINV(SUM(AC$13:AC88)/AC$317)," ")</f>
        <v>-1.9767048292429472</v>
      </c>
      <c r="AE88" s="46">
        <f t="shared" si="52"/>
        <v>1.6790019364454956E-2</v>
      </c>
      <c r="AF88" s="46">
        <f>IF(ISNUMBER(NORMSINV(SUM(AE$13:AE88)/AE$317)),NORMSINV(SUM(AE$13:AE88)/AE$317)," ")</f>
        <v>-1.5759580289512816</v>
      </c>
      <c r="AG88" s="46">
        <f t="shared" si="53"/>
        <v>3.686932780253676E-2</v>
      </c>
      <c r="AH88" s="46">
        <f>IF(ISNUMBER(NORMSINV(SUM(AG$13:AG88)/AG$317)),NORMSINV(SUM(AG$13:AG88)/AG$317)," ")</f>
        <v>-2.7110733070764574</v>
      </c>
      <c r="AI88" s="46">
        <f t="shared" si="54"/>
        <v>1.3267673066844284E-2</v>
      </c>
      <c r="AJ88" s="46">
        <f>IF(ISNUMBER(NORMSINV(SUM(AI$13:AI88)/AI$317)),NORMSINV(SUM(AI$13:AI88)/AI$317)," ")</f>
        <v>-2.0000110157989917</v>
      </c>
      <c r="AK88" s="46">
        <f t="shared" si="55"/>
        <v>2.7099744217047261E-2</v>
      </c>
      <c r="AL88" s="46">
        <f>IF(ISNUMBER(NORMSINV(SUM(AK$13:AK88)/AK$317)),NORMSINV(SUM(AK$13:AK88)/AK$317)," ")</f>
        <v>-1.4425027667913626</v>
      </c>
      <c r="AM88" s="6">
        <v>0.12089391302973301</v>
      </c>
      <c r="AN88" s="6">
        <v>6.598585507063108E-2</v>
      </c>
      <c r="AO88" s="6">
        <v>0.17041513042378642</v>
      </c>
      <c r="AP88" s="6">
        <v>0.12652952172675969</v>
      </c>
      <c r="AQ88" s="6">
        <v>5.3235855070631069E-2</v>
      </c>
      <c r="AR88" s="6">
        <v>0.13856488405018205</v>
      </c>
      <c r="AS88" s="6">
        <v>0.15214391302973301</v>
      </c>
      <c r="AT88" s="6">
        <v>5.475E-2</v>
      </c>
      <c r="AU88" s="6">
        <v>0.11182902897955099</v>
      </c>
    </row>
    <row r="89" spans="1:47" x14ac:dyDescent="0.4">
      <c r="A89" s="6">
        <f t="shared" si="40"/>
        <v>-0.29214089781040159</v>
      </c>
      <c r="B89" s="6">
        <f>'Aerosol 1'!A93</f>
        <v>0.74666332533391011</v>
      </c>
      <c r="C89" t="b">
        <f t="shared" si="41"/>
        <v>0</v>
      </c>
      <c r="E89" s="46">
        <f>'Aerosol 1'!$P93</f>
        <v>8.4496389098248637E-2</v>
      </c>
      <c r="F89" s="46">
        <f>'Aerosol 2'!$P93</f>
        <v>8.4496389098248637E-2</v>
      </c>
      <c r="G89" s="46">
        <f>'Aerosol 3'!$P93</f>
        <v>8.4496389098248637E-2</v>
      </c>
      <c r="H89" s="46">
        <f t="shared" si="42"/>
        <v>0.25348916729474591</v>
      </c>
      <c r="I89" s="46">
        <f>NORMSINV(SUM(H$13:H89)/H$317)</f>
        <v>-2.127605201604692</v>
      </c>
      <c r="J89" s="46">
        <f t="shared" si="37"/>
        <v>4.5628050113054264E-2</v>
      </c>
      <c r="K89" s="46">
        <f t="shared" si="38"/>
        <v>0.12674458364737295</v>
      </c>
      <c r="L89" s="46">
        <f t="shared" si="39"/>
        <v>0.25347902772805414</v>
      </c>
      <c r="M89" s="46">
        <f t="shared" si="43"/>
        <v>0.42585166148848136</v>
      </c>
      <c r="N89" s="46">
        <f>IF(ISNUMBER(NORMSINV(SUM(M$13:M89)/M$317)),NORMSINV(SUM(M$13:M89)/M$317)," ")</f>
        <v>-2.127605201604692</v>
      </c>
      <c r="O89" s="46">
        <f t="shared" si="44"/>
        <v>6.2904450131194195E-2</v>
      </c>
      <c r="P89" s="46">
        <f>IF(ISNUMBER(NORMSINV(SUM(O$13:O89)/O$317)),NORMSINV(SUM(O$13:O89)/O$317)," ")</f>
        <v>-2.6887612197396265</v>
      </c>
      <c r="Q89" s="46">
        <f t="shared" si="45"/>
        <v>2.3851835452669529E-2</v>
      </c>
      <c r="R89" s="46">
        <f>IF(ISNUMBER(NORMSINV(SUM(Q$13:Q89)/Q$317)),NORMSINV(SUM(Q$13:Q89)/Q$317)," ")</f>
        <v>-1.9674075999135305</v>
      </c>
      <c r="S89" s="46">
        <f t="shared" si="46"/>
        <v>5.514104110062254E-2</v>
      </c>
      <c r="T89" s="46">
        <f>IF(ISNUMBER(NORMSINV(SUM(S$13:S89)/S$317)),NORMSINV(SUM(S$13:S89)/S$317)," ")</f>
        <v>-1.4628671075138355</v>
      </c>
      <c r="U89" s="46">
        <f t="shared" si="47"/>
        <v>5.8016474206036648E-3</v>
      </c>
      <c r="V89" s="46">
        <f>IF(ISNUMBER(NORMSINV(SUM(U$13:U89)/U$317)),NORMSINV(SUM(U$13:U89)/U$317)," ")</f>
        <v>-2.6733397033739839</v>
      </c>
      <c r="W89" s="46">
        <f t="shared" si="48"/>
        <v>3.0517930395581312E-3</v>
      </c>
      <c r="X89" s="46">
        <f>IF(ISNUMBER(NORMSINV(SUM(W$13:W89)/W$317)),NORMSINV(SUM(W$13:W89)/W$317)," ")</f>
        <v>-1.9415895324541874</v>
      </c>
      <c r="Y89" s="46">
        <f t="shared" si="49"/>
        <v>8.0084871565750376E-3</v>
      </c>
      <c r="Z89" s="46">
        <f>IF(ISNUMBER(NORMSINV(SUM(Y$13:Y89)/Y$317)),NORMSINV(SUM(Y$13:Y89)/Y$317)," ")</f>
        <v>-1.4432930577405938</v>
      </c>
      <c r="AA89" s="46">
        <f t="shared" si="50"/>
        <v>1.6781096343603332E-2</v>
      </c>
      <c r="AB89" s="46">
        <f>IF(ISNUMBER(NORMSINV(SUM(AA$13:AA89)/AA$317)),NORMSINV(SUM(AA$13:AA89)/AA$317)," ")</f>
        <v>-2.7145858030641277</v>
      </c>
      <c r="AC89" s="46">
        <f t="shared" si="51"/>
        <v>6.8246933898240903E-3</v>
      </c>
      <c r="AD89" s="46">
        <f>IF(ISNUMBER(NORMSINV(SUM(AC$13:AC89)/AC$317)),NORMSINV(SUM(AC$13:AC89)/AC$317)," ")</f>
        <v>-1.9553343413678472</v>
      </c>
      <c r="AE89" s="46">
        <f t="shared" si="52"/>
        <v>1.8046224467590237E-2</v>
      </c>
      <c r="AF89" s="46">
        <f>IF(ISNUMBER(NORMSINV(SUM(AE$13:AE89)/AE$317)),NORMSINV(SUM(AE$13:AE89)/AE$317)," ")</f>
        <v>-1.5447866183282122</v>
      </c>
      <c r="AG89" s="46">
        <f t="shared" si="53"/>
        <v>4.0321706366987189E-2</v>
      </c>
      <c r="AH89" s="46">
        <f>IF(ISNUMBER(NORMSINV(SUM(AG$13:AG89)/AG$317)),NORMSINV(SUM(AG$13:AG89)/AG$317)," ")</f>
        <v>-2.6795240761270134</v>
      </c>
      <c r="AI89" s="46">
        <f t="shared" si="54"/>
        <v>1.3975349023287308E-2</v>
      </c>
      <c r="AJ89" s="46">
        <f>IF(ISNUMBER(NORMSINV(SUM(AI$13:AI89)/AI$317)),NORMSINV(SUM(AI$13:AI89)/AI$317)," ")</f>
        <v>-1.978454077971062</v>
      </c>
      <c r="AK89" s="46">
        <f t="shared" si="55"/>
        <v>2.908632947645726E-2</v>
      </c>
      <c r="AL89" s="46">
        <f>IF(ISNUMBER(NORMSINV(SUM(AK$13:AK89)/AK$317)),NORMSINV(SUM(AK$13:AK89)/AK$317)," ")</f>
        <v>-1.410747835457882</v>
      </c>
      <c r="AM89" s="6">
        <v>0.12715089525475479</v>
      </c>
      <c r="AN89" s="6">
        <v>6.6884143240760752E-2</v>
      </c>
      <c r="AO89" s="6">
        <v>0.17551675201399403</v>
      </c>
      <c r="AP89" s="6">
        <v>0.13240089525475479</v>
      </c>
      <c r="AQ89" s="6">
        <v>5.3846035810190193E-2</v>
      </c>
      <c r="AR89" s="6">
        <v>0.14238260877323322</v>
      </c>
      <c r="AS89" s="6">
        <v>0.15907314592608612</v>
      </c>
      <c r="AT89" s="6">
        <v>5.5134143240760769E-2</v>
      </c>
      <c r="AU89" s="6">
        <v>0.11474846553247249</v>
      </c>
    </row>
    <row r="90" spans="1:47" x14ac:dyDescent="0.4">
      <c r="A90" s="6">
        <f t="shared" si="40"/>
        <v>-0.25766232037922282</v>
      </c>
      <c r="B90" s="6">
        <f>'Aerosol 1'!A94</f>
        <v>0.77285616582544026</v>
      </c>
      <c r="C90" t="b">
        <f t="shared" si="41"/>
        <v>0</v>
      </c>
      <c r="E90" s="46">
        <f>'Aerosol 1'!$P94</f>
        <v>8.8344518789797502E-2</v>
      </c>
      <c r="F90" s="46">
        <f>'Aerosol 2'!$P94</f>
        <v>8.8344518789797502E-2</v>
      </c>
      <c r="G90" s="46">
        <f>'Aerosol 3'!$P94</f>
        <v>8.8344518789797502E-2</v>
      </c>
      <c r="H90" s="46">
        <f t="shared" si="42"/>
        <v>0.26503355636939252</v>
      </c>
      <c r="I90" s="46">
        <f>NORMSINV(SUM(H$13:H90)/H$317)</f>
        <v>-2.1066768544389087</v>
      </c>
      <c r="J90" s="46">
        <f t="shared" si="37"/>
        <v>4.7706040146490651E-2</v>
      </c>
      <c r="K90" s="46">
        <f t="shared" si="38"/>
        <v>0.13251677818469626</v>
      </c>
      <c r="L90" s="46">
        <f t="shared" si="39"/>
        <v>0.26502295502713774</v>
      </c>
      <c r="M90" s="46">
        <f t="shared" si="43"/>
        <v>0.44524577335832466</v>
      </c>
      <c r="N90" s="46">
        <f>IF(ISNUMBER(NORMSINV(SUM(M$13:M90)/M$317)),NORMSINV(SUM(M$13:M90)/M$317)," ")</f>
        <v>-2.1066768544389087</v>
      </c>
      <c r="O90" s="46">
        <f t="shared" si="44"/>
        <v>6.8859615629368001E-2</v>
      </c>
      <c r="P90" s="46">
        <f>IF(ISNUMBER(NORMSINV(SUM(O$13:O90)/O$317)),NORMSINV(SUM(O$13:O90)/O$317)," ")</f>
        <v>-2.6573430848258317</v>
      </c>
      <c r="Q90" s="46">
        <f t="shared" si="45"/>
        <v>2.5196066739547038E-2</v>
      </c>
      <c r="R90" s="46">
        <f>IF(ISNUMBER(NORMSINV(SUM(Q$13:Q90)/Q$317)),NORMSINV(SUM(Q$13:Q90)/Q$317)," ")</f>
        <v>-1.9455400404304637</v>
      </c>
      <c r="S90" s="46">
        <f t="shared" si="46"/>
        <v>5.9251967766366709E-2</v>
      </c>
      <c r="T90" s="46">
        <f>IF(ISNUMBER(NORMSINV(SUM(S$13:S90)/S$317)),NORMSINV(SUM(S$13:S90)/S$317)," ")</f>
        <v>-1.4302837010741094</v>
      </c>
      <c r="U90" s="46">
        <f t="shared" si="47"/>
        <v>6.3473081103964718E-3</v>
      </c>
      <c r="V90" s="46">
        <f>IF(ISNUMBER(NORMSINV(SUM(U$13:U90)/U$317)),NORMSINV(SUM(U$13:U90)/U$317)," ")</f>
        <v>-2.6428558381339382</v>
      </c>
      <c r="W90" s="46">
        <f t="shared" si="48"/>
        <v>3.2370226842340154E-3</v>
      </c>
      <c r="X90" s="46">
        <f>IF(ISNUMBER(NORMSINV(SUM(W$13:W90)/W$317)),NORMSINV(SUM(W$13:W90)/W$317)," ")</f>
        <v>-1.9188456071884117</v>
      </c>
      <c r="Y90" s="46">
        <f t="shared" si="49"/>
        <v>8.6084065530455042E-3</v>
      </c>
      <c r="Z90" s="46">
        <f>IF(ISNUMBER(NORMSINV(SUM(Y$13:Y90)/Y$317)),NORMSINV(SUM(Y$13:Y90)/Y$317)," ")</f>
        <v>-1.4086757669673362</v>
      </c>
      <c r="AA90" s="46">
        <f t="shared" si="50"/>
        <v>1.8355232793814128E-2</v>
      </c>
      <c r="AB90" s="46">
        <f>IF(ISNUMBER(NORMSINV(SUM(AA$13:AA90)/AA$317)),NORMSINV(SUM(AA$13:AA90)/AA$317)," ")</f>
        <v>-2.6835834251246866</v>
      </c>
      <c r="AC90" s="46">
        <f t="shared" si="51"/>
        <v>7.1840143125500916E-3</v>
      </c>
      <c r="AD90" s="46">
        <f>IF(ISNUMBER(NORMSINV(SUM(AC$13:AC90)/AC$317)),NORMSINV(SUM(AC$13:AC90)/AC$317)," ")</f>
        <v>-1.9337635276953764</v>
      </c>
      <c r="AE90" s="46">
        <f t="shared" si="52"/>
        <v>1.9402321440624253E-2</v>
      </c>
      <c r="AF90" s="46">
        <f>IF(ISNUMBER(NORMSINV(SUM(AE$13:AE90)/AE$317)),NORMSINV(SUM(AE$13:AE90)/AE$317)," ")</f>
        <v>-1.5128665984281537</v>
      </c>
      <c r="AG90" s="46">
        <f t="shared" si="53"/>
        <v>4.4157074725157404E-2</v>
      </c>
      <c r="AH90" s="46">
        <f>IF(ISNUMBER(NORMSINV(SUM(AG$13:AG90)/AG$317)),NORMSINV(SUM(AG$13:AG90)/AG$317)," ")</f>
        <v>-2.647782624871664</v>
      </c>
      <c r="AI90" s="46">
        <f t="shared" si="54"/>
        <v>1.477502974276293E-2</v>
      </c>
      <c r="AJ90" s="46">
        <f>IF(ISNUMBER(NORMSINV(SUM(AI$13:AI90)/AI$317)),NORMSINV(SUM(AI$13:AI90)/AI$317)," ")</f>
        <v>-1.9566211222417158</v>
      </c>
      <c r="AK90" s="46">
        <f t="shared" si="55"/>
        <v>3.1241239772696952E-2</v>
      </c>
      <c r="AL90" s="46">
        <f>IF(ISNUMBER(NORMSINV(SUM(AK$13:AK90)/AK$317)),NORMSINV(SUM(AK$13:AK90)/AK$317)," ")</f>
        <v>-1.378153551455773</v>
      </c>
      <c r="AM90" s="6">
        <v>0.13305040810148633</v>
      </c>
      <c r="AN90" s="6">
        <v>6.785351863818731E-2</v>
      </c>
      <c r="AO90" s="6">
        <v>0.18044688946329901</v>
      </c>
      <c r="AP90" s="6">
        <v>0.13851251928439873</v>
      </c>
      <c r="AQ90" s="6">
        <v>5.421211118291238E-2</v>
      </c>
      <c r="AR90" s="6">
        <v>0.14641407455274924</v>
      </c>
      <c r="AS90" s="6">
        <v>0.16661603792258606</v>
      </c>
      <c r="AT90" s="6">
        <v>5.5750000000000001E-2</v>
      </c>
      <c r="AU90" s="6">
        <v>0.11788125964219938</v>
      </c>
    </row>
    <row r="91" spans="1:47" x14ac:dyDescent="0.4">
      <c r="A91" s="6">
        <f t="shared" si="40"/>
        <v>-0.22318374294804416</v>
      </c>
      <c r="B91" s="6">
        <f>'Aerosol 1'!A95</f>
        <v>0.79996784733907078</v>
      </c>
      <c r="C91" t="b">
        <f t="shared" si="41"/>
        <v>0</v>
      </c>
      <c r="E91" s="46">
        <f>'Aerosol 1'!$P95</f>
        <v>9.2327512235339942E-2</v>
      </c>
      <c r="F91" s="46">
        <f>'Aerosol 2'!$P95</f>
        <v>9.2327512235339942E-2</v>
      </c>
      <c r="G91" s="46">
        <f>'Aerosol 3'!$P95</f>
        <v>9.2327512235339942E-2</v>
      </c>
      <c r="H91" s="46">
        <f t="shared" si="42"/>
        <v>0.2769825367060198</v>
      </c>
      <c r="I91" s="46">
        <f>NORMSINV(SUM(H$13:H91)/H$317)</f>
        <v>-2.0857482951618467</v>
      </c>
      <c r="J91" s="46">
        <f t="shared" si="37"/>
        <v>4.9856856607083569E-2</v>
      </c>
      <c r="K91" s="46">
        <f t="shared" si="38"/>
        <v>0.1384912683530099</v>
      </c>
      <c r="L91" s="46">
        <f t="shared" si="39"/>
        <v>0.27697145740455159</v>
      </c>
      <c r="M91" s="46">
        <f t="shared" si="43"/>
        <v>0.46531958236464505</v>
      </c>
      <c r="N91" s="46">
        <f>IF(ISNUMBER(NORMSINV(SUM(M$13:M91)/M$317)),NORMSINV(SUM(M$13:M91)/M$317)," ")</f>
        <v>-2.0857482951618467</v>
      </c>
      <c r="O91" s="46">
        <f t="shared" si="44"/>
        <v>7.5531529495074523E-2</v>
      </c>
      <c r="P91" s="46">
        <f>IF(ISNUMBER(NORMSINV(SUM(O$13:O91)/O$317)),NORMSINV(SUM(O$13:O91)/O$317)," ")</f>
        <v>-2.6256525015389216</v>
      </c>
      <c r="Q91" s="46">
        <f t="shared" si="45"/>
        <v>2.6517087569307221E-2</v>
      </c>
      <c r="R91" s="46">
        <f>IF(ISNUMBER(NORMSINV(SUM(Q$13:Q91)/Q$317)),NORMSINV(SUM(Q$13:Q91)/Q$317)," ")</f>
        <v>-1.9234884607031675</v>
      </c>
      <c r="S91" s="46">
        <f t="shared" si="46"/>
        <v>6.3823784646566586E-2</v>
      </c>
      <c r="T91" s="46">
        <f>IF(ISNUMBER(NORMSINV(SUM(S$13:S91)/S$317)),NORMSINV(SUM(S$13:S91)/S$317)," ")</f>
        <v>-1.3968054587644716</v>
      </c>
      <c r="U91" s="46">
        <f t="shared" si="47"/>
        <v>6.9631285337564876E-3</v>
      </c>
      <c r="V91" s="46">
        <f>IF(ISNUMBER(NORMSINV(SUM(U$13:U91)/U$317)),NORMSINV(SUM(U$13:U91)/U$317)," ")</f>
        <v>-2.6120172712900853</v>
      </c>
      <c r="W91" s="46">
        <f t="shared" si="48"/>
        <v>3.4367450991985684E-3</v>
      </c>
      <c r="X91" s="46">
        <f>IF(ISNUMBER(NORMSINV(SUM(W$13:W91)/W$317)),NORMSINV(SUM(W$13:W91)/W$317)," ")</f>
        <v>-1.895737588542425</v>
      </c>
      <c r="Y91" s="46">
        <f t="shared" si="49"/>
        <v>9.2587568473319424E-3</v>
      </c>
      <c r="Z91" s="46">
        <f>IF(ISNUMBER(NORMSINV(SUM(Y$13:Y91)/Y$317)),NORMSINV(SUM(Y$13:Y91)/Y$317)," ")</f>
        <v>-1.3732354693480049</v>
      </c>
      <c r="AA91" s="46">
        <f t="shared" si="50"/>
        <v>2.016666144870443E-2</v>
      </c>
      <c r="AB91" s="46">
        <f>IF(ISNUMBER(NORMSINV(SUM(AA$13:AA91)/AA$317)),NORMSINV(SUM(AA$13:AA91)/AA$317)," ")</f>
        <v>-2.6522542998249401</v>
      </c>
      <c r="AC91" s="46">
        <f t="shared" si="51"/>
        <v>7.58870680862005E-3</v>
      </c>
      <c r="AD91" s="46">
        <f>IF(ISNUMBER(NORMSINV(SUM(AC$13:AC91)/AC$317)),NORMSINV(SUM(AC$13:AC91)/AC$317)," ")</f>
        <v>-1.9119143382220569</v>
      </c>
      <c r="AE91" s="46">
        <f t="shared" si="52"/>
        <v>2.090619744509941E-2</v>
      </c>
      <c r="AF91" s="46">
        <f>IF(ISNUMBER(NORMSINV(SUM(AE$13:AE91)/AE$317)),NORMSINV(SUM(AE$13:AE91)/AE$317)," ")</f>
        <v>-1.480114268527027</v>
      </c>
      <c r="AG91" s="46">
        <f t="shared" si="53"/>
        <v>4.840173951261361E-2</v>
      </c>
      <c r="AH91" s="46">
        <f>IF(ISNUMBER(NORMSINV(SUM(AG$13:AG91)/AG$317)),NORMSINV(SUM(AG$13:AG91)/AG$317)," ")</f>
        <v>-2.6158044566773406</v>
      </c>
      <c r="AI91" s="46">
        <f t="shared" si="54"/>
        <v>1.5491635661488605E-2</v>
      </c>
      <c r="AJ91" s="46">
        <f>IF(ISNUMBER(NORMSINV(SUM(AI$13:AI91)/AI$317)),NORMSINV(SUM(AI$13:AI91)/AI$317)," ")</f>
        <v>-1.9346886608212348</v>
      </c>
      <c r="AK91" s="46">
        <f t="shared" si="55"/>
        <v>3.3658830354135236E-2</v>
      </c>
      <c r="AL91" s="46">
        <f>IF(ISNUMBER(NORMSINV(SUM(AK$13:AK91)/AK$317)),NORMSINV(SUM(AK$13:AK91)/AK$317)," ")</f>
        <v>-1.3446013309046532</v>
      </c>
      <c r="AM91" s="6">
        <v>0.13966240568738902</v>
      </c>
      <c r="AN91" s="6">
        <v>6.8932245895146987E-2</v>
      </c>
      <c r="AO91" s="6">
        <v>0.18570679094952158</v>
      </c>
      <c r="AP91" s="6">
        <v>0.14561684421360227</v>
      </c>
      <c r="AQ91" s="6">
        <v>5.4795561473786739E-2</v>
      </c>
      <c r="AR91" s="6">
        <v>0.15095679094952158</v>
      </c>
      <c r="AS91" s="6">
        <v>0.17475352863496252</v>
      </c>
      <c r="AT91" s="6">
        <v>5.5932245895146976E-2</v>
      </c>
      <c r="AU91" s="6">
        <v>0.12152454505437463</v>
      </c>
    </row>
    <row r="92" spans="1:47" x14ac:dyDescent="0.4">
      <c r="A92" s="6">
        <f t="shared" si="40"/>
        <v>-0.18870516551686528</v>
      </c>
      <c r="B92" s="6">
        <f>'Aerosol 1'!A96</f>
        <v>0.82803060268377005</v>
      </c>
      <c r="C92" t="b">
        <f t="shared" si="41"/>
        <v>0</v>
      </c>
      <c r="E92" s="46">
        <f>'Aerosol 1'!$P96</f>
        <v>9.6447888120103353E-2</v>
      </c>
      <c r="F92" s="46">
        <f>'Aerosol 2'!$P96</f>
        <v>9.6447888120103353E-2</v>
      </c>
      <c r="G92" s="46">
        <f>'Aerosol 3'!$P96</f>
        <v>9.6447888120103353E-2</v>
      </c>
      <c r="H92" s="46">
        <f t="shared" si="42"/>
        <v>0.28934366436031006</v>
      </c>
      <c r="I92" s="46">
        <f>NORMSINV(SUM(H$13:H92)/H$317)</f>
        <v>-2.0648195196367594</v>
      </c>
      <c r="J92" s="46">
        <f t="shared" si="37"/>
        <v>5.2081859584855811E-2</v>
      </c>
      <c r="K92" s="46">
        <f t="shared" si="38"/>
        <v>0.14467183218015503</v>
      </c>
      <c r="L92" s="46">
        <f t="shared" si="39"/>
        <v>0.28933209061373566</v>
      </c>
      <c r="M92" s="46">
        <f t="shared" si="43"/>
        <v>0.4860857823787465</v>
      </c>
      <c r="N92" s="46">
        <f>IF(ISNUMBER(NORMSINV(SUM(M$13:M92)/M$317)),NORMSINV(SUM(M$13:M92)/M$317)," ")</f>
        <v>-2.0648195196367594</v>
      </c>
      <c r="O92" s="46">
        <f t="shared" si="44"/>
        <v>8.2429619508127605E-2</v>
      </c>
      <c r="P92" s="46">
        <f>IF(ISNUMBER(NORMSINV(SUM(O$13:O92)/O$317)),NORMSINV(SUM(O$13:O92)/O$317)," ")</f>
        <v>-2.5938341241086516</v>
      </c>
      <c r="Q92" s="46">
        <f t="shared" si="45"/>
        <v>2.8032232218994285E-2</v>
      </c>
      <c r="R92" s="46">
        <f>IF(ISNUMBER(NORMSINV(SUM(Q$13:Q92)/Q$317)),NORMSINV(SUM(Q$13:Q92)/Q$317)," ")</f>
        <v>-1.9011510920975629</v>
      </c>
      <c r="S92" s="46">
        <f t="shared" si="46"/>
        <v>6.8703930843077049E-2</v>
      </c>
      <c r="T92" s="46">
        <f>IF(ISNUMBER(NORMSINV(SUM(S$13:S92)/S$317)),NORMSINV(SUM(S$13:S92)/S$317)," ")</f>
        <v>-1.3624349061443921</v>
      </c>
      <c r="U92" s="46">
        <f t="shared" si="47"/>
        <v>7.6378850423238481E-3</v>
      </c>
      <c r="V92" s="46">
        <f>IF(ISNUMBER(NORMSINV(SUM(U$13:U92)/U$317)),NORMSINV(SUM(U$13:U92)/U$317)," ")</f>
        <v>-2.5808226418379672</v>
      </c>
      <c r="W92" s="46">
        <f t="shared" si="48"/>
        <v>3.6380118221272704E-3</v>
      </c>
      <c r="X92" s="46">
        <f>IF(ISNUMBER(NORMSINV(SUM(W$13:W92)/W$317)),NORMSINV(SUM(W$13:W92)/W$317)," ")</f>
        <v>-1.8723312950138795</v>
      </c>
      <c r="Y92" s="46">
        <f t="shared" si="49"/>
        <v>9.9210034783237758E-3</v>
      </c>
      <c r="Z92" s="46">
        <f>IF(ISNUMBER(NORMSINV(SUM(Y$13:Y92)/Y$317)),NORMSINV(SUM(Y$13:Y92)/Y$317)," ")</f>
        <v>-1.3370815381298604</v>
      </c>
      <c r="AA92" s="46">
        <f t="shared" si="50"/>
        <v>2.2059992855010084E-2</v>
      </c>
      <c r="AB92" s="46">
        <f>IF(ISNUMBER(NORMSINV(SUM(AA$13:AA92)/AA$317)),NORMSINV(SUM(AA$13:AA92)/AA$317)," ")</f>
        <v>-2.6207246127836843</v>
      </c>
      <c r="AC92" s="46">
        <f t="shared" si="51"/>
        <v>7.9687332500942547E-3</v>
      </c>
      <c r="AD92" s="46">
        <f>IF(ISNUMBER(NORMSINV(SUM(AC$13:AC92)/AC$317)),NORMSINV(SUM(AC$13:AC92)/AC$317)," ")</f>
        <v>-1.8899128396957448</v>
      </c>
      <c r="AE92" s="46">
        <f t="shared" si="52"/>
        <v>2.2522159966944146E-2</v>
      </c>
      <c r="AF92" s="46">
        <f>IF(ISNUMBER(NORMSINV(SUM(AE$13:AE92)/AE$317)),NORMSINV(SUM(AE$13:AE92)/AE$317)," ")</f>
        <v>-1.4465206183679957</v>
      </c>
      <c r="AG92" s="46">
        <f t="shared" si="53"/>
        <v>5.2731741610793671E-2</v>
      </c>
      <c r="AH92" s="46">
        <f>IF(ISNUMBER(NORMSINV(SUM(AG$13:AG92)/AG$317)),NORMSINV(SUM(AG$13:AG92)/AG$317)," ")</f>
        <v>-2.5837636171374898</v>
      </c>
      <c r="AI92" s="46">
        <f t="shared" si="54"/>
        <v>1.642548714677276E-2</v>
      </c>
      <c r="AJ92" s="46">
        <f>IF(ISNUMBER(NORMSINV(SUM(AI$13:AI92)/AI$317)),NORMSINV(SUM(AI$13:AI92)/AI$317)," ")</f>
        <v>-1.9124076664106997</v>
      </c>
      <c r="AK92" s="46">
        <f t="shared" si="55"/>
        <v>3.6260767397809125E-2</v>
      </c>
      <c r="AL92" s="46">
        <f>IF(ISNUMBER(NORMSINV(SUM(AK$13:AK92)/AK$317)),NORMSINV(SUM(AK$13:AK92)/AK$317)," ")</f>
        <v>-1.3100722002312915</v>
      </c>
      <c r="AM92" s="6">
        <v>0.14665154246037648</v>
      </c>
      <c r="AN92" s="6">
        <v>6.9851803509433819E-2</v>
      </c>
      <c r="AO92" s="6">
        <v>0.19048865684528232</v>
      </c>
      <c r="AP92" s="6">
        <v>0.15248298526792353</v>
      </c>
      <c r="AQ92" s="6">
        <v>5.5081442807547051E-2</v>
      </c>
      <c r="AR92" s="6">
        <v>0.15567757473962207</v>
      </c>
      <c r="AS92" s="6">
        <v>0.1822533459698103</v>
      </c>
      <c r="AT92" s="6">
        <v>5.6770360701886763E-2</v>
      </c>
      <c r="AU92" s="6">
        <v>0.12532577123018823</v>
      </c>
    </row>
    <row r="93" spans="1:47" x14ac:dyDescent="0.4">
      <c r="A93" s="6">
        <f t="shared" si="40"/>
        <v>-0.15422658808568657</v>
      </c>
      <c r="B93" s="6">
        <f>'Aerosol 1'!A97</f>
        <v>0.85707779539074058</v>
      </c>
      <c r="C93" t="b">
        <f t="shared" si="41"/>
        <v>0</v>
      </c>
      <c r="E93" s="46">
        <f>'Aerosol 1'!$P97</f>
        <v>0.10070809388047705</v>
      </c>
      <c r="F93" s="46">
        <f>'Aerosol 2'!$P97</f>
        <v>0.10070809388047705</v>
      </c>
      <c r="G93" s="46">
        <f>'Aerosol 3'!$P97</f>
        <v>0.10070809388047705</v>
      </c>
      <c r="H93" s="46">
        <f t="shared" si="42"/>
        <v>0.30212428164143112</v>
      </c>
      <c r="I93" s="46">
        <f>NORMSINV(SUM(H$13:H93)/H$317)</f>
        <v>-2.0438905236253708</v>
      </c>
      <c r="J93" s="46">
        <f t="shared" si="37"/>
        <v>5.4382370695457614E-2</v>
      </c>
      <c r="K93" s="46">
        <f t="shared" si="38"/>
        <v>0.15106214082071556</v>
      </c>
      <c r="L93" s="46">
        <f t="shared" si="39"/>
        <v>0.30211219667016548</v>
      </c>
      <c r="M93" s="46">
        <f t="shared" si="43"/>
        <v>0.50755670818633869</v>
      </c>
      <c r="N93" s="46">
        <f>IF(ISNUMBER(NORMSINV(SUM(M$13:M93)/M$317)),NORMSINV(SUM(M$13:M93)/M$317)," ")</f>
        <v>-2.0438905236253708</v>
      </c>
      <c r="O93" s="46">
        <f t="shared" si="44"/>
        <v>9.0197623446348824E-2</v>
      </c>
      <c r="P93" s="46">
        <f>IF(ISNUMBER(NORMSINV(SUM(O$13:O93)/O$317)),NORMSINV(SUM(O$13:O93)/O$317)," ")</f>
        <v>-2.5617847867090981</v>
      </c>
      <c r="Q93" s="46">
        <f t="shared" si="45"/>
        <v>2.9535349060652777E-2</v>
      </c>
      <c r="R93" s="46">
        <f>IF(ISNUMBER(NORMSINV(SUM(Q$13:Q93)/Q$317)),NORMSINV(SUM(Q$13:Q93)/Q$317)," ")</f>
        <v>-1.8785990639477006</v>
      </c>
      <c r="S93" s="46">
        <f t="shared" si="46"/>
        <v>7.383205014653621E-2</v>
      </c>
      <c r="T93" s="46">
        <f>IF(ISNUMBER(NORMSINV(SUM(S$13:S93)/S$317)),NORMSINV(SUM(S$13:S93)/S$317)," ")</f>
        <v>-1.3272088391983903</v>
      </c>
      <c r="U93" s="46">
        <f t="shared" si="47"/>
        <v>8.3665044154697162E-3</v>
      </c>
      <c r="V93" s="46">
        <f>IF(ISNUMBER(NORMSINV(SUM(U$13:U93)/U$317)),NORMSINV(SUM(U$13:U93)/U$317)," ")</f>
        <v>-2.5493082189911203</v>
      </c>
      <c r="W93" s="46">
        <f t="shared" si="48"/>
        <v>3.8598388394351845E-3</v>
      </c>
      <c r="X93" s="46">
        <f>IF(ISNUMBER(NORMSINV(SUM(W$13:W93)/W$317)),NORMSINV(SUM(W$13:W93)/W$317)," ")</f>
        <v>-1.8485704472124846</v>
      </c>
      <c r="Y93" s="46">
        <f t="shared" si="49"/>
        <v>1.0652659152586626E-2</v>
      </c>
      <c r="Z93" s="46">
        <f>IF(ISNUMBER(NORMSINV(SUM(Y$13:Y93)/Y$317)),NORMSINV(SUM(Y$13:Y93)/Y$317)," ")</f>
        <v>-1.3001130173964532</v>
      </c>
      <c r="AA93" s="46">
        <f t="shared" si="50"/>
        <v>2.425704953808392E-2</v>
      </c>
      <c r="AB93" s="46">
        <f>IF(ISNUMBER(NORMSINV(SUM(AA$13:AA93)/AA$317)),NORMSINV(SUM(AA$13:AA93)/AA$317)," ")</f>
        <v>-2.5888199159307828</v>
      </c>
      <c r="AC93" s="46">
        <f t="shared" si="51"/>
        <v>8.4565699305327261E-3</v>
      </c>
      <c r="AD93" s="46">
        <f>IF(ISNUMBER(NORMSINV(SUM(AC$13:AC93)/AC$317)),NORMSINV(SUM(AC$13:AC93)/AC$317)," ")</f>
        <v>-1.8675235360867184</v>
      </c>
      <c r="AE93" s="46">
        <f t="shared" si="52"/>
        <v>2.4230196335731282E-2</v>
      </c>
      <c r="AF93" s="46">
        <f>IF(ISNUMBER(NORMSINV(SUM(AE$13:AE93)/AE$317)),NORMSINV(SUM(AE$13:AE93)/AE$317)," ")</f>
        <v>-1.4121134866378284</v>
      </c>
      <c r="AG93" s="46">
        <f t="shared" si="53"/>
        <v>5.7574069492795192E-2</v>
      </c>
      <c r="AH93" s="46">
        <f>IF(ISNUMBER(NORMSINV(SUM(AG$13:AG93)/AG$317)),NORMSINV(SUM(AG$13:AG93)/AG$317)," ")</f>
        <v>-2.5515662751677231</v>
      </c>
      <c r="AI93" s="46">
        <f t="shared" si="54"/>
        <v>1.7218940290684867E-2</v>
      </c>
      <c r="AJ93" s="46">
        <f>IF(ISNUMBER(NORMSINV(SUM(AI$13:AI93)/AI$317)),NORMSINV(SUM(AI$13:AI93)/AI$317)," ")</f>
        <v>-1.8900268139931677</v>
      </c>
      <c r="AK93" s="46">
        <f t="shared" si="55"/>
        <v>3.8949194658218313E-2</v>
      </c>
      <c r="AL93" s="46">
        <f>IF(ISNUMBER(NORMSINV(SUM(AK$13:AK93)/AK$317)),NORMSINV(SUM(AK$13:AK93)/AK$317)," ")</f>
        <v>-1.2746438953035948</v>
      </c>
      <c r="AM93" s="6">
        <v>0.15384589359522982</v>
      </c>
      <c r="AN93" s="6">
        <v>7.0975920874254653E-2</v>
      </c>
      <c r="AO93" s="6">
        <v>0.19588442019642238</v>
      </c>
      <c r="AP93" s="6">
        <v>0.16057663029463359</v>
      </c>
      <c r="AQ93" s="6">
        <v>5.5980736699403733E-2</v>
      </c>
      <c r="AR93" s="6">
        <v>0.16039886767186956</v>
      </c>
      <c r="AS93" s="6">
        <v>0.19057181446948451</v>
      </c>
      <c r="AT93" s="6">
        <v>5.699518417485093E-2</v>
      </c>
      <c r="AU93" s="6">
        <v>0.1289229467976149</v>
      </c>
    </row>
    <row r="94" spans="1:47" x14ac:dyDescent="0.4">
      <c r="A94" s="6">
        <f t="shared" si="40"/>
        <v>-0.1197480106545078</v>
      </c>
      <c r="B94" s="6">
        <f>'Aerosol 1'!A98</f>
        <v>0.88714395937899138</v>
      </c>
      <c r="C94" t="b">
        <f t="shared" si="41"/>
        <v>0</v>
      </c>
      <c r="E94" s="46">
        <f>'Aerosol 1'!$P98</f>
        <v>0.10511049814996044</v>
      </c>
      <c r="F94" s="46">
        <f>'Aerosol 2'!$P98</f>
        <v>0.10511049814996044</v>
      </c>
      <c r="G94" s="46">
        <f>'Aerosol 3'!$P98</f>
        <v>0.10511049814996044</v>
      </c>
      <c r="H94" s="46">
        <f t="shared" si="42"/>
        <v>0.31533149444988134</v>
      </c>
      <c r="I94" s="46">
        <f>NORMSINV(SUM(H$13:H94)/H$317)</f>
        <v>-2.0229613027849118</v>
      </c>
      <c r="J94" s="46">
        <f t="shared" si="37"/>
        <v>5.6759669000978646E-2</v>
      </c>
      <c r="K94" s="46">
        <f t="shared" si="38"/>
        <v>0.15766574722494067</v>
      </c>
      <c r="L94" s="46">
        <f t="shared" si="39"/>
        <v>0.31531888119010337</v>
      </c>
      <c r="M94" s="46">
        <f t="shared" si="43"/>
        <v>0.52974429741602269</v>
      </c>
      <c r="N94" s="46">
        <f>IF(ISNUMBER(NORMSINV(SUM(M$13:M94)/M$317)),NORMSINV(SUM(M$13:M94)/M$317)," ")</f>
        <v>-2.0229613027849118</v>
      </c>
      <c r="O94" s="46">
        <f t="shared" si="44"/>
        <v>9.7971455861807111E-2</v>
      </c>
      <c r="P94" s="46">
        <f>IF(ISNUMBER(NORMSINV(SUM(O$13:O94)/O$317)),NORMSINV(SUM(O$13:O94)/O$317)," ")</f>
        <v>-2.5297176968334663</v>
      </c>
      <c r="Q94" s="46">
        <f t="shared" si="45"/>
        <v>3.1230295277547591E-2</v>
      </c>
      <c r="R94" s="46">
        <f>IF(ISNUMBER(NORMSINV(SUM(Q$13:Q94)/Q$317)),NORMSINV(SUM(Q$13:Q94)/Q$317)," ")</f>
        <v>-1.8557483775063972</v>
      </c>
      <c r="S94" s="46">
        <f t="shared" si="46"/>
        <v>7.9445449474682905E-2</v>
      </c>
      <c r="T94" s="46">
        <f>IF(ISNUMBER(NORMSINV(SUM(S$13:S94)/S$317)),NORMSINV(SUM(S$13:S94)/S$317)," ")</f>
        <v>-1.2910576810054732</v>
      </c>
      <c r="U94" s="46">
        <f t="shared" si="47"/>
        <v>9.1637702702475378E-3</v>
      </c>
      <c r="V94" s="46">
        <f>IF(ISNUMBER(NORMSINV(SUM(U$13:U94)/U$317)),NORMSINV(SUM(U$13:U94)/U$317)," ")</f>
        <v>-2.517468429809119</v>
      </c>
      <c r="W94" s="46">
        <f t="shared" si="48"/>
        <v>4.1169796963835366E-3</v>
      </c>
      <c r="X94" s="46">
        <f>IF(ISNUMBER(NORMSINV(SUM(W$13:W94)/W$317)),NORMSINV(SUM(W$13:W94)/W$317)," ")</f>
        <v>-1.8243265203918511</v>
      </c>
      <c r="Y94" s="46">
        <f t="shared" si="49"/>
        <v>1.1460633170974587E-2</v>
      </c>
      <c r="Z94" s="46">
        <f>IF(ISNUMBER(NORMSINV(SUM(Y$13:Y94)/Y$317)),NORMSINV(SUM(Y$13:Y94)/Y$317)," ")</f>
        <v>-1.2622290092389521</v>
      </c>
      <c r="AA94" s="46">
        <f t="shared" si="50"/>
        <v>2.6380997405862222E-2</v>
      </c>
      <c r="AB94" s="46">
        <f>IF(ISNUMBER(NORMSINV(SUM(AA$13:AA94)/AA$317)),NORMSINV(SUM(AA$13:AA94)/AA$317)," ")</f>
        <v>-2.556873895058847</v>
      </c>
      <c r="AC94" s="46">
        <f t="shared" si="51"/>
        <v>8.8638227959117778E-3</v>
      </c>
      <c r="AD94" s="46">
        <f>IF(ISNUMBER(NORMSINV(SUM(AC$13:AC94)/AC$317)),NORMSINV(SUM(AC$13:AC94)/AC$317)," ")</f>
        <v>-1.8450193824991614</v>
      </c>
      <c r="AE94" s="46">
        <f t="shared" si="52"/>
        <v>2.6134335261165379E-2</v>
      </c>
      <c r="AF94" s="46">
        <f>IF(ISNUMBER(NORMSINV(SUM(AE$13:AE94)/AE$317)),NORMSINV(SUM(AE$13:AE94)/AE$317)," ")</f>
        <v>-1.3767850816890583</v>
      </c>
      <c r="AG94" s="46">
        <f t="shared" si="53"/>
        <v>6.2426688185697354E-2</v>
      </c>
      <c r="AH94" s="46">
        <f>IF(ISNUMBER(NORMSINV(SUM(AG$13:AG94)/AG$317)),NORMSINV(SUM(AG$13:AG94)/AG$317)," ")</f>
        <v>-2.5194068195029584</v>
      </c>
      <c r="AI94" s="46">
        <f t="shared" si="54"/>
        <v>1.8249492785252276E-2</v>
      </c>
      <c r="AJ94" s="46">
        <f>IF(ISNUMBER(NORMSINV(SUM(AI$13:AI94)/AI$317)),NORMSINV(SUM(AI$13:AI94)/AI$317)," ")</f>
        <v>-1.8672963865186165</v>
      </c>
      <c r="AK94" s="46">
        <f t="shared" si="55"/>
        <v>4.1850481042542943E-2</v>
      </c>
      <c r="AL94" s="46">
        <f>IF(ISNUMBER(NORMSINV(SUM(AK$13:AK94)/AK$317)),NORMSINV(SUM(AK$13:AK94)/AK$317)," ")</f>
        <v>-1.2382786955990692</v>
      </c>
      <c r="AM94" s="6">
        <v>0.16144862067623292</v>
      </c>
      <c r="AN94" s="6">
        <v>7.2533539550989137E-2</v>
      </c>
      <c r="AO94" s="6">
        <v>0.20191508112524376</v>
      </c>
      <c r="AP94" s="6">
        <v>0.16732231236138201</v>
      </c>
      <c r="AQ94" s="6">
        <v>5.6219077078712737E-2</v>
      </c>
      <c r="AR94" s="6">
        <v>0.16575784988910558</v>
      </c>
      <c r="AS94" s="6">
        <v>0.19797954359752018</v>
      </c>
      <c r="AT94" s="6">
        <v>5.7876308314850938E-2</v>
      </c>
      <c r="AU94" s="6">
        <v>0.13272431033811644</v>
      </c>
    </row>
    <row r="95" spans="1:47" x14ac:dyDescent="0.4">
      <c r="A95" s="6">
        <f t="shared" si="40"/>
        <v>-8.5269433223328972E-2</v>
      </c>
      <c r="B95" s="6">
        <f>'Aerosol 1'!A99</f>
        <v>0.91826484001237041</v>
      </c>
      <c r="C95" t="b">
        <f t="shared" si="41"/>
        <v>0</v>
      </c>
      <c r="E95" s="46">
        <f>'Aerosol 1'!$P99</f>
        <v>0.10965738304576089</v>
      </c>
      <c r="F95" s="46">
        <f>'Aerosol 2'!$P99</f>
        <v>0.10965738304576089</v>
      </c>
      <c r="G95" s="46">
        <f>'Aerosol 3'!$P99</f>
        <v>0.10965738304576089</v>
      </c>
      <c r="H95" s="46">
        <f t="shared" si="42"/>
        <v>0.32897214913728268</v>
      </c>
      <c r="I95" s="46">
        <f>NORMSINV(SUM(H$13:H95)/H$317)</f>
        <v>-2.0020318526650613</v>
      </c>
      <c r="J95" s="46">
        <f t="shared" si="37"/>
        <v>5.9214986844710889E-2</v>
      </c>
      <c r="K95" s="46">
        <f t="shared" si="38"/>
        <v>0.16448607456864134</v>
      </c>
      <c r="L95" s="46">
        <f t="shared" si="39"/>
        <v>0.3289589902513172</v>
      </c>
      <c r="M95" s="46">
        <f t="shared" si="43"/>
        <v>0.55266005166466936</v>
      </c>
      <c r="N95" s="46">
        <f>IF(ISNUMBER(NORMSINV(SUM(M$13:M95)/M$317)),NORMSINV(SUM(M$13:M95)/M$317)," ")</f>
        <v>-2.0020318526650613</v>
      </c>
      <c r="O95" s="46">
        <f t="shared" si="44"/>
        <v>0.10677087897088253</v>
      </c>
      <c r="P95" s="46">
        <f>IF(ISNUMBER(NORMSINV(SUM(O$13:O95)/O$317)),NORMSINV(SUM(O$13:O95)/O$317)," ")</f>
        <v>-2.4974994343602281</v>
      </c>
      <c r="Q95" s="46">
        <f t="shared" si="45"/>
        <v>3.2888382894111404E-2</v>
      </c>
      <c r="R95" s="46">
        <f>IF(ISNUMBER(NORMSINV(SUM(Q$13:Q95)/Q$317)),NORMSINV(SUM(Q$13:Q95)/Q$317)," ")</f>
        <v>-1.8326880329399671</v>
      </c>
      <c r="S95" s="46">
        <f t="shared" si="46"/>
        <v>8.5297612291831887E-2</v>
      </c>
      <c r="T95" s="46">
        <f>IF(ISNUMBER(NORMSINV(SUM(S$13:S95)/S$317)),NORMSINV(SUM(S$13:S95)/S$317)," ")</f>
        <v>-1.2540339238498388</v>
      </c>
      <c r="U95" s="46">
        <f t="shared" si="47"/>
        <v>1.0000968748313464E-2</v>
      </c>
      <c r="V95" s="46">
        <f>IF(ISNUMBER(NORMSINV(SUM(U$13:U95)/U$317)),NORMSINV(SUM(U$13:U95)/U$317)," ")</f>
        <v>-2.4854052105321696</v>
      </c>
      <c r="W95" s="46">
        <f t="shared" si="48"/>
        <v>4.3652438362933145E-3</v>
      </c>
      <c r="X95" s="46">
        <f>IF(ISNUMBER(NORMSINV(SUM(W$13:W95)/W$317)),NORMSINV(SUM(W$13:W95)/W$317)," ")</f>
        <v>-1.7997403995833634</v>
      </c>
      <c r="Y95" s="46">
        <f t="shared" si="49"/>
        <v>1.2292606299468122E-2</v>
      </c>
      <c r="Z95" s="46">
        <f>IF(ISNUMBER(NORMSINV(SUM(Y$13:Y95)/Y$317)),NORMSINV(SUM(Y$13:Y95)/Y$317)," ")</f>
        <v>-1.2235120620348952</v>
      </c>
      <c r="AA95" s="46">
        <f t="shared" si="50"/>
        <v>2.8758126753718524E-2</v>
      </c>
      <c r="AB95" s="46">
        <f>IF(ISNUMBER(NORMSINV(SUM(AA$13:AA95)/AA$317)),NORMSINV(SUM(AA$13:AA95)/AA$317)," ")</f>
        <v>-2.5247863722175112</v>
      </c>
      <c r="AC95" s="46">
        <f t="shared" si="51"/>
        <v>9.3797940130207359E-3</v>
      </c>
      <c r="AD95" s="46">
        <f>IF(ISNUMBER(NORMSINV(SUM(AC$13:AC95)/AC$317)),NORMSINV(SUM(AC$13:AC95)/AC$317)," ")</f>
        <v>-1.8221807710457814</v>
      </c>
      <c r="AE95" s="46">
        <f t="shared" si="52"/>
        <v>2.8087919167619425E-2</v>
      </c>
      <c r="AF95" s="46">
        <f>IF(ISNUMBER(NORMSINV(SUM(AE$13:AE95)/AE$317)),NORMSINV(SUM(AE$13:AE95)/AE$317)," ")</f>
        <v>-1.3406384284059041</v>
      </c>
      <c r="AG95" s="46">
        <f t="shared" si="53"/>
        <v>6.8011783468850548E-2</v>
      </c>
      <c r="AH95" s="46">
        <f>IF(ISNUMBER(NORMSINV(SUM(AG$13:AG95)/AG$317)),NORMSINV(SUM(AG$13:AG95)/AG$317)," ")</f>
        <v>-2.4871026693783733</v>
      </c>
      <c r="AI95" s="46">
        <f t="shared" si="54"/>
        <v>1.9143345044797356E-2</v>
      </c>
      <c r="AJ95" s="46">
        <f>IF(ISNUMBER(NORMSINV(SUM(AI$13:AI95)/AI$317)),NORMSINV(SUM(AI$13:AI95)/AI$317)," ")</f>
        <v>-1.8444460049939417</v>
      </c>
      <c r="AK95" s="46">
        <f t="shared" si="55"/>
        <v>4.4917086824744337E-2</v>
      </c>
      <c r="AL95" s="46">
        <f>IF(ISNUMBER(NORMSINV(SUM(AK$13:AK95)/AK$317)),NORMSINV(SUM(AK$13:AK95)/AK$317)," ")</f>
        <v>-1.200988280759171</v>
      </c>
      <c r="AM95" s="6">
        <v>0.16889252672707053</v>
      </c>
      <c r="AN95" s="6">
        <v>7.3718564655616742E-2</v>
      </c>
      <c r="AO95" s="6">
        <v>0.20759282327808376</v>
      </c>
      <c r="AP95" s="6">
        <v>0.17483623965819386</v>
      </c>
      <c r="AQ95" s="6">
        <v>5.7024851724493397E-2</v>
      </c>
      <c r="AR95" s="6">
        <v>0.17076168448471371</v>
      </c>
      <c r="AS95" s="6">
        <v>0.20674851724493404</v>
      </c>
      <c r="AT95" s="6">
        <v>5.8193712931123347E-2</v>
      </c>
      <c r="AU95" s="6">
        <v>0.13654311982909695</v>
      </c>
    </row>
    <row r="96" spans="1:47" x14ac:dyDescent="0.4">
      <c r="A96" s="6">
        <f t="shared" si="40"/>
        <v>-5.0790855792150223E-2</v>
      </c>
      <c r="B96" s="6">
        <f>'Aerosol 1'!A100</f>
        <v>0.950477436596873</v>
      </c>
      <c r="C96" t="b">
        <f t="shared" si="41"/>
        <v>0</v>
      </c>
      <c r="E96" s="46">
        <f>'Aerosol 1'!$P100</f>
        <v>0.1143509363098396</v>
      </c>
      <c r="F96" s="46">
        <f>'Aerosol 2'!$P100</f>
        <v>0.1143509363098396</v>
      </c>
      <c r="G96" s="46">
        <f>'Aerosol 3'!$P100</f>
        <v>0.1143509363098396</v>
      </c>
      <c r="H96" s="46">
        <f t="shared" si="42"/>
        <v>0.34305280892951878</v>
      </c>
      <c r="I96" s="46">
        <f>NORMSINV(SUM(H$13:H96)/H$317)</f>
        <v>-1.9811021687047763</v>
      </c>
      <c r="J96" s="46">
        <f t="shared" si="37"/>
        <v>6.174950560731339E-2</v>
      </c>
      <c r="K96" s="46">
        <f t="shared" si="38"/>
        <v>0.17152640446475939</v>
      </c>
      <c r="L96" s="46">
        <f t="shared" si="39"/>
        <v>0.34303908681716161</v>
      </c>
      <c r="M96" s="46">
        <f t="shared" si="43"/>
        <v>0.57631499688923438</v>
      </c>
      <c r="N96" s="46">
        <f>IF(ISNUMBER(NORMSINV(SUM(M$13:M96)/M$317)),NORMSINV(SUM(M$13:M96)/M$317)," ")</f>
        <v>-1.9811021687047763</v>
      </c>
      <c r="O96" s="46">
        <f t="shared" si="44"/>
        <v>0.11625368268120524</v>
      </c>
      <c r="P96" s="46">
        <f>IF(ISNUMBER(NORMSINV(SUM(O$13:O96)/O$317)),NORMSINV(SUM(O$13:O96)/O$317)," ")</f>
        <v>-2.4651374463897069</v>
      </c>
      <c r="Q96" s="46">
        <f t="shared" si="45"/>
        <v>3.4771074768610938E-2</v>
      </c>
      <c r="R96" s="46">
        <f>IF(ISNUMBER(NORMSINV(SUM(Q$13:Q96)/Q$317)),NORMSINV(SUM(Q$13:Q96)/Q$317)," ")</f>
        <v>-1.8093229792562022</v>
      </c>
      <c r="S96" s="46">
        <f t="shared" si="46"/>
        <v>9.1725447900012386E-2</v>
      </c>
      <c r="T96" s="46">
        <f>IF(ISNUMBER(NORMSINV(SUM(S$13:S96)/S$317)),NORMSINV(SUM(S$13:S96)/S$317)," ")</f>
        <v>-1.2160488169330137</v>
      </c>
      <c r="U96" s="46">
        <f t="shared" si="47"/>
        <v>1.0958409806369019E-2</v>
      </c>
      <c r="V96" s="46">
        <f>IF(ISNUMBER(NORMSINV(SUM(U$13:U96)/U$317)),NORMSINV(SUM(U$13:U96)/U$317)," ")</f>
        <v>-2.4529780230167386</v>
      </c>
      <c r="W96" s="46">
        <f t="shared" si="48"/>
        <v>4.6523997597252426E-3</v>
      </c>
      <c r="X96" s="46">
        <f>IF(ISNUMBER(NORMSINV(SUM(W$13:W96)/W$317)),NORMSINV(SUM(W$13:W96)/W$317)," ")</f>
        <v>-1.7746817173754972</v>
      </c>
      <c r="Y96" s="46">
        <f t="shared" si="49"/>
        <v>1.3154455706280653E-2</v>
      </c>
      <c r="Z96" s="46">
        <f>IF(ISNUMBER(NORMSINV(SUM(Y$13:Y96)/Y$317)),NORMSINV(SUM(Y$13:Y96)/Y$317)," ")</f>
        <v>-1.1840158384417161</v>
      </c>
      <c r="AA96" s="46">
        <f t="shared" si="50"/>
        <v>3.1469185666702496E-2</v>
      </c>
      <c r="AB96" s="46">
        <f>IF(ISNUMBER(NORMSINV(SUM(AA$13:AA96)/AA$317)),NORMSINV(SUM(AA$13:AA96)/AA$317)," ")</f>
        <v>-2.4924176740265334</v>
      </c>
      <c r="AC96" s="46">
        <f t="shared" si="51"/>
        <v>9.9062786814241958E-3</v>
      </c>
      <c r="AD96" s="46">
        <f>IF(ISNUMBER(NORMSINV(SUM(AC$13:AC96)/AC$317)),NORMSINV(SUM(AC$13:AC96)/AC$317)," ")</f>
        <v>-1.7990495536395343</v>
      </c>
      <c r="AE96" s="46">
        <f t="shared" si="52"/>
        <v>3.0193677774472381E-2</v>
      </c>
      <c r="AF96" s="46">
        <f>IF(ISNUMBER(NORMSINV(SUM(AE$13:AE96)/AE$317)),NORMSINV(SUM(AE$13:AE96)/AE$317)," ")</f>
        <v>-1.3036406299468315</v>
      </c>
      <c r="AG96" s="46">
        <f t="shared" si="53"/>
        <v>7.3826087208133731E-2</v>
      </c>
      <c r="AH96" s="46">
        <f>IF(ISNUMBER(NORMSINV(SUM(AG$13:AG96)/AG$317)),NORMSINV(SUM(AG$13:AG96)/AG$317)," ")</f>
        <v>-2.4547458641173692</v>
      </c>
      <c r="AI96" s="46">
        <f t="shared" si="54"/>
        <v>2.0212396327461499E-2</v>
      </c>
      <c r="AJ96" s="46">
        <f>IF(ISNUMBER(NORMSINV(SUM(AI$13:AI96)/AI$317)),NORMSINV(SUM(AI$13:AI96)/AI$317)," ")</f>
        <v>-1.8213210702978531</v>
      </c>
      <c r="AK96" s="46">
        <f t="shared" si="55"/>
        <v>4.8377314419259347E-2</v>
      </c>
      <c r="AL96" s="46">
        <f>IF(ISNUMBER(NORMSINV(SUM(AK$13:AK96)/AK$317)),NORMSINV(SUM(AK$13:AK96)/AK$317)," ")</f>
        <v>-1.1626087643408272</v>
      </c>
      <c r="AM96" s="6">
        <v>0.17746554727186584</v>
      </c>
      <c r="AN96" s="6">
        <v>7.5343109454373169E-2</v>
      </c>
      <c r="AO96" s="6">
        <v>0.2130293283631195</v>
      </c>
      <c r="AP96" s="6">
        <v>0.18346554727186584</v>
      </c>
      <c r="AQ96" s="6">
        <v>5.7753666045389937E-2</v>
      </c>
      <c r="AR96" s="6">
        <v>0.17602932836311952</v>
      </c>
      <c r="AS96" s="6">
        <v>0.21521188122647589</v>
      </c>
      <c r="AT96" s="6">
        <v>5.892155472718659E-2</v>
      </c>
      <c r="AU96" s="6">
        <v>0.14102566231772956</v>
      </c>
    </row>
    <row r="97" spans="1:47" x14ac:dyDescent="0.4">
      <c r="A97" s="6">
        <f t="shared" si="40"/>
        <v>-1.6312278360971485E-2</v>
      </c>
      <c r="B97" s="6">
        <f>'Aerosol 1'!A101</f>
        <v>0.98382004636874965</v>
      </c>
      <c r="C97" t="b">
        <f t="shared" si="41"/>
        <v>0</v>
      </c>
      <c r="E97" s="46">
        <f>'Aerosol 1'!$P101</f>
        <v>0.1191932433189196</v>
      </c>
      <c r="F97" s="46">
        <f>'Aerosol 2'!$P101</f>
        <v>0.1191932433189196</v>
      </c>
      <c r="G97" s="46">
        <f>'Aerosol 3'!$P101</f>
        <v>0.1191932433189196</v>
      </c>
      <c r="H97" s="46">
        <f t="shared" si="42"/>
        <v>0.3575797299567588</v>
      </c>
      <c r="I97" s="46">
        <f>NORMSINV(SUM(H$13:H97)/H$317)</f>
        <v>-1.9601722462290254</v>
      </c>
      <c r="J97" s="46">
        <f t="shared" si="37"/>
        <v>6.4364351392216593E-2</v>
      </c>
      <c r="K97" s="46">
        <f t="shared" si="38"/>
        <v>0.1787898649783794</v>
      </c>
      <c r="L97" s="46">
        <f t="shared" si="39"/>
        <v>0.35756542676756053</v>
      </c>
      <c r="M97" s="46">
        <f t="shared" si="43"/>
        <v>0.60071964313815651</v>
      </c>
      <c r="N97" s="46">
        <f>IF(ISNUMBER(NORMSINV(SUM(M$13:M97)/M$317)),NORMSINV(SUM(M$13:M97)/M$317)," ")</f>
        <v>-1.9601722462290254</v>
      </c>
      <c r="O97" s="46">
        <f t="shared" si="44"/>
        <v>0.12643990730869384</v>
      </c>
      <c r="P97" s="46">
        <f>IF(ISNUMBER(NORMSINV(SUM(O$13:O97)/O$317)),NORMSINV(SUM(O$13:O97)/O$317)," ")</f>
        <v>-2.4326438118997644</v>
      </c>
      <c r="Q97" s="46">
        <f t="shared" si="45"/>
        <v>3.6824103779096042E-2</v>
      </c>
      <c r="R97" s="46">
        <f>IF(ISNUMBER(NORMSINV(SUM(Q$13:Q97)/Q$317)),NORMSINV(SUM(Q$13:Q97)/Q$317)," ")</f>
        <v>-1.7856100354037214</v>
      </c>
      <c r="S97" s="46">
        <f t="shared" si="46"/>
        <v>9.8684366675488633E-2</v>
      </c>
      <c r="T97" s="46">
        <f>IF(ISNUMBER(NORMSINV(SUM(S$13:S97)/S$317)),NORMSINV(SUM(S$13:S97)/S$317)," ")</f>
        <v>-1.1770501748911901</v>
      </c>
      <c r="U97" s="46">
        <f t="shared" si="47"/>
        <v>1.1982195083757504E-2</v>
      </c>
      <c r="V97" s="46">
        <f>IF(ISNUMBER(NORMSINV(SUM(U$13:U97)/U$317)),NORMSINV(SUM(U$13:U97)/U$317)," ")</f>
        <v>-2.4202445443328902</v>
      </c>
      <c r="W97" s="46">
        <f t="shared" si="48"/>
        <v>4.9375247281261397E-3</v>
      </c>
      <c r="X97" s="46">
        <f>IF(ISNUMBER(NORMSINV(SUM(W$13:W97)/W$317)),NORMSINV(SUM(W$13:W97)/W$317)," ")</f>
        <v>-1.7492523607331329</v>
      </c>
      <c r="Y97" s="46">
        <f t="shared" si="49"/>
        <v>1.4085839269842032E-2</v>
      </c>
      <c r="Z97" s="46">
        <f>IF(ISNUMBER(NORMSINV(SUM(Y$13:Y97)/Y$317)),NORMSINV(SUM(Y$13:Y97)/Y$317)," ")</f>
        <v>-1.1436750159394438</v>
      </c>
      <c r="AA97" s="46">
        <f t="shared" si="50"/>
        <v>3.4229297693869794E-2</v>
      </c>
      <c r="AB97" s="46">
        <f>IF(ISNUMBER(NORMSINV(SUM(AA$13:AA97)/AA$317)),NORMSINV(SUM(AA$13:AA97)/AA$317)," ")</f>
        <v>-2.4599429223752365</v>
      </c>
      <c r="AC97" s="46">
        <f t="shared" si="51"/>
        <v>1.0497128897406225E-2</v>
      </c>
      <c r="AD97" s="46">
        <f>IF(ISNUMBER(NORMSINV(SUM(AC$13:AC97)/AC$317)),NORMSINV(SUM(AC$13:AC97)/AC$317)," ")</f>
        <v>-1.7755455899139458</v>
      </c>
      <c r="AE97" s="46">
        <f t="shared" si="52"/>
        <v>3.2537569646648751E-2</v>
      </c>
      <c r="AF97" s="46">
        <f>IF(ISNUMBER(NORMSINV(SUM(AE$13:AE97)/AE$317)),NORMSINV(SUM(AE$13:AE97)/AE$317)," ")</f>
        <v>-1.2656716653440179</v>
      </c>
      <c r="AG97" s="46">
        <f t="shared" si="53"/>
        <v>8.0228414531066536E-2</v>
      </c>
      <c r="AH97" s="46">
        <f>IF(ISNUMBER(NORMSINV(SUM(AG$13:AG97)/AG$317)),NORMSINV(SUM(AG$13:AG97)/AG$317)," ")</f>
        <v>-2.4222723344504828</v>
      </c>
      <c r="AI97" s="46">
        <f t="shared" si="54"/>
        <v>2.1389450153563676E-2</v>
      </c>
      <c r="AJ97" s="46">
        <f>IF(ISNUMBER(NORMSINV(SUM(AI$13:AI97)/AI$317)),NORMSINV(SUM(AI$13:AI97)/AI$317)," ")</f>
        <v>-1.7978657640408382</v>
      </c>
      <c r="AK97" s="46">
        <f t="shared" si="55"/>
        <v>5.2060957758997842E-2</v>
      </c>
      <c r="AL97" s="46">
        <f>IF(ISNUMBER(NORMSINV(SUM(AK$13:AK97)/AK$317)),NORMSINV(SUM(AK$13:AK97)/AK$317)," ")</f>
        <v>-1.1231338188060245</v>
      </c>
      <c r="AM97" s="6">
        <v>0.18616197980061489</v>
      </c>
      <c r="AN97" s="6">
        <v>7.6712102605344071E-2</v>
      </c>
      <c r="AO97" s="6">
        <v>0.21884535406885797</v>
      </c>
      <c r="AP97" s="6">
        <v>0.19144987719527085</v>
      </c>
      <c r="AQ97" s="6">
        <v>5.8712102605344076E-2</v>
      </c>
      <c r="AR97" s="6">
        <v>0.18198777458992677</v>
      </c>
      <c r="AS97" s="6">
        <v>0.22437408240595902</v>
      </c>
      <c r="AT97" s="6">
        <v>5.9819682084275252E-2</v>
      </c>
      <c r="AU97" s="6">
        <v>0.14559841042137628</v>
      </c>
    </row>
    <row r="98" spans="1:47" x14ac:dyDescent="0.4">
      <c r="A98" s="6">
        <f t="shared" si="40"/>
        <v>1.8166299070207351E-2</v>
      </c>
      <c r="B98" s="6">
        <f>'Aerosol 1'!A102</f>
        <v>1.0183323100257098</v>
      </c>
      <c r="C98" t="b">
        <f t="shared" si="41"/>
        <v>0</v>
      </c>
      <c r="E98" s="46">
        <f>'Aerosol 1'!$P102</f>
        <v>0.12418627897933486</v>
      </c>
      <c r="F98" s="46">
        <f>'Aerosol 2'!$P102</f>
        <v>0.12418627897933486</v>
      </c>
      <c r="G98" s="46">
        <f>'Aerosol 3'!$P102</f>
        <v>0.12418627897933486</v>
      </c>
      <c r="H98" s="46">
        <f t="shared" si="42"/>
        <v>0.37255883693800457</v>
      </c>
      <c r="I98" s="46">
        <f>NORMSINV(SUM(H$13:H98)/H$317)</f>
        <v>-1.9392420804454009</v>
      </c>
      <c r="J98" s="46">
        <f t="shared" si="37"/>
        <v>6.7060590648840832E-2</v>
      </c>
      <c r="K98" s="46">
        <f t="shared" si="38"/>
        <v>0.18627941846900228</v>
      </c>
      <c r="L98" s="46">
        <f t="shared" si="39"/>
        <v>0.37254393458452706</v>
      </c>
      <c r="M98" s="46">
        <f t="shared" si="43"/>
        <v>0.62588394370237022</v>
      </c>
      <c r="N98" s="46">
        <f>IF(ISNUMBER(NORMSINV(SUM(M$13:M98)/M$317)),NORMSINV(SUM(M$13:M98)/M$317)," ")</f>
        <v>-1.9392420804454009</v>
      </c>
      <c r="O98" s="46">
        <f t="shared" si="44"/>
        <v>0.13710973831932849</v>
      </c>
      <c r="P98" s="46">
        <f>IF(ISNUMBER(NORMSINV(SUM(O$13:O98)/O$317)),NORMSINV(SUM(O$13:O98)/O$317)," ")</f>
        <v>-2.4000883648528522</v>
      </c>
      <c r="Q98" s="46">
        <f t="shared" si="45"/>
        <v>3.8988150149666112E-2</v>
      </c>
      <c r="R98" s="46">
        <f>IF(ISNUMBER(NORMSINV(SUM(Q$13:Q98)/Q$317)),NORMSINV(SUM(Q$13:Q98)/Q$317)," ")</f>
        <v>-1.7615517751076051</v>
      </c>
      <c r="S98" s="46">
        <f t="shared" si="46"/>
        <v>0.1059539149629157</v>
      </c>
      <c r="T98" s="46">
        <f>IF(ISNUMBER(NORMSINV(SUM(S$13:S98)/S$317)),NORMSINV(SUM(S$13:S98)/S$317)," ")</f>
        <v>-1.1370796000673613</v>
      </c>
      <c r="U98" s="46">
        <f t="shared" si="47"/>
        <v>1.3049114294960033E-2</v>
      </c>
      <c r="V98" s="46">
        <f>IF(ISNUMBER(NORMSINV(SUM(U$13:U98)/U$317)),NORMSINV(SUM(U$13:U98)/U$317)," ")</f>
        <v>-2.387319039351143</v>
      </c>
      <c r="W98" s="46">
        <f t="shared" si="48"/>
        <v>5.2433142868701038E-3</v>
      </c>
      <c r="X98" s="46">
        <f>IF(ISNUMBER(NORMSINV(SUM(W$13:W98)/W$317)),NORMSINV(SUM(W$13:W98)/W$317)," ")</f>
        <v>-1.7234317607569389</v>
      </c>
      <c r="Y98" s="46">
        <f t="shared" si="49"/>
        <v>1.5051476496716008E-2</v>
      </c>
      <c r="Z98" s="46">
        <f>IF(ISNUMBER(NORMSINV(SUM(Y$13:Y98)/Y$317)),NORMSINV(SUM(Y$13:Y98)/Y$317)," ")</f>
        <v>-1.1025306287598853</v>
      </c>
      <c r="AA98" s="46">
        <f t="shared" si="50"/>
        <v>3.7132366945950075E-2</v>
      </c>
      <c r="AB98" s="46">
        <f>IF(ISNUMBER(NORMSINV(SUM(AA$13:AA98)/AA$317)),NORMSINV(SUM(AA$13:AA98)/AA$317)," ")</f>
        <v>-2.4274204273240065</v>
      </c>
      <c r="AC98" s="46">
        <f t="shared" si="51"/>
        <v>1.1124393959909424E-2</v>
      </c>
      <c r="AD98" s="46">
        <f>IF(ISNUMBER(NORMSINV(SUM(AC$13:AC98)/AC$317)),NORMSINV(SUM(AC$13:AC98)/AC$317)," ")</f>
        <v>-1.7516631867199148</v>
      </c>
      <c r="AE98" s="46">
        <f t="shared" si="52"/>
        <v>3.4985722910491658E-2</v>
      </c>
      <c r="AF98" s="46">
        <f>IF(ISNUMBER(NORMSINV(SUM(AE$13:AE98)/AE$317)),NORMSINV(SUM(AE$13:AE98)/AE$317)," ")</f>
        <v>-1.226783542398751</v>
      </c>
      <c r="AG98" s="46">
        <f t="shared" si="53"/>
        <v>8.6928257078418392E-2</v>
      </c>
      <c r="AH98" s="46">
        <f>IF(ISNUMBER(NORMSINV(SUM(AG$13:AG98)/AG$317)),NORMSINV(SUM(AG$13:AG98)/AG$317)," ")</f>
        <v>-2.3897502672928224</v>
      </c>
      <c r="AI98" s="46">
        <f t="shared" si="54"/>
        <v>2.2620441902886583E-2</v>
      </c>
      <c r="AJ98" s="46">
        <f>IF(ISNUMBER(NORMSINV(SUM(AI$13:AI98)/AI$317)),NORMSINV(SUM(AI$13:AI98)/AI$317)," ")</f>
        <v>-1.7740916041254038</v>
      </c>
      <c r="AK98" s="46">
        <f t="shared" si="55"/>
        <v>5.5916715555708027E-2</v>
      </c>
      <c r="AL98" s="46">
        <f>IF(ISNUMBER(NORMSINV(SUM(AK$13:AK98)/AK$317)),NORMSINV(SUM(AK$13:AK98)/AK$317)," ")</f>
        <v>-1.0825975032923851</v>
      </c>
      <c r="AM98" s="6">
        <v>0.194586927563627</v>
      </c>
      <c r="AN98" s="6">
        <v>7.8187714067811248E-2</v>
      </c>
      <c r="AO98" s="6">
        <v>0.22444592794495732</v>
      </c>
      <c r="AP98" s="6">
        <v>0.19933692756362703</v>
      </c>
      <c r="AQ98" s="6">
        <v>5.9718857033905615E-2</v>
      </c>
      <c r="AR98" s="6">
        <v>0.1878131422034337</v>
      </c>
      <c r="AS98" s="6">
        <v>0.23333692756362701</v>
      </c>
      <c r="AT98" s="6">
        <v>6.0718857033905616E-2</v>
      </c>
      <c r="AU98" s="6">
        <v>0.15009428516952811</v>
      </c>
    </row>
    <row r="99" spans="1:47" x14ac:dyDescent="0.4">
      <c r="A99" s="6">
        <f t="shared" si="40"/>
        <v>5.2644876501386217E-2</v>
      </c>
      <c r="B99" s="6">
        <f>'Aerosol 1'!A103</f>
        <v>1.0540552588553536</v>
      </c>
      <c r="C99" t="b">
        <f t="shared" si="41"/>
        <v>0</v>
      </c>
      <c r="E99" s="46">
        <f>'Aerosol 1'!$P103</f>
        <v>0.129331899523423</v>
      </c>
      <c r="F99" s="46">
        <f>'Aerosol 2'!$P103</f>
        <v>0.129331899523423</v>
      </c>
      <c r="G99" s="46">
        <f>'Aerosol 3'!$P103</f>
        <v>0.129331899523423</v>
      </c>
      <c r="H99" s="46">
        <f t="shared" si="42"/>
        <v>0.387995698570269</v>
      </c>
      <c r="I99" s="46">
        <f>NORMSINV(SUM(H$13:H99)/H$317)</f>
        <v>-1.9183116664406228</v>
      </c>
      <c r="J99" s="46">
        <f t="shared" si="37"/>
        <v>6.983922574264842E-2</v>
      </c>
      <c r="K99" s="46">
        <f t="shared" si="38"/>
        <v>0.1939978492851345</v>
      </c>
      <c r="L99" s="46">
        <f t="shared" si="39"/>
        <v>0.38798017874232621</v>
      </c>
      <c r="M99" s="46">
        <f t="shared" si="43"/>
        <v>0.65181725377010913</v>
      </c>
      <c r="N99" s="46">
        <f>IF(ISNUMBER(NORMSINV(SUM(M$13:M99)/M$317)),NORMSINV(SUM(M$13:M99)/M$317)," ")</f>
        <v>-1.9183116664406228</v>
      </c>
      <c r="O99" s="46">
        <f t="shared" si="44"/>
        <v>0.14845466814843694</v>
      </c>
      <c r="P99" s="46">
        <f>IF(ISNUMBER(NORMSINV(SUM(O$13:O99)/O$317)),NORMSINV(SUM(O$13:O99)/O$317)," ")</f>
        <v>-2.3674900044840017</v>
      </c>
      <c r="Q99" s="46">
        <f t="shared" si="45"/>
        <v>4.1287729392187611E-2</v>
      </c>
      <c r="R99" s="46">
        <f>IF(ISNUMBER(NORMSINV(SUM(Q$13:Q99)/Q$317)),NORMSINV(SUM(Q$13:Q99)/Q$317)," ")</f>
        <v>-1.7371392381012134</v>
      </c>
      <c r="S99" s="46">
        <f t="shared" si="46"/>
        <v>0.1135731963389956</v>
      </c>
      <c r="T99" s="46">
        <f>IF(ISNUMBER(NORMSINV(SUM(S$13:S99)/S$317)),NORMSINV(SUM(S$13:S99)/S$317)," ")</f>
        <v>-1.0961598669426622</v>
      </c>
      <c r="U99" s="46">
        <f t="shared" si="47"/>
        <v>1.4202381772562713E-2</v>
      </c>
      <c r="V99" s="46">
        <f>IF(ISNUMBER(NORMSINV(SUM(U$13:U99)/U$317)),NORMSINV(SUM(U$13:U99)/U$317)," ")</f>
        <v>-2.3541999923627501</v>
      </c>
      <c r="W99" s="46">
        <f t="shared" si="48"/>
        <v>5.5860836376104778E-3</v>
      </c>
      <c r="X99" s="46">
        <f>IF(ISNUMBER(NORMSINV(SUM(W$13:W99)/W$317)),NORMSINV(SUM(W$13:W99)/W$317)," ")</f>
        <v>-1.697131277426736</v>
      </c>
      <c r="Y99" s="46">
        <f t="shared" si="49"/>
        <v>1.6061645723033886E-2</v>
      </c>
      <c r="Z99" s="46">
        <f>IF(ISNUMBER(NORMSINV(SUM(Y$13:Y99)/Y$317)),NORMSINV(SUM(Y$13:Y99)/Y$317)," ")</f>
        <v>-1.0605898786230923</v>
      </c>
      <c r="AA99" s="46">
        <f t="shared" si="50"/>
        <v>4.0390371443134697E-2</v>
      </c>
      <c r="AB99" s="46">
        <f>IF(ISNUMBER(NORMSINV(SUM(AA$13:AA99)/AA$317)),NORMSINV(SUM(AA$13:AA99)/AA$317)," ")</f>
        <v>-2.3947360140998186</v>
      </c>
      <c r="AC99" s="46">
        <f t="shared" si="51"/>
        <v>1.1759655138187119E-2</v>
      </c>
      <c r="AD99" s="46">
        <f>IF(ISNUMBER(NORMSINV(SUM(AC$13:AC99)/AC$317)),NORMSINV(SUM(AC$13:AC99)/AC$317)," ")</f>
        <v>-1.727458112606729</v>
      </c>
      <c r="AE99" s="46">
        <f t="shared" si="52"/>
        <v>3.7499118705696721E-2</v>
      </c>
      <c r="AF99" s="46">
        <f>IF(ISNUMBER(NORMSINV(SUM(AE$13:AE99)/AE$317)),NORMSINV(SUM(AE$13:AE99)/AE$317)," ")</f>
        <v>-1.1870632770254799</v>
      </c>
      <c r="AG99" s="46">
        <f t="shared" si="53"/>
        <v>9.3861914932739515E-2</v>
      </c>
      <c r="AH99" s="46">
        <f>IF(ISNUMBER(NORMSINV(SUM(AG$13:AG99)/AG$317)),NORMSINV(SUM(AG$13:AG99)/AG$317)," ")</f>
        <v>-2.3572585864322368</v>
      </c>
      <c r="AI99" s="46">
        <f t="shared" si="54"/>
        <v>2.3941990616390019E-2</v>
      </c>
      <c r="AJ99" s="46">
        <f>IF(ISNUMBER(NORMSINV(SUM(AI$13:AI99)/AI$317)),NORMSINV(SUM(AI$13:AI99)/AI$317)," ")</f>
        <v>-1.7499750034534296</v>
      </c>
      <c r="AK99" s="46">
        <f t="shared" si="55"/>
        <v>6.0012431910264986E-2</v>
      </c>
      <c r="AL99" s="46">
        <f>IF(ISNUMBER(NORMSINV(SUM(AK$13:AK99)/AK$317)),NORMSINV(SUM(AK$13:AK99)/AK$317)," ")</f>
        <v>-1.0409835521037136</v>
      </c>
      <c r="AM99" s="6">
        <v>0.20335823631403471</v>
      </c>
      <c r="AN99" s="6">
        <v>7.9984902155054216E-2</v>
      </c>
      <c r="AO99" s="6">
        <v>0.229980294773308</v>
      </c>
      <c r="AP99" s="6">
        <v>0.20820009908341647</v>
      </c>
      <c r="AQ99" s="6">
        <v>6.0617451077527112E-2</v>
      </c>
      <c r="AR99" s="6">
        <v>0.19329656923454447</v>
      </c>
      <c r="AS99" s="6">
        <v>0.24192451077527113</v>
      </c>
      <c r="AT99" s="6">
        <v>6.1709313846908892E-2</v>
      </c>
      <c r="AU99" s="6">
        <v>0.15467911815701735</v>
      </c>
    </row>
    <row r="100" spans="1:47" x14ac:dyDescent="0.4">
      <c r="A100" s="6">
        <f t="shared" si="40"/>
        <v>8.7123453932564945E-2</v>
      </c>
      <c r="B100" s="6">
        <f>'Aerosol 1'!A104</f>
        <v>1.0910313635168623</v>
      </c>
      <c r="C100" t="b">
        <f t="shared" si="41"/>
        <v>0</v>
      </c>
      <c r="E100" s="46">
        <f>'Aerosol 1'!$P104</f>
        <v>0.13463183422528155</v>
      </c>
      <c r="F100" s="46">
        <f>'Aerosol 2'!$P104</f>
        <v>0.13463183422528155</v>
      </c>
      <c r="G100" s="46">
        <f>'Aerosol 3'!$P104</f>
        <v>0.13463183422528155</v>
      </c>
      <c r="H100" s="46">
        <f t="shared" si="42"/>
        <v>0.40389550267584462</v>
      </c>
      <c r="I100" s="46">
        <f>NORMSINV(SUM(H$13:H100)/H$317)</f>
        <v>-1.897380999176923</v>
      </c>
      <c r="J100" s="46">
        <f t="shared" si="37"/>
        <v>7.2701190481652037E-2</v>
      </c>
      <c r="K100" s="46">
        <f t="shared" si="38"/>
        <v>0.20194775133792231</v>
      </c>
      <c r="L100" s="46">
        <f t="shared" si="39"/>
        <v>0.40387934685573762</v>
      </c>
      <c r="M100" s="46">
        <f t="shared" si="43"/>
        <v>0.6785282886753119</v>
      </c>
      <c r="N100" s="46">
        <f>IF(ISNUMBER(NORMSINV(SUM(M$13:M100)/M$317)),NORMSINV(SUM(M$13:M100)/M$317)," ")</f>
        <v>-1.897380999176923</v>
      </c>
      <c r="O100" s="46">
        <f t="shared" si="44"/>
        <v>0.16067055908955957</v>
      </c>
      <c r="P100" s="46">
        <f>IF(ISNUMBER(NORMSINV(SUM(O$13:O100)/O$317)),NORMSINV(SUM(O$13:O100)/O$317)," ")</f>
        <v>-2.334831745126837</v>
      </c>
      <c r="Q100" s="46">
        <f t="shared" si="45"/>
        <v>4.3718667436769235E-2</v>
      </c>
      <c r="R100" s="46">
        <f>IF(ISNUMBER(NORMSINV(SUM(Q$13:Q100)/Q$317)),NORMSINV(SUM(Q$13:Q100)/Q$317)," ")</f>
        <v>-1.7123702609193121</v>
      </c>
      <c r="S100" s="46">
        <f t="shared" si="46"/>
        <v>0.12168889290736633</v>
      </c>
      <c r="T100" s="46">
        <f>IF(ISNUMBER(NORMSINV(SUM(S$13:S100)/S$317)),NORMSINV(SUM(S$13:S100)/S$317)," ")</f>
        <v>-1.0542610589334529</v>
      </c>
      <c r="U100" s="46">
        <f t="shared" si="47"/>
        <v>1.5470415918997277E-2</v>
      </c>
      <c r="V100" s="46">
        <f>IF(ISNUMBER(NORMSINV(SUM(U$13:U100)/U$317)),NORMSINV(SUM(U$13:U100)/U$317)," ")</f>
        <v>-2.3208392048936766</v>
      </c>
      <c r="W100" s="46">
        <f t="shared" si="48"/>
        <v>5.9456699967009603E-3</v>
      </c>
      <c r="X100" s="46">
        <f>IF(ISNUMBER(NORMSINV(SUM(W$13:W100)/W$317)),NORMSINV(SUM(W$13:W100)/W$317)," ")</f>
        <v>-1.6703701694642816</v>
      </c>
      <c r="Y100" s="46">
        <f t="shared" si="49"/>
        <v>1.7141511396768849E-2</v>
      </c>
      <c r="Z100" s="46">
        <f>IF(ISNUMBER(NORMSINV(SUM(Y$13:Y100)/Y$317)),NORMSINV(SUM(Y$13:Y100)/Y$317)," ")</f>
        <v>-1.0177954645901193</v>
      </c>
      <c r="AA100" s="46">
        <f t="shared" si="50"/>
        <v>4.3915931812816188E-2</v>
      </c>
      <c r="AB100" s="46">
        <f>IF(ISNUMBER(NORMSINV(SUM(AA$13:AA100)/AA$317)),NORMSINV(SUM(AA$13:AA100)/AA$317)," ")</f>
        <v>-2.3618806499521496</v>
      </c>
      <c r="AC100" s="46">
        <f t="shared" si="51"/>
        <v>1.2423047366762648E-2</v>
      </c>
      <c r="AD100" s="46">
        <f>IF(ISNUMBER(NORMSINV(SUM(AC$13:AC100)/AC$317)),NORMSINV(SUM(AC$13:AC100)/AC$317)," ")</f>
        <v>-1.7029412477030583</v>
      </c>
      <c r="AE100" s="46">
        <f t="shared" si="52"/>
        <v>4.0196990233280792E-2</v>
      </c>
      <c r="AF100" s="46">
        <f>IF(ISNUMBER(NORMSINV(SUM(AE$13:AE100)/AE$317)),NORMSINV(SUM(AE$13:AE100)/AE$317)," ")</f>
        <v>-1.1464668635521464</v>
      </c>
      <c r="AG100" s="46">
        <f t="shared" si="53"/>
        <v>0.10128421135774612</v>
      </c>
      <c r="AH100" s="46">
        <f>IF(ISNUMBER(NORMSINV(SUM(AG$13:AG100)/AG$317)),NORMSINV(SUM(AG$13:AG100)/AG$317)," ")</f>
        <v>-2.3247818814430157</v>
      </c>
      <c r="AI100" s="46">
        <f t="shared" si="54"/>
        <v>2.5349950073305628E-2</v>
      </c>
      <c r="AJ100" s="46">
        <f>IF(ISNUMBER(NORMSINV(SUM(AI$13:AI100)/AI$317)),NORMSINV(SUM(AI$13:AI100)/AI$317)," ")</f>
        <v>-1.7255029535630482</v>
      </c>
      <c r="AK100" s="46">
        <f t="shared" si="55"/>
        <v>6.435039127731669E-2</v>
      </c>
      <c r="AL100" s="46">
        <f>IF(ISNUMBER(NORMSINV(SUM(AK$13:AK100)/AK$317)),NORMSINV(SUM(AK$13:AK100)/AK$317)," ")</f>
        <v>-0.99827683428196023</v>
      </c>
      <c r="AM100" s="6">
        <v>0.21279453357647043</v>
      </c>
      <c r="AN100" s="6">
        <v>8.1782292109803881E-2</v>
      </c>
      <c r="AO100" s="6">
        <v>0.23578033981568619</v>
      </c>
      <c r="AP100" s="6">
        <v>0.21746185100784299</v>
      </c>
      <c r="AQ100" s="6">
        <v>6.1516146054901938E-2</v>
      </c>
      <c r="AR100" s="6">
        <v>0.1990464858705881</v>
      </c>
      <c r="AS100" s="6">
        <v>0.25077838752156845</v>
      </c>
      <c r="AT100" s="6">
        <v>6.2766146054901939E-2</v>
      </c>
      <c r="AU100" s="6">
        <v>0.15933073027450972</v>
      </c>
    </row>
    <row r="101" spans="1:47" x14ac:dyDescent="0.4">
      <c r="A101" s="6">
        <f t="shared" si="40"/>
        <v>0.12160203136374367</v>
      </c>
      <c r="B101" s="6">
        <f>'Aerosol 1'!A105</f>
        <v>1.1293045845339438</v>
      </c>
      <c r="C101" t="b">
        <f t="shared" si="41"/>
        <v>0</v>
      </c>
      <c r="E101" s="46">
        <f>'Aerosol 1'!$P105</f>
        <v>0.14008767705474198</v>
      </c>
      <c r="F101" s="46">
        <f>'Aerosol 2'!$P105</f>
        <v>0.14008767705474198</v>
      </c>
      <c r="G101" s="46">
        <f>'Aerosol 3'!$P105</f>
        <v>0.14008767705474198</v>
      </c>
      <c r="H101" s="46">
        <f t="shared" si="42"/>
        <v>0.42026303116422592</v>
      </c>
      <c r="I101" s="46">
        <f>NORMSINV(SUM(H$13:H101)/H$317)</f>
        <v>-1.8764500734882978</v>
      </c>
      <c r="J101" s="46">
        <f t="shared" si="37"/>
        <v>7.5647345609560671E-2</v>
      </c>
      <c r="K101" s="46">
        <f t="shared" si="38"/>
        <v>0.21013151558211296</v>
      </c>
      <c r="L101" s="46">
        <f t="shared" si="39"/>
        <v>0.4202462206429794</v>
      </c>
      <c r="M101" s="46">
        <f t="shared" si="43"/>
        <v>0.70602508183465296</v>
      </c>
      <c r="N101" s="46">
        <f>IF(ISNUMBER(NORMSINV(SUM(M$13:M101)/M$317)),NORMSINV(SUM(M$13:M101)/M$317)," ")</f>
        <v>-1.8764500734882978</v>
      </c>
      <c r="O101" s="46">
        <f t="shared" si="44"/>
        <v>0.17331608821124428</v>
      </c>
      <c r="P101" s="46">
        <f>IF(ISNUMBER(NORMSINV(SUM(O$13:O101)/O$317)),NORMSINV(SUM(O$13:O101)/O$317)," ")</f>
        <v>-2.3021887000752916</v>
      </c>
      <c r="Q101" s="46">
        <f t="shared" si="45"/>
        <v>4.6202068025009334E-2</v>
      </c>
      <c r="R101" s="46">
        <f>IF(ISNUMBER(NORMSINV(SUM(Q$13:Q101)/Q$317)),NORMSINV(SUM(Q$13:Q101)/Q$317)," ")</f>
        <v>-1.6872879636041478</v>
      </c>
      <c r="S101" s="46">
        <f t="shared" si="46"/>
        <v>0.13025900261994683</v>
      </c>
      <c r="T101" s="46">
        <f>IF(ISNUMBER(NORMSINV(SUM(S$13:S101)/S$317)),NORMSINV(SUM(S$13:S101)/S$317)," ")</f>
        <v>-1.0113711518653834</v>
      </c>
      <c r="U101" s="46">
        <f t="shared" si="47"/>
        <v>1.6809257187897383E-2</v>
      </c>
      <c r="V101" s="46">
        <f>IF(ISNUMBER(NORMSINV(SUM(U$13:U101)/U$317)),NORMSINV(SUM(U$13:U101)/U$317)," ")</f>
        <v>-2.2872986821371351</v>
      </c>
      <c r="W101" s="46">
        <f t="shared" si="48"/>
        <v>6.3133753611409561E-3</v>
      </c>
      <c r="X101" s="46">
        <f>IF(ISNUMBER(NORMSINV(SUM(W$13:W101)/W$317)),NORMSINV(SUM(W$13:W101)/W$317)," ")</f>
        <v>-1.643205354436303</v>
      </c>
      <c r="Y101" s="46">
        <f t="shared" si="49"/>
        <v>1.8227738606361701E-2</v>
      </c>
      <c r="Z101" s="46">
        <f>IF(ISNUMBER(NORMSINV(SUM(Y$13:Y101)/Y$317)),NORMSINV(SUM(Y$13:Y101)/Y$317)," ")</f>
        <v>-0.97424487949405036</v>
      </c>
      <c r="AA101" s="46">
        <f t="shared" si="50"/>
        <v>4.7454151195683927E-2</v>
      </c>
      <c r="AB101" s="46">
        <f>IF(ISNUMBER(NORMSINV(SUM(AA$13:AA101)/AA$317)),NORMSINV(SUM(AA$13:AA101)/AA$317)," ")</f>
        <v>-2.3290286576585344</v>
      </c>
      <c r="AC101" s="46">
        <f t="shared" si="51"/>
        <v>1.3115650931975489E-2</v>
      </c>
      <c r="AD101" s="46">
        <f>IF(ISNUMBER(NORMSINV(SUM(AC$13:AC101)/AC$317)),NORMSINV(SUM(AC$13:AC101)/AC$317)," ")</f>
        <v>-1.6781222630720758</v>
      </c>
      <c r="AE101" s="46">
        <f t="shared" si="52"/>
        <v>4.3111577787673751E-2</v>
      </c>
      <c r="AF101" s="46">
        <f>IF(ISNUMBER(NORMSINV(SUM(AE$13:AE101)/AE$317)),NORMSINV(SUM(AE$13:AE101)/AE$317)," ")</f>
        <v>-1.1049287175583451</v>
      </c>
      <c r="AG101" s="46">
        <f t="shared" si="53"/>
        <v>0.10905267982766297</v>
      </c>
      <c r="AH101" s="46">
        <f>IF(ISNUMBER(NORMSINV(SUM(AG$13:AG101)/AG$317)),NORMSINV(SUM(AG$13:AG101)/AG$317)," ")</f>
        <v>-2.2923550216860478</v>
      </c>
      <c r="AI101" s="46">
        <f t="shared" si="54"/>
        <v>2.6773041731892887E-2</v>
      </c>
      <c r="AJ101" s="46">
        <f>IF(ISNUMBER(NORMSINV(SUM(AI$13:AI101)/AI$317)),NORMSINV(SUM(AI$13:AI101)/AI$317)," ")</f>
        <v>-1.7007320746833052</v>
      </c>
      <c r="AK101" s="46">
        <f t="shared" si="55"/>
        <v>6.8919686225911367E-2</v>
      </c>
      <c r="AL101" s="46">
        <f>IF(ISNUMBER(NORMSINV(SUM(AK$13:AK101)/AK$317)),NORMSINV(SUM(AK$13:AK101)/AK$317)," ")</f>
        <v>-0.9544699294448431</v>
      </c>
      <c r="AM101" s="6">
        <v>0.22220551233423516</v>
      </c>
      <c r="AN101" s="6">
        <v>8.3457989309053057E-2</v>
      </c>
      <c r="AO101" s="6">
        <v>0.24095675082164408</v>
      </c>
      <c r="AP101" s="6">
        <v>0.22583071874880328</v>
      </c>
      <c r="AQ101" s="6">
        <v>6.2416391447242453E-2</v>
      </c>
      <c r="AR101" s="6">
        <v>0.20516474013069719</v>
      </c>
      <c r="AS101" s="6">
        <v>0.25949711019604571</v>
      </c>
      <c r="AT101" s="6">
        <v>6.3707989309053067E-2</v>
      </c>
      <c r="AU101" s="6">
        <v>0.1639983486834547</v>
      </c>
    </row>
    <row r="102" spans="1:47" x14ac:dyDescent="0.4">
      <c r="A102" s="6">
        <f t="shared" si="40"/>
        <v>0.1560806087949225</v>
      </c>
      <c r="B102" s="6">
        <f>'Aerosol 1'!A106</f>
        <v>1.1689204245590625</v>
      </c>
      <c r="C102" t="b">
        <f t="shared" si="41"/>
        <v>0</v>
      </c>
      <c r="E102" s="46">
        <f>'Aerosol 1'!$P106</f>
        <v>0.14570087828922434</v>
      </c>
      <c r="F102" s="46">
        <f>'Aerosol 2'!$P106</f>
        <v>0.14570087828922434</v>
      </c>
      <c r="G102" s="46">
        <f>'Aerosol 3'!$P106</f>
        <v>0.14570087828922434</v>
      </c>
      <c r="H102" s="46">
        <f t="shared" si="42"/>
        <v>0.43710263486767303</v>
      </c>
      <c r="I102" s="46">
        <f>NORMSINV(SUM(H$13:H102)/H$317)</f>
        <v>-1.8555188840766443</v>
      </c>
      <c r="J102" s="46">
        <f t="shared" si="37"/>
        <v>7.8678474276181146E-2</v>
      </c>
      <c r="K102" s="46">
        <f t="shared" si="38"/>
        <v>0.21855131743383652</v>
      </c>
      <c r="L102" s="46">
        <f t="shared" si="39"/>
        <v>0.43708515076227833</v>
      </c>
      <c r="M102" s="46">
        <f t="shared" si="43"/>
        <v>0.73431494247229601</v>
      </c>
      <c r="N102" s="46">
        <f>IF(ISNUMBER(NORMSINV(SUM(M$13:M102)/M$317)),NORMSINV(SUM(M$13:M102)/M$317)," ")</f>
        <v>-1.8555188840766443</v>
      </c>
      <c r="O102" s="46">
        <f t="shared" si="44"/>
        <v>0.18697880689762647</v>
      </c>
      <c r="P102" s="46">
        <f>IF(ISNUMBER(NORMSINV(SUM(O$13:O102)/O$317)),NORMSINV(SUM(O$13:O102)/O$317)," ")</f>
        <v>-2.2695225422711647</v>
      </c>
      <c r="Q102" s="46">
        <f t="shared" si="45"/>
        <v>4.883767288090457E-2</v>
      </c>
      <c r="R102" s="46">
        <f>IF(ISNUMBER(NORMSINV(SUM(Q$13:Q102)/Q$317)),NORMSINV(SUM(Q$13:Q102)/Q$317)," ")</f>
        <v>-1.6618803893925946</v>
      </c>
      <c r="S102" s="46">
        <f t="shared" si="46"/>
        <v>0.13959894452913635</v>
      </c>
      <c r="T102" s="46">
        <f>IF(ISNUMBER(NORMSINV(SUM(S$13:S102)/S$317)),NORMSINV(SUM(S$13:S102)/S$317)," ")</f>
        <v>-0.96738081269476384</v>
      </c>
      <c r="U102" s="46">
        <f t="shared" si="47"/>
        <v>1.8213686819814331E-2</v>
      </c>
      <c r="V102" s="46">
        <f>IF(ISNUMBER(NORMSINV(SUM(U$13:U102)/U$317)),NORMSINV(SUM(U$13:U102)/U$317)," ")</f>
        <v>-2.2536438440410236</v>
      </c>
      <c r="W102" s="46">
        <f t="shared" si="48"/>
        <v>6.6587539884414015E-3</v>
      </c>
      <c r="X102" s="46">
        <f>IF(ISNUMBER(NORMSINV(SUM(W$13:W102)/W$317)),NORMSINV(SUM(W$13:W102)/W$317)," ")</f>
        <v>-1.6158103290373984</v>
      </c>
      <c r="Y102" s="46">
        <f t="shared" si="49"/>
        <v>1.9363898061657777E-2</v>
      </c>
      <c r="Z102" s="46">
        <f>IF(ISNUMBER(NORMSINV(SUM(Y$13:Y102)/Y$317)),NORMSINV(SUM(Y$13:Y102)/Y$317)," ")</f>
        <v>-0.92991772947242268</v>
      </c>
      <c r="AA102" s="46">
        <f t="shared" si="50"/>
        <v>5.1241990318380143E-2</v>
      </c>
      <c r="AB102" s="46">
        <f>IF(ISNUMBER(NORMSINV(SUM(AA$13:AA102)/AA$317)),NORMSINV(SUM(AA$13:AA102)/AA$317)," ")</f>
        <v>-2.2961675220052404</v>
      </c>
      <c r="AC102" s="46">
        <f t="shared" si="51"/>
        <v>1.3841466161204213E-2</v>
      </c>
      <c r="AD102" s="46">
        <f>IF(ISNUMBER(NORMSINV(SUM(AC$13:AC102)/AC$317)),NORMSINV(SUM(AC$13:AC102)/AC$317)," ")</f>
        <v>-1.6530045209890964</v>
      </c>
      <c r="AE102" s="46">
        <f t="shared" si="52"/>
        <v>4.6201185579406959E-2</v>
      </c>
      <c r="AF102" s="46">
        <f>IF(ISNUMBER(NORMSINV(SUM(AE$13:AE102)/AE$317)),NORMSINV(SUM(AE$13:AE102)/AE$317)," ")</f>
        <v>-1.0624324523721687</v>
      </c>
      <c r="AG102" s="46">
        <f t="shared" si="53"/>
        <v>0.11752312975943198</v>
      </c>
      <c r="AH102" s="46">
        <f>IF(ISNUMBER(NORMSINV(SUM(AG$13:AG102)/AG$317)),NORMSINV(SUM(AG$13:AG102)/AG$317)," ")</f>
        <v>-2.2599132550390273</v>
      </c>
      <c r="AI102" s="46">
        <f t="shared" si="54"/>
        <v>2.8337452731258955E-2</v>
      </c>
      <c r="AJ102" s="46">
        <f>IF(ISNUMBER(NORMSINV(SUM(AI$13:AI102)/AI$317)),NORMSINV(SUM(AI$13:AI102)/AI$317)," ")</f>
        <v>-1.6756029540564128</v>
      </c>
      <c r="AK102" s="46">
        <f t="shared" si="55"/>
        <v>7.4033860888071595E-2</v>
      </c>
      <c r="AL102" s="46">
        <f>IF(ISNUMBER(NORMSINV(SUM(AK$13:AK102)/AK$317)),NORMSINV(SUM(AK$13:AK102)/AK$317)," ")</f>
        <v>-0.90936629775514455</v>
      </c>
      <c r="AM102" s="6">
        <v>0.2314951705326635</v>
      </c>
      <c r="AN102" s="6">
        <v>8.4632474761362403E-2</v>
      </c>
      <c r="AO102" s="6">
        <v>0.24611430559374661</v>
      </c>
      <c r="AP102" s="6">
        <v>0.23446205184232288</v>
      </c>
      <c r="AQ102" s="6">
        <v>6.3332796725851501E-2</v>
      </c>
      <c r="AR102" s="6">
        <v>0.2113974242840872</v>
      </c>
      <c r="AS102" s="6">
        <v>0.26887925511647137</v>
      </c>
      <c r="AT102" s="6">
        <v>6.4832796725851516E-2</v>
      </c>
      <c r="AU102" s="6">
        <v>0.16938086493891691</v>
      </c>
    </row>
    <row r="103" spans="1:47" x14ac:dyDescent="0.4">
      <c r="A103" s="6">
        <f t="shared" si="40"/>
        <v>0.19055918622610132</v>
      </c>
      <c r="B103" s="6">
        <f>'Aerosol 1'!A107</f>
        <v>1.2099259824710908</v>
      </c>
      <c r="C103" t="b">
        <f t="shared" si="41"/>
        <v>0</v>
      </c>
      <c r="E103" s="46">
        <f>'Aerosol 1'!$P107</f>
        <v>0.15147273610434109</v>
      </c>
      <c r="F103" s="46">
        <f>'Aerosol 2'!$P107</f>
        <v>0.15147273610434109</v>
      </c>
      <c r="G103" s="46">
        <f>'Aerosol 3'!$P107</f>
        <v>0.15147273610434109</v>
      </c>
      <c r="H103" s="46">
        <f t="shared" si="42"/>
        <v>0.45441820831302326</v>
      </c>
      <c r="I103" s="46">
        <f>NORMSINV(SUM(H$13:H103)/H$317)</f>
        <v>-1.8345874255077497</v>
      </c>
      <c r="J103" s="46">
        <f t="shared" si="37"/>
        <v>8.1795277496344188E-2</v>
      </c>
      <c r="K103" s="46">
        <f t="shared" si="38"/>
        <v>0.22720910415651163</v>
      </c>
      <c r="L103" s="46">
        <f t="shared" si="39"/>
        <v>0.45440003158469078</v>
      </c>
      <c r="M103" s="46">
        <f t="shared" si="43"/>
        <v>0.7634044132375466</v>
      </c>
      <c r="N103" s="46">
        <f>IF(ISNUMBER(NORMSINV(SUM(M$13:M103)/M$317)),NORMSINV(SUM(M$13:M103)/M$317)," ")</f>
        <v>-1.8345874255077497</v>
      </c>
      <c r="O103" s="46">
        <f t="shared" si="44"/>
        <v>0.20129161163406972</v>
      </c>
      <c r="P103" s="46">
        <f>IF(ISNUMBER(NORMSINV(SUM(O$13:O103)/O$317)),NORMSINV(SUM(O$13:O103)/O$317)," ")</f>
        <v>-2.2368680550162394</v>
      </c>
      <c r="Q103" s="46">
        <f t="shared" si="45"/>
        <v>5.1685624330010387E-2</v>
      </c>
      <c r="R103" s="46">
        <f>IF(ISNUMBER(NORMSINV(SUM(Q$13:Q103)/Q$317)),NORMSINV(SUM(Q$13:Q103)/Q$317)," ")</f>
        <v>-1.6361105973162773</v>
      </c>
      <c r="S103" s="46">
        <f t="shared" si="46"/>
        <v>0.14910907069838586</v>
      </c>
      <c r="T103" s="46">
        <f>IF(ISNUMBER(NORMSINV(SUM(S$13:S103)/S$317)),NORMSINV(SUM(S$13:S103)/S$317)," ")</f>
        <v>-0.92237258161735813</v>
      </c>
      <c r="U103" s="46">
        <f t="shared" si="47"/>
        <v>1.9762693864503151E-2</v>
      </c>
      <c r="V103" s="46">
        <f>IF(ISNUMBER(NORMSINV(SUM(U$13:U103)/U$317)),NORMSINV(SUM(U$13:U103)/U$317)," ")</f>
        <v>-2.2198009770037546</v>
      </c>
      <c r="W103" s="46">
        <f t="shared" si="48"/>
        <v>7.0696446963916136E-3</v>
      </c>
      <c r="X103" s="46">
        <f>IF(ISNUMBER(NORMSINV(SUM(W$13:W103)/W$317)),NORMSINV(SUM(W$13:W103)/W$317)," ")</f>
        <v>-1.5879935999229229</v>
      </c>
      <c r="Y103" s="46">
        <f t="shared" si="49"/>
        <v>2.0535534751590537E-2</v>
      </c>
      <c r="Z103" s="46">
        <f>IF(ISNUMBER(NORMSINV(SUM(Y$13:Y103)/Y$317)),NORMSINV(SUM(Y$13:Y103)/Y$317)," ")</f>
        <v>-0.88482225951057081</v>
      </c>
      <c r="AA103" s="46">
        <f t="shared" si="50"/>
        <v>5.5468316000012639E-2</v>
      </c>
      <c r="AB103" s="46">
        <f>IF(ISNUMBER(NORMSINV(SUM(AA$13:AA103)/AA$317)),NORMSINV(SUM(AA$13:AA103)/AA$317)," ")</f>
        <v>-2.2631857018581063</v>
      </c>
      <c r="AC103" s="46">
        <f t="shared" si="51"/>
        <v>1.4645183733646807E-2</v>
      </c>
      <c r="AD103" s="46">
        <f>IF(ISNUMBER(NORMSINV(SUM(AC$13:AC103)/AC$317)),NORMSINV(SUM(AC$13:AC103)/AC$317)," ")</f>
        <v>-1.6275168503818747</v>
      </c>
      <c r="AE103" s="46">
        <f t="shared" si="52"/>
        <v>4.9257318876611694E-2</v>
      </c>
      <c r="AF103" s="46">
        <f>IF(ISNUMBER(NORMSINV(SUM(AE$13:AE103)/AE$317)),NORMSINV(SUM(AE$13:AE103)/AE$317)," ")</f>
        <v>-1.0191428286517279</v>
      </c>
      <c r="AG103" s="46">
        <f t="shared" si="53"/>
        <v>0.12606060176955391</v>
      </c>
      <c r="AH103" s="46">
        <f>IF(ISNUMBER(NORMSINV(SUM(AG$13:AG103)/AG$317)),NORMSINV(SUM(AG$13:AG103)/AG$317)," ")</f>
        <v>-2.2275708981974818</v>
      </c>
      <c r="AI103" s="46">
        <f t="shared" si="54"/>
        <v>2.9970795899971966E-2</v>
      </c>
      <c r="AJ103" s="46">
        <f>IF(ISNUMBER(NORMSINV(SUM(AI$13:AI103)/AI$317)),NORMSINV(SUM(AI$13:AI103)/AI$317)," ")</f>
        <v>-1.6501285578732972</v>
      </c>
      <c r="AK103" s="46">
        <f t="shared" si="55"/>
        <v>7.9316217070183617E-2</v>
      </c>
      <c r="AL103" s="46">
        <f>IF(ISNUMBER(NORMSINV(SUM(AK$13:AK103)/AK$317)),NORMSINV(SUM(AK$13:AK103)/AK$317)," ")</f>
        <v>-0.86301169167263647</v>
      </c>
      <c r="AM103" s="6">
        <v>0.24161167330701258</v>
      </c>
      <c r="AN103" s="6">
        <v>8.6430964143468902E-2</v>
      </c>
      <c r="AO103" s="6">
        <v>0.25106015139453947</v>
      </c>
      <c r="AP103" s="6">
        <v>0.24412893227114535</v>
      </c>
      <c r="AQ103" s="6">
        <v>6.4456852589668059E-2</v>
      </c>
      <c r="AR103" s="6">
        <v>0.21679289243040667</v>
      </c>
      <c r="AS103" s="6">
        <v>0.27742207968147736</v>
      </c>
      <c r="AT103" s="6">
        <v>6.5956852589668075E-2</v>
      </c>
      <c r="AU103" s="6">
        <v>0.17455152191247308</v>
      </c>
    </row>
    <row r="104" spans="1:47" x14ac:dyDescent="0.4">
      <c r="A104" s="6">
        <f t="shared" si="40"/>
        <v>0.22503776365728018</v>
      </c>
      <c r="B104" s="6">
        <f>'Aerosol 1'!A108</f>
        <v>1.2523700093706989</v>
      </c>
      <c r="C104" t="b">
        <f t="shared" si="41"/>
        <v>0</v>
      </c>
      <c r="E104" s="46">
        <f>'Aerosol 1'!$P108</f>
        <v>0.15740438816476549</v>
      </c>
      <c r="F104" s="46">
        <f>'Aerosol 2'!$P108</f>
        <v>0.15740438816476549</v>
      </c>
      <c r="G104" s="46">
        <f>'Aerosol 3'!$P108</f>
        <v>0.15740438816476549</v>
      </c>
      <c r="H104" s="46">
        <f t="shared" si="42"/>
        <v>0.47221316449429646</v>
      </c>
      <c r="I104" s="46">
        <f>NORMSINV(SUM(H$13:H104)/H$317)</f>
        <v>-1.813655692207149</v>
      </c>
      <c r="J104" s="46">
        <f t="shared" si="37"/>
        <v>8.4998369608973362E-2</v>
      </c>
      <c r="K104" s="46">
        <f t="shared" si="38"/>
        <v>0.23610658224714823</v>
      </c>
      <c r="L104" s="46">
        <f t="shared" si="39"/>
        <v>0.47219427596771668</v>
      </c>
      <c r="M104" s="46">
        <f t="shared" si="43"/>
        <v>0.79329922782383822</v>
      </c>
      <c r="N104" s="46">
        <f>IF(ISNUMBER(NORMSINV(SUM(M$13:M104)/M$317)),NORMSINV(SUM(M$13:M104)/M$317)," ")</f>
        <v>-1.813655692207149</v>
      </c>
      <c r="O104" s="46">
        <f t="shared" si="44"/>
        <v>0.21711624952017716</v>
      </c>
      <c r="P104" s="46">
        <f>IF(ISNUMBER(NORMSINV(SUM(O$13:O104)/O$317)),NORMSINV(SUM(O$13:O104)/O$317)," ")</f>
        <v>-2.2041302709041064</v>
      </c>
      <c r="Q104" s="46">
        <f t="shared" si="45"/>
        <v>5.491049910540708E-2</v>
      </c>
      <c r="R104" s="46">
        <f>IF(ISNUMBER(NORMSINV(SUM(Q$13:Q104)/Q$317)),NORMSINV(SUM(Q$13:Q104)/Q$317)," ")</f>
        <v>-1.6098731729378466</v>
      </c>
      <c r="S104" s="46">
        <f t="shared" si="46"/>
        <v>0.15907256567426098</v>
      </c>
      <c r="T104" s="46">
        <f>IF(ISNUMBER(NORMSINV(SUM(S$13:S104)/S$317)),NORMSINV(SUM(S$13:S104)/S$317)," ")</f>
        <v>-0.87633047897499772</v>
      </c>
      <c r="U104" s="46">
        <f t="shared" si="47"/>
        <v>2.1467391964138591E-2</v>
      </c>
      <c r="V104" s="46">
        <f>IF(ISNUMBER(NORMSINV(SUM(U$13:U104)/U$317)),NORMSINV(SUM(U$13:U104)/U$317)," ")</f>
        <v>-2.1857086395486265</v>
      </c>
      <c r="W104" s="46">
        <f t="shared" si="48"/>
        <v>7.4989363619953047E-3</v>
      </c>
      <c r="X104" s="46">
        <f>IF(ISNUMBER(NORMSINV(SUM(W$13:W104)/W$317)),NORMSINV(SUM(W$13:W104)/W$317)," ")</f>
        <v>-1.5597716966080424</v>
      </c>
      <c r="Y104" s="46">
        <f t="shared" si="49"/>
        <v>2.1758928189007109E-2</v>
      </c>
      <c r="Z104" s="46">
        <f>IF(ISNUMBER(NORMSINV(SUM(Y$13:Y104)/Y$317)),NORMSINV(SUM(Y$13:Y104)/Y$317)," ")</f>
        <v>-0.83892480693495997</v>
      </c>
      <c r="AA104" s="46">
        <f t="shared" si="50"/>
        <v>5.9814751381505327E-2</v>
      </c>
      <c r="AB104" s="46">
        <f>IF(ISNUMBER(NORMSINV(SUM(AA$13:AA104)/AA$317)),NORMSINV(SUM(AA$13:AA104)/AA$317)," ")</f>
        <v>-2.2301783392289405</v>
      </c>
      <c r="AC104" s="46">
        <f t="shared" si="51"/>
        <v>1.5432454264412046E-2</v>
      </c>
      <c r="AD104" s="46">
        <f>IF(ISNUMBER(NORMSINV(SUM(AC$13:AC104)/AC$317)),NORMSINV(SUM(AC$13:AC104)/AC$317)," ")</f>
        <v>-1.6017560187424009</v>
      </c>
      <c r="AE104" s="46">
        <f t="shared" si="52"/>
        <v>5.2660186313928055E-2</v>
      </c>
      <c r="AF104" s="46">
        <f>IF(ISNUMBER(NORMSINV(SUM(AE$13:AE104)/AE$317)),NORMSINV(SUM(AE$13:AE104)/AE$317)," ")</f>
        <v>-0.9748811750871279</v>
      </c>
      <c r="AG104" s="46">
        <f t="shared" si="53"/>
        <v>0.13583410617453323</v>
      </c>
      <c r="AH104" s="46">
        <f>IF(ISNUMBER(NORMSINV(SUM(AG$13:AG104)/AG$317)),NORMSINV(SUM(AG$13:AG104)/AG$317)," ")</f>
        <v>-2.195146251067555</v>
      </c>
      <c r="AI104" s="46">
        <f t="shared" si="54"/>
        <v>3.1979108478999728E-2</v>
      </c>
      <c r="AJ104" s="46">
        <f>IF(ISNUMBER(NORMSINV(SUM(AI$13:AI104)/AI$317)),NORMSINV(SUM(AI$13:AI104)/AI$317)," ")</f>
        <v>-1.6240783413091264</v>
      </c>
      <c r="AK104" s="46">
        <f t="shared" si="55"/>
        <v>8.4653451171325833E-2</v>
      </c>
      <c r="AL104" s="46">
        <f>IF(ISNUMBER(NORMSINV(SUM(AK$13:AK104)/AK$317)),NORMSINV(SUM(AK$13:AK104)/AK$317)," ")</f>
        <v>-0.81550063276718399</v>
      </c>
      <c r="AM104" s="6">
        <v>0.25256239693652027</v>
      </c>
      <c r="AN104" s="6">
        <v>8.8224472969227807E-2</v>
      </c>
      <c r="AO104" s="6">
        <v>0.25599230066537648</v>
      </c>
      <c r="AP104" s="6">
        <v>0.25333792396729249</v>
      </c>
      <c r="AQ104" s="6">
        <v>6.5362236484613909E-2</v>
      </c>
      <c r="AR104" s="6">
        <v>0.22303565539229731</v>
      </c>
      <c r="AS104" s="6">
        <v>0.28766571957305986</v>
      </c>
      <c r="AT104" s="6">
        <v>6.7724472969227817E-2</v>
      </c>
      <c r="AU104" s="6">
        <v>0.17927674154422296</v>
      </c>
    </row>
    <row r="105" spans="1:47" x14ac:dyDescent="0.4">
      <c r="A105" s="6">
        <f t="shared" si="40"/>
        <v>0.25951634108845895</v>
      </c>
      <c r="B105" s="6">
        <f>'Aerosol 1'!A109</f>
        <v>1.2963029665400538</v>
      </c>
      <c r="C105" t="b">
        <f t="shared" si="41"/>
        <v>0</v>
      </c>
      <c r="E105" s="46">
        <f>'Aerosol 1'!$P109</f>
        <v>0.1634968032379433</v>
      </c>
      <c r="F105" s="46">
        <f>'Aerosol 2'!$P109</f>
        <v>0.1634968032379433</v>
      </c>
      <c r="G105" s="46">
        <f>'Aerosol 3'!$P109</f>
        <v>0.1634968032379433</v>
      </c>
      <c r="H105" s="46">
        <f t="shared" si="42"/>
        <v>0.4904904097138299</v>
      </c>
      <c r="I105" s="46">
        <f>NORMSINV(SUM(H$13:H105)/H$317)</f>
        <v>-1.79272367845584</v>
      </c>
      <c r="J105" s="46">
        <f t="shared" si="37"/>
        <v>8.8288273748489382E-2</v>
      </c>
      <c r="K105" s="46">
        <f t="shared" si="38"/>
        <v>0.24524520485691495</v>
      </c>
      <c r="L105" s="46">
        <f t="shared" si="39"/>
        <v>0.49047079009744138</v>
      </c>
      <c r="M105" s="46">
        <f t="shared" si="43"/>
        <v>0.82400426870284571</v>
      </c>
      <c r="N105" s="46">
        <f>IF(ISNUMBER(NORMSINV(SUM(M$13:M105)/M$317)),NORMSINV(SUM(M$13:M105)/M$317)," ")</f>
        <v>-1.79272367845584</v>
      </c>
      <c r="O105" s="46">
        <f t="shared" si="44"/>
        <v>0.23289863041524458</v>
      </c>
      <c r="P105" s="46">
        <f>IF(ISNUMBER(NORMSINV(SUM(O$13:O105)/O$317)),NORMSINV(SUM(O$13:O105)/O$317)," ")</f>
        <v>-2.1714550366959853</v>
      </c>
      <c r="Q105" s="46">
        <f t="shared" si="45"/>
        <v>5.8127751799984237E-2</v>
      </c>
      <c r="R105" s="46">
        <f>IF(ISNUMBER(NORMSINV(SUM(Q$13:Q105)/Q$317)),NORMSINV(SUM(Q$13:Q105)/Q$317)," ")</f>
        <v>-1.5832552732519471</v>
      </c>
      <c r="S105" s="46">
        <f t="shared" si="46"/>
        <v>0.16958466550459947</v>
      </c>
      <c r="T105" s="46">
        <f>IF(ISNUMBER(NORMSINV(SUM(S$13:S105)/S$317)),NORMSINV(SUM(S$13:S105)/S$317)," ")</f>
        <v>-0.82920812123797905</v>
      </c>
      <c r="U105" s="46">
        <f t="shared" si="47"/>
        <v>2.3251085085071198E-2</v>
      </c>
      <c r="V105" s="46">
        <f>IF(ISNUMBER(NORMSINV(SUM(U$13:U105)/U$317)),NORMSINV(SUM(U$13:U105)/U$317)," ")</f>
        <v>-2.1514414209804622</v>
      </c>
      <c r="W105" s="46">
        <f t="shared" si="48"/>
        <v>8.0144600978707542E-3</v>
      </c>
      <c r="X105" s="46">
        <f>IF(ISNUMBER(NORMSINV(SUM(W$13:W105)/W$317)),NORMSINV(SUM(W$13:W105)/W$317)," ")</f>
        <v>-1.5309225313244574</v>
      </c>
      <c r="Y105" s="46">
        <f t="shared" si="49"/>
        <v>2.2969436091618819E-2</v>
      </c>
      <c r="Z105" s="46">
        <f>IF(ISNUMBER(NORMSINV(SUM(Y$13:Y105)/Y$317)),NORMSINV(SUM(Y$13:Y105)/Y$317)," ")</f>
        <v>-0.79231721398653521</v>
      </c>
      <c r="AA105" s="46">
        <f t="shared" si="50"/>
        <v>6.4336844373682825E-2</v>
      </c>
      <c r="AB105" s="46">
        <f>IF(ISNUMBER(NORMSINV(SUM(AA$13:AA105)/AA$317)),NORMSINV(SUM(AA$13:AA105)/AA$317)," ")</f>
        <v>-2.1971940624475867</v>
      </c>
      <c r="AC105" s="46">
        <f t="shared" si="51"/>
        <v>1.62961394726759E-2</v>
      </c>
      <c r="AD105" s="46">
        <f>IF(ISNUMBER(NORMSINV(SUM(AC$13:AC105)/AC$317)),NORMSINV(SUM(AC$13:AC105)/AC$317)," ")</f>
        <v>-1.5756599923010983</v>
      </c>
      <c r="AE105" s="46">
        <f t="shared" si="52"/>
        <v>5.6190850082507973E-2</v>
      </c>
      <c r="AF105" s="46">
        <f>IF(ISNUMBER(NORMSINV(SUM(AE$13:AE105)/AE$317)),NORMSINV(SUM(AE$13:AE105)/AE$317)," ")</f>
        <v>-0.92966672371272496</v>
      </c>
      <c r="AG105" s="46">
        <f t="shared" si="53"/>
        <v>0.14531070095649057</v>
      </c>
      <c r="AH105" s="46">
        <f>IF(ISNUMBER(NORMSINV(SUM(AG$13:AG105)/AG$317)),NORMSINV(SUM(AG$13:AG105)/AG$317)," ")</f>
        <v>-2.1628382043643737</v>
      </c>
      <c r="AI105" s="46">
        <f t="shared" si="54"/>
        <v>3.3817152229437583E-2</v>
      </c>
      <c r="AJ105" s="46">
        <f>IF(ISNUMBER(NORMSINV(SUM(AI$13:AI105)/AI$317)),NORMSINV(SUM(AI$13:AI105)/AI$317)," ")</f>
        <v>-1.597679395106159</v>
      </c>
      <c r="AK105" s="46">
        <f t="shared" si="55"/>
        <v>9.0424379330472676E-2</v>
      </c>
      <c r="AL105" s="46">
        <f>IF(ISNUMBER(NORMSINV(SUM(AK$13:AK105)/AK$317)),NORMSINV(SUM(AK$13:AK105)/AK$317)," ")</f>
        <v>-0.76670378323097854</v>
      </c>
      <c r="AM105" s="6">
        <v>0.26335417035457698</v>
      </c>
      <c r="AN105" s="6">
        <v>9.0776042588644246E-2</v>
      </c>
      <c r="AO105" s="6">
        <v>0.26016406388296642</v>
      </c>
      <c r="AP105" s="6">
        <v>0.26233680862881414</v>
      </c>
      <c r="AQ105" s="6">
        <v>6.6448351078601781E-2</v>
      </c>
      <c r="AR105" s="6">
        <v>0.22912109582444956</v>
      </c>
      <c r="AS105" s="6">
        <v>0.29626779798165315</v>
      </c>
      <c r="AT105" s="6">
        <v>6.8948351078601769E-2</v>
      </c>
      <c r="AU105" s="6">
        <v>0.18436241496156813</v>
      </c>
    </row>
    <row r="106" spans="1:47" x14ac:dyDescent="0.4">
      <c r="A106" s="6">
        <f t="shared" si="40"/>
        <v>0.29399491851963772</v>
      </c>
      <c r="B106" s="6">
        <f>'Aerosol 1'!A110</f>
        <v>1.3417770854357378</v>
      </c>
      <c r="C106" t="b">
        <f t="shared" si="41"/>
        <v>0</v>
      </c>
      <c r="E106" s="46">
        <f>'Aerosol 1'!$P110</f>
        <v>0.16975077285394796</v>
      </c>
      <c r="F106" s="46">
        <f>'Aerosol 2'!$P110</f>
        <v>0.16975077285394796</v>
      </c>
      <c r="G106" s="46">
        <f>'Aerosol 3'!$P110</f>
        <v>0.16975077285394796</v>
      </c>
      <c r="H106" s="46">
        <f t="shared" si="42"/>
        <v>0.50925231856184383</v>
      </c>
      <c r="I106" s="46">
        <f>NORMSINV(SUM(H$13:H106)/H$317)</f>
        <v>-1.771791378385839</v>
      </c>
      <c r="J106" s="46">
        <f t="shared" si="37"/>
        <v>9.16654173411319E-2</v>
      </c>
      <c r="K106" s="46">
        <f t="shared" si="38"/>
        <v>0.25462615928092192</v>
      </c>
      <c r="L106" s="46">
        <f t="shared" si="39"/>
        <v>0.50923194846910147</v>
      </c>
      <c r="M106" s="46">
        <f t="shared" si="43"/>
        <v>0.85552352509115526</v>
      </c>
      <c r="N106" s="46">
        <f>IF(ISNUMBER(NORMSINV(SUM(M$13:M106)/M$317)),NORMSINV(SUM(M$13:M106)/M$317)," ")</f>
        <v>-1.771791378385839</v>
      </c>
      <c r="O106" s="46">
        <f t="shared" si="44"/>
        <v>0.25001055691692164</v>
      </c>
      <c r="P106" s="46">
        <f>IF(ISNUMBER(NORMSINV(SUM(O$13:O106)/O$317)),NORMSINV(SUM(O$13:O106)/O$317)," ")</f>
        <v>-2.1387812741851842</v>
      </c>
      <c r="Q106" s="46">
        <f t="shared" si="45"/>
        <v>6.1728356982865447E-2</v>
      </c>
      <c r="R106" s="46">
        <f>IF(ISNUMBER(NORMSINV(SUM(Q$13:Q106)/Q$317)),NORMSINV(SUM(Q$13:Q106)/Q$317)," ")</f>
        <v>-1.5561650890862926</v>
      </c>
      <c r="S106" s="46">
        <f t="shared" si="46"/>
        <v>0.18030307396581527</v>
      </c>
      <c r="T106" s="46">
        <f>IF(ISNUMBER(NORMSINV(SUM(S$13:S106)/S$317)),NORMSINV(SUM(S$13:S106)/S$317)," ")</f>
        <v>-0.78104706703955284</v>
      </c>
      <c r="U106" s="46">
        <f t="shared" si="47"/>
        <v>2.5082204426307122E-2</v>
      </c>
      <c r="V106" s="46">
        <f>IF(ISNUMBER(NORMSINV(SUM(U$13:U106)/U$317)),NORMSINV(SUM(U$13:U106)/U$317)," ")</f>
        <v>-2.1171050627592973</v>
      </c>
      <c r="W106" s="46">
        <f t="shared" si="48"/>
        <v>8.5076144972434809E-3</v>
      </c>
      <c r="X106" s="46">
        <f>IF(ISNUMBER(NORMSINV(SUM(W$13:W106)/W$317)),NORMSINV(SUM(W$13:W106)/W$317)," ")</f>
        <v>-1.5016310790822365</v>
      </c>
      <c r="Y106" s="46">
        <f t="shared" si="49"/>
        <v>2.4203076502746772E-2</v>
      </c>
      <c r="Z106" s="46">
        <f>IF(ISNUMBER(NORMSINV(SUM(Y$13:Y106)/Y$317)),NORMSINV(SUM(Y$13:Y106)/Y$317)," ")</f>
        <v>-0.74499945750466456</v>
      </c>
      <c r="AA106" s="46">
        <f t="shared" si="50"/>
        <v>6.9249104719386612E-2</v>
      </c>
      <c r="AB106" s="46">
        <f>IF(ISNUMBER(NORMSINV(SUM(AA$13:AA106)/AA$317)),NORMSINV(SUM(AA$13:AA106)/AA$317)," ")</f>
        <v>-2.1641743910334501</v>
      </c>
      <c r="AC106" s="46">
        <f t="shared" si="51"/>
        <v>1.7288518935372851E-2</v>
      </c>
      <c r="AD106" s="46">
        <f>IF(ISNUMBER(NORMSINV(SUM(AC$13:AC106)/AC$317)),NORMSINV(SUM(AC$13:AC106)/AC$317)," ")</f>
        <v>-1.549099704106071</v>
      </c>
      <c r="AE106" s="46">
        <f t="shared" si="52"/>
        <v>5.9840385238023319E-2</v>
      </c>
      <c r="AF106" s="46">
        <f>IF(ISNUMBER(NORMSINV(SUM(AE$13:AE106)/AE$317)),NORMSINV(SUM(AE$13:AE106)/AE$317)," ")</f>
        <v>-0.88351690726068932</v>
      </c>
      <c r="AG106" s="46">
        <f t="shared" si="53"/>
        <v>0.15567924777122788</v>
      </c>
      <c r="AH106" s="46">
        <f>IF(ISNUMBER(NORMSINV(SUM(AG$13:AG106)/AG$317)),NORMSINV(SUM(AG$13:AG106)/AG$317)," ")</f>
        <v>-2.1305597193887991</v>
      </c>
      <c r="AI106" s="46">
        <f t="shared" si="54"/>
        <v>3.5932223550249116E-2</v>
      </c>
      <c r="AJ106" s="46">
        <f>IF(ISNUMBER(NORMSINV(SUM(AI$13:AI106)/AI$317)),NORMSINV(SUM(AI$13:AI106)/AI$317)," ")</f>
        <v>-1.5707980620623809</v>
      </c>
      <c r="AK106" s="46">
        <f t="shared" si="55"/>
        <v>9.6259612225045171E-2</v>
      </c>
      <c r="AL106" s="46">
        <f>IF(ISNUMBER(NORMSINV(SUM(AK$13:AK106)/AK$317)),NORMSINV(SUM(AK$13:AK106)/AK$317)," ")</f>
        <v>-0.7166876626122558</v>
      </c>
      <c r="AM106" s="6">
        <v>0.27362777756156348</v>
      </c>
      <c r="AN106" s="6">
        <v>9.2811604899833505E-2</v>
      </c>
      <c r="AO106" s="6">
        <v>0.2640371604121462</v>
      </c>
      <c r="AP106" s="6">
        <v>0.27196382694908428</v>
      </c>
      <c r="AQ106" s="6">
        <v>6.7897654287354323E-2</v>
      </c>
      <c r="AR106" s="6">
        <v>0.23501271592445888</v>
      </c>
      <c r="AS106" s="6">
        <v>0.30571382694908428</v>
      </c>
      <c r="AT106" s="6">
        <v>7.0561604899833513E-2</v>
      </c>
      <c r="AU106" s="6">
        <v>0.18902901224958374</v>
      </c>
    </row>
    <row r="107" spans="1:47" x14ac:dyDescent="0.4">
      <c r="A107" s="6">
        <f t="shared" si="40"/>
        <v>0.32847349595081643</v>
      </c>
      <c r="B107" s="6">
        <f>'Aerosol 1'!A111</f>
        <v>1.3888464297862073</v>
      </c>
      <c r="C107" t="b">
        <f t="shared" si="41"/>
        <v>0</v>
      </c>
      <c r="E107" s="46">
        <f>'Aerosol 1'!$P111</f>
        <v>0.17616690303560584</v>
      </c>
      <c r="F107" s="46">
        <f>'Aerosol 2'!$P111</f>
        <v>0.17616690303560584</v>
      </c>
      <c r="G107" s="46">
        <f>'Aerosol 3'!$P111</f>
        <v>0.17616690303560584</v>
      </c>
      <c r="H107" s="46">
        <f t="shared" si="42"/>
        <v>0.52850070910681746</v>
      </c>
      <c r="I107" s="46">
        <f>NORMSINV(SUM(H$13:H107)/H$317)</f>
        <v>-1.7508587859755917</v>
      </c>
      <c r="J107" s="46">
        <f t="shared" si="37"/>
        <v>9.5130127639227152E-2</v>
      </c>
      <c r="K107" s="46">
        <f t="shared" si="38"/>
        <v>0.26425035455340873</v>
      </c>
      <c r="L107" s="46">
        <f t="shared" si="39"/>
        <v>0.52847956907845328</v>
      </c>
      <c r="M107" s="46">
        <f t="shared" si="43"/>
        <v>0.88786005127108913</v>
      </c>
      <c r="N107" s="46">
        <f>IF(ISNUMBER(NORMSINV(SUM(M$13:M107)/M$317)),NORMSINV(SUM(M$13:M107)/M$317)," ")</f>
        <v>-1.7508587859755917</v>
      </c>
      <c r="O107" s="46">
        <f t="shared" si="44"/>
        <v>0.26792219097191927</v>
      </c>
      <c r="P107" s="46">
        <f>IF(ISNUMBER(NORMSINV(SUM(O$13:O107)/O$317)),NORMSINV(SUM(O$13:O107)/O$317)," ")</f>
        <v>-2.106129046293419</v>
      </c>
      <c r="Q107" s="46">
        <f t="shared" si="45"/>
        <v>6.5598067520220182E-2</v>
      </c>
      <c r="R107" s="46">
        <f>IF(ISNUMBER(NORMSINV(SUM(Q$13:Q107)/Q$317)),NORMSINV(SUM(Q$13:Q107)/Q$317)," ")</f>
        <v>-1.5285756392199652</v>
      </c>
      <c r="S107" s="46">
        <f t="shared" si="46"/>
        <v>0.19150693058205959</v>
      </c>
      <c r="T107" s="46">
        <f>IF(ISNUMBER(NORMSINV(SUM(S$13:S107)/S$317)),NORMSINV(SUM(S$13:S107)/S$317)," ")</f>
        <v>-0.73180154760743976</v>
      </c>
      <c r="U107" s="46">
        <f t="shared" si="47"/>
        <v>2.7058036649659889E-2</v>
      </c>
      <c r="V107" s="46">
        <f>IF(ISNUMBER(NORMSINV(SUM(U$13:U107)/U$317)),NORMSINV(SUM(U$13:U107)/U$317)," ")</f>
        <v>-2.0826645570690552</v>
      </c>
      <c r="W107" s="46">
        <f t="shared" si="48"/>
        <v>9.0001751310316343E-3</v>
      </c>
      <c r="X107" s="46">
        <f>IF(ISNUMBER(NORMSINV(SUM(W$13:W107)/W$317)),NORMSINV(SUM(W$13:W107)/W$317)," ")</f>
        <v>-1.4719849471373789</v>
      </c>
      <c r="Y107" s="46">
        <f t="shared" si="49"/>
        <v>2.5441688232551628E-2</v>
      </c>
      <c r="Z107" s="46">
        <f>IF(ISNUMBER(NORMSINV(SUM(Y$13:Y107)/Y$317)),NORMSINV(SUM(Y$13:Y107)/Y$317)," ")</f>
        <v>-0.69699454151172502</v>
      </c>
      <c r="AA107" s="46">
        <f t="shared" si="50"/>
        <v>7.436906168036625E-2</v>
      </c>
      <c r="AB107" s="46">
        <f>IF(ISNUMBER(NORMSINV(SUM(AA$13:AA107)/AA$317)),NORMSINV(SUM(AA$13:AA107)/AA$317)," ")</f>
        <v>-2.1311586734762016</v>
      </c>
      <c r="AC107" s="46">
        <f t="shared" si="51"/>
        <v>1.8284323239623593E-2</v>
      </c>
      <c r="AD107" s="46">
        <f>IF(ISNUMBER(NORMSINV(SUM(AC$13:AC107)/AC$317)),NORMSINV(SUM(AC$13:AC107)/AC$317)," ")</f>
        <v>-1.5221498952950197</v>
      </c>
      <c r="AE107" s="46">
        <f t="shared" si="52"/>
        <v>6.3572631590828682E-2</v>
      </c>
      <c r="AF107" s="46">
        <f>IF(ISNUMBER(NORMSINV(SUM(AE$13:AE107)/AE$317)),NORMSINV(SUM(AE$13:AE107)/AE$317)," ")</f>
        <v>-0.83646546376462583</v>
      </c>
      <c r="AG107" s="46">
        <f t="shared" si="53"/>
        <v>0.16649509264189311</v>
      </c>
      <c r="AH107" s="46">
        <f>IF(ISNUMBER(NORMSINV(SUM(AG$13:AG107)/AG$317)),NORMSINV(SUM(AG$13:AG107)/AG$317)," ")</f>
        <v>-2.0983310374245012</v>
      </c>
      <c r="AI107" s="46">
        <f t="shared" si="54"/>
        <v>3.8313569149564956E-2</v>
      </c>
      <c r="AJ107" s="46">
        <f>IF(ISNUMBER(NORMSINV(SUM(AI$13:AI107)/AI$317)),NORMSINV(SUM(AI$13:AI107)/AI$317)," ")</f>
        <v>-1.5433327832433255</v>
      </c>
      <c r="AK107" s="46">
        <f t="shared" si="55"/>
        <v>0.10249261075867927</v>
      </c>
      <c r="AL107" s="46">
        <f>IF(ISNUMBER(NORMSINV(SUM(AK$13:AK107)/AK$317)),NORMSINV(SUM(AK$13:AK107)/AK$317)," ")</f>
        <v>-0.66533131483175501</v>
      </c>
      <c r="AM107" s="6">
        <v>0.28443183375381531</v>
      </c>
      <c r="AN107" s="6">
        <v>9.4609093400610439E-2</v>
      </c>
      <c r="AO107" s="6">
        <v>0.2674409134510683</v>
      </c>
      <c r="AP107" s="6">
        <v>0.28143410367812849</v>
      </c>
      <c r="AQ107" s="6">
        <v>6.9193183375381523E-2</v>
      </c>
      <c r="AR107" s="6">
        <v>0.24057728020183133</v>
      </c>
      <c r="AS107" s="6">
        <v>0.31504546700305219</v>
      </c>
      <c r="AT107" s="6">
        <v>7.2497730075686745E-2</v>
      </c>
      <c r="AU107" s="6">
        <v>0.19393864352675505</v>
      </c>
    </row>
    <row r="108" spans="1:47" x14ac:dyDescent="0.4">
      <c r="A108" s="6">
        <f t="shared" si="40"/>
        <v>0.36295207338199525</v>
      </c>
      <c r="B108" s="6">
        <f>'Aerosol 1'!A112</f>
        <v>1.437566959867624</v>
      </c>
      <c r="C108" t="b">
        <f t="shared" si="41"/>
        <v>0</v>
      </c>
      <c r="E108" s="46">
        <f>'Aerosol 1'!$P112</f>
        <v>0.1827456061237083</v>
      </c>
      <c r="F108" s="46">
        <f>'Aerosol 2'!$P112</f>
        <v>0.1827456061237083</v>
      </c>
      <c r="G108" s="46">
        <f>'Aerosol 3'!$P112</f>
        <v>0.1827456061237083</v>
      </c>
      <c r="H108" s="46">
        <f t="shared" si="42"/>
        <v>0.54823681837112492</v>
      </c>
      <c r="I108" s="46">
        <f>NORMSINV(SUM(H$13:H108)/H$317)</f>
        <v>-1.729925895045213</v>
      </c>
      <c r="J108" s="46">
        <f t="shared" si="37"/>
        <v>9.8682627306802481E-2</v>
      </c>
      <c r="K108" s="46">
        <f t="shared" si="38"/>
        <v>0.27411840918556246</v>
      </c>
      <c r="L108" s="46">
        <f t="shared" si="39"/>
        <v>0.5482148888983901</v>
      </c>
      <c r="M108" s="46">
        <f t="shared" si="43"/>
        <v>0.92101592539075505</v>
      </c>
      <c r="N108" s="46">
        <f>IF(ISNUMBER(NORMSINV(SUM(M$13:M108)/M$317)),NORMSINV(SUM(M$13:M108)/M$317)," ")</f>
        <v>-1.729925895045213</v>
      </c>
      <c r="O108" s="46">
        <f t="shared" si="44"/>
        <v>0.28662120500921545</v>
      </c>
      <c r="P108" s="46">
        <f>IF(ISNUMBER(NORMSINV(SUM(O$13:O108)/O$317)),NORMSINV(SUM(O$13:O108)/O$317)," ")</f>
        <v>-2.073517791377383</v>
      </c>
      <c r="Q108" s="46">
        <f t="shared" si="45"/>
        <v>6.9746027772537328E-2</v>
      </c>
      <c r="R108" s="46">
        <f>IF(ISNUMBER(NORMSINV(SUM(Q$13:Q108)/Q$317)),NORMSINV(SUM(Q$13:Q108)/Q$317)," ")</f>
        <v>-1.5004640801633231</v>
      </c>
      <c r="S108" s="46">
        <f t="shared" si="46"/>
        <v>0.20314469099156954</v>
      </c>
      <c r="T108" s="46">
        <f>IF(ISNUMBER(NORMSINV(SUM(S$13:S108)/S$317)),NORMSINV(SUM(S$13:S108)/S$317)," ")</f>
        <v>-0.68143197210886197</v>
      </c>
      <c r="U108" s="46">
        <f t="shared" si="47"/>
        <v>2.9154744586241718E-2</v>
      </c>
      <c r="V108" s="46">
        <f>IF(ISNUMBER(NORMSINV(SUM(U$13:U108)/U$317)),NORMSINV(SUM(U$13:U108)/U$317)," ")</f>
        <v>-2.0481270813021366</v>
      </c>
      <c r="W108" s="46">
        <f t="shared" si="48"/>
        <v>9.5248376579125729E-3</v>
      </c>
      <c r="X108" s="46">
        <f>IF(ISNUMBER(NORMSINV(SUM(W$13:W108)/W$317)),NORMSINV(SUM(W$13:W108)/W$317)," ")</f>
        <v>-1.4419585482276593</v>
      </c>
      <c r="Y108" s="46">
        <f t="shared" si="49"/>
        <v>2.6691005384581891E-2</v>
      </c>
      <c r="Z108" s="46">
        <f>IF(ISNUMBER(NORMSINV(SUM(Y$13:Y108)/Y$317)),NORMSINV(SUM(Y$13:Y108)/Y$317)," ")</f>
        <v>-0.64830043861441866</v>
      </c>
      <c r="AA108" s="46">
        <f t="shared" si="50"/>
        <v>7.9764672744653972E-2</v>
      </c>
      <c r="AB108" s="46">
        <f>IF(ISNUMBER(NORMSINV(SUM(AA$13:AA108)/AA$317)),NORMSINV(SUM(AA$13:AA108)/AA$317)," ")</f>
        <v>-2.0981529894342126</v>
      </c>
      <c r="AC108" s="46">
        <f t="shared" si="51"/>
        <v>1.9368269534799004E-2</v>
      </c>
      <c r="AD108" s="46">
        <f>IF(ISNUMBER(NORMSINV(SUM(AC$13:AC108)/AC$317)),NORMSINV(SUM(AC$13:AC108)/AC$317)," ")</f>
        <v>-1.4947588790538244</v>
      </c>
      <c r="AE108" s="46">
        <f t="shared" si="52"/>
        <v>6.7362706893179608E-2</v>
      </c>
      <c r="AF108" s="46">
        <f>IF(ISNUMBER(NORMSINV(SUM(AE$13:AE108)/AE$317)),NORMSINV(SUM(AE$13:AE108)/AE$317)," ")</f>
        <v>-0.78854942508614567</v>
      </c>
      <c r="AG108" s="46">
        <f t="shared" si="53"/>
        <v>0.17770178767831976</v>
      </c>
      <c r="AH108" s="46">
        <f>IF(ISNUMBER(NORMSINV(SUM(AG$13:AG108)/AG$317)),NORMSINV(SUM(AG$13:AG108)/AG$317)," ")</f>
        <v>-2.0661795653348674</v>
      </c>
      <c r="AI108" s="46">
        <f t="shared" si="54"/>
        <v>4.0852920579825744E-2</v>
      </c>
      <c r="AJ108" s="46">
        <f>IF(ISNUMBER(NORMSINV(SUM(AI$13:AI108)/AI$317)),NORMSINV(SUM(AI$13:AI108)/AI$317)," ")</f>
        <v>-1.515275262807902</v>
      </c>
      <c r="AK108" s="46">
        <f t="shared" si="55"/>
        <v>0.10909097871380805</v>
      </c>
      <c r="AL108" s="46">
        <f>IF(ISNUMBER(NORMSINV(SUM(AK$13:AK108)/AK$317)),NORMSINV(SUM(AK$13:AK108)/AK$317)," ")</f>
        <v>-0.61252873247206552</v>
      </c>
      <c r="AM108" s="6">
        <v>0.29543948496223305</v>
      </c>
      <c r="AN108" s="6">
        <v>9.6519903430418677E-2</v>
      </c>
      <c r="AO108" s="6">
        <v>0.27047319384393814</v>
      </c>
      <c r="AP108" s="6">
        <v>0.29098619454871366</v>
      </c>
      <c r="AQ108" s="6">
        <v>7.0656580827038851E-2</v>
      </c>
      <c r="AR108" s="6">
        <v>0.24574309727435678</v>
      </c>
      <c r="AS108" s="6">
        <v>0.32414622673857407</v>
      </c>
      <c r="AT108" s="6">
        <v>7.4519903430418699E-2</v>
      </c>
      <c r="AU108" s="6">
        <v>0.19899309727435679</v>
      </c>
    </row>
    <row r="109" spans="1:47" x14ac:dyDescent="0.4">
      <c r="A109" s="6">
        <f t="shared" si="40"/>
        <v>0.39743065081317414</v>
      </c>
      <c r="B109" s="6">
        <f>'Aerosol 1'!A113</f>
        <v>1.4879965990344703</v>
      </c>
      <c r="C109" t="b">
        <f t="shared" si="41"/>
        <v>0</v>
      </c>
      <c r="E109" s="46">
        <f>'Aerosol 1'!$P113</f>
        <v>0.18948709272276557</v>
      </c>
      <c r="F109" s="46">
        <f>'Aerosol 2'!$P113</f>
        <v>0.18948709272276557</v>
      </c>
      <c r="G109" s="46">
        <f>'Aerosol 3'!$P113</f>
        <v>0.18948709272276557</v>
      </c>
      <c r="H109" s="46">
        <f t="shared" si="42"/>
        <v>0.56846127816829672</v>
      </c>
      <c r="I109" s="46">
        <f>NORMSINV(SUM(H$13:H109)/H$317)</f>
        <v>-1.7089926992515623</v>
      </c>
      <c r="J109" s="46">
        <f t="shared" si="37"/>
        <v>0.10232303007029341</v>
      </c>
      <c r="K109" s="46">
        <f t="shared" si="38"/>
        <v>0.28423063908414836</v>
      </c>
      <c r="L109" s="46">
        <f t="shared" si="39"/>
        <v>0.56843853971716995</v>
      </c>
      <c r="M109" s="46">
        <f t="shared" si="43"/>
        <v>0.95499220887161174</v>
      </c>
      <c r="N109" s="46">
        <f>IF(ISNUMBER(NORMSINV(SUM(M$13:M109)/M$317)),NORMSINV(SUM(M$13:M109)/M$317)," ")</f>
        <v>-1.7089926992515623</v>
      </c>
      <c r="O109" s="46">
        <f t="shared" si="44"/>
        <v>0.30646289482968142</v>
      </c>
      <c r="P109" s="46">
        <f>IF(ISNUMBER(NORMSINV(SUM(O$13:O109)/O$317)),NORMSINV(SUM(O$13:O109)/O$317)," ")</f>
        <v>-2.0409279430851517</v>
      </c>
      <c r="Q109" s="46">
        <f t="shared" si="45"/>
        <v>7.412888372657972E-2</v>
      </c>
      <c r="R109" s="46">
        <f>IF(ISNUMBER(NORMSINV(SUM(Q$13:Q109)/Q$317)),NORMSINV(SUM(Q$13:Q109)/Q$317)," ")</f>
        <v>-1.471831103894587</v>
      </c>
      <c r="S109" s="46">
        <f t="shared" si="46"/>
        <v>0.21506550758761916</v>
      </c>
      <c r="T109" s="46">
        <f>IF(ISNUMBER(NORMSINV(SUM(S$13:S109)/S$317)),NORMSINV(SUM(S$13:S109)/S$317)," ")</f>
        <v>-0.62992459799953848</v>
      </c>
      <c r="U109" s="46">
        <f t="shared" si="47"/>
        <v>3.137859598779244E-2</v>
      </c>
      <c r="V109" s="46">
        <f>IF(ISNUMBER(NORMSINV(SUM(U$13:U109)/U$317)),NORMSINV(SUM(U$13:U109)/U$317)," ")</f>
        <v>-2.0134968108412932</v>
      </c>
      <c r="W109" s="46">
        <f t="shared" si="48"/>
        <v>1.0101084679412729E-2</v>
      </c>
      <c r="X109" s="46">
        <f>IF(ISNUMBER(NORMSINV(SUM(W$13:W109)/W$317)),NORMSINV(SUM(W$13:W109)/W$317)," ")</f>
        <v>-1.4114747350386878</v>
      </c>
      <c r="Y109" s="46">
        <f t="shared" si="49"/>
        <v>2.7938451883035013E-2</v>
      </c>
      <c r="Z109" s="46">
        <f>IF(ISNUMBER(NORMSINV(SUM(Y$13:Y109)/Y$317)),NORMSINV(SUM(Y$13:Y109)/Y$317)," ")</f>
        <v>-0.59892455222666352</v>
      </c>
      <c r="AA109" s="46">
        <f t="shared" si="50"/>
        <v>8.5491591997837152E-2</v>
      </c>
      <c r="AB109" s="46">
        <f>IF(ISNUMBER(NORMSINV(SUM(AA$13:AA109)/AA$317)),NORMSINV(SUM(AA$13:AA109)/AA$317)," ")</f>
        <v>-2.0651443502088633</v>
      </c>
      <c r="AC109" s="46">
        <f t="shared" si="51"/>
        <v>2.0518559074037077E-2</v>
      </c>
      <c r="AD109" s="46">
        <f>IF(ISNUMBER(NORMSINV(SUM(AC$13:AC109)/AC$317)),NORMSINV(SUM(AC$13:AC109)/AC$317)," ")</f>
        <v>-1.4669144918871364</v>
      </c>
      <c r="AE109" s="46">
        <f t="shared" si="52"/>
        <v>7.1352427214878944E-2</v>
      </c>
      <c r="AF109" s="46">
        <f>IF(ISNUMBER(NORMSINV(SUM(AE$13:AE109)/AE$317)),NORMSINV(SUM(AE$13:AE109)/AE$317)," ")</f>
        <v>-0.73969446239750203</v>
      </c>
      <c r="AG109" s="46">
        <f t="shared" si="53"/>
        <v>0.18959270684405183</v>
      </c>
      <c r="AH109" s="46">
        <f>IF(ISNUMBER(NORMSINV(SUM(AG$13:AG109)/AG$317)),NORMSINV(SUM(AG$13:AG109)/AG$317)," ")</f>
        <v>-2.0340795112282852</v>
      </c>
      <c r="AI109" s="46">
        <f t="shared" si="54"/>
        <v>4.3509239973129922E-2</v>
      </c>
      <c r="AJ109" s="46">
        <f>IF(ISNUMBER(NORMSINV(SUM(AI$13:AI109)/AI$317)),NORMSINV(SUM(AI$13:AI109)/AI$317)," ")</f>
        <v>-1.4866493771941713</v>
      </c>
      <c r="AK109" s="46">
        <f t="shared" si="55"/>
        <v>0.1157746284897052</v>
      </c>
      <c r="AL109" s="46">
        <f>IF(ISNUMBER(NORMSINV(SUM(AK$13:AK109)/AK$317)),NORMSINV(SUM(AK$13:AK109)/AK$317)," ")</f>
        <v>-0.55829661248584606</v>
      </c>
      <c r="AM109" s="6">
        <v>0.30666210691997797</v>
      </c>
      <c r="AN109" s="6">
        <v>9.8717607096599186E-2</v>
      </c>
      <c r="AO109" s="6">
        <v>0.27304167853358119</v>
      </c>
      <c r="AP109" s="6">
        <v>0.30078246410488774</v>
      </c>
      <c r="AQ109" s="6">
        <v>7.2189821407545096E-2</v>
      </c>
      <c r="AR109" s="6">
        <v>0.25103707131923447</v>
      </c>
      <c r="AS109" s="6">
        <v>0.33353246410488779</v>
      </c>
      <c r="AT109" s="6">
        <v>7.6541678533581153E-2</v>
      </c>
      <c r="AU109" s="6">
        <v>0.20367132134867133</v>
      </c>
    </row>
    <row r="110" spans="1:47" x14ac:dyDescent="0.4">
      <c r="A110" s="6">
        <f t="shared" si="40"/>
        <v>0.43190922824435296</v>
      </c>
      <c r="B110" s="6">
        <f>'Aerosol 1'!A114</f>
        <v>1.5401953025840516</v>
      </c>
      <c r="C110" t="b">
        <f t="shared" si="41"/>
        <v>0</v>
      </c>
      <c r="E110" s="46">
        <f>'Aerosol 1'!$P114</f>
        <v>0.19639136379345987</v>
      </c>
      <c r="F110" s="46">
        <f>'Aerosol 2'!$P114</f>
        <v>0.19639136379345987</v>
      </c>
      <c r="G110" s="46">
        <f>'Aerosol 3'!$P114</f>
        <v>0.19639136379345987</v>
      </c>
      <c r="H110" s="46">
        <f t="shared" si="42"/>
        <v>0.58917409138037957</v>
      </c>
      <c r="I110" s="46">
        <f>NORMSINV(SUM(H$13:H110)/H$317)</f>
        <v>-1.6880591920831443</v>
      </c>
      <c r="J110" s="46">
        <f t="shared" si="37"/>
        <v>0.10605133644846834</v>
      </c>
      <c r="K110" s="46">
        <f t="shared" si="38"/>
        <v>0.29458704569018979</v>
      </c>
      <c r="L110" s="46">
        <f t="shared" si="39"/>
        <v>0.58915052441672444</v>
      </c>
      <c r="M110" s="46">
        <f t="shared" si="43"/>
        <v>0.98978890655538254</v>
      </c>
      <c r="N110" s="46">
        <f>IF(ISNUMBER(NORMSINV(SUM(M$13:M110)/M$317)),NORMSINV(SUM(M$13:M110)/M$317)," ")</f>
        <v>-1.6880591920831443</v>
      </c>
      <c r="O110" s="46">
        <f t="shared" si="44"/>
        <v>0.32728214026483027</v>
      </c>
      <c r="P110" s="46">
        <f>IF(ISNUMBER(NORMSINV(SUM(O$13:O110)/O$317)),NORMSINV(SUM(O$13:O110)/O$317)," ")</f>
        <v>-2.0083627417718048</v>
      </c>
      <c r="Q110" s="46">
        <f t="shared" si="45"/>
        <v>7.8768620995963184E-2</v>
      </c>
      <c r="R110" s="46">
        <f>IF(ISNUMBER(NORMSINV(SUM(Q$13:Q110)/Q$317)),NORMSINV(SUM(Q$13:Q110)/Q$317)," ")</f>
        <v>-1.4426726697043908</v>
      </c>
      <c r="S110" s="46">
        <f t="shared" si="46"/>
        <v>0.22716198961664882</v>
      </c>
      <c r="T110" s="46">
        <f>IF(ISNUMBER(NORMSINV(SUM(S$13:S110)/S$317)),NORMSINV(SUM(S$13:S110)/S$317)," ")</f>
        <v>-0.57727464556559283</v>
      </c>
      <c r="U110" s="46">
        <f t="shared" si="47"/>
        <v>3.3778974174397097E-2</v>
      </c>
      <c r="V110" s="46">
        <f>IF(ISNUMBER(NORMSINV(SUM(U$13:U110)/U$317)),NORMSINV(SUM(U$13:U110)/U$317)," ")</f>
        <v>-1.9787327183069412</v>
      </c>
      <c r="W110" s="46">
        <f t="shared" si="48"/>
        <v>1.0718094182901015E-2</v>
      </c>
      <c r="X110" s="46">
        <f>IF(ISNUMBER(NORMSINV(SUM(W$13:W110)/W$317)),NORMSINV(SUM(W$13:W110)/W$317)," ")</f>
        <v>-1.3805016115031534</v>
      </c>
      <c r="Y110" s="46">
        <f t="shared" si="49"/>
        <v>2.9144389005010086E-2</v>
      </c>
      <c r="Z110" s="46">
        <f>IF(ISNUMBER(NORMSINV(SUM(Y$13:Y110)/Y$317)),NORMSINV(SUM(Y$13:Y110)/Y$317)," ")</f>
        <v>-0.54892682815028837</v>
      </c>
      <c r="AA110" s="46">
        <f t="shared" si="50"/>
        <v>9.1417598392337276E-2</v>
      </c>
      <c r="AB110" s="46">
        <f>IF(ISNUMBER(NORMSINV(SUM(AA$13:AA110)/AA$317)),NORMSINV(SUM(AA$13:AA110)/AA$317)," ")</f>
        <v>-2.0321721267184421</v>
      </c>
      <c r="AC110" s="46">
        <f t="shared" si="51"/>
        <v>2.1652841668297295E-2</v>
      </c>
      <c r="AD110" s="46">
        <f>IF(ISNUMBER(NORMSINV(SUM(AC$13:AC110)/AC$317)),NORMSINV(SUM(AC$13:AC110)/AC$317)," ")</f>
        <v>-1.4387140940864318</v>
      </c>
      <c r="AE110" s="46">
        <f t="shared" si="52"/>
        <v>7.5544813328090377E-2</v>
      </c>
      <c r="AF110" s="46">
        <f>IF(ISNUMBER(NORMSINV(SUM(AE$13:AE110)/AE$317)),NORMSINV(SUM(AE$13:AE110)/AE$317)," ")</f>
        <v>-0.68982251746832313</v>
      </c>
      <c r="AG110" s="46">
        <f t="shared" si="53"/>
        <v>0.20208556769809591</v>
      </c>
      <c r="AH110" s="46">
        <f>IF(ISNUMBER(NORMSINV(SUM(AG$13:AG110)/AG$317)),NORMSINV(SUM(AG$13:AG110)/AG$317)," ")</f>
        <v>-2.0020252874257967</v>
      </c>
      <c r="AI110" s="46">
        <f t="shared" si="54"/>
        <v>4.6397685144764875E-2</v>
      </c>
      <c r="AJ110" s="46">
        <f>IF(ISNUMBER(NORMSINV(SUM(AI$13:AI110)/AI$317)),NORMSINV(SUM(AI$13:AI110)/AI$317)," ")</f>
        <v>-1.4574081603180229</v>
      </c>
      <c r="AK110" s="46">
        <f t="shared" si="55"/>
        <v>0.12247278728354836</v>
      </c>
      <c r="AL110" s="46">
        <f>IF(ISNUMBER(NORMSINV(SUM(AK$13:AK110)/AK$317)),NORMSINV(SUM(AK$13:AK110)/AK$317)," ")</f>
        <v>-0.50265796894794401</v>
      </c>
      <c r="AM110" s="6">
        <v>0.31851530877039647</v>
      </c>
      <c r="AN110" s="6">
        <v>0.10106514959487634</v>
      </c>
      <c r="AO110" s="6">
        <v>0.27481397199715352</v>
      </c>
      <c r="AP110" s="6">
        <v>0.31032457037665873</v>
      </c>
      <c r="AQ110" s="6">
        <v>7.3502355195445609E-2</v>
      </c>
      <c r="AR110" s="6">
        <v>0.25644309358918338</v>
      </c>
      <c r="AS110" s="6">
        <v>0.34301177597722804</v>
      </c>
      <c r="AT110" s="6">
        <v>7.8753532793168407E-2</v>
      </c>
      <c r="AU110" s="6">
        <v>0.20788029918975268</v>
      </c>
    </row>
    <row r="111" spans="1:47" x14ac:dyDescent="0.4">
      <c r="A111" s="6">
        <f t="shared" si="40"/>
        <v>0.46638780567553179</v>
      </c>
      <c r="B111" s="6">
        <f>'Aerosol 1'!A115</f>
        <v>1.5942251290367531</v>
      </c>
      <c r="C111" t="b">
        <f t="shared" si="41"/>
        <v>0</v>
      </c>
      <c r="E111" s="46">
        <f>'Aerosol 1'!$P115</f>
        <v>0.2034582029183031</v>
      </c>
      <c r="F111" s="46">
        <f>'Aerosol 2'!$P115</f>
        <v>0.2034582029183031</v>
      </c>
      <c r="G111" s="46">
        <f>'Aerosol 3'!$P115</f>
        <v>0.2034582029183031</v>
      </c>
      <c r="H111" s="46">
        <f t="shared" si="42"/>
        <v>0.61037460875490934</v>
      </c>
      <c r="I111" s="46">
        <f>NORMSINV(SUM(H$13:H111)/H$317)</f>
        <v>-1.6671253668548238</v>
      </c>
      <c r="J111" s="46">
        <f t="shared" si="37"/>
        <v>0.10986742957588369</v>
      </c>
      <c r="K111" s="46">
        <f t="shared" si="38"/>
        <v>0.30518730437745467</v>
      </c>
      <c r="L111" s="46">
        <f t="shared" si="39"/>
        <v>0.6103501937705591</v>
      </c>
      <c r="M111" s="46">
        <f t="shared" si="43"/>
        <v>1.0254049277238975</v>
      </c>
      <c r="N111" s="46">
        <f>IF(ISNUMBER(NORMSINV(SUM(M$13:M111)/M$317)),NORMSINV(SUM(M$13:M111)/M$317)," ")</f>
        <v>-1.6671253668548238</v>
      </c>
      <c r="O111" s="46">
        <f t="shared" si="44"/>
        <v>0.34868315978166642</v>
      </c>
      <c r="P111" s="46">
        <f>IF(ISNUMBER(NORMSINV(SUM(O$13:O111)/O$317)),NORMSINV(SUM(O$13:O111)/O$317)," ")</f>
        <v>-1.9758623095036218</v>
      </c>
      <c r="Q111" s="46">
        <f t="shared" si="45"/>
        <v>8.3983038036153743E-2</v>
      </c>
      <c r="R111" s="46">
        <f>IF(ISNUMBER(NORMSINV(SUM(Q$13:Q111)/Q$317)),NORMSINV(SUM(Q$13:Q111)/Q$317)," ")</f>
        <v>-1.4128781194394671</v>
      </c>
      <c r="S111" s="46">
        <f t="shared" si="46"/>
        <v>0.23925172990820232</v>
      </c>
      <c r="T111" s="46">
        <f>IF(ISNUMBER(NORMSINV(SUM(S$13:S111)/S$317)),NORMSINV(SUM(S$13:S111)/S$317)," ")</f>
        <v>-0.52349875146849434</v>
      </c>
      <c r="U111" s="46">
        <f t="shared" si="47"/>
        <v>3.6282935297637729E-2</v>
      </c>
      <c r="V111" s="46">
        <f>IF(ISNUMBER(NORMSINV(SUM(U$13:U111)/U$317)),NORMSINV(SUM(U$13:U111)/U$317)," ")</f>
        <v>-1.9438768555499599</v>
      </c>
      <c r="W111" s="46">
        <f t="shared" si="48"/>
        <v>1.1334321161240786E-2</v>
      </c>
      <c r="X111" s="46">
        <f>IF(ISNUMBER(NORMSINV(SUM(W$13:W111)/W$317)),NORMSINV(SUM(W$13:W111)/W$317)," ")</f>
        <v>-1.3491272162098378</v>
      </c>
      <c r="Y111" s="46">
        <f t="shared" si="49"/>
        <v>3.0312468350029473E-2</v>
      </c>
      <c r="Z111" s="46">
        <f>IF(ISNUMBER(NORMSINV(SUM(Y$13:Y111)/Y$317)),NORMSINV(SUM(Y$13:Y111)/Y$317)," ")</f>
        <v>-0.49834044231032587</v>
      </c>
      <c r="AA111" s="46">
        <f t="shared" si="50"/>
        <v>9.7554482484460983E-2</v>
      </c>
      <c r="AB111" s="46">
        <f>IF(ISNUMBER(NORMSINV(SUM(AA$13:AA111)/AA$317)),NORMSINV(SUM(AA$13:AA111)/AA$317)," ")</f>
        <v>-1.9992644828030384</v>
      </c>
      <c r="AC111" s="46">
        <f t="shared" si="51"/>
        <v>2.2980851408750988E-2</v>
      </c>
      <c r="AD111" s="46">
        <f>IF(ISNUMBER(NORMSINV(SUM(AC$13:AC111)/AC$317)),NORMSINV(SUM(AC$13:AC111)/AC$317)," ")</f>
        <v>-1.4099849178136254</v>
      </c>
      <c r="AE111" s="46">
        <f t="shared" si="52"/>
        <v>7.9589683536798198E-2</v>
      </c>
      <c r="AF111" s="46">
        <f>IF(ISNUMBER(NORMSINV(SUM(AE$13:AE111)/AE$317)),NORMSINV(SUM(AE$13:AE111)/AE$317)," ")</f>
        <v>-0.63907151437723353</v>
      </c>
      <c r="AG111" s="46">
        <f t="shared" si="53"/>
        <v>0.21484574199956769</v>
      </c>
      <c r="AH111" s="46">
        <f>IF(ISNUMBER(NORMSINV(SUM(AG$13:AG111)/AG$317)),NORMSINV(SUM(AG$13:AG111)/AG$317)," ")</f>
        <v>-1.970062210539598</v>
      </c>
      <c r="AI111" s="46">
        <f t="shared" si="54"/>
        <v>4.9667865466161969E-2</v>
      </c>
      <c r="AJ111" s="46">
        <f>IF(ISNUMBER(NORMSINV(SUM(AI$13:AI111)/AI$317)),NORMSINV(SUM(AI$13:AI111)/AI$317)," ")</f>
        <v>-1.4274278911051086</v>
      </c>
      <c r="AK111" s="46">
        <f t="shared" si="55"/>
        <v>0.12934957802137464</v>
      </c>
      <c r="AL111" s="46">
        <f>IF(ISNUMBER(NORMSINV(SUM(AK$13:AK111)/AK$317)),NORMSINV(SUM(AK$13:AK111)/AK$317)," ")</f>
        <v>-0.44553529030384542</v>
      </c>
      <c r="AM111" s="6">
        <v>0.33024287031833832</v>
      </c>
      <c r="AN111" s="6">
        <v>0.10316361459437212</v>
      </c>
      <c r="AO111" s="6">
        <v>0.27590040530704446</v>
      </c>
      <c r="AP111" s="6">
        <v>0.31965445837748846</v>
      </c>
      <c r="AQ111" s="6">
        <v>7.5300810614088803E-2</v>
      </c>
      <c r="AR111" s="6">
        <v>0.26078962786198318</v>
      </c>
      <c r="AS111" s="6">
        <v>0.35200405307044402</v>
      </c>
      <c r="AT111" s="6">
        <v>8.1376013267611014E-2</v>
      </c>
      <c r="AU111" s="6">
        <v>0.21192682388169981</v>
      </c>
    </row>
    <row r="112" spans="1:47" x14ac:dyDescent="0.4">
      <c r="A112" s="6">
        <f t="shared" si="40"/>
        <v>0.50086638310671061</v>
      </c>
      <c r="B112" s="6">
        <f>'Aerosol 1'!A116</f>
        <v>1.650150313916799</v>
      </c>
      <c r="C112" t="b">
        <f t="shared" si="41"/>
        <v>0</v>
      </c>
      <c r="E112" s="46">
        <f>'Aerosol 1'!$P116</f>
        <v>0.21068716876761207</v>
      </c>
      <c r="F112" s="46">
        <f>'Aerosol 2'!$P116</f>
        <v>0.21068716876761207</v>
      </c>
      <c r="G112" s="46">
        <f>'Aerosol 3'!$P116</f>
        <v>0.21068716876761207</v>
      </c>
      <c r="H112" s="46">
        <f t="shared" si="42"/>
        <v>0.6320615063028362</v>
      </c>
      <c r="I112" s="46">
        <f>NORMSINV(SUM(H$13:H112)/H$317)</f>
        <v>-1.6461912167023554</v>
      </c>
      <c r="J112" s="46">
        <f t="shared" si="37"/>
        <v>0.11377107113451053</v>
      </c>
      <c r="K112" s="46">
        <f t="shared" si="38"/>
        <v>0.3160307531514181</v>
      </c>
      <c r="L112" s="46">
        <f t="shared" si="39"/>
        <v>0.63203622384258407</v>
      </c>
      <c r="M112" s="46">
        <f t="shared" si="43"/>
        <v>1.0618380481285126</v>
      </c>
      <c r="N112" s="46">
        <f>IF(ISNUMBER(NORMSINV(SUM(M$13:M112)/M$317)),NORMSINV(SUM(M$13:M112)/M$317)," ")</f>
        <v>-1.6461912167023556</v>
      </c>
      <c r="O112" s="46">
        <f t="shared" si="44"/>
        <v>0.37123456393059717</v>
      </c>
      <c r="P112" s="46">
        <f>IF(ISNUMBER(NORMSINV(SUM(O$13:O112)/O$317)),NORMSINV(SUM(O$13:O112)/O$317)," ")</f>
        <v>-1.9434103452559579</v>
      </c>
      <c r="Q112" s="46">
        <f t="shared" si="45"/>
        <v>8.9248771087210702E-2</v>
      </c>
      <c r="R112" s="46">
        <f>IF(ISNUMBER(NORMSINV(SUM(Q$13:Q112)/Q$317)),NORMSINV(SUM(Q$13:Q112)/Q$317)," ")</f>
        <v>-1.3825322999705969</v>
      </c>
      <c r="S112" s="46">
        <f t="shared" si="46"/>
        <v>0.25185598841080775</v>
      </c>
      <c r="T112" s="46">
        <f>IF(ISNUMBER(NORMSINV(SUM(S$13:S112)/S$317)),NORMSINV(SUM(S$13:S112)/S$317)," ")</f>
        <v>-0.46847763815778592</v>
      </c>
      <c r="U112" s="46">
        <f t="shared" si="47"/>
        <v>3.8928903711221818E-2</v>
      </c>
      <c r="V112" s="46">
        <f>IF(ISNUMBER(NORMSINV(SUM(U$13:U112)/U$317)),NORMSINV(SUM(U$13:U112)/U$317)," ")</f>
        <v>-1.9089318478301132</v>
      </c>
      <c r="W112" s="46">
        <f t="shared" si="48"/>
        <v>1.2015767745616864E-2</v>
      </c>
      <c r="X112" s="46">
        <f>IF(ISNUMBER(NORMSINV(SUM(W$13:W112)/W$317)),NORMSINV(SUM(W$13:W112)/W$317)," ")</f>
        <v>-1.3172554873276645</v>
      </c>
      <c r="Y112" s="46">
        <f t="shared" si="49"/>
        <v>3.148757946324536E-2</v>
      </c>
      <c r="Z112" s="46">
        <f>IF(ISNUMBER(NORMSINV(SUM(Y$13:Y112)/Y$317)),NORMSINV(SUM(Y$13:Y112)/Y$317)," ")</f>
        <v>-0.44710855210509798</v>
      </c>
      <c r="AA112" s="46">
        <f t="shared" si="50"/>
        <v>0.10413760833557155</v>
      </c>
      <c r="AB112" s="46">
        <f>IF(ISNUMBER(NORMSINV(SUM(AA$13:AA112)/AA$317)),NORMSINV(SUM(AA$13:AA112)/AA$317)," ")</f>
        <v>-1.966372223163684</v>
      </c>
      <c r="AC112" s="46">
        <f t="shared" si="51"/>
        <v>2.4354305864458581E-2</v>
      </c>
      <c r="AD112" s="46">
        <f>IF(ISNUMBER(NORMSINV(SUM(AC$13:AC112)/AC$317)),NORMSINV(SUM(AC$13:AC112)/AC$317)," ")</f>
        <v>-1.3807575106247199</v>
      </c>
      <c r="AE112" s="46">
        <f t="shared" si="52"/>
        <v>8.3894946037531587E-2</v>
      </c>
      <c r="AF112" s="46">
        <f>IF(ISNUMBER(NORMSINV(SUM(AE$13:AE112)/AE$317)),NORMSINV(SUM(AE$13:AE112)/AE$317)," ")</f>
        <v>-0.5872981951437215</v>
      </c>
      <c r="AG112" s="46">
        <f t="shared" si="53"/>
        <v>0.22816805188380382</v>
      </c>
      <c r="AH112" s="46">
        <f>IF(ISNUMBER(NORMSINV(SUM(AG$13:AG112)/AG$317)),NORMSINV(SUM(AG$13:AG112)/AG$317)," ")</f>
        <v>-1.9381858401598562</v>
      </c>
      <c r="AI112" s="46">
        <f t="shared" si="54"/>
        <v>5.2878697477135257E-2</v>
      </c>
      <c r="AJ112" s="46">
        <f>IF(ISNUMBER(NORMSINV(SUM(AI$13:AI112)/AI$317)),NORMSINV(SUM(AI$13:AI112)/AI$317)," ")</f>
        <v>-1.3968592855646744</v>
      </c>
      <c r="AK112" s="46">
        <f t="shared" si="55"/>
        <v>0.13647346291003079</v>
      </c>
      <c r="AL112" s="46">
        <f>IF(ISNUMBER(NORMSINV(SUM(AK$13:AK112)/AK$317)),NORMSINV(SUM(AK$13:AK112)/AK$317)," ")</f>
        <v>-0.38680003478746333</v>
      </c>
      <c r="AM112" s="6">
        <v>0.34216873694716754</v>
      </c>
      <c r="AN112" s="6">
        <v>0.10561355910423598</v>
      </c>
      <c r="AO112" s="6">
        <v>0.27676261767824856</v>
      </c>
      <c r="AP112" s="6">
        <v>0.32951732480818618</v>
      </c>
      <c r="AQ112" s="6">
        <v>7.7063088391242207E-2</v>
      </c>
      <c r="AR112" s="6">
        <v>0.26546450053022358</v>
      </c>
      <c r="AS112" s="6">
        <v>0.36100470712993771</v>
      </c>
      <c r="AT112" s="6">
        <v>8.3664029817229757E-2</v>
      </c>
      <c r="AU112" s="6">
        <v>0.21592664749547819</v>
      </c>
    </row>
    <row r="113" spans="1:47" x14ac:dyDescent="0.4">
      <c r="A113" s="6">
        <f t="shared" si="40"/>
        <v>0.53534496053788938</v>
      </c>
      <c r="B113" s="6">
        <f>'Aerosol 1'!A117</f>
        <v>1.7080373461212295</v>
      </c>
      <c r="C113" t="b">
        <f t="shared" si="41"/>
        <v>0</v>
      </c>
      <c r="E113" s="46">
        <f>'Aerosol 1'!$P117</f>
        <v>0.21807758779318343</v>
      </c>
      <c r="F113" s="46">
        <f>'Aerosol 2'!$P117</f>
        <v>0.21807758779318343</v>
      </c>
      <c r="G113" s="46">
        <f>'Aerosol 3'!$P117</f>
        <v>0.21807758779318343</v>
      </c>
      <c r="H113" s="46">
        <f t="shared" si="42"/>
        <v>0.65423276337955028</v>
      </c>
      <c r="I113" s="46">
        <f>NORMSINV(SUM(H$13:H113)/H$317)</f>
        <v>-1.6252567345767137</v>
      </c>
      <c r="J113" s="46">
        <f t="shared" si="37"/>
        <v>0.11776189740831906</v>
      </c>
      <c r="K113" s="46">
        <f t="shared" si="38"/>
        <v>0.32711638168977514</v>
      </c>
      <c r="L113" s="46">
        <f t="shared" si="39"/>
        <v>0.65420659406901516</v>
      </c>
      <c r="M113" s="46">
        <f t="shared" si="43"/>
        <v>1.0990848731671092</v>
      </c>
      <c r="N113" s="46">
        <f>IF(ISNUMBER(NORMSINV(SUM(M$13:M113)/M$317)),NORMSINV(SUM(M$13:M113)/M$317)," ")</f>
        <v>-1.6252567345767137</v>
      </c>
      <c r="O113" s="46">
        <f t="shared" si="44"/>
        <v>0.39455345380294704</v>
      </c>
      <c r="P113" s="46">
        <f>IF(ISNUMBER(NORMSINV(SUM(O$13:O113)/O$317)),NORMSINV(SUM(O$13:O113)/O$317)," ")</f>
        <v>-1.9110256843007642</v>
      </c>
      <c r="Q113" s="46">
        <f t="shared" si="45"/>
        <v>9.4896267252490424E-2</v>
      </c>
      <c r="R113" s="46">
        <f>IF(ISNUMBER(NORMSINV(SUM(Q$13:Q113)/Q$317)),NORMSINV(SUM(Q$13:Q113)/Q$317)," ")</f>
        <v>-1.3516041951199917</v>
      </c>
      <c r="S113" s="46">
        <f t="shared" si="46"/>
        <v>0.26402477894600246</v>
      </c>
      <c r="T113" s="46">
        <f>IF(ISNUMBER(NORMSINV(SUM(S$13:S113)/S$317)),NORMSINV(SUM(S$13:S113)/S$317)," ")</f>
        <v>-0.41227981468286262</v>
      </c>
      <c r="U113" s="46">
        <f t="shared" si="47"/>
        <v>4.169698238936833E-2</v>
      </c>
      <c r="V113" s="46">
        <f>IF(ISNUMBER(NORMSINV(SUM(U$13:U113)/U$317)),NORMSINV(SUM(U$13:U113)/U$317)," ")</f>
        <v>-1.8739194475095884</v>
      </c>
      <c r="W113" s="46">
        <f t="shared" si="48"/>
        <v>1.2675420739216273E-2</v>
      </c>
      <c r="X113" s="46">
        <f>IF(ISNUMBER(NORMSINV(SUM(W$13:W113)/W$317)),NORMSINV(SUM(W$13:W113)/W$317)," ")</f>
        <v>-1.2850238060503305</v>
      </c>
      <c r="Y113" s="46">
        <f t="shared" si="49"/>
        <v>3.261855405915659E-2</v>
      </c>
      <c r="Z113" s="46">
        <f>IF(ISNUMBER(NORMSINV(SUM(Y$13:Y113)/Y$317)),NORMSINV(SUM(Y$13:Y113)/Y$317)," ")</f>
        <v>-0.39524489687002878</v>
      </c>
      <c r="AA113" s="46">
        <f t="shared" si="50"/>
        <v>0.11080436459698016</v>
      </c>
      <c r="AB113" s="46">
        <f>IF(ISNUMBER(NORMSINV(SUM(AA$13:AA113)/AA$317)),NORMSINV(SUM(AA$13:AA113)/AA$317)," ")</f>
        <v>-1.9335633284146847</v>
      </c>
      <c r="AC113" s="46">
        <f t="shared" si="51"/>
        <v>2.5576141270727826E-2</v>
      </c>
      <c r="AD113" s="46">
        <f>IF(ISNUMBER(NORMSINV(SUM(AC$13:AC113)/AC$317)),NORMSINV(SUM(AC$13:AC113)/AC$317)," ")</f>
        <v>-1.3512827135444778</v>
      </c>
      <c r="AE113" s="46">
        <f t="shared" si="52"/>
        <v>8.8087431837304345E-2</v>
      </c>
      <c r="AF113" s="46">
        <f>IF(ISNUMBER(NORMSINV(SUM(AE$13:AE113)/AE$317)),NORMSINV(SUM(AE$13:AE113)/AE$317)," ")</f>
        <v>-0.53457911917360768</v>
      </c>
      <c r="AG113" s="46">
        <f t="shared" si="53"/>
        <v>0.24205210681659858</v>
      </c>
      <c r="AH113" s="46">
        <f>IF(ISNUMBER(NORMSINV(SUM(AG$13:AG113)/AG$317)),NORMSINV(SUM(AG$13:AG113)/AG$317)," ")</f>
        <v>-1.9063930539377156</v>
      </c>
      <c r="AI113" s="46">
        <f t="shared" si="54"/>
        <v>5.664470524254632E-2</v>
      </c>
      <c r="AJ113" s="46">
        <f>IF(ISNUMBER(NORMSINV(SUM(AI$13:AI113)/AI$317)),NORMSINV(SUM(AI$13:AI113)/AI$317)," ")</f>
        <v>-1.3654994959391056</v>
      </c>
      <c r="AK113" s="46">
        <f t="shared" si="55"/>
        <v>0.14331879304954154</v>
      </c>
      <c r="AL113" s="46">
        <f>IF(ISNUMBER(NORMSINV(SUM(AK$13:AK113)/AK$317)),NORMSINV(SUM(AK$13:AK113)/AK$317)," ")</f>
        <v>-0.32652004745713126</v>
      </c>
      <c r="AM113" s="6">
        <v>0.35407872416314112</v>
      </c>
      <c r="AN113" s="6">
        <v>0.10763600976355228</v>
      </c>
      <c r="AO113" s="6">
        <v>0.27698733441817247</v>
      </c>
      <c r="AP113" s="6">
        <v>0.33873071114507147</v>
      </c>
      <c r="AQ113" s="6">
        <v>7.8186672090862372E-2</v>
      </c>
      <c r="AR113" s="6">
        <v>0.26928468510893211</v>
      </c>
      <c r="AS113" s="6">
        <v>0.36999337672689897</v>
      </c>
      <c r="AT113" s="6">
        <v>8.658534743624216E-2</v>
      </c>
      <c r="AU113" s="6">
        <v>0.21907268185441464</v>
      </c>
    </row>
    <row r="114" spans="1:47" x14ac:dyDescent="0.4">
      <c r="A114" s="6">
        <f t="shared" si="40"/>
        <v>0.56982353796906826</v>
      </c>
      <c r="B114" s="6">
        <f>'Aerosol 1'!A118</f>
        <v>1.76795504696789</v>
      </c>
      <c r="C114" t="b">
        <f t="shared" si="41"/>
        <v>0</v>
      </c>
      <c r="E114" s="46">
        <f>'Aerosol 1'!$P118</f>
        <v>0.22562854717740125</v>
      </c>
      <c r="F114" s="46">
        <f>'Aerosol 2'!$P118</f>
        <v>0.22562854717740125</v>
      </c>
      <c r="G114" s="46">
        <f>'Aerosol 3'!$P118</f>
        <v>0.22562854717740125</v>
      </c>
      <c r="H114" s="46">
        <f t="shared" si="42"/>
        <v>0.67688564153220376</v>
      </c>
      <c r="I114" s="46">
        <f>NORMSINV(SUM(H$13:H114)/H$317)</f>
        <v>-1.6043219132382167</v>
      </c>
      <c r="J114" s="46">
        <f t="shared" si="37"/>
        <v>0.12183941547579669</v>
      </c>
      <c r="K114" s="46">
        <f t="shared" si="38"/>
        <v>0.33844282076610188</v>
      </c>
      <c r="L114" s="46">
        <f t="shared" si="39"/>
        <v>0.67685856610654249</v>
      </c>
      <c r="M114" s="46">
        <f t="shared" si="43"/>
        <v>1.1371408023484411</v>
      </c>
      <c r="N114" s="46">
        <f>IF(ISNUMBER(NORMSINV(SUM(M$13:M114)/M$317)),NORMSINV(SUM(M$13:M114)/M$317)," ")</f>
        <v>-1.6043219132382172</v>
      </c>
      <c r="O114" s="46">
        <f t="shared" si="44"/>
        <v>0.41948701735258404</v>
      </c>
      <c r="P114" s="46">
        <f>IF(ISNUMBER(NORMSINV(SUM(O$13:O114)/O$317)),NORMSINV(SUM(O$13:O114)/O$317)," ")</f>
        <v>-1.8786600095286434</v>
      </c>
      <c r="Q114" s="46">
        <f t="shared" si="45"/>
        <v>0.10128505451930145</v>
      </c>
      <c r="R114" s="46">
        <f>IF(ISNUMBER(NORMSINV(SUM(Q$13:Q114)/Q$317)),NORMSINV(SUM(Q$13:Q114)/Q$317)," ")</f>
        <v>-1.3199604308144857</v>
      </c>
      <c r="S114" s="46">
        <f t="shared" si="46"/>
        <v>0.27614561890721401</v>
      </c>
      <c r="T114" s="46">
        <f>IF(ISNUMBER(NORMSINV(SUM(S$13:S114)/S$317)),NORMSINV(SUM(S$13:S114)/S$317)," ")</f>
        <v>-0.35486106392141475</v>
      </c>
      <c r="U114" s="46">
        <f t="shared" si="47"/>
        <v>4.4664912480165762E-2</v>
      </c>
      <c r="V114" s="46">
        <f>IF(ISNUMBER(NORMSINV(SUM(U$13:U114)/U$317)),NORMSINV(SUM(U$13:U114)/U$317)," ")</f>
        <v>-1.8387999013494549</v>
      </c>
      <c r="W114" s="46">
        <f t="shared" si="48"/>
        <v>1.3437278411829996E-2</v>
      </c>
      <c r="X114" s="46">
        <f>IF(ISNUMBER(NORMSINV(SUM(W$13:W114)/W$317)),NORMSINV(SUM(W$13:W114)/W$317)," ")</f>
        <v>-1.2522522903470394</v>
      </c>
      <c r="Y114" s="46">
        <f t="shared" si="49"/>
        <v>3.3672247738217462E-2</v>
      </c>
      <c r="Z114" s="46">
        <f>IF(ISNUMBER(NORMSINV(SUM(Y$13:Y114)/Y$317)),NORMSINV(SUM(Y$13:Y114)/Y$317)," ")</f>
        <v>-0.34279747439851777</v>
      </c>
      <c r="AA114" s="46">
        <f t="shared" si="50"/>
        <v>0.11817941804043396</v>
      </c>
      <c r="AB114" s="46">
        <f>IF(ISNUMBER(NORMSINV(SUM(AA$13:AA114)/AA$317)),NORMSINV(SUM(AA$13:AA114)/AA$317)," ")</f>
        <v>-1.9007224452898275</v>
      </c>
      <c r="AC114" s="46">
        <f t="shared" si="51"/>
        <v>2.7127070296432684E-2</v>
      </c>
      <c r="AD114" s="46">
        <f>IF(ISNUMBER(NORMSINV(SUM(AC$13:AC114)/AC$317)),NORMSINV(SUM(AC$13:AC114)/AC$317)," ")</f>
        <v>-1.3212523327775849</v>
      </c>
      <c r="AE114" s="46">
        <f t="shared" si="52"/>
        <v>9.2211992863219239E-2</v>
      </c>
      <c r="AF114" s="46">
        <f>IF(ISNUMBER(NORMSINV(SUM(AE$13:AE114)/AE$317)),NORMSINV(SUM(AE$13:AE114)/AE$317)," ")</f>
        <v>-0.48093722329432431</v>
      </c>
      <c r="AG114" s="46">
        <f t="shared" si="53"/>
        <v>0.25664268683198432</v>
      </c>
      <c r="AH114" s="46">
        <f>IF(ISNUMBER(NORMSINV(SUM(AG$13:AG114)/AG$317)),NORMSINV(SUM(AG$13:AG114)/AG$317)," ")</f>
        <v>-1.8746641653767233</v>
      </c>
      <c r="AI114" s="46">
        <f t="shared" si="54"/>
        <v>6.0720705811038771E-2</v>
      </c>
      <c r="AJ114" s="46">
        <f>IF(ISNUMBER(NORMSINV(SUM(AI$13:AI114)/AI$317)),NORMSINV(SUM(AI$13:AI114)/AI$317)," ")</f>
        <v>-1.3333102323902517</v>
      </c>
      <c r="AK114" s="46">
        <f t="shared" si="55"/>
        <v>0.15026137830577732</v>
      </c>
      <c r="AL114" s="46">
        <f>IF(ISNUMBER(NORMSINV(SUM(AK$13:AK114)/AK$317)),NORMSINV(SUM(AK$13:AK114)/AK$317)," ")</f>
        <v>-0.26456627549488204</v>
      </c>
      <c r="AM114" s="6">
        <v>0.36658836802314121</v>
      </c>
      <c r="AN114" s="6">
        <v>0.11028679314781596</v>
      </c>
      <c r="AO114" s="6">
        <v>0.27636580171304603</v>
      </c>
      <c r="AP114" s="6">
        <v>0.34918577316227917</v>
      </c>
      <c r="AQ114" s="6">
        <v>8.0152594860861959E-2</v>
      </c>
      <c r="AR114" s="6">
        <v>0.27245959200578529</v>
      </c>
      <c r="AS114" s="6">
        <v>0.37916737658837119</v>
      </c>
      <c r="AT114" s="6">
        <v>8.970959200578528E-2</v>
      </c>
      <c r="AU114" s="6">
        <v>0.22199819257680059</v>
      </c>
    </row>
    <row r="115" spans="1:47" x14ac:dyDescent="0.4">
      <c r="A115" s="6">
        <f t="shared" si="40"/>
        <v>0.60430211540024703</v>
      </c>
      <c r="B115" s="6">
        <f>'Aerosol 1'!A119</f>
        <v>1.8299746520164126</v>
      </c>
      <c r="C115" t="b">
        <f t="shared" si="41"/>
        <v>0</v>
      </c>
      <c r="E115" s="46">
        <f>'Aerosol 1'!$P119</f>
        <v>0.23333888806560121</v>
      </c>
      <c r="F115" s="46">
        <f>'Aerosol 2'!$P119</f>
        <v>0.23333888806560121</v>
      </c>
      <c r="G115" s="46">
        <f>'Aerosol 3'!$P119</f>
        <v>0.23333888806560121</v>
      </c>
      <c r="H115" s="46">
        <f t="shared" si="42"/>
        <v>0.70001666419680364</v>
      </c>
      <c r="I115" s="46">
        <f>NORMSINV(SUM(H$13:H115)/H$317)</f>
        <v>-1.5833867452504411</v>
      </c>
      <c r="J115" s="46">
        <f t="shared" si="37"/>
        <v>0.12600299955542466</v>
      </c>
      <c r="K115" s="46">
        <f t="shared" si="38"/>
        <v>0.35000833209840182</v>
      </c>
      <c r="L115" s="46">
        <f t="shared" si="39"/>
        <v>0.69998866353023581</v>
      </c>
      <c r="M115" s="46">
        <f t="shared" si="43"/>
        <v>1.1759999951840623</v>
      </c>
      <c r="N115" s="46">
        <f>IF(ISNUMBER(NORMSINV(SUM(M$13:M115)/M$317)),NORMSINV(SUM(M$13:M115)/M$317)," ")</f>
        <v>-1.5833867452504411</v>
      </c>
      <c r="O115" s="46">
        <f t="shared" si="44"/>
        <v>0.4456661841959938</v>
      </c>
      <c r="P115" s="46">
        <f>IF(ISNUMBER(NORMSINV(SUM(O$13:O115)/O$317)),NORMSINV(SUM(O$13:O115)/O$317)," ")</f>
        <v>-1.8463025374625204</v>
      </c>
      <c r="Q115" s="46">
        <f t="shared" si="45"/>
        <v>0.1083543784881197</v>
      </c>
      <c r="R115" s="46">
        <f>IF(ISNUMBER(NORMSINV(SUM(Q$13:Q115)/Q$317)),NORMSINV(SUM(Q$13:Q115)/Q$317)," ")</f>
        <v>-1.2875098967989627</v>
      </c>
      <c r="S115" s="46">
        <f t="shared" si="46"/>
        <v>0.28796093046249577</v>
      </c>
      <c r="T115" s="46">
        <f>IF(ISNUMBER(NORMSINV(SUM(S$13:S115)/S$317)),NORMSINV(SUM(S$13:S115)/S$317)," ")</f>
        <v>-0.29620440853713259</v>
      </c>
      <c r="U115" s="46">
        <f t="shared" si="47"/>
        <v>4.770494256526317E-2</v>
      </c>
      <c r="V115" s="46">
        <f>IF(ISNUMBER(NORMSINV(SUM(U$13:U115)/U$317)),NORMSINV(SUM(U$13:U115)/U$317)," ")</f>
        <v>-1.803636929160348</v>
      </c>
      <c r="W115" s="46">
        <f t="shared" si="48"/>
        <v>1.4142203744793518E-2</v>
      </c>
      <c r="X115" s="46">
        <f>IF(ISNUMBER(NORMSINV(SUM(W$13:W115)/W$317)),NORMSINV(SUM(W$13:W115)/W$317)," ")</f>
        <v>-1.2191549123373908</v>
      </c>
      <c r="Y115" s="46">
        <f t="shared" si="49"/>
        <v>3.4644378526159599E-2</v>
      </c>
      <c r="Z115" s="46">
        <f>IF(ISNUMBER(NORMSINV(SUM(Y$13:Y115)/Y$317)),NORMSINV(SUM(Y$13:Y115)/Y$317)," ")</f>
        <v>-0.28980163680716547</v>
      </c>
      <c r="AA115" s="46">
        <f t="shared" si="50"/>
        <v>0.12571554537811211</v>
      </c>
      <c r="AB115" s="46">
        <f>IF(ISNUMBER(NORMSINV(SUM(AA$13:AA115)/AA$317)),NORMSINV(SUM(AA$13:AA115)/AA$317)," ")</f>
        <v>-1.8679006013376338</v>
      </c>
      <c r="AC115" s="46">
        <f t="shared" si="51"/>
        <v>2.869614724511645E-2</v>
      </c>
      <c r="AD115" s="46">
        <f>IF(ISNUMBER(NORMSINV(SUM(AC$13:AC115)/AC$317)),NORMSINV(SUM(AC$13:AC115)/AC$317)," ")</f>
        <v>-1.29073045459064</v>
      </c>
      <c r="AE115" s="46">
        <f t="shared" si="52"/>
        <v>9.6398048993555752E-2</v>
      </c>
      <c r="AF115" s="46">
        <f>IF(ISNUMBER(NORMSINV(SUM(AE$13:AE115)/AE$317)),NORMSINV(SUM(AE$13:AE115)/AE$317)," ")</f>
        <v>-0.42630019859844864</v>
      </c>
      <c r="AG115" s="46">
        <f t="shared" si="53"/>
        <v>0.27224569625261852</v>
      </c>
      <c r="AH115" s="46">
        <f>IF(ISNUMBER(NORMSINV(SUM(AG$13:AG115)/AG$317)),NORMSINV(SUM(AG$13:AG115)/AG$317)," ")</f>
        <v>-1.8429493206767769</v>
      </c>
      <c r="AI115" s="46">
        <f t="shared" si="54"/>
        <v>6.5516027498209728E-2</v>
      </c>
      <c r="AJ115" s="46">
        <f>IF(ISNUMBER(NORMSINV(SUM(AI$13:AI115)/AI$317)),NORMSINV(SUM(AI$13:AI115)/AI$317)," ")</f>
        <v>-1.3000611059219296</v>
      </c>
      <c r="AK115" s="46">
        <f t="shared" si="55"/>
        <v>0.15691850294278042</v>
      </c>
      <c r="AL115" s="46">
        <f>IF(ISNUMBER(NORMSINV(SUM(AK$13:AK115)/AK$317)),NORMSINV(SUM(AK$13:AK115)/AK$317)," ")</f>
        <v>-0.20093115656676466</v>
      </c>
      <c r="AM115" s="6">
        <v>0.37860164229089882</v>
      </c>
      <c r="AN115" s="6">
        <v>0.11223704034579604</v>
      </c>
      <c r="AO115" s="6">
        <v>0.27494883969742845</v>
      </c>
      <c r="AP115" s="6">
        <v>0.35917872190187827</v>
      </c>
      <c r="AQ115" s="6">
        <v>8.1987040345796042E-2</v>
      </c>
      <c r="AR115" s="6">
        <v>0.27541644056191861</v>
      </c>
      <c r="AS115" s="6">
        <v>0.38892872190187827</v>
      </c>
      <c r="AT115" s="6">
        <v>9.3595840778041089E-2</v>
      </c>
      <c r="AU115" s="6">
        <v>0.22417292038902054</v>
      </c>
    </row>
    <row r="116" spans="1:47" x14ac:dyDescent="0.4">
      <c r="A116" s="6">
        <f t="shared" si="40"/>
        <v>0.6387806928314258</v>
      </c>
      <c r="B116" s="6">
        <f>'Aerosol 1'!A120</f>
        <v>1.8941698957594661</v>
      </c>
      <c r="C116" t="b">
        <f t="shared" si="41"/>
        <v>0</v>
      </c>
      <c r="E116" s="46">
        <f>'Aerosol 1'!$P120</f>
        <v>0.24120719910978097</v>
      </c>
      <c r="F116" s="46">
        <f>'Aerosol 2'!$P120</f>
        <v>0.24120719910978097</v>
      </c>
      <c r="G116" s="46">
        <f>'Aerosol 3'!$P120</f>
        <v>0.24120719910978097</v>
      </c>
      <c r="H116" s="46">
        <f t="shared" si="42"/>
        <v>0.72362159732934295</v>
      </c>
      <c r="I116" s="46">
        <f>NORMSINV(SUM(H$13:H116)/H$317)</f>
        <v>-1.5624512229739074</v>
      </c>
      <c r="J116" s="46">
        <f t="shared" si="37"/>
        <v>0.13025188751928174</v>
      </c>
      <c r="K116" s="46">
        <f t="shared" si="38"/>
        <v>0.36181079866467147</v>
      </c>
      <c r="L116" s="46">
        <f t="shared" si="39"/>
        <v>0.72359265246544979</v>
      </c>
      <c r="M116" s="46">
        <f t="shared" si="43"/>
        <v>1.2156553386494031</v>
      </c>
      <c r="N116" s="46">
        <f>IF(ISNUMBER(NORMSINV(SUM(M$13:M116)/M$317)),NORMSINV(SUM(M$13:M116)/M$317)," ")</f>
        <v>-1.5624512229739074</v>
      </c>
      <c r="O116" s="46">
        <f t="shared" si="44"/>
        <v>0.47302608431108506</v>
      </c>
      <c r="P116" s="46">
        <f>IF(ISNUMBER(NORMSINV(SUM(O$13:O116)/O$317)),NORMSINV(SUM(O$13:O116)/O$317)," ")</f>
        <v>-1.8139499711729716</v>
      </c>
      <c r="Q116" s="46">
        <f t="shared" si="45"/>
        <v>0.11613080993604619</v>
      </c>
      <c r="R116" s="46">
        <f>IF(ISNUMBER(NORMSINV(SUM(Q$13:Q116)/Q$317)),NORMSINV(SUM(Q$13:Q116)/Q$317)," ")</f>
        <v>-1.2541723236105904</v>
      </c>
      <c r="S116" s="46">
        <f t="shared" si="46"/>
        <v>0.29943634474920378</v>
      </c>
      <c r="T116" s="46">
        <f>IF(ISNUMBER(NORMSINV(SUM(S$13:S116)/S$317)),NORMSINV(SUM(S$13:S116)/S$317)," ")</f>
        <v>-0.23627038337764519</v>
      </c>
      <c r="U116" s="46">
        <f t="shared" si="47"/>
        <v>5.0925747038650541E-2</v>
      </c>
      <c r="V116" s="46">
        <f>IF(ISNUMBER(NORMSINV(SUM(U$13:U116)/U$317)),NORMSINV(SUM(U$13:U116)/U$317)," ")</f>
        <v>-1.7684084914450129</v>
      </c>
      <c r="W116" s="46">
        <f t="shared" si="48"/>
        <v>1.4936513033431497E-2</v>
      </c>
      <c r="X116" s="46">
        <f>IF(ISNUMBER(NORMSINV(SUM(W$13:W116)/W$317)),NORMSINV(SUM(W$13:W116)/W$317)," ")</f>
        <v>-1.1855903529989611</v>
      </c>
      <c r="Y116" s="46">
        <f t="shared" si="49"/>
        <v>3.5524414801379738E-2</v>
      </c>
      <c r="Z116" s="46">
        <f>IF(ISNUMBER(NORMSINV(SUM(Y$13:Y116)/Y$317)),NORMSINV(SUM(Y$13:Y116)/Y$317)," ")</f>
        <v>-0.23629114027872739</v>
      </c>
      <c r="AA116" s="46">
        <f t="shared" si="50"/>
        <v>0.13352804603509008</v>
      </c>
      <c r="AB116" s="46">
        <f>IF(ISNUMBER(NORMSINV(SUM(AA$13:AA116)/AA$317)),NORMSINV(SUM(AA$13:AA116)/AA$317)," ")</f>
        <v>-1.835110993120594</v>
      </c>
      <c r="AC116" s="46">
        <f t="shared" si="51"/>
        <v>3.0545537322147837E-2</v>
      </c>
      <c r="AD116" s="46">
        <f>IF(ISNUMBER(NORMSINV(SUM(AC$13:AC116)/AC$317)),NORMSINV(SUM(AC$13:AC116)/AC$317)," ")</f>
        <v>-1.2595103979597035</v>
      </c>
      <c r="AE116" s="46">
        <f t="shared" si="52"/>
        <v>0.10047234295534983</v>
      </c>
      <c r="AF116" s="46">
        <f>IF(ISNUMBER(NORMSINV(SUM(AE$13:AE116)/AE$317)),NORMSINV(SUM(AE$13:AE116)/AE$317)," ")</f>
        <v>-0.37067539290646351</v>
      </c>
      <c r="AG116" s="46">
        <f t="shared" si="53"/>
        <v>0.28857229123734446</v>
      </c>
      <c r="AH116" s="46">
        <f>IF(ISNUMBER(NORMSINV(SUM(AG$13:AG116)/AG$317)),NORMSINV(SUM(AG$13:AG116)/AG$317)," ")</f>
        <v>-1.8112407395277781</v>
      </c>
      <c r="AI116" s="46">
        <f t="shared" si="54"/>
        <v>7.0648759580466847E-2</v>
      </c>
      <c r="AJ116" s="46">
        <f>IF(ISNUMBER(NORMSINV(SUM(AI$13:AI116)/AI$317)),NORMSINV(SUM(AI$13:AI116)/AI$317)," ")</f>
        <v>-1.2657473136918758</v>
      </c>
      <c r="AK116" s="46">
        <f t="shared" si="55"/>
        <v>0.16343958699247418</v>
      </c>
      <c r="AL116" s="46">
        <f>IF(ISNUMBER(NORMSINV(SUM(AK$13:AK116)/AK$317)),NORMSINV(SUM(AK$13:AK116)/AK$317)," ")</f>
        <v>-0.13550261633100152</v>
      </c>
      <c r="AM116" s="6">
        <v>0.39097895630197133</v>
      </c>
      <c r="AN116" s="6">
        <v>0.11467406206470813</v>
      </c>
      <c r="AO116" s="6">
        <v>0.27273627644068427</v>
      </c>
      <c r="AP116" s="6">
        <v>0.36905489423726323</v>
      </c>
      <c r="AQ116" s="6">
        <v>8.4424062064708122E-2</v>
      </c>
      <c r="AR116" s="6">
        <v>0.27769304654853111</v>
      </c>
      <c r="AS116" s="6">
        <v>0.39880489423726323</v>
      </c>
      <c r="AT116" s="6">
        <v>9.7636093097062226E-2</v>
      </c>
      <c r="AU116" s="6">
        <v>0.22587236953774642</v>
      </c>
    </row>
    <row r="117" spans="1:47" x14ac:dyDescent="0.4">
      <c r="A117" s="6">
        <f t="shared" si="40"/>
        <v>0.67325927026260468</v>
      </c>
      <c r="B117" s="6">
        <f>'Aerosol 1'!A121</f>
        <v>1.9606170992849625</v>
      </c>
      <c r="C117" t="b">
        <f t="shared" si="41"/>
        <v>0</v>
      </c>
      <c r="E117" s="46">
        <f>'Aerosol 1'!$P121</f>
        <v>0.24923181035156408</v>
      </c>
      <c r="F117" s="46">
        <f>'Aerosol 2'!$P121</f>
        <v>0.24923181035156408</v>
      </c>
      <c r="G117" s="46">
        <f>'Aerosol 3'!$P121</f>
        <v>0.24923181035156408</v>
      </c>
      <c r="H117" s="46">
        <f t="shared" si="42"/>
        <v>0.74769543105469227</v>
      </c>
      <c r="I117" s="46">
        <f>NORMSINV(SUM(H$13:H117)/H$317)</f>
        <v>-1.5415153385595446</v>
      </c>
      <c r="J117" s="46">
        <f t="shared" si="37"/>
        <v>0.13458517758984462</v>
      </c>
      <c r="K117" s="46">
        <f t="shared" si="38"/>
        <v>0.37384771552734614</v>
      </c>
      <c r="L117" s="46">
        <f t="shared" si="39"/>
        <v>0.74766552323745006</v>
      </c>
      <c r="M117" s="46">
        <f t="shared" si="43"/>
        <v>1.2560984163546407</v>
      </c>
      <c r="N117" s="46">
        <f>IF(ISNUMBER(NORMSINV(SUM(M$13:M117)/M$317)),NORMSINV(SUM(M$13:M117)/M$317)," ")</f>
        <v>-1.5415153385595446</v>
      </c>
      <c r="O117" s="46">
        <f t="shared" si="44"/>
        <v>0.5011224406871323</v>
      </c>
      <c r="P117" s="46">
        <f>IF(ISNUMBER(NORMSINV(SUM(O$13:O117)/O$317)),NORMSINV(SUM(O$13:O117)/O$317)," ")</f>
        <v>-1.7816282223091726</v>
      </c>
      <c r="Q117" s="46">
        <f t="shared" si="45"/>
        <v>0.12418116909430893</v>
      </c>
      <c r="R117" s="46">
        <f>IF(ISNUMBER(NORMSINV(SUM(Q$13:Q117)/Q$317)),NORMSINV(SUM(Q$13:Q117)/Q$317)," ")</f>
        <v>-1.2200010530958718</v>
      </c>
      <c r="S117" s="46">
        <f t="shared" si="46"/>
        <v>0.3104734298095001</v>
      </c>
      <c r="T117" s="46">
        <f>IF(ISNUMBER(NORMSINV(SUM(S$13:S117)/S$317)),NORMSINV(SUM(S$13:S117)/S$317)," ")</f>
        <v>-0.17500872437944151</v>
      </c>
      <c r="U117" s="46">
        <f t="shared" si="47"/>
        <v>5.4310916682462622E-2</v>
      </c>
      <c r="V117" s="46">
        <f>IF(ISNUMBER(NORMSINV(SUM(U$13:U117)/U$317)),NORMSINV(SUM(U$13:U117)/U$317)," ")</f>
        <v>-1.7331094362244368</v>
      </c>
      <c r="W117" s="46">
        <f t="shared" si="48"/>
        <v>1.5795774239642547E-2</v>
      </c>
      <c r="X117" s="46">
        <f>IF(ISNUMBER(NORMSINV(SUM(W$13:W117)/W$317)),NORMSINV(SUM(W$13:W117)/W$317)," ")</f>
        <v>-1.1514902340145661</v>
      </c>
      <c r="Y117" s="46">
        <f t="shared" si="49"/>
        <v>3.6355982076422245E-2</v>
      </c>
      <c r="Z117" s="46">
        <f>IF(ISNUMBER(NORMSINV(SUM(Y$13:Y117)/Y$317)),NORMSINV(SUM(Y$13:Y117)/Y$317)," ")</f>
        <v>-0.18221900631823681</v>
      </c>
      <c r="AA117" s="46">
        <f t="shared" si="50"/>
        <v>0.14156016946854214</v>
      </c>
      <c r="AB117" s="46">
        <f>IF(ISNUMBER(NORMSINV(SUM(AA$13:AA117)/AA$317)),NORMSINV(SUM(AA$13:AA117)/AA$317)," ")</f>
        <v>-1.8023771711653043</v>
      </c>
      <c r="AC117" s="46">
        <f t="shared" si="51"/>
        <v>3.2366831406510387E-2</v>
      </c>
      <c r="AD117" s="46">
        <f>IF(ISNUMBER(NORMSINV(SUM(AC$13:AC117)/AC$317)),NORMSINV(SUM(AC$13:AC117)/AC$317)," ")</f>
        <v>-1.2277157056571104</v>
      </c>
      <c r="AE117" s="46">
        <f t="shared" si="52"/>
        <v>0.10436837110494231</v>
      </c>
      <c r="AF117" s="46">
        <f>IF(ISNUMBER(NORMSINV(SUM(AE$13:AE117)/AE$317)),NORMSINV(SUM(AE$13:AE117)/AE$317)," ")</f>
        <v>-0.31408167157424682</v>
      </c>
      <c r="AG117" s="46">
        <f t="shared" si="53"/>
        <v>0.30525135453612751</v>
      </c>
      <c r="AH117" s="46">
        <f>IF(ISNUMBER(NORMSINV(SUM(AG$13:AG117)/AG$317)),NORMSINV(SUM(AG$13:AG117)/AG$317)," ")</f>
        <v>-1.7795702716082653</v>
      </c>
      <c r="AI117" s="46">
        <f t="shared" si="54"/>
        <v>7.6018563448155996E-2</v>
      </c>
      <c r="AJ117" s="46">
        <f>IF(ISNUMBER(NORMSINV(SUM(AI$13:AI117)/AI$317)),NORMSINV(SUM(AI$13:AI117)/AI$317)," ")</f>
        <v>-1.230417046258756</v>
      </c>
      <c r="AK117" s="46">
        <f t="shared" si="55"/>
        <v>0.16974907662813557</v>
      </c>
      <c r="AL117" s="46">
        <f>IF(ISNUMBER(NORMSINV(SUM(AK$13:AK117)/AK$317)),NORMSINV(SUM(AK$13:AK117)/AK$317)," ")</f>
        <v>-6.8153741267866122E-2</v>
      </c>
      <c r="AM117" s="6">
        <v>0.40354307699454084</v>
      </c>
      <c r="AN117" s="6">
        <v>0.11736637364168732</v>
      </c>
      <c r="AO117" s="6">
        <v>0.27013362635831267</v>
      </c>
      <c r="AP117" s="6">
        <v>0.37865730774590572</v>
      </c>
      <c r="AQ117" s="6">
        <v>8.6577582427791566E-2</v>
      </c>
      <c r="AR117" s="6">
        <v>0.27917348901736966</v>
      </c>
      <c r="AS117" s="6">
        <v>0.40827260994243164</v>
      </c>
      <c r="AT117" s="6">
        <v>0.10167456046253101</v>
      </c>
      <c r="AU117" s="6">
        <v>0.22703879121389578</v>
      </c>
    </row>
    <row r="118" spans="1:47" x14ac:dyDescent="0.4">
      <c r="A118" s="6">
        <f t="shared" si="40"/>
        <v>0.70773784769378356</v>
      </c>
      <c r="B118" s="6">
        <f>'Aerosol 1'!A122</f>
        <v>2.0293952610134389</v>
      </c>
      <c r="C118" t="b">
        <f t="shared" si="41"/>
        <v>0</v>
      </c>
      <c r="E118" s="46">
        <f>'Aerosol 1'!$P122</f>
        <v>0.25741078747239382</v>
      </c>
      <c r="F118" s="46">
        <f>'Aerosol 2'!$P122</f>
        <v>0.25741078747239382</v>
      </c>
      <c r="G118" s="46">
        <f>'Aerosol 3'!$P122</f>
        <v>0.25741078747239382</v>
      </c>
      <c r="H118" s="46">
        <f t="shared" si="42"/>
        <v>0.77223236241718141</v>
      </c>
      <c r="I118" s="46">
        <f>NORMSINV(SUM(H$13:H118)/H$317)</f>
        <v>-1.5205790839419038</v>
      </c>
      <c r="J118" s="46">
        <f t="shared" si="37"/>
        <v>0.13900182523509266</v>
      </c>
      <c r="K118" s="46">
        <f t="shared" si="38"/>
        <v>0.3861161812085907</v>
      </c>
      <c r="L118" s="46">
        <f t="shared" si="39"/>
        <v>0.77220147312268483</v>
      </c>
      <c r="M118" s="46">
        <f t="shared" si="43"/>
        <v>1.2973194795663683</v>
      </c>
      <c r="N118" s="46">
        <f>IF(ISNUMBER(NORMSINV(SUM(M$13:M118)/M$317)),NORMSINV(SUM(M$13:M118)/M$317)," ")</f>
        <v>-1.5205790839419044</v>
      </c>
      <c r="O118" s="46">
        <f t="shared" si="44"/>
        <v>0.53015254443778692</v>
      </c>
      <c r="P118" s="46">
        <f>IF(ISNUMBER(NORMSINV(SUM(O$13:O118)/O$317)),NORMSINV(SUM(O$13:O118)/O$317)," ")</f>
        <v>-1.749346227052609</v>
      </c>
      <c r="Q118" s="46">
        <f t="shared" si="45"/>
        <v>0.13286487443696743</v>
      </c>
      <c r="R118" s="46">
        <f>IF(ISNUMBER(NORMSINV(SUM(Q$13:Q118)/Q$317)),NORMSINV(SUM(Q$13:Q118)/Q$317)," ")</f>
        <v>-1.1849515235708308</v>
      </c>
      <c r="S118" s="46">
        <f t="shared" si="46"/>
        <v>0.32090511891316054</v>
      </c>
      <c r="T118" s="46">
        <f>IF(ISNUMBER(NORMSINV(SUM(S$13:S118)/S$317)),NORMSINV(SUM(S$13:S118)/S$317)," ")</f>
        <v>-0.11236953104529786</v>
      </c>
      <c r="U118" s="46">
        <f t="shared" si="47"/>
        <v>5.7841392566622456E-2</v>
      </c>
      <c r="V118" s="46">
        <f>IF(ISNUMBER(NORMSINV(SUM(U$13:U118)/U$317)),NORMSINV(SUM(U$13:U118)/U$317)," ")</f>
        <v>-1.6977483734177339</v>
      </c>
      <c r="W118" s="46">
        <f t="shared" si="48"/>
        <v>1.6643177424919223E-2</v>
      </c>
      <c r="X118" s="46">
        <f>IF(ISNUMBER(NORMSINV(SUM(W$13:W118)/W$317)),NORMSINV(SUM(W$13:W118)/W$317)," ")</f>
        <v>-1.1169526476527329</v>
      </c>
      <c r="Y118" s="46">
        <f t="shared" si="49"/>
        <v>3.7128889401511211E-2</v>
      </c>
      <c r="Z118" s="46">
        <f>IF(ISNUMBER(NORMSINV(SUM(Y$13:Y118)/Y$317)),NORMSINV(SUM(Y$13:Y118)/Y$317)," ")</f>
        <v>-0.12754104507623909</v>
      </c>
      <c r="AA118" s="46">
        <f t="shared" si="50"/>
        <v>0.14993212025987931</v>
      </c>
      <c r="AB118" s="46">
        <f>IF(ISNUMBER(NORMSINV(SUM(AA$13:AA118)/AA$317)),NORMSINV(SUM(AA$13:AA118)/AA$317)," ")</f>
        <v>-1.7696921437139665</v>
      </c>
      <c r="AC118" s="46">
        <f t="shared" si="51"/>
        <v>3.4164917739784938E-2</v>
      </c>
      <c r="AD118" s="46">
        <f>IF(ISNUMBER(NORMSINV(SUM(AC$13:AC118)/AC$317)),NORMSINV(SUM(AC$13:AC118)/AC$317)," ")</f>
        <v>-1.1954486674660043</v>
      </c>
      <c r="AE118" s="46">
        <f t="shared" si="52"/>
        <v>0.10818478030822914</v>
      </c>
      <c r="AF118" s="46">
        <f>IF(ISNUMBER(NORMSINV(SUM(AE$13:AE118)/AE$317)),NORMSINV(SUM(AE$13:AE118)/AE$317)," ")</f>
        <v>-0.25645995405854993</v>
      </c>
      <c r="AG118" s="46">
        <f t="shared" si="53"/>
        <v>0.32237903161128512</v>
      </c>
      <c r="AH118" s="46">
        <f>IF(ISNUMBER(NORMSINV(SUM(AG$13:AG118)/AG$317)),NORMSINV(SUM(AG$13:AG118)/AG$317)," ")</f>
        <v>-1.747954057762841</v>
      </c>
      <c r="AI118" s="46">
        <f t="shared" si="54"/>
        <v>8.2056779272263278E-2</v>
      </c>
      <c r="AJ118" s="46">
        <f>IF(ISNUMBER(NORMSINV(SUM(AI$13:AI118)/AI$317)),NORMSINV(SUM(AI$13:AI118)/AI$317)," ")</f>
        <v>-1.1939283103674894</v>
      </c>
      <c r="AK118" s="46">
        <f t="shared" si="55"/>
        <v>0.17559144920342018</v>
      </c>
      <c r="AL118" s="46">
        <f>IF(ISNUMBER(NORMSINV(SUM(AK$13:AK118)/AK$317)),NORMSINV(SUM(AK$13:AK118)/AK$317)," ")</f>
        <v>1.1926391942647288E-3</v>
      </c>
      <c r="AM118" s="6">
        <v>0.41611966223318131</v>
      </c>
      <c r="AN118" s="6">
        <v>0.11973351714461844</v>
      </c>
      <c r="AO118" s="6">
        <v>0.26711080475896931</v>
      </c>
      <c r="AP118" s="6">
        <v>0.38830830604035682</v>
      </c>
      <c r="AQ118" s="6">
        <v>8.848351714461844E-2</v>
      </c>
      <c r="AR118" s="6">
        <v>0.28018711873094154</v>
      </c>
      <c r="AS118" s="6">
        <v>0.41748046699215063</v>
      </c>
      <c r="AT118" s="6">
        <v>0.10626343270291375</v>
      </c>
      <c r="AU118" s="6">
        <v>0.22739072031726465</v>
      </c>
    </row>
    <row r="119" spans="1:47" x14ac:dyDescent="0.4">
      <c r="A119" s="6">
        <f t="shared" si="40"/>
        <v>0.74221642512496244</v>
      </c>
      <c r="B119" s="6">
        <f>'Aerosol 1'!A123</f>
        <v>2.1005861506184975</v>
      </c>
      <c r="C119" t="b">
        <f t="shared" si="41"/>
        <v>0</v>
      </c>
      <c r="E119" s="46">
        <f>'Aerosol 1'!$P123</f>
        <v>0.26574192643863681</v>
      </c>
      <c r="F119" s="46">
        <f>'Aerosol 2'!$P123</f>
        <v>0.26574192643863681</v>
      </c>
      <c r="G119" s="46">
        <f>'Aerosol 3'!$P123</f>
        <v>0.26574192643863681</v>
      </c>
      <c r="H119" s="46">
        <f t="shared" si="42"/>
        <v>0.79722577931591043</v>
      </c>
      <c r="I119" s="46">
        <f>NORMSINV(SUM(H$13:H119)/H$317)</f>
        <v>-1.4996424508321307</v>
      </c>
      <c r="J119" s="46">
        <f t="shared" si="37"/>
        <v>0.14350064027686388</v>
      </c>
      <c r="K119" s="46">
        <f t="shared" si="38"/>
        <v>0.39861288965795522</v>
      </c>
      <c r="L119" s="46">
        <f t="shared" si="39"/>
        <v>0.79719389028473786</v>
      </c>
      <c r="M119" s="46">
        <f t="shared" si="43"/>
        <v>1.339307420219557</v>
      </c>
      <c r="N119" s="46">
        <f>IF(ISNUMBER(NORMSINV(SUM(M$13:M119)/M$317)),NORMSINV(SUM(M$13:M119)/M$317)," ")</f>
        <v>-1.4996424508321307</v>
      </c>
      <c r="O119" s="46">
        <f t="shared" si="44"/>
        <v>0.56067798718509709</v>
      </c>
      <c r="P119" s="46">
        <f>IF(ISNUMBER(NORMSINV(SUM(O$13:O119)/O$317)),NORMSINV(SUM(O$13:O119)/O$317)," ")</f>
        <v>-1.7170794729089305</v>
      </c>
      <c r="Q119" s="46">
        <f t="shared" si="45"/>
        <v>0.14277738940100412</v>
      </c>
      <c r="R119" s="46">
        <f>IF(ISNUMBER(NORMSINV(SUM(Q$13:Q119)/Q$317)),NORMSINV(SUM(Q$13:Q119)/Q$317)," ")</f>
        <v>-1.1488415681548449</v>
      </c>
      <c r="S119" s="46">
        <f t="shared" si="46"/>
        <v>0.33043268047680446</v>
      </c>
      <c r="T119" s="46">
        <f>IF(ISNUMBER(NORMSINV(SUM(S$13:S119)/S$317)),NORMSINV(SUM(S$13:S119)/S$317)," ")</f>
        <v>-4.832600763432833E-2</v>
      </c>
      <c r="U119" s="46">
        <f t="shared" si="47"/>
        <v>6.1520203921067648E-2</v>
      </c>
      <c r="V119" s="46">
        <f>IF(ISNUMBER(NORMSINV(SUM(U$13:U119)/U$317)),NORMSINV(SUM(U$13:U119)/U$317)," ")</f>
        <v>-1.6623311969059476</v>
      </c>
      <c r="W119" s="46">
        <f t="shared" si="48"/>
        <v>1.7496349917794297E-2</v>
      </c>
      <c r="X119" s="46">
        <f>IF(ISNUMBER(NORMSINV(SUM(W$13:W119)/W$317)),NORMSINV(SUM(W$13:W119)/W$317)," ")</f>
        <v>-1.082025900845873</v>
      </c>
      <c r="Y119" s="46">
        <f t="shared" si="49"/>
        <v>3.7762124784781394E-2</v>
      </c>
      <c r="Z119" s="46">
        <f>IF(ISNUMBER(NORMSINV(SUM(Y$13:Y119)/Y$317)),NORMSINV(SUM(Y$13:Y119)/Y$317)," ")</f>
        <v>-7.231828155092089E-2</v>
      </c>
      <c r="AA119" s="46">
        <f t="shared" si="50"/>
        <v>0.15872803435110519</v>
      </c>
      <c r="AB119" s="46">
        <f>IF(ISNUMBER(NORMSINV(SUM(AA$13:AA119)/AA$317)),NORMSINV(SUM(AA$13:AA119)/AA$317)," ")</f>
        <v>-1.7370334006664476</v>
      </c>
      <c r="AC119" s="46">
        <f t="shared" si="51"/>
        <v>3.6177847587085622E-2</v>
      </c>
      <c r="AD119" s="46">
        <f>IF(ISNUMBER(NORMSINV(SUM(AC$13:AC119)/AC$317)),NORMSINV(SUM(AC$13:AC119)/AC$317)," ")</f>
        <v>-1.162584885044633</v>
      </c>
      <c r="AE119" s="46">
        <f t="shared" si="52"/>
        <v>0.11191056877147093</v>
      </c>
      <c r="AF119" s="46">
        <f>IF(ISNUMBER(NORMSINV(SUM(AE$13:AE119)/AE$317)),NORMSINV(SUM(AE$13:AE119)/AE$317)," ")</f>
        <v>-0.19773498468070325</v>
      </c>
      <c r="AG119" s="46">
        <f t="shared" si="53"/>
        <v>0.34042974891292421</v>
      </c>
      <c r="AH119" s="46">
        <f>IF(ISNUMBER(NORMSINV(SUM(AG$13:AG119)/AG$317)),NORMSINV(SUM(AG$13:AG119)/AG$317)," ")</f>
        <v>-1.7163617813968379</v>
      </c>
      <c r="AI119" s="46">
        <f t="shared" si="54"/>
        <v>8.9103191896124201E-2</v>
      </c>
      <c r="AJ119" s="46">
        <f>IF(ISNUMBER(NORMSINV(SUM(AI$13:AI119)/AI$317)),NORMSINV(SUM(AI$13:AI119)/AI$317)," ")</f>
        <v>-1.1560266350072397</v>
      </c>
      <c r="AK119" s="46">
        <f t="shared" si="55"/>
        <v>0.18075998692055215</v>
      </c>
      <c r="AL119" s="46">
        <f>IF(ISNUMBER(NORMSINV(SUM(AK$13:AK119)/AK$317)),NORMSINV(SUM(AK$13:AK119)/AK$317)," ")</f>
        <v>7.2589652911201452E-2</v>
      </c>
      <c r="AM119" s="6">
        <v>0.42871030960122025</v>
      </c>
      <c r="AN119" s="6">
        <v>0.12192523938595398</v>
      </c>
      <c r="AO119" s="6">
        <v>0.26314952122809204</v>
      </c>
      <c r="AP119" s="6">
        <v>0.3982009575438159</v>
      </c>
      <c r="AQ119" s="6">
        <v>9.0759352057404333E-2</v>
      </c>
      <c r="AR119" s="6">
        <v>0.28075</v>
      </c>
      <c r="AS119" s="6">
        <v>0.42703507021526615</v>
      </c>
      <c r="AT119" s="6">
        <v>0.11177104212915977</v>
      </c>
      <c r="AU119" s="6">
        <v>0.22674532397129785</v>
      </c>
    </row>
    <row r="120" spans="1:47" x14ac:dyDescent="0.4">
      <c r="A120" s="6">
        <f t="shared" si="40"/>
        <v>0.77669500255614121</v>
      </c>
      <c r="B120" s="6">
        <f>'Aerosol 1'!A124</f>
        <v>2.1742744062419574</v>
      </c>
      <c r="C120" t="b">
        <f t="shared" si="41"/>
        <v>0</v>
      </c>
      <c r="E120" s="46">
        <f>'Aerosol 1'!$P124</f>
        <v>0.27422274856905154</v>
      </c>
      <c r="F120" s="46">
        <f>'Aerosol 2'!$P124</f>
        <v>0.27422274856905154</v>
      </c>
      <c r="G120" s="46">
        <f>'Aerosol 3'!$P124</f>
        <v>0.27422274856905154</v>
      </c>
      <c r="H120" s="46">
        <f t="shared" si="42"/>
        <v>0.82266824570715458</v>
      </c>
      <c r="I120" s="46">
        <f>NORMSINV(SUM(H$13:H120)/H$317)</f>
        <v>-1.4787054307106662</v>
      </c>
      <c r="J120" s="46">
        <f t="shared" si="37"/>
        <v>0.14808028422728783</v>
      </c>
      <c r="K120" s="46">
        <f t="shared" si="38"/>
        <v>0.41133412285357729</v>
      </c>
      <c r="L120" s="46">
        <f t="shared" si="39"/>
        <v>0.82263533897732632</v>
      </c>
      <c r="M120" s="46">
        <f t="shared" si="43"/>
        <v>1.3820497460581915</v>
      </c>
      <c r="N120" s="46">
        <f>IF(ISNUMBER(NORMSINV(SUM(M$13:M120)/M$317)),NORMSINV(SUM(M$13:M120)/M$317)," ")</f>
        <v>-1.4787054307106662</v>
      </c>
      <c r="O120" s="46">
        <f t="shared" si="44"/>
        <v>0.59302149342431387</v>
      </c>
      <c r="P120" s="46">
        <f>IF(ISNUMBER(NORMSINV(SUM(O$13:O120)/O$317)),NORMSINV(SUM(O$13:O120)/O$317)," ")</f>
        <v>-1.6847912302483496</v>
      </c>
      <c r="Q120" s="46">
        <f t="shared" si="45"/>
        <v>0.15378806162092679</v>
      </c>
      <c r="R120" s="46">
        <f>IF(ISNUMBER(NORMSINV(SUM(Q$13:Q120)/Q$317)),NORMSINV(SUM(Q$13:Q120)/Q$317)," ")</f>
        <v>-1.1115521493849303</v>
      </c>
      <c r="S120" s="46">
        <f t="shared" si="46"/>
        <v>0.33864230196610001</v>
      </c>
      <c r="T120" s="46">
        <f>IF(ISNUMBER(NORMSINV(SUM(S$13:S120)/S$317)),NORMSINV(SUM(S$13:S120)/S$317)," ")</f>
        <v>1.7105692648589767E-2</v>
      </c>
      <c r="U120" s="46">
        <f t="shared" si="47"/>
        <v>6.534792022289497E-2</v>
      </c>
      <c r="V120" s="46">
        <f>IF(ISNUMBER(NORMSINV(SUM(U$13:U120)/U$317)),NORMSINV(SUM(U$13:U120)/U$317)," ")</f>
        <v>-1.6268626786697986</v>
      </c>
      <c r="W120" s="46">
        <f t="shared" si="48"/>
        <v>1.8429668544128919E-2</v>
      </c>
      <c r="X120" s="46">
        <f>IF(ISNUMBER(NORMSINV(SUM(W$13:W120)/W$317)),NORMSINV(SUM(W$13:W120)/W$317)," ")</f>
        <v>-1.0466095403455373</v>
      </c>
      <c r="Y120" s="46">
        <f t="shared" si="49"/>
        <v>3.8226094795893929E-2</v>
      </c>
      <c r="Z120" s="46">
        <f>IF(ISNUMBER(NORMSINV(SUM(Y$13:Y120)/Y$317)),NORMSINV(SUM(Y$13:Y120)/Y$317)," ")</f>
        <v>-1.6640209912152908E-2</v>
      </c>
      <c r="AA120" s="46">
        <f t="shared" si="50"/>
        <v>0.16791120326761039</v>
      </c>
      <c r="AB120" s="46">
        <f>IF(ISNUMBER(NORMSINV(SUM(AA$13:AA120)/AA$317)),NORMSINV(SUM(AA$13:AA120)/AA$317)," ")</f>
        <v>-1.7043899393738322</v>
      </c>
      <c r="AC120" s="46">
        <f t="shared" si="51"/>
        <v>3.8369434417590234E-2</v>
      </c>
      <c r="AD120" s="46">
        <f>IF(ISNUMBER(NORMSINV(SUM(AC$13:AC120)/AC$317)),NORMSINV(SUM(AC$13:AC120)/AC$317)," ")</f>
        <v>-1.1290496522972764</v>
      </c>
      <c r="AE120" s="46">
        <f t="shared" si="52"/>
        <v>0.11538507964762139</v>
      </c>
      <c r="AF120" s="46">
        <f>IF(ISNUMBER(NORMSINV(SUM(AE$13:AE120)/AE$317)),NORMSINV(SUM(AE$13:AE120)/AE$317)," ")</f>
        <v>-0.13789089347578201</v>
      </c>
      <c r="AG120" s="46">
        <f t="shared" si="53"/>
        <v>0.3597623699338085</v>
      </c>
      <c r="AH120" s="46">
        <f>IF(ISNUMBER(NORMSINV(SUM(AG$13:AG120)/AG$317)),NORMSINV(SUM(AG$13:AG120)/AG$317)," ")</f>
        <v>-1.6847382465537286</v>
      </c>
      <c r="AI120" s="46">
        <f t="shared" si="54"/>
        <v>9.6988958659207647E-2</v>
      </c>
      <c r="AJ120" s="46">
        <f>IF(ISNUMBER(NORMSINV(SUM(AI$13:AI120)/AI$317)),NORMSINV(SUM(AI$13:AI120)/AI$317)," ")</f>
        <v>-1.1165738636416649</v>
      </c>
      <c r="AK120" s="46">
        <f t="shared" si="55"/>
        <v>0.18503112752258469</v>
      </c>
      <c r="AL120" s="46">
        <f>IF(ISNUMBER(NORMSINV(SUM(AK$13:AK120)/AK$317)),NORMSINV(SUM(AK$13:AK120)/AK$317)," ")</f>
        <v>0.14606248783250608</v>
      </c>
      <c r="AM120" s="6">
        <v>0.44130061313626812</v>
      </c>
      <c r="AN120" s="6">
        <v>0.12445727424348602</v>
      </c>
      <c r="AO120" s="6">
        <v>0.25814439103331843</v>
      </c>
      <c r="AP120" s="6">
        <v>0.40821121793336307</v>
      </c>
      <c r="AQ120" s="6">
        <v>9.3280455682614519E-2</v>
      </c>
      <c r="AR120" s="6">
        <v>0.28051424191883795</v>
      </c>
      <c r="AS120" s="6">
        <v>0.43732909697394406</v>
      </c>
      <c r="AT120" s="6">
        <v>0.11790030656813405</v>
      </c>
      <c r="AU120" s="6">
        <v>0.22492484671593296</v>
      </c>
    </row>
    <row r="121" spans="1:47" x14ac:dyDescent="0.4">
      <c r="A121" s="6">
        <f t="shared" si="40"/>
        <v>0.8111735799873202</v>
      </c>
      <c r="B121" s="6">
        <f>'Aerosol 1'!A125</f>
        <v>2.2505476351193017</v>
      </c>
      <c r="C121" t="b">
        <f t="shared" si="41"/>
        <v>0</v>
      </c>
      <c r="E121" s="46">
        <f>'Aerosol 1'!$P125</f>
        <v>0.28285049605149548</v>
      </c>
      <c r="F121" s="46">
        <f>'Aerosol 2'!$P125</f>
        <v>0.28285049605149548</v>
      </c>
      <c r="G121" s="46">
        <f>'Aerosol 3'!$P125</f>
        <v>0.28285049605149548</v>
      </c>
      <c r="H121" s="46">
        <f t="shared" si="42"/>
        <v>0.84855148815448644</v>
      </c>
      <c r="I121" s="46">
        <f>NORMSINV(SUM(H$13:H121)/H$317)</f>
        <v>-1.457768014819689</v>
      </c>
      <c r="J121" s="46">
        <f t="shared" si="37"/>
        <v>0.15273926786780756</v>
      </c>
      <c r="K121" s="46">
        <f t="shared" si="38"/>
        <v>0.42427574407724322</v>
      </c>
      <c r="L121" s="46">
        <f t="shared" si="39"/>
        <v>0.84851754609496033</v>
      </c>
      <c r="M121" s="46">
        <f t="shared" si="43"/>
        <v>1.4255325580400111</v>
      </c>
      <c r="N121" s="46">
        <f>IF(ISNUMBER(NORMSINV(SUM(M$13:M121)/M$317)),NORMSINV(SUM(M$13:M121)/M$317)," ")</f>
        <v>-1.457768014819689</v>
      </c>
      <c r="O121" s="46">
        <f t="shared" si="44"/>
        <v>0.62709305177803554</v>
      </c>
      <c r="P121" s="46">
        <f>IF(ISNUMBER(NORMSINV(SUM(O$13:O121)/O$317)),NORMSINV(SUM(O$13:O121)/O$317)," ")</f>
        <v>-1.6524567413490869</v>
      </c>
      <c r="Q121" s="46">
        <f t="shared" si="45"/>
        <v>0.16538353515662169</v>
      </c>
      <c r="R121" s="46">
        <f>IF(ISNUMBER(NORMSINV(SUM(Q$13:Q121)/Q$317)),NORMSINV(SUM(Q$13:Q121)/Q$317)," ")</f>
        <v>-1.0731035159158753</v>
      </c>
      <c r="S121" s="46">
        <f t="shared" si="46"/>
        <v>0.34528179101412815</v>
      </c>
      <c r="T121" s="46">
        <f>IF(ISNUMBER(NORMSINV(SUM(S$13:S121)/S$317)),NORMSINV(SUM(S$13:S121)/S$317)," ")</f>
        <v>8.3897722895962465E-2</v>
      </c>
      <c r="U121" s="46">
        <f t="shared" si="47"/>
        <v>6.9327354414116818E-2</v>
      </c>
      <c r="V121" s="46">
        <f>IF(ISNUMBER(NORMSINV(SUM(U$13:U121)/U$317)),NORMSINV(SUM(U$13:U121)/U$317)," ")</f>
        <v>-1.5913452510394019</v>
      </c>
      <c r="W121" s="46">
        <f t="shared" si="48"/>
        <v>1.9421674774644852E-2</v>
      </c>
      <c r="X121" s="46">
        <f>IF(ISNUMBER(NORMSINV(SUM(W$13:W121)/W$317)),NORMSINV(SUM(W$13:W121)/W$317)," ")</f>
        <v>-1.0106547778553148</v>
      </c>
      <c r="Y121" s="46">
        <f t="shared" si="49"/>
        <v>3.8638808457689043E-2</v>
      </c>
      <c r="Z121" s="46">
        <f>IF(ISNUMBER(NORMSINV(SUM(Y$13:Y121)/Y$317)),NORMSINV(SUM(Y$13:Y121)/Y$317)," ")</f>
        <v>3.9587212460524969E-2</v>
      </c>
      <c r="AA121" s="46">
        <f t="shared" si="50"/>
        <v>0.17761156941799092</v>
      </c>
      <c r="AB121" s="46">
        <f>IF(ISNUMBER(NORMSINV(SUM(AA$13:AA121)/AA$317)),NORMSINV(SUM(AA$13:AA121)/AA$317)," ")</f>
        <v>-1.6717295937060257</v>
      </c>
      <c r="AC121" s="46">
        <f t="shared" si="51"/>
        <v>4.0492687224653642E-2</v>
      </c>
      <c r="AD121" s="46">
        <f>IF(ISNUMBER(NORMSINV(SUM(AC$13:AC121)/AC$317)),NORMSINV(SUM(AC$13:AC121)/AC$317)," ")</f>
        <v>-1.0949835802427179</v>
      </c>
      <c r="AE121" s="46">
        <f t="shared" si="52"/>
        <v>0.11857637538264536</v>
      </c>
      <c r="AF121" s="46">
        <f>IF(ISNUMBER(NORMSINV(SUM(AE$13:AE121)/AE$317)),NORMSINV(SUM(AE$13:AE121)/AE$317)," ")</f>
        <v>-7.690031380541737E-2</v>
      </c>
      <c r="AG121" s="46">
        <f t="shared" si="53"/>
        <v>0.38015412794592779</v>
      </c>
      <c r="AH121" s="46">
        <f>IF(ISNUMBER(NORMSINV(SUM(AG$13:AG121)/AG$317)),NORMSINV(SUM(AG$13:AG121)/AG$317)," ")</f>
        <v>-1.6530573586562505</v>
      </c>
      <c r="AI121" s="46">
        <f t="shared" si="54"/>
        <v>0.10546917315732318</v>
      </c>
      <c r="AJ121" s="46">
        <f>IF(ISNUMBER(NORMSINV(SUM(AI$13:AI121)/AI$317)),NORMSINV(SUM(AI$13:AI121)/AI$317)," ")</f>
        <v>-1.0755554784522396</v>
      </c>
      <c r="AK121" s="46">
        <f t="shared" si="55"/>
        <v>0.18806660717379373</v>
      </c>
      <c r="AL121" s="46">
        <f>IF(ISNUMBER(NORMSINV(SUM(AK$13:AK121)/AK$317)),NORMSINV(SUM(AK$13:AK121)/AK$317)," ")</f>
        <v>0.22156095749894683</v>
      </c>
      <c r="AM121" s="6">
        <v>0.45389345766746836</v>
      </c>
      <c r="AN121" s="6">
        <v>0.12715574092874321</v>
      </c>
      <c r="AO121" s="6">
        <v>0.25297232988657553</v>
      </c>
      <c r="AP121" s="6">
        <v>0.41862296371497293</v>
      </c>
      <c r="AQ121" s="6">
        <v>9.5439552672805128E-2</v>
      </c>
      <c r="AR121" s="6">
        <v>0.27947950604750449</v>
      </c>
      <c r="AS121" s="6">
        <v>0.44802152848278698</v>
      </c>
      <c r="AT121" s="6">
        <v>0.12429816406591997</v>
      </c>
      <c r="AU121" s="6">
        <v>0.2216413886068852</v>
      </c>
    </row>
    <row r="122" spans="1:47" x14ac:dyDescent="0.4">
      <c r="A122" s="6">
        <f t="shared" si="40"/>
        <v>0.84565215741849897</v>
      </c>
      <c r="B122" s="6">
        <f>'Aerosol 1'!A126</f>
        <v>2.3294965177350488</v>
      </c>
      <c r="C122" t="b">
        <f t="shared" si="41"/>
        <v>0</v>
      </c>
      <c r="E122" s="46">
        <f>'Aerosol 1'!$P126</f>
        <v>0.29162212793561737</v>
      </c>
      <c r="F122" s="46">
        <f>'Aerosol 2'!$P126</f>
        <v>0.29162212793561737</v>
      </c>
      <c r="G122" s="46">
        <f>'Aerosol 3'!$P126</f>
        <v>0.29162212793561737</v>
      </c>
      <c r="H122" s="46">
        <f t="shared" si="42"/>
        <v>0.87486638380685211</v>
      </c>
      <c r="I122" s="46">
        <f>NORMSINV(SUM(H$13:H122)/H$317)</f>
        <v>-1.4368301941552653</v>
      </c>
      <c r="J122" s="46">
        <f t="shared" si="37"/>
        <v>0.15747594908523338</v>
      </c>
      <c r="K122" s="46">
        <f t="shared" si="38"/>
        <v>0.43743319190342606</v>
      </c>
      <c r="L122" s="46">
        <f t="shared" si="39"/>
        <v>0.87483138915149983</v>
      </c>
      <c r="M122" s="46">
        <f t="shared" si="43"/>
        <v>1.4697405301401592</v>
      </c>
      <c r="N122" s="46">
        <f>IF(ISNUMBER(NORMSINV(SUM(M$13:M122)/M$317)),NORMSINV(SUM(M$13:M122)/M$317)," ")</f>
        <v>-1.4368301941552659</v>
      </c>
      <c r="O122" s="46">
        <f t="shared" si="44"/>
        <v>0.66211161423812304</v>
      </c>
      <c r="P122" s="46">
        <f>IF(ISNUMBER(NORMSINV(SUM(O$13:O122)/O$317)),NORMSINV(SUM(O$13:O122)/O$317)," ")</f>
        <v>-1.6200934987122162</v>
      </c>
      <c r="Q122" s="46">
        <f t="shared" si="45"/>
        <v>0.17832145011458939</v>
      </c>
      <c r="R122" s="46">
        <f>IF(ISNUMBER(NORMSINV(SUM(Q$13:Q122)/Q$317)),NORMSINV(SUM(Q$13:Q122)/Q$317)," ")</f>
        <v>-1.0333498670769505</v>
      </c>
      <c r="S122" s="46">
        <f t="shared" si="46"/>
        <v>0.35078904187220228</v>
      </c>
      <c r="T122" s="46">
        <f>IF(ISNUMBER(NORMSINV(SUM(S$13:S122)/S$317)),NORMSINV(SUM(S$13:S122)/S$317)," ")</f>
        <v>0.15214264532714633</v>
      </c>
      <c r="U122" s="46">
        <f t="shared" si="47"/>
        <v>7.3457085837446812E-2</v>
      </c>
      <c r="V122" s="46">
        <f>IF(ISNUMBER(NORMSINV(SUM(U$13:U122)/U$317)),NORMSINV(SUM(U$13:U122)/U$317)," ")</f>
        <v>-1.5557812499807788</v>
      </c>
      <c r="W122" s="46">
        <f t="shared" si="48"/>
        <v>2.0444950470668515E-2</v>
      </c>
      <c r="X122" s="46">
        <f>IF(ISNUMBER(NORMSINV(SUM(W$13:W122)/W$317)),NORMSINV(SUM(W$13:W122)/W$317)," ")</f>
        <v>-0.97416585219673768</v>
      </c>
      <c r="Y122" s="46">
        <f t="shared" si="49"/>
        <v>3.9012548450272938E-2</v>
      </c>
      <c r="Z122" s="46">
        <f>IF(ISNUMBER(NORMSINV(SUM(Y$13:Y122)/Y$317)),NORMSINV(SUM(Y$13:Y122)/Y$317)," ")</f>
        <v>9.6486453477803463E-2</v>
      </c>
      <c r="AA122" s="46">
        <f t="shared" si="50"/>
        <v>0.1878470670321607</v>
      </c>
      <c r="AB122" s="46">
        <f>IF(ISNUMBER(NORMSINV(SUM(AA$13:AA122)/AA$317)),NORMSINV(SUM(AA$13:AA122)/AA$317)," ")</f>
        <v>-1.6390235969922846</v>
      </c>
      <c r="AC122" s="46">
        <f t="shared" si="51"/>
        <v>4.3027749067219408E-2</v>
      </c>
      <c r="AD122" s="46">
        <f>IF(ISNUMBER(NORMSINV(SUM(AC$13:AC122)/AC$317)),NORMSINV(SUM(AC$13:AC122)/AC$317)," ")</f>
        <v>-1.0601249695294115</v>
      </c>
      <c r="AE122" s="46">
        <f t="shared" si="52"/>
        <v>0.12145097247021557</v>
      </c>
      <c r="AF122" s="46">
        <f>IF(ISNUMBER(NORMSINV(SUM(AE$13:AE122)/AE$317)),NORMSINV(SUM(AE$13:AE122)/AE$317)," ")</f>
        <v>-1.4724702136971139E-2</v>
      </c>
      <c r="AG122" s="46">
        <f t="shared" si="53"/>
        <v>0.40080746136851553</v>
      </c>
      <c r="AH122" s="46">
        <f>IF(ISNUMBER(NORMSINV(SUM(AG$13:AG122)/AG$317)),NORMSINV(SUM(AG$13:AG122)/AG$317)," ")</f>
        <v>-1.6213598413775481</v>
      </c>
      <c r="AI122" s="46">
        <f t="shared" si="54"/>
        <v>0.11484875057670145</v>
      </c>
      <c r="AJ122" s="46">
        <f>IF(ISNUMBER(NORMSINV(SUM(AI$13:AI122)/AI$317)),NORMSINV(SUM(AI$13:AI122)/AI$317)," ")</f>
        <v>-1.0328546360018709</v>
      </c>
      <c r="AK122" s="46">
        <f t="shared" si="55"/>
        <v>0.19032552095171376</v>
      </c>
      <c r="AL122" s="46">
        <f>IF(ISNUMBER(NORMSINV(SUM(AK$13:AK122)/AK$317)),NORMSINV(SUM(AK$13:AK122)/AK$317)," ")</f>
        <v>0.29927787386828941</v>
      </c>
      <c r="AM122" s="6">
        <v>0.46646542703285049</v>
      </c>
      <c r="AN122" s="6">
        <v>0.1298290347791633</v>
      </c>
      <c r="AO122" s="6">
        <v>0.24773655073612236</v>
      </c>
      <c r="AP122" s="6">
        <v>0.4294303004643335</v>
      </c>
      <c r="AQ122" s="6">
        <v>9.8364161347680321E-2</v>
      </c>
      <c r="AR122" s="6">
        <v>0.27764462029444897</v>
      </c>
      <c r="AS122" s="6">
        <v>0.45815395553794569</v>
      </c>
      <c r="AT122" s="6">
        <v>0.13128101254813618</v>
      </c>
      <c r="AU122" s="6">
        <v>0.21755680387315635</v>
      </c>
    </row>
    <row r="123" spans="1:47" x14ac:dyDescent="0.4">
      <c r="A123" s="6">
        <f t="shared" si="40"/>
        <v>0.88013073484967774</v>
      </c>
      <c r="B123" s="6">
        <f>'Aerosol 1'!A127</f>
        <v>2.4112149156318821</v>
      </c>
      <c r="C123" t="b">
        <f t="shared" si="41"/>
        <v>0</v>
      </c>
      <c r="E123" s="46">
        <f>'Aerosol 1'!$P127</f>
        <v>0.30053431662701996</v>
      </c>
      <c r="F123" s="46">
        <f>'Aerosol 2'!$P127</f>
        <v>0.30053431662701996</v>
      </c>
      <c r="G123" s="46">
        <f>'Aerosol 3'!$P127</f>
        <v>0.30053431662701996</v>
      </c>
      <c r="H123" s="46">
        <f t="shared" si="42"/>
        <v>0.90160294988105982</v>
      </c>
      <c r="I123" s="46">
        <f>NORMSINV(SUM(H$13:H123)/H$317)</f>
        <v>-1.4158919594592045</v>
      </c>
      <c r="J123" s="46">
        <f t="shared" si="37"/>
        <v>0.16228853097859078</v>
      </c>
      <c r="K123" s="46">
        <f t="shared" si="38"/>
        <v>0.45080147494052991</v>
      </c>
      <c r="L123" s="46">
        <f t="shared" si="39"/>
        <v>0.90156688576306465</v>
      </c>
      <c r="M123" s="46">
        <f t="shared" si="43"/>
        <v>1.5146568916821854</v>
      </c>
      <c r="N123" s="46">
        <f>IF(ISNUMBER(NORMSINV(SUM(M$13:M123)/M$317)),NORMSINV(SUM(M$13:M123)/M$317)," ")</f>
        <v>-1.4158919594592045</v>
      </c>
      <c r="O123" s="46">
        <f t="shared" si="44"/>
        <v>0.69854682845617622</v>
      </c>
      <c r="P123" s="46">
        <f>IF(ISNUMBER(NORMSINV(SUM(O$13:O123)/O$317)),NORMSINV(SUM(O$13:O123)/O$317)," ")</f>
        <v>-1.5876942435643817</v>
      </c>
      <c r="Q123" s="46">
        <f t="shared" si="45"/>
        <v>0.19189155012065323</v>
      </c>
      <c r="R123" s="46">
        <f>IF(ISNUMBER(NORMSINV(SUM(Q$13:Q123)/Q$317)),NORMSINV(SUM(Q$13:Q123)/Q$317)," ")</f>
        <v>-0.99231906078027687</v>
      </c>
      <c r="S123" s="46">
        <f t="shared" si="46"/>
        <v>0.35474907117584309</v>
      </c>
      <c r="T123" s="46">
        <f>IF(ISNUMBER(NORMSINV(SUM(S$13:S123)/S$317)),NORMSINV(SUM(S$13:S123)/S$317)," ")</f>
        <v>0.22188835923913544</v>
      </c>
      <c r="U123" s="46">
        <f t="shared" si="47"/>
        <v>7.7632988393582805E-2</v>
      </c>
      <c r="V123" s="46">
        <f>IF(ISNUMBER(NORMSINV(SUM(U$13:U123)/U$317)),NORMSINV(SUM(U$13:U123)/U$317)," ")</f>
        <v>-1.5202183876331066</v>
      </c>
      <c r="W123" s="46">
        <f t="shared" si="48"/>
        <v>2.1397668906133201E-2</v>
      </c>
      <c r="X123" s="46">
        <f>IF(ISNUMBER(NORMSINV(SUM(W$13:W123)/W$317)),NORMSINV(SUM(W$13:W123)/W$317)," ")</f>
        <v>-0.93731641441128222</v>
      </c>
      <c r="Y123" s="46">
        <f t="shared" si="49"/>
        <v>3.9111782310487009E-2</v>
      </c>
      <c r="Z123" s="46">
        <f>IF(ISNUMBER(NORMSINV(SUM(Y$13:Y123)/Y$317)),NORMSINV(SUM(Y$13:Y123)/Y$317)," ")</f>
        <v>0.15384614836422689</v>
      </c>
      <c r="AA123" s="46">
        <f t="shared" si="50"/>
        <v>0.19854687860485504</v>
      </c>
      <c r="AB123" s="46">
        <f>IF(ISNUMBER(NORMSINV(SUM(AA$13:AA123)/AA$317)),NORMSINV(SUM(AA$13:AA123)/AA$317)," ")</f>
        <v>-1.6062603393344652</v>
      </c>
      <c r="AC123" s="46">
        <f t="shared" si="51"/>
        <v>4.5658379527596459E-2</v>
      </c>
      <c r="AD123" s="46">
        <f>IF(ISNUMBER(NORMSINV(SUM(AC$13:AC123)/AC$317)),NORMSINV(SUM(AC$13:AC123)/AC$317)," ")</f>
        <v>-1.0244914315399569</v>
      </c>
      <c r="AE123" s="46">
        <f t="shared" si="52"/>
        <v>0.12394813925117275</v>
      </c>
      <c r="AF123" s="46">
        <f>IF(ISNUMBER(NORMSINV(SUM(AE$13:AE123)/AE$317)),NORMSINV(SUM(AE$13:AE123)/AE$317)," ")</f>
        <v>4.8672311246122653E-2</v>
      </c>
      <c r="AG123" s="46">
        <f t="shared" si="53"/>
        <v>0.42236696145773839</v>
      </c>
      <c r="AH123" s="46">
        <f>IF(ISNUMBER(NORMSINV(SUM(AG$13:AG123)/AG$317)),NORMSINV(SUM(AG$13:AG123)/AG$317)," ")</f>
        <v>-1.5896312610096135</v>
      </c>
      <c r="AI123" s="46">
        <f t="shared" si="54"/>
        <v>0.12483550168692359</v>
      </c>
      <c r="AJ123" s="46">
        <f>IF(ISNUMBER(NORMSINV(SUM(AI$13:AI123)/AI$317)),NORMSINV(SUM(AI$13:AI123)/AI$317)," ")</f>
        <v>-0.98848051210901255</v>
      </c>
      <c r="AK123" s="46">
        <f t="shared" si="55"/>
        <v>0.19168914961418332</v>
      </c>
      <c r="AL123" s="46">
        <f>IF(ISNUMBER(NORMSINV(SUM(AK$13:AK123)/AK$317)),NORMSINV(SUM(AK$13:AK123)/AK$317)," ")</f>
        <v>0.37942669830509018</v>
      </c>
      <c r="AM123" s="6">
        <v>0.4783639849683784</v>
      </c>
      <c r="AN123" s="6">
        <v>0.1318495446172718</v>
      </c>
      <c r="AO123" s="6">
        <v>0.24100151794242727</v>
      </c>
      <c r="AP123" s="6">
        <v>0.4404308540273687</v>
      </c>
      <c r="AQ123" s="6">
        <v>0.10128267555828149</v>
      </c>
      <c r="AR123" s="6">
        <v>0.27495060717697095</v>
      </c>
      <c r="AS123" s="6">
        <v>0.46848100582161145</v>
      </c>
      <c r="AT123" s="6">
        <v>0.13846504752807753</v>
      </c>
      <c r="AU123" s="6">
        <v>0.21261777982444666</v>
      </c>
    </row>
    <row r="124" spans="1:47" x14ac:dyDescent="0.4">
      <c r="A124" s="6">
        <f t="shared" si="40"/>
        <v>0.91460931228085651</v>
      </c>
      <c r="B124" s="6">
        <f>'Aerosol 1'!A128</f>
        <v>2.4957999830017044</v>
      </c>
      <c r="C124" t="b">
        <f t="shared" si="41"/>
        <v>0</v>
      </c>
      <c r="E124" s="46">
        <f>'Aerosol 1'!$P128</f>
        <v>0.3095834449084553</v>
      </c>
      <c r="F124" s="46">
        <f>'Aerosol 2'!$P128</f>
        <v>0.3095834449084553</v>
      </c>
      <c r="G124" s="46">
        <f>'Aerosol 3'!$P128</f>
        <v>0.3095834449084553</v>
      </c>
      <c r="H124" s="46">
        <f t="shared" si="42"/>
        <v>0.92875033472536583</v>
      </c>
      <c r="I124" s="46">
        <f>NORMSINV(SUM(H$13:H124)/H$317)</f>
        <v>-1.3949533012106177</v>
      </c>
      <c r="J124" s="46">
        <f t="shared" si="37"/>
        <v>0.16717506025056586</v>
      </c>
      <c r="K124" s="46">
        <f t="shared" si="38"/>
        <v>0.46437516736268292</v>
      </c>
      <c r="L124" s="46">
        <f t="shared" si="39"/>
        <v>0.92871318471197695</v>
      </c>
      <c r="M124" s="46">
        <f t="shared" si="43"/>
        <v>1.5602634123252257</v>
      </c>
      <c r="N124" s="46">
        <f>IF(ISNUMBER(NORMSINV(SUM(M$13:M124)/M$317)),NORMSINV(SUM(M$13:M124)/M$317)," ")</f>
        <v>-1.3949533012106181</v>
      </c>
      <c r="O124" s="46">
        <f t="shared" si="44"/>
        <v>0.73664465589954542</v>
      </c>
      <c r="P124" s="46">
        <f>IF(ISNUMBER(NORMSINV(SUM(O$13:O124)/O$317)),NORMSINV(SUM(O$13:O124)/O$317)," ")</f>
        <v>-1.5552422591848096</v>
      </c>
      <c r="Q124" s="46">
        <f t="shared" si="45"/>
        <v>0.20715106159608027</v>
      </c>
      <c r="R124" s="46">
        <f>IF(ISNUMBER(NORMSINV(SUM(Q$13:Q124)/Q$317)),NORMSINV(SUM(Q$13:Q124)/Q$317)," ")</f>
        <v>-0.94982264826372198</v>
      </c>
      <c r="S124" s="46">
        <f t="shared" si="46"/>
        <v>0.35655034194373525</v>
      </c>
      <c r="T124" s="46">
        <f>IF(ISNUMBER(NORMSINV(SUM(S$13:S124)/S$317)),NORMSINV(SUM(S$13:S124)/S$317)," ")</f>
        <v>0.29309499101116598</v>
      </c>
      <c r="U124" s="46">
        <f t="shared" si="47"/>
        <v>8.2164818671306539E-2</v>
      </c>
      <c r="V124" s="46">
        <f>IF(ISNUMBER(NORMSINV(SUM(U$13:U124)/U$317)),NORMSINV(SUM(U$13:U124)/U$317)," ")</f>
        <v>-1.4845626894162947</v>
      </c>
      <c r="W124" s="46">
        <f t="shared" si="48"/>
        <v>2.244859747016709E-2</v>
      </c>
      <c r="X124" s="46">
        <f>IF(ISNUMBER(NORMSINV(SUM(W$13:W124)/W$317)),NORMSINV(SUM(W$13:W124)/W$317)," ")</f>
        <v>-0.89997786055695106</v>
      </c>
      <c r="Y124" s="46">
        <f t="shared" si="49"/>
        <v>3.9165176034554557E-2</v>
      </c>
      <c r="Z124" s="46">
        <f>IF(ISNUMBER(NORMSINV(SUM(Y$13:Y124)/Y$317)),NORMSINV(SUM(Y$13:Y124)/Y$317)," ")</f>
        <v>0.21179640040240466</v>
      </c>
      <c r="AA124" s="46">
        <f t="shared" si="50"/>
        <v>0.20924065074756101</v>
      </c>
      <c r="AB124" s="46">
        <f>IF(ISNUMBER(NORMSINV(SUM(AA$13:AA124)/AA$317)),NORMSINV(SUM(AA$13:AA124)/AA$317)," ")</f>
        <v>-1.5735022478440013</v>
      </c>
      <c r="AC124" s="46">
        <f t="shared" si="51"/>
        <v>4.8290108326986235E-2</v>
      </c>
      <c r="AD124" s="46">
        <f>IF(ISNUMBER(NORMSINV(SUM(AC$13:AC124)/AC$317)),NORMSINV(SUM(AC$13:AC124)/AC$317)," ")</f>
        <v>-0.98816749115942049</v>
      </c>
      <c r="AE124" s="46">
        <f t="shared" si="52"/>
        <v>0.12604570544666527</v>
      </c>
      <c r="AF124" s="46">
        <f>IF(ISNUMBER(NORMSINV(SUM(AE$13:AE124)/AE$317)),NORMSINV(SUM(AE$13:AE124)/AE$317)," ")</f>
        <v>0.11334512684249538</v>
      </c>
      <c r="AG124" s="46">
        <f t="shared" si="53"/>
        <v>0.4452391864806779</v>
      </c>
      <c r="AH124" s="46">
        <f>IF(ISNUMBER(NORMSINV(SUM(AG$13:AG124)/AG$317)),NORMSINV(SUM(AG$13:AG124)/AG$317)," ")</f>
        <v>-1.557831269968315</v>
      </c>
      <c r="AI124" s="46">
        <f t="shared" si="54"/>
        <v>0.13641235579892694</v>
      </c>
      <c r="AJ124" s="46">
        <f>IF(ISNUMBER(NORMSINV(SUM(AI$13:AI124)/AI$317)),NORMSINV(SUM(AI$13:AI124)/AI$317)," ")</f>
        <v>-0.9421163917158164</v>
      </c>
      <c r="AK124" s="46">
        <f t="shared" si="55"/>
        <v>0.19133946046251543</v>
      </c>
      <c r="AL124" s="46">
        <f>IF(ISNUMBER(NORMSINV(SUM(AK$13:AK124)/AK$317)),NORMSINV(SUM(AK$13:AK124)/AK$317)," ")</f>
        <v>0.46194030920214257</v>
      </c>
      <c r="AM124" s="6">
        <v>0.49148969079572036</v>
      </c>
      <c r="AN124" s="6">
        <v>0.13428197625004956</v>
      </c>
      <c r="AO124" s="6">
        <v>0.23427642840895574</v>
      </c>
      <c r="AP124" s="6">
        <v>0.4505853573865663</v>
      </c>
      <c r="AQ124" s="6">
        <v>0.10398942863641769</v>
      </c>
      <c r="AR124" s="6">
        <v>0.27143076181810982</v>
      </c>
      <c r="AS124" s="6">
        <v>0.47941516693203889</v>
      </c>
      <c r="AT124" s="6">
        <v>0.14688319068198938</v>
      </c>
      <c r="AU124" s="6">
        <v>0.20602642840895577</v>
      </c>
    </row>
    <row r="125" spans="1:47" x14ac:dyDescent="0.4">
      <c r="A125" s="6">
        <f t="shared" si="40"/>
        <v>0.9490878897120355</v>
      </c>
      <c r="B125" s="6">
        <f>'Aerosol 1'!A129</f>
        <v>2.5833522821912931</v>
      </c>
      <c r="C125" t="b">
        <f t="shared" si="41"/>
        <v>0</v>
      </c>
      <c r="E125" s="46">
        <f>'Aerosol 1'!$P129</f>
        <v>0.31876560351193767</v>
      </c>
      <c r="F125" s="46">
        <f>'Aerosol 2'!$P129</f>
        <v>0.31876560351193767</v>
      </c>
      <c r="G125" s="46">
        <f>'Aerosol 3'!$P129</f>
        <v>0.31876560351193767</v>
      </c>
      <c r="H125" s="46">
        <f t="shared" si="42"/>
        <v>0.95629681053581295</v>
      </c>
      <c r="I125" s="46">
        <f>NORMSINV(SUM(H$13:H125)/H$317)</f>
        <v>-1.3740142096171413</v>
      </c>
      <c r="J125" s="46">
        <f t="shared" si="37"/>
        <v>0.17213342589644634</v>
      </c>
      <c r="K125" s="46">
        <f t="shared" si="38"/>
        <v>0.47814840526790647</v>
      </c>
      <c r="L125" s="46">
        <f t="shared" si="39"/>
        <v>0.9562585586633916</v>
      </c>
      <c r="M125" s="46">
        <f t="shared" si="43"/>
        <v>1.6065403898277444</v>
      </c>
      <c r="N125" s="46">
        <f>IF(ISNUMBER(NORMSINV(SUM(M$13:M125)/M$317)),NORMSINV(SUM(M$13:M125)/M$317)," ")</f>
        <v>-1.3740142096171413</v>
      </c>
      <c r="O125" s="46">
        <f t="shared" si="44"/>
        <v>0.77650109458100669</v>
      </c>
      <c r="P125" s="46">
        <f>IF(ISNUMBER(NORMSINV(SUM(O$13:O125)/O$317)),NORMSINV(SUM(O$13:O125)/O$317)," ")</f>
        <v>-1.5227197250888023</v>
      </c>
      <c r="Q125" s="46">
        <f t="shared" si="45"/>
        <v>0.22405608438857766</v>
      </c>
      <c r="R125" s="46">
        <f>IF(ISNUMBER(NORMSINV(SUM(Q$13:Q125)/Q$317)),NORMSINV(SUM(Q$13:Q125)/Q$317)," ")</f>
        <v>-0.90570939097046477</v>
      </c>
      <c r="S125" s="46">
        <f t="shared" si="46"/>
        <v>0.35625397427938987</v>
      </c>
      <c r="T125" s="46">
        <f>IF(ISNUMBER(NORMSINV(SUM(S$13:S125)/S$317)),NORMSINV(SUM(S$13:S125)/S$317)," ")</f>
        <v>0.36576026276439888</v>
      </c>
      <c r="U125" s="46">
        <f t="shared" si="47"/>
        <v>8.6754316606206333E-2</v>
      </c>
      <c r="V125" s="46">
        <f>IF(ISNUMBER(NORMSINV(SUM(U$13:U125)/U$317)),NORMSINV(SUM(U$13:U125)/U$317)," ")</f>
        <v>-1.4488574331128852</v>
      </c>
      <c r="W125" s="46">
        <f t="shared" si="48"/>
        <v>2.3570340058825096E-2</v>
      </c>
      <c r="X125" s="46">
        <f>IF(ISNUMBER(NORMSINV(SUM(W$13:W125)/W$317)),NORMSINV(SUM(W$13:W125)/W$317)," ")</f>
        <v>-0.86207825599400767</v>
      </c>
      <c r="Y125" s="46">
        <f t="shared" si="49"/>
        <v>3.9168685935674623E-2</v>
      </c>
      <c r="Z125" s="46">
        <f>IF(ISNUMBER(NORMSINV(SUM(Y$13:Y125)/Y$317)),NORMSINV(SUM(Y$13:Y125)/Y$317)," ")</f>
        <v>0.27047267828152799</v>
      </c>
      <c r="AA125" s="46">
        <f t="shared" si="50"/>
        <v>0.22061971936628982</v>
      </c>
      <c r="AB125" s="46">
        <f>IF(ISNUMBER(NORMSINV(SUM(AA$13:AA125)/AA$317)),NORMSINV(SUM(AA$13:AA125)/AA$317)," ")</f>
        <v>-1.5406989269862947</v>
      </c>
      <c r="AC125" s="46">
        <f t="shared" si="51"/>
        <v>5.1182955774085416E-2</v>
      </c>
      <c r="AD125" s="46">
        <f>IF(ISNUMBER(NORMSINV(SUM(AC$13:AC125)/AC$317)),NORMSINV(SUM(AC$13:AC125)/AC$317)," ")</f>
        <v>-0.9510392874862762</v>
      </c>
      <c r="AE125" s="46">
        <f t="shared" si="52"/>
        <v>0.12737334228584707</v>
      </c>
      <c r="AF125" s="46">
        <f>IF(ISNUMBER(NORMSINV(SUM(AE$13:AE125)/AE$317)),NORMSINV(SUM(AE$13:AE125)/AE$317)," ")</f>
        <v>0.17918581870339298</v>
      </c>
      <c r="AG125" s="46">
        <f t="shared" si="53"/>
        <v>0.46912705860851051</v>
      </c>
      <c r="AH125" s="46">
        <f>IF(ISNUMBER(NORMSINV(SUM(AG$13:AG125)/AG$317)),NORMSINV(SUM(AG$13:AG125)/AG$317)," ")</f>
        <v>-1.5259465298169894</v>
      </c>
      <c r="AI125" s="46">
        <f t="shared" si="54"/>
        <v>0.14930278855566714</v>
      </c>
      <c r="AJ125" s="46">
        <f>IF(ISNUMBER(NORMSINV(SUM(AI$13:AI125)/AI$317)),NORMSINV(SUM(AI$13:AI125)/AI$317)," ")</f>
        <v>-0.8935877126810956</v>
      </c>
      <c r="AK125" s="46">
        <f t="shared" si="55"/>
        <v>0.18971194605786817</v>
      </c>
      <c r="AL125" s="46">
        <f>IF(ISNUMBER(NORMSINV(SUM(AK$13:AK125)/AK$317)),NORMSINV(SUM(AK$13:AK125)/AK$317)," ")</f>
        <v>0.54698406577025072</v>
      </c>
      <c r="AM125" s="6">
        <v>0.50399459694944326</v>
      </c>
      <c r="AN125" s="6">
        <v>0.13693063933442401</v>
      </c>
      <c r="AO125" s="6">
        <v>0.22754840166394</v>
      </c>
      <c r="AP125" s="6">
        <v>0.46140427728223132</v>
      </c>
      <c r="AQ125" s="6">
        <v>0.10704407922349467</v>
      </c>
      <c r="AR125" s="6">
        <v>0.26638872133115199</v>
      </c>
      <c r="AS125" s="6">
        <v>0.49058599722676666</v>
      </c>
      <c r="AT125" s="6">
        <v>0.15613223767048401</v>
      </c>
      <c r="AU125" s="6">
        <v>0.19838980194126329</v>
      </c>
    </row>
    <row r="126" spans="1:47" x14ac:dyDescent="0.4">
      <c r="A126" s="6">
        <f t="shared" si="40"/>
        <v>0.98356646714321438</v>
      </c>
      <c r="B126" s="6">
        <f>'Aerosol 1'!A130</f>
        <v>2.6739759032598744</v>
      </c>
      <c r="C126" t="b">
        <f t="shared" si="41"/>
        <v>0</v>
      </c>
      <c r="E126" s="46">
        <f>'Aerosol 1'!$P130</f>
        <v>0.32807658926518879</v>
      </c>
      <c r="F126" s="46">
        <f>'Aerosol 2'!$P130</f>
        <v>0.32807658926518879</v>
      </c>
      <c r="G126" s="46">
        <f>'Aerosol 3'!$P130</f>
        <v>0.32807658926518879</v>
      </c>
      <c r="H126" s="46">
        <f t="shared" si="42"/>
        <v>0.98422976779556637</v>
      </c>
      <c r="I126" s="46">
        <f>NORMSINV(SUM(H$13:H126)/H$317)</f>
        <v>-1.3530746746058371</v>
      </c>
      <c r="J126" s="46">
        <f t="shared" si="37"/>
        <v>0.17716135820320195</v>
      </c>
      <c r="K126" s="46">
        <f t="shared" si="38"/>
        <v>0.49211488389778318</v>
      </c>
      <c r="L126" s="46">
        <f t="shared" si="39"/>
        <v>0.98419039860485458</v>
      </c>
      <c r="M126" s="46">
        <f t="shared" si="43"/>
        <v>1.6534666407058398</v>
      </c>
      <c r="N126" s="46">
        <f>IF(ISNUMBER(NORMSINV(SUM(M$13:M126)/M$317)),NORMSINV(SUM(M$13:M126)/M$317)," ")</f>
        <v>-1.3530746746058371</v>
      </c>
      <c r="O126" s="46">
        <f t="shared" si="44"/>
        <v>0.81782590768167474</v>
      </c>
      <c r="P126" s="46">
        <f>IF(ISNUMBER(NORMSINV(SUM(O$13:O126)/O$317)),NORMSINV(SUM(O$13:O126)/O$317)," ")</f>
        <v>-1.4901230527201348</v>
      </c>
      <c r="Q126" s="46">
        <f t="shared" si="45"/>
        <v>0.24187391483513626</v>
      </c>
      <c r="R126" s="46">
        <f>IF(ISNUMBER(NORMSINV(SUM(Q$13:Q126)/Q$317)),NORMSINV(SUM(Q$13:Q126)/Q$317)," ")</f>
        <v>-0.85998539094712256</v>
      </c>
      <c r="S126" s="46">
        <f t="shared" si="46"/>
        <v>0.35335450071027741</v>
      </c>
      <c r="T126" s="46">
        <f>IF(ISNUMBER(NORMSINV(SUM(S$13:S126)/S$317)),NORMSINV(SUM(S$13:S126)/S$317)," ")</f>
        <v>0.43979544487052802</v>
      </c>
      <c r="U126" s="46">
        <f t="shared" si="47"/>
        <v>9.1475286900737834E-2</v>
      </c>
      <c r="V126" s="46">
        <f>IF(ISNUMBER(NORMSINV(SUM(U$13:U126)/U$317)),NORMSINV(SUM(U$13:U126)/U$317)," ")</f>
        <v>-1.413108205690442</v>
      </c>
      <c r="W126" s="46">
        <f t="shared" si="48"/>
        <v>2.4708298547103481E-2</v>
      </c>
      <c r="X126" s="46">
        <f>IF(ISNUMBER(NORMSINV(SUM(W$13:W126)/W$317)),NORMSINV(SUM(W$13:W126)/W$317)," ")</f>
        <v>-0.82363461117562764</v>
      </c>
      <c r="Y126" s="46">
        <f t="shared" si="49"/>
        <v>3.8926259563853018E-2</v>
      </c>
      <c r="Z126" s="46">
        <f>IF(ISNUMBER(NORMSINV(SUM(Y$13:Y126)/Y$317)),NORMSINV(SUM(Y$13:Y126)/Y$317)," ")</f>
        <v>0.32972360990826027</v>
      </c>
      <c r="AA126" s="46">
        <f t="shared" si="50"/>
        <v>0.23247598604806244</v>
      </c>
      <c r="AB126" s="46">
        <f>IF(ISNUMBER(NORMSINV(SUM(AA$13:AA126)/AA$317)),NORMSINV(SUM(AA$13:AA126)/AA$317)," ")</f>
        <v>-1.5078376071173629</v>
      </c>
      <c r="AC126" s="46">
        <f t="shared" si="51"/>
        <v>5.4377989095758208E-2</v>
      </c>
      <c r="AD126" s="46">
        <f>IF(ISNUMBER(NORMSINV(SUM(AC$13:AC126)/AC$317)),NORMSINV(SUM(AC$13:AC126)/AC$317)," ")</f>
        <v>-0.91297832699146353</v>
      </c>
      <c r="AE126" s="46">
        <f t="shared" si="52"/>
        <v>0.12844304305974169</v>
      </c>
      <c r="AF126" s="46">
        <f>IF(ISNUMBER(NORMSINV(SUM(AE$13:AE126)/AE$317)),NORMSINV(SUM(AE$13:AE126)/AE$317)," ")</f>
        <v>0.24637721279517169</v>
      </c>
      <c r="AG126" s="46">
        <f t="shared" si="53"/>
        <v>0.49387463473287452</v>
      </c>
      <c r="AH126" s="46">
        <f>IF(ISNUMBER(NORMSINV(SUM(AG$13:AG126)/AG$317)),NORMSINV(SUM(AG$13:AG126)/AG$317)," ")</f>
        <v>-1.4939758216302064</v>
      </c>
      <c r="AI126" s="46">
        <f t="shared" si="54"/>
        <v>0.16278762719227458</v>
      </c>
      <c r="AJ126" s="46">
        <f>IF(ISNUMBER(NORMSINV(SUM(AI$13:AI126)/AI$317)),NORMSINV(SUM(AI$13:AI126)/AI$317)," ")</f>
        <v>-0.84296692161807707</v>
      </c>
      <c r="AK126" s="46">
        <f t="shared" si="55"/>
        <v>0.18598519808668268</v>
      </c>
      <c r="AL126" s="46">
        <f>IF(ISNUMBER(NORMSINV(SUM(AK$13:AK126)/AK$317)),NORMSINV(SUM(AK$13:AK126)/AK$317)," ")</f>
        <v>0.63438641952137165</v>
      </c>
      <c r="AM126" s="6">
        <v>0.51633882144782828</v>
      </c>
      <c r="AN126" s="6">
        <v>0.13946776428956567</v>
      </c>
      <c r="AO126" s="6">
        <v>0.21972206557146096</v>
      </c>
      <c r="AP126" s="6">
        <v>0.4724018591080652</v>
      </c>
      <c r="AQ126" s="6">
        <v>0.11049856623936824</v>
      </c>
      <c r="AR126" s="6">
        <v>0.26100215064094767</v>
      </c>
      <c r="AS126" s="6">
        <v>0.50180801949802567</v>
      </c>
      <c r="AT126" s="6">
        <v>0.16540257598838112</v>
      </c>
      <c r="AU126" s="6">
        <v>0.18897278245177679</v>
      </c>
    </row>
    <row r="127" spans="1:47" x14ac:dyDescent="0.4">
      <c r="A127" s="6">
        <f t="shared" si="40"/>
        <v>1.0180450445743932</v>
      </c>
      <c r="B127" s="6">
        <f>'Aerosol 1'!A131</f>
        <v>2.767778587730763</v>
      </c>
      <c r="C127" t="b">
        <f t="shared" si="41"/>
        <v>0</v>
      </c>
      <c r="E127" s="46">
        <f>'Aerosol 1'!$P131</f>
        <v>0.33751190383490004</v>
      </c>
      <c r="F127" s="46">
        <f>'Aerosol 2'!$P131</f>
        <v>0.33751190383490004</v>
      </c>
      <c r="G127" s="46">
        <f>'Aerosol 3'!$P131</f>
        <v>0.33751190383490004</v>
      </c>
      <c r="H127" s="46">
        <f t="shared" si="42"/>
        <v>1.0125357115047002</v>
      </c>
      <c r="I127" s="46">
        <f>NORMSINV(SUM(H$13:H127)/H$317)</f>
        <v>-1.3321346858137502</v>
      </c>
      <c r="J127" s="46">
        <f t="shared" si="37"/>
        <v>0.18225642807084602</v>
      </c>
      <c r="K127" s="46">
        <f t="shared" si="38"/>
        <v>0.50626785575235012</v>
      </c>
      <c r="L127" s="46">
        <f t="shared" si="39"/>
        <v>1.0124952100762399</v>
      </c>
      <c r="M127" s="46">
        <f t="shared" si="43"/>
        <v>1.7010194938994361</v>
      </c>
      <c r="N127" s="46">
        <f>IF(ISNUMBER(NORMSINV(SUM(M$13:M127)/M$317)),NORMSINV(SUM(M$13:M127)/M$317)," ")</f>
        <v>-1.3321346858137508</v>
      </c>
      <c r="O127" s="46">
        <f t="shared" si="44"/>
        <v>0.86086192297129915</v>
      </c>
      <c r="P127" s="46">
        <f>IF(ISNUMBER(NORMSINV(SUM(O$13:O127)/O$317)),NORMSINV(SUM(O$13:O127)/O$317)," ")</f>
        <v>-1.4574398247808682</v>
      </c>
      <c r="Q127" s="46">
        <f t="shared" si="45"/>
        <v>0.26083699212890121</v>
      </c>
      <c r="R127" s="46">
        <f>IF(ISNUMBER(NORMSINV(SUM(Q$13:Q127)/Q$317)),NORMSINV(SUM(Q$13:Q127)/Q$317)," ")</f>
        <v>-0.81261020677612117</v>
      </c>
      <c r="S127" s="46">
        <f t="shared" si="46"/>
        <v>0.34831441068997632</v>
      </c>
      <c r="T127" s="46">
        <f>IF(ISNUMBER(NORMSINV(SUM(S$13:S127)/S$317)),NORMSINV(SUM(S$13:S127)/S$317)," ")</f>
        <v>0.51521421790216904</v>
      </c>
      <c r="U127" s="46">
        <f t="shared" si="47"/>
        <v>9.6285627145118804E-2</v>
      </c>
      <c r="V127" s="46">
        <f>IF(ISNUMBER(NORMSINV(SUM(U$13:U127)/U$317)),NORMSINV(SUM(U$13:U127)/U$317)," ")</f>
        <v>-1.3773332285346889</v>
      </c>
      <c r="W127" s="46">
        <f t="shared" si="48"/>
        <v>2.582145312771451E-2</v>
      </c>
      <c r="X127" s="46">
        <f>IF(ISNUMBER(NORMSINV(SUM(W$13:W127)/W$317)),NORMSINV(SUM(W$13:W127)/W$317)," ")</f>
        <v>-0.78471840383532687</v>
      </c>
      <c r="Y127" s="46">
        <f t="shared" si="49"/>
        <v>3.8531427637082262E-2</v>
      </c>
      <c r="Z127" s="46">
        <f>IF(ISNUMBER(NORMSINV(SUM(Y$13:Y127)/Y$317)),NORMSINV(SUM(Y$13:Y127)/Y$317)," ")</f>
        <v>0.38953647399201302</v>
      </c>
      <c r="AA127" s="46">
        <f t="shared" si="50"/>
        <v>0.24473261417049796</v>
      </c>
      <c r="AB127" s="46">
        <f>IF(ISNUMBER(NORMSINV(SUM(AA$13:AA127)/AA$317)),NORMSINV(SUM(AA$13:AA127)/AA$317)," ")</f>
        <v>-1.4749174083561511</v>
      </c>
      <c r="AC127" s="46">
        <f t="shared" si="51"/>
        <v>5.7827069203501134E-2</v>
      </c>
      <c r="AD127" s="46">
        <f>IF(ISNUMBER(NORMSINV(SUM(AC$13:AC127)/AC$317)),NORMSINV(SUM(AC$13:AC127)/AC$317)," ")</f>
        <v>-0.873903069386468</v>
      </c>
      <c r="AE127" s="46">
        <f t="shared" si="52"/>
        <v>0.12907757171016179</v>
      </c>
      <c r="AF127" s="46">
        <f>IF(ISNUMBER(NORMSINV(SUM(AE$13:AE127)/AE$317)),NORMSINV(SUM(AE$13:AE127)/AE$317)," ")</f>
        <v>0.31504193006354769</v>
      </c>
      <c r="AG127" s="46">
        <f t="shared" si="53"/>
        <v>0.5198436816556824</v>
      </c>
      <c r="AH127" s="46">
        <f>IF(ISNUMBER(NORMSINV(SUM(AG$13:AG127)/AG$317)),NORMSINV(SUM(AG$13:AG127)/AG$317)," ")</f>
        <v>-1.4618960323079315</v>
      </c>
      <c r="AI127" s="46">
        <f t="shared" si="54"/>
        <v>0.17718846979768557</v>
      </c>
      <c r="AJ127" s="46">
        <f>IF(ISNUMBER(NORMSINV(SUM(AI$13:AI127)/AI$317)),NORMSINV(SUM(AI$13:AI127)/AI$317)," ")</f>
        <v>-0.79021501533123784</v>
      </c>
      <c r="AK127" s="46">
        <f t="shared" si="55"/>
        <v>0.18070541134273227</v>
      </c>
      <c r="AL127" s="46">
        <f>IF(ISNUMBER(NORMSINV(SUM(AK$13:AK127)/AK$317)),NORMSINV(SUM(AK$13:AK127)/AK$317)," ")</f>
        <v>0.724220942585592</v>
      </c>
      <c r="AM127" s="6">
        <v>0.52829756494344893</v>
      </c>
      <c r="AN127" s="6">
        <v>0.1416765016248277</v>
      </c>
      <c r="AO127" s="6">
        <v>0.21141327109793062</v>
      </c>
      <c r="AP127" s="6">
        <v>0.48340539773517294</v>
      </c>
      <c r="AQ127" s="6">
        <v>0.11422228084689673</v>
      </c>
      <c r="AR127" s="6">
        <v>0.25495905031999971</v>
      </c>
      <c r="AS127" s="6">
        <v>0.51342828734620749</v>
      </c>
      <c r="AT127" s="6">
        <v>0.17500178572137981</v>
      </c>
      <c r="AU127" s="6">
        <v>0.17847532466758567</v>
      </c>
    </row>
    <row r="128" spans="1:47" x14ac:dyDescent="0.4">
      <c r="A128" s="6">
        <f t="shared" si="40"/>
        <v>1.052523622005572</v>
      </c>
      <c r="B128" s="6">
        <f>'Aerosol 1'!A132</f>
        <v>2.8648718566841889</v>
      </c>
      <c r="C128" t="b">
        <f t="shared" si="41"/>
        <v>0</v>
      </c>
      <c r="E128" s="46">
        <f>'Aerosol 1'!$P132</f>
        <v>0.34706675308735779</v>
      </c>
      <c r="F128" s="46">
        <f>'Aerosol 2'!$P132</f>
        <v>0.34706675308735779</v>
      </c>
      <c r="G128" s="46">
        <f>'Aerosol 3'!$P132</f>
        <v>0.34706675308735779</v>
      </c>
      <c r="H128" s="46">
        <f t="shared" si="42"/>
        <v>1.0412002592620735</v>
      </c>
      <c r="I128" s="46">
        <f>NORMSINV(SUM(H$13:H128)/H$317)</f>
        <v>-1.3111942325780872</v>
      </c>
      <c r="J128" s="46">
        <f t="shared" si="37"/>
        <v>0.18741604666717321</v>
      </c>
      <c r="K128" s="46">
        <f t="shared" si="38"/>
        <v>0.52060012963103675</v>
      </c>
      <c r="L128" s="46">
        <f t="shared" si="39"/>
        <v>1.0411586112517028</v>
      </c>
      <c r="M128" s="46">
        <f t="shared" si="43"/>
        <v>1.7491747875499128</v>
      </c>
      <c r="N128" s="46">
        <f>IF(ISNUMBER(NORMSINV(SUM(M$13:M128)/M$317)),NORMSINV(SUM(M$13:M128)/M$317)," ")</f>
        <v>-1.3111942325780872</v>
      </c>
      <c r="O128" s="46">
        <f t="shared" si="44"/>
        <v>0.90577797731812315</v>
      </c>
      <c r="P128" s="46">
        <f>IF(ISNUMBER(NORMSINV(SUM(O$13:O128)/O$317)),NORMSINV(SUM(O$13:O128)/O$317)," ")</f>
        <v>-1.4246532933158</v>
      </c>
      <c r="Q128" s="46">
        <f t="shared" si="45"/>
        <v>0.28114183935233994</v>
      </c>
      <c r="R128" s="46">
        <f>IF(ISNUMBER(NORMSINV(SUM(Q$13:Q128)/Q$317)),NORMSINV(SUM(Q$13:Q128)/Q$317)," ")</f>
        <v>-0.76350849382281905</v>
      </c>
      <c r="S128" s="46">
        <f t="shared" si="46"/>
        <v>0.34139102256153042</v>
      </c>
      <c r="T128" s="46">
        <f>IF(ISNUMBER(NORMSINV(SUM(S$13:S128)/S$317)),NORMSINV(SUM(S$13:S128)/S$317)," ")</f>
        <v>0.59209282787828077</v>
      </c>
      <c r="U128" s="46">
        <f t="shared" si="47"/>
        <v>0.10126059754559336</v>
      </c>
      <c r="V128" s="46">
        <f>IF(ISNUMBER(NORMSINV(SUM(U$13:U128)/U$317)),NORMSINV(SUM(U$13:U128)/U$317)," ")</f>
        <v>-1.3415194841279294</v>
      </c>
      <c r="W128" s="46">
        <f t="shared" si="48"/>
        <v>2.6970984782136834E-2</v>
      </c>
      <c r="X128" s="46">
        <f>IF(ISNUMBER(NORMSINV(SUM(W$13:W128)/W$317)),NORMSINV(SUM(W$13:W128)/W$317)," ")</f>
        <v>-0.74529968338895225</v>
      </c>
      <c r="Y128" s="46">
        <f t="shared" si="49"/>
        <v>3.8064055073312057E-2</v>
      </c>
      <c r="Z128" s="46">
        <f>IF(ISNUMBER(NORMSINV(SUM(Y$13:Y128)/Y$317)),NORMSINV(SUM(Y$13:Y128)/Y$317)," ")</f>
        <v>0.45002500637313253</v>
      </c>
      <c r="AA128" s="46">
        <f t="shared" si="50"/>
        <v>0.25755762712417885</v>
      </c>
      <c r="AB128" s="46">
        <f>IF(ISNUMBER(NORMSINV(SUM(AA$13:AA128)/AA$317)),NORMSINV(SUM(AA$13:AA128)/AA$317)," ")</f>
        <v>-1.4419158786389681</v>
      </c>
      <c r="AC128" s="46">
        <f t="shared" si="51"/>
        <v>6.1452808010709938E-2</v>
      </c>
      <c r="AD128" s="46">
        <f>IF(ISNUMBER(NORMSINV(SUM(AC$13:AC128)/AC$317)),NORMSINV(SUM(AC$13:AC128)/AC$317)," ")</f>
        <v>-0.83378944989654036</v>
      </c>
      <c r="AE128" s="46">
        <f t="shared" si="52"/>
        <v>0.12917461647777861</v>
      </c>
      <c r="AF128" s="46">
        <f>IF(ISNUMBER(NORMSINV(SUM(AE$13:AE128)/AE$317)),NORMSINV(SUM(AE$13:AE128)/AE$317)," ")</f>
        <v>0.38528023982723397</v>
      </c>
      <c r="AG128" s="46">
        <f t="shared" si="53"/>
        <v>0.54695975264835095</v>
      </c>
      <c r="AH128" s="46">
        <f>IF(ISNUMBER(NORMSINV(SUM(AG$13:AG128)/AG$317)),NORMSINV(SUM(AG$13:AG128)/AG$317)," ")</f>
        <v>-1.4296920583983577</v>
      </c>
      <c r="AI128" s="46">
        <f t="shared" si="54"/>
        <v>0.19271804655949315</v>
      </c>
      <c r="AJ128" s="46">
        <f>IF(ISNUMBER(NORMSINV(SUM(AI$13:AI128)/AI$317)),NORMSINV(SUM(AI$13:AI128)/AI$317)," ")</f>
        <v>-0.73522838798869683</v>
      </c>
      <c r="AK128" s="46">
        <f t="shared" si="55"/>
        <v>0.17415235101043972</v>
      </c>
      <c r="AL128" s="46">
        <f>IF(ISNUMBER(NORMSINV(SUM(AK$13:AK128)/AK$317)),NORMSINV(SUM(AK$13:AK128)/AK$317)," ")</f>
        <v>0.81670874383029723</v>
      </c>
      <c r="AM128" s="6">
        <v>0.54029843946830847</v>
      </c>
      <c r="AN128" s="6">
        <v>0.14390968789366171</v>
      </c>
      <c r="AO128" s="6">
        <v>0.20309923163041063</v>
      </c>
      <c r="AP128" s="6">
        <v>0.49473216095185535</v>
      </c>
      <c r="AQ128" s="6">
        <v>0.11804224492656809</v>
      </c>
      <c r="AR128" s="6">
        <v>0.24812636249116599</v>
      </c>
      <c r="AS128" s="6">
        <v>0.52533758712400636</v>
      </c>
      <c r="AT128" s="6">
        <v>0.18509960391894895</v>
      </c>
      <c r="AU128" s="6">
        <v>0.16726783904814474</v>
      </c>
    </row>
    <row r="129" spans="1:47" x14ac:dyDescent="0.4">
      <c r="A129" s="6">
        <f t="shared" si="40"/>
        <v>1.0870021994367509</v>
      </c>
      <c r="B129" s="6">
        <f>'Aerosol 1'!A133</f>
        <v>2.9653711433436016</v>
      </c>
      <c r="C129" t="b">
        <f t="shared" si="41"/>
        <v>0</v>
      </c>
      <c r="E129" s="46">
        <f>'Aerosol 1'!$P133</f>
        <v>0.35673604708665041</v>
      </c>
      <c r="F129" s="46">
        <f>'Aerosol 2'!$P133</f>
        <v>0.35673604708665041</v>
      </c>
      <c r="G129" s="46">
        <f>'Aerosol 3'!$P133</f>
        <v>0.35673604708665041</v>
      </c>
      <c r="H129" s="46">
        <f t="shared" si="42"/>
        <v>1.0702081412599513</v>
      </c>
      <c r="I129" s="46">
        <f>NORMSINV(SUM(H$13:H129)/H$317)</f>
        <v>-1.2902533039260282</v>
      </c>
      <c r="J129" s="46">
        <f t="shared" si="37"/>
        <v>0.19263746542679122</v>
      </c>
      <c r="K129" s="46">
        <f t="shared" si="38"/>
        <v>0.53510407062997567</v>
      </c>
      <c r="L129" s="46">
        <f t="shared" si="39"/>
        <v>1.0701653329343008</v>
      </c>
      <c r="M129" s="46">
        <f t="shared" si="43"/>
        <v>1.7979068689910678</v>
      </c>
      <c r="N129" s="46">
        <f>IF(ISNUMBER(NORMSINV(SUM(M$13:M129)/M$317)),NORMSINV(SUM(M$13:M129)/M$317)," ")</f>
        <v>-1.2902533039260282</v>
      </c>
      <c r="O129" s="46">
        <f t="shared" si="44"/>
        <v>0.95261396140337595</v>
      </c>
      <c r="P129" s="46">
        <f>IF(ISNUMBER(NORMSINV(SUM(O$13:O129)/O$317)),NORMSINV(SUM(O$13:O129)/O$317)," ")</f>
        <v>-1.3917476589532984</v>
      </c>
      <c r="Q129" s="46">
        <f t="shared" si="45"/>
        <v>0.30217523866694046</v>
      </c>
      <c r="R129" s="46">
        <f>IF(ISNUMBER(NORMSINV(SUM(Q$13:Q129)/Q$317)),NORMSINV(SUM(Q$13:Q129)/Q$317)," ")</f>
        <v>-0.71270652153021008</v>
      </c>
      <c r="S129" s="46">
        <f t="shared" si="46"/>
        <v>0.33206765681880551</v>
      </c>
      <c r="T129" s="46">
        <f>IF(ISNUMBER(NORMSINV(SUM(S$13:S129)/S$317)),NORMSINV(SUM(S$13:S129)/S$317)," ")</f>
        <v>0.67038807666152</v>
      </c>
      <c r="U129" s="46">
        <f t="shared" si="47"/>
        <v>0.10646338678149618</v>
      </c>
      <c r="V129" s="46">
        <f>IF(ISNUMBER(NORMSINV(SUM(U$13:U129)/U$317)),NORMSINV(SUM(U$13:U129)/U$317)," ")</f>
        <v>-1.3056334634484035</v>
      </c>
      <c r="W129" s="46">
        <f t="shared" si="48"/>
        <v>2.8198730491849702E-2</v>
      </c>
      <c r="X129" s="46">
        <f>IF(ISNUMBER(NORMSINV(SUM(W$13:W129)/W$317)),NORMSINV(SUM(W$13:W129)/W$317)," ")</f>
        <v>-0.70528817449802839</v>
      </c>
      <c r="Y129" s="46">
        <f t="shared" si="49"/>
        <v>3.7506857665824338E-2</v>
      </c>
      <c r="Z129" s="46">
        <f>IF(ISNUMBER(NORMSINV(SUM(Y$13:Y129)/Y$317)),NORMSINV(SUM(Y$13:Y129)/Y$317)," ")</f>
        <v>0.5112838509929778</v>
      </c>
      <c r="AA129" s="46">
        <f t="shared" si="50"/>
        <v>0.27103099458232283</v>
      </c>
      <c r="AB129" s="46">
        <f>IF(ISNUMBER(NORMSINV(SUM(AA$13:AA129)/AA$317)),NORMSINV(SUM(AA$13:AA129)/AA$317)," ")</f>
        <v>-1.4088042762529958</v>
      </c>
      <c r="AC129" s="46">
        <f t="shared" si="51"/>
        <v>6.5252673566601055E-2</v>
      </c>
      <c r="AD129" s="46">
        <f>IF(ISNUMBER(NORMSINV(SUM(AC$13:AC129)/AC$317)),NORMSINV(SUM(AC$13:AC129)/AC$317)," ")</f>
        <v>-0.79261404993726225</v>
      </c>
      <c r="AE129" s="46">
        <f t="shared" si="52"/>
        <v>0.12858087885242356</v>
      </c>
      <c r="AF129" s="46">
        <f>IF(ISNUMBER(NORMSINV(SUM(AE$13:AE129)/AE$317)),NORMSINV(SUM(AE$13:AE129)/AE$317)," ")</f>
        <v>0.45713778638179592</v>
      </c>
      <c r="AG129" s="46">
        <f t="shared" si="53"/>
        <v>0.57511958003955699</v>
      </c>
      <c r="AH129" s="46">
        <f>IF(ISNUMBER(NORMSINV(SUM(AG$13:AG129)/AG$317)),NORMSINV(SUM(AG$13:AG129)/AG$317)," ")</f>
        <v>-1.3973566901550867</v>
      </c>
      <c r="AI129" s="46">
        <f t="shared" si="54"/>
        <v>0.2087238346084897</v>
      </c>
      <c r="AJ129" s="46">
        <f>IF(ISNUMBER(NORMSINV(SUM(AI$13:AI129)/AI$317)),NORMSINV(SUM(AI$13:AI129)/AI$317)," ")</f>
        <v>-0.67807742637772606</v>
      </c>
      <c r="AK129" s="46">
        <f t="shared" si="55"/>
        <v>0.16597992030055761</v>
      </c>
      <c r="AL129" s="46">
        <f>IF(ISNUMBER(NORMSINV(SUM(AK$13:AK129)/AK$317)),NORMSINV(SUM(AK$13:AK129)/AK$317)," ")</f>
        <v>0.91187802669590923</v>
      </c>
      <c r="AM129" s="6">
        <v>0.55266189547098188</v>
      </c>
      <c r="AN129" s="6">
        <v>0.14638237909419638</v>
      </c>
      <c r="AO129" s="6">
        <v>0.194701781310958</v>
      </c>
      <c r="AP129" s="6">
        <v>0.5065014629084007</v>
      </c>
      <c r="AQ129" s="6">
        <v>0.12194389306323042</v>
      </c>
      <c r="AR129" s="6">
        <v>0.24029134874837685</v>
      </c>
      <c r="AS129" s="6">
        <v>0.53741189547098189</v>
      </c>
      <c r="AT129" s="6">
        <v>0.1950388675329138</v>
      </c>
      <c r="AU129" s="6">
        <v>0.15509745568514635</v>
      </c>
    </row>
    <row r="130" spans="1:47" x14ac:dyDescent="0.4">
      <c r="A130" s="6">
        <f t="shared" si="40"/>
        <v>1.1214807768679298</v>
      </c>
      <c r="B130" s="6">
        <f>'Aerosol 1'!A134</f>
        <v>3.0693959303130844</v>
      </c>
      <c r="C130" t="b">
        <f t="shared" si="41"/>
        <v>0</v>
      </c>
      <c r="E130" s="46">
        <f>'Aerosol 1'!$P134</f>
        <v>0.36651440074841057</v>
      </c>
      <c r="F130" s="46">
        <f>'Aerosol 2'!$P134</f>
        <v>0.36651440074841057</v>
      </c>
      <c r="G130" s="46">
        <f>'Aerosol 3'!$P134</f>
        <v>0.36651440074841057</v>
      </c>
      <c r="H130" s="46">
        <f t="shared" si="42"/>
        <v>1.0995432022452318</v>
      </c>
      <c r="I130" s="46">
        <f>NORMSINV(SUM(H$13:H130)/H$317)</f>
        <v>-1.269311888564151</v>
      </c>
      <c r="J130" s="46">
        <f t="shared" si="37"/>
        <v>0.19791777640414171</v>
      </c>
      <c r="K130" s="46">
        <f t="shared" si="38"/>
        <v>0.54977160112261592</v>
      </c>
      <c r="L130" s="46">
        <f t="shared" si="39"/>
        <v>1.0994992205171419</v>
      </c>
      <c r="M130" s="46">
        <f t="shared" si="43"/>
        <v>1.8471885980438996</v>
      </c>
      <c r="N130" s="46">
        <f>IF(ISNUMBER(NORMSINV(SUM(M$13:M130)/M$317)),NORMSINV(SUM(M$13:M130)/M$317)," ")</f>
        <v>-1.269311888564151</v>
      </c>
      <c r="O130" s="46">
        <f t="shared" si="44"/>
        <v>1.0014025078067925</v>
      </c>
      <c r="P130" s="46">
        <f>IF(ISNUMBER(NORMSINV(SUM(O$13:O130)/O$317)),NORMSINV(SUM(O$13:O130)/O$317)," ")</f>
        <v>-1.3587080760113994</v>
      </c>
      <c r="Q130" s="46">
        <f t="shared" si="45"/>
        <v>0.32333206933491021</v>
      </c>
      <c r="R130" s="46">
        <f>IF(ISNUMBER(NORMSINV(SUM(Q$13:Q130)/Q$317)),NORMSINV(SUM(Q$13:Q130)/Q$317)," ")</f>
        <v>-0.66030872772804705</v>
      </c>
      <c r="S130" s="46">
        <f t="shared" si="46"/>
        <v>0.32005990954239416</v>
      </c>
      <c r="T130" s="46">
        <f>IF(ISNUMBER(NORMSINV(SUM(S$13:S130)/S$317)),NORMSINV(SUM(S$13:S130)/S$317)," ")</f>
        <v>0.74995291764853822</v>
      </c>
      <c r="U130" s="46">
        <f t="shared" si="47"/>
        <v>0.11179570405549409</v>
      </c>
      <c r="V130" s="46">
        <f>IF(ISNUMBER(NORMSINV(SUM(U$13:U130)/U$317)),NORMSINV(SUM(U$13:U130)/U$317)," ")</f>
        <v>-1.2696764197806651</v>
      </c>
      <c r="W130" s="46">
        <f t="shared" si="48"/>
        <v>2.9428374000585771E-2</v>
      </c>
      <c r="X130" s="46">
        <f>IF(ISNUMBER(NORMSINV(SUM(W$13:W130)/W$317)),NORMSINV(SUM(W$13:W130)/W$317)," ")</f>
        <v>-0.66470158700833415</v>
      </c>
      <c r="Y130" s="46">
        <f t="shared" si="49"/>
        <v>3.6822703164720874E-2</v>
      </c>
      <c r="Z130" s="46">
        <f>IF(ISNUMBER(NORMSINV(SUM(Y$13:Y130)/Y$317)),NORMSINV(SUM(Y$13:Y130)/Y$317)," ")</f>
        <v>0.57335194842942716</v>
      </c>
      <c r="AA130" s="46">
        <f t="shared" si="50"/>
        <v>0.28500947335773746</v>
      </c>
      <c r="AB130" s="46">
        <f>IF(ISNUMBER(NORMSINV(SUM(AA$13:AA130)/AA$317)),NORMSINV(SUM(AA$13:AA130)/AA$317)," ")</f>
        <v>-1.3755744816507645</v>
      </c>
      <c r="AC130" s="46">
        <f t="shared" si="51"/>
        <v>6.9265597944525512E-2</v>
      </c>
      <c r="AD130" s="46">
        <f>IF(ISNUMBER(NORMSINV(SUM(AC$13:AC130)/AC$317)),NORMSINV(SUM(AC$13:AC130)/AC$317)," ")</f>
        <v>-0.75032772741389431</v>
      </c>
      <c r="AE130" s="46">
        <f t="shared" si="52"/>
        <v>0.12716245151946742</v>
      </c>
      <c r="AF130" s="46">
        <f>IF(ISNUMBER(NORMSINV(SUM(AE$13:AE130)/AE$317)),NORMSINV(SUM(AE$13:AE130)/AE$317)," ")</f>
        <v>0.53060445605200079</v>
      </c>
      <c r="AG130" s="46">
        <f t="shared" si="53"/>
        <v>0.60459733039356089</v>
      </c>
      <c r="AH130" s="46">
        <f>IF(ISNUMBER(NORMSINV(SUM(AG$13:AG130)/AG$317)),NORMSINV(SUM(AG$13:AG130)/AG$317)," ")</f>
        <v>-1.3648690193141853</v>
      </c>
      <c r="AI130" s="46">
        <f t="shared" si="54"/>
        <v>0.2246380973897989</v>
      </c>
      <c r="AJ130" s="46">
        <f>IF(ISNUMBER(NORMSINV(SUM(AI$13:AI130)/AI$317)),NORMSINV(SUM(AI$13:AI130)/AI$317)," ")</f>
        <v>-0.61894407577473054</v>
      </c>
      <c r="AK130" s="46">
        <f t="shared" si="55"/>
        <v>0.15607475485820588</v>
      </c>
      <c r="AL130" s="46">
        <f>IF(ISNUMBER(NORMSINV(SUM(AK$13:AK130)/AK$317)),NORMSINV(SUM(AK$13:AK130)/AK$317)," ")</f>
        <v>1.0095940991999597</v>
      </c>
      <c r="AM130" s="6">
        <v>0.56485933748169681</v>
      </c>
      <c r="AN130" s="6">
        <v>0.14868989807410721</v>
      </c>
      <c r="AO130" s="6">
        <v>0.18605050962946401</v>
      </c>
      <c r="AP130" s="6">
        <v>0.51841432474096028</v>
      </c>
      <c r="AQ130" s="6">
        <v>0.12598977066674122</v>
      </c>
      <c r="AR130" s="6">
        <v>0.23130050962946394</v>
      </c>
      <c r="AS130" s="6">
        <v>0.54988427377801385</v>
      </c>
      <c r="AT130" s="6">
        <v>0.20430946488906279</v>
      </c>
      <c r="AU130" s="6">
        <v>0.14195076444419596</v>
      </c>
    </row>
    <row r="131" spans="1:47" x14ac:dyDescent="0.4">
      <c r="A131" s="6">
        <f t="shared" si="40"/>
        <v>1.1559593542991087</v>
      </c>
      <c r="B131" s="6">
        <f>'Aerosol 1'!A135</f>
        <v>3.1770698916290354</v>
      </c>
      <c r="C131" t="b">
        <f t="shared" si="41"/>
        <v>0</v>
      </c>
      <c r="E131" s="46">
        <f>'Aerosol 1'!$P135</f>
        <v>0.3763961351662487</v>
      </c>
      <c r="F131" s="46">
        <f>'Aerosol 2'!$P135</f>
        <v>0.3763961351662487</v>
      </c>
      <c r="G131" s="46">
        <f>'Aerosol 3'!$P135</f>
        <v>0.3763961351662487</v>
      </c>
      <c r="H131" s="46">
        <f t="shared" si="42"/>
        <v>1.1291884054987462</v>
      </c>
      <c r="I131" s="46">
        <f>NORMSINV(SUM(H$13:H131)/H$317)</f>
        <v>-1.2483699748674291</v>
      </c>
      <c r="J131" s="46">
        <f t="shared" si="37"/>
        <v>0.2032539129897743</v>
      </c>
      <c r="K131" s="46">
        <f t="shared" si="38"/>
        <v>0.56459420274937311</v>
      </c>
      <c r="L131" s="46">
        <f t="shared" si="39"/>
        <v>1.1291432379625261</v>
      </c>
      <c r="M131" s="46">
        <f t="shared" si="43"/>
        <v>1.8969913537016736</v>
      </c>
      <c r="N131" s="46">
        <f>IF(ISNUMBER(NORMSINV(SUM(M$13:M131)/M$317)),NORMSINV(SUM(M$13:M131)/M$317)," ")</f>
        <v>-1.2483699748674291</v>
      </c>
      <c r="O131" s="46">
        <f t="shared" si="44"/>
        <v>1.0521082061161635</v>
      </c>
      <c r="P131" s="46">
        <f>IF(ISNUMBER(NORMSINV(SUM(O$13:O131)/O$317)),NORMSINV(SUM(O$13:O131)/O$317)," ")</f>
        <v>-1.3255224970135493</v>
      </c>
      <c r="Q131" s="46">
        <f t="shared" si="45"/>
        <v>0.34524768363760283</v>
      </c>
      <c r="R131" s="46">
        <f>IF(ISNUMBER(NORMSINV(SUM(Q$13:Q131)/Q$317)),NORMSINV(SUM(Q$13:Q131)/Q$317)," ")</f>
        <v>-0.60628915431686581</v>
      </c>
      <c r="S131" s="46">
        <f t="shared" si="46"/>
        <v>0.30644140453719376</v>
      </c>
      <c r="T131" s="46">
        <f>IF(ISNUMBER(NORMSINV(SUM(S$13:S131)/S$317)),NORMSINV(SUM(S$13:S131)/S$317)," ")</f>
        <v>0.83085674286694466</v>
      </c>
      <c r="U131" s="46">
        <f t="shared" si="47"/>
        <v>0.11718042590216358</v>
      </c>
      <c r="V131" s="46">
        <f>IF(ISNUMBER(NORMSINV(SUM(U$13:U131)/U$317)),NORMSINV(SUM(U$13:U131)/U$317)," ")</f>
        <v>-1.2336703667375488</v>
      </c>
      <c r="W131" s="46">
        <f t="shared" si="48"/>
        <v>3.0605639353448431E-2</v>
      </c>
      <c r="X131" s="46">
        <f>IF(ISNUMBER(NORMSINV(SUM(W$13:W131)/W$317)),NORMSINV(SUM(W$13:W131)/W$317)," ")</f>
        <v>-0.62362122078274773</v>
      </c>
      <c r="Y131" s="46">
        <f t="shared" si="49"/>
        <v>3.5981255808961041E-2</v>
      </c>
      <c r="Z131" s="46">
        <f>IF(ISNUMBER(NORMSINV(SUM(Y$13:Y131)/Y$317)),NORMSINV(SUM(Y$13:Y131)/Y$317)," ")</f>
        <v>0.63621342277982118</v>
      </c>
      <c r="AA131" s="46">
        <f t="shared" si="50"/>
        <v>0.299422407713061</v>
      </c>
      <c r="AB131" s="46">
        <f>IF(ISNUMBER(NORMSINV(SUM(AA$13:AA131)/AA$317)),NORMSINV(SUM(AA$13:AA131)/AA$317)," ")</f>
        <v>-1.342226626614794</v>
      </c>
      <c r="AC131" s="46">
        <f t="shared" si="51"/>
        <v>7.3452014542583419E-2</v>
      </c>
      <c r="AD131" s="46">
        <f>IF(ISNUMBER(NORMSINV(SUM(AC$13:AC131)/AC$317)),NORMSINV(SUM(AC$13:AC131)/AC$317)," ")</f>
        <v>-0.70690377688341866</v>
      </c>
      <c r="AE131" s="46">
        <f t="shared" si="52"/>
        <v>0.12537784762678983</v>
      </c>
      <c r="AF131" s="46">
        <f>IF(ISNUMBER(NORMSINV(SUM(AE$13:AE131)/AE$317)),NORMSINV(SUM(AE$13:AE131)/AE$317)," ")</f>
        <v>0.60595915555202728</v>
      </c>
      <c r="AG131" s="46">
        <f t="shared" si="53"/>
        <v>0.63550537250093886</v>
      </c>
      <c r="AH131" s="46">
        <f>IF(ISNUMBER(NORMSINV(SUM(AG$13:AG131)/AG$317)),NORMSINV(SUM(AG$13:AG131)/AG$317)," ")</f>
        <v>-1.3322053967904763</v>
      </c>
      <c r="AI131" s="46">
        <f t="shared" si="54"/>
        <v>0.24119002974157097</v>
      </c>
      <c r="AJ131" s="46">
        <f>IF(ISNUMBER(NORMSINV(SUM(AI$13:AI131)/AI$317)),NORMSINV(SUM(AI$13:AI131)/AI$317)," ")</f>
        <v>-0.55777105299614937</v>
      </c>
      <c r="AK131" s="46">
        <f t="shared" si="55"/>
        <v>0.14508230110144288</v>
      </c>
      <c r="AL131" s="46">
        <f>IF(ISNUMBER(NORMSINV(SUM(AK$13:AK131)/AK$317)),NORMSINV(SUM(AK$13:AK131)/AK$317)," ")</f>
        <v>1.1099795219026769</v>
      </c>
      <c r="AM131" s="6">
        <v>0.57652236150582215</v>
      </c>
      <c r="AN131" s="6">
        <v>0.15057835248164791</v>
      </c>
      <c r="AO131" s="6">
        <v>0.17702614075022141</v>
      </c>
      <c r="AP131" s="6">
        <v>0.53033206195703086</v>
      </c>
      <c r="AQ131" s="6">
        <v>0.13009700451208711</v>
      </c>
      <c r="AR131" s="6">
        <v>0.22206718917099091</v>
      </c>
      <c r="AS131" s="6">
        <v>0.56282086376186569</v>
      </c>
      <c r="AT131" s="6">
        <v>0.21360445834736119</v>
      </c>
      <c r="AU131" s="6">
        <v>0.12848883668934291</v>
      </c>
    </row>
    <row r="132" spans="1:47" x14ac:dyDescent="0.4">
      <c r="A132" s="6">
        <f t="shared" si="40"/>
        <v>1.1904379317302876</v>
      </c>
      <c r="B132" s="6">
        <f>'Aerosol 1'!A136</f>
        <v>3.2885210397950018</v>
      </c>
      <c r="C132" t="b">
        <f t="shared" si="41"/>
        <v>0</v>
      </c>
      <c r="E132" s="46">
        <f>'Aerosol 1'!$P136</f>
        <v>0.38637527962572249</v>
      </c>
      <c r="F132" s="46">
        <f>'Aerosol 2'!$P136</f>
        <v>0.38637527962572249</v>
      </c>
      <c r="G132" s="46">
        <f>'Aerosol 3'!$P136</f>
        <v>0.38637527962572249</v>
      </c>
      <c r="H132" s="46">
        <f t="shared" si="42"/>
        <v>1.1591258388771675</v>
      </c>
      <c r="I132" s="46">
        <f>NORMSINV(SUM(H$13:H132)/H$317)</f>
        <v>-1.2274275508678105</v>
      </c>
      <c r="J132" s="46">
        <f t="shared" si="37"/>
        <v>0.20864265099789014</v>
      </c>
      <c r="K132" s="46">
        <f t="shared" si="38"/>
        <v>0.57956291943858373</v>
      </c>
      <c r="L132" s="46">
        <f t="shared" si="39"/>
        <v>1.1590794738436123</v>
      </c>
      <c r="M132" s="46">
        <f t="shared" si="43"/>
        <v>1.9472850442800862</v>
      </c>
      <c r="N132" s="46">
        <f>IF(ISNUMBER(NORMSINV(SUM(M$13:M132)/M$317)),NORMSINV(SUM(M$13:M132)/M$317)," ")</f>
        <v>-1.2274275508678114</v>
      </c>
      <c r="O132" s="46">
        <f t="shared" si="44"/>
        <v>1.1052049453520887</v>
      </c>
      <c r="P132" s="46">
        <f>IF(ISNUMBER(NORMSINV(SUM(O$13:O132)/O$317)),NORMSINV(SUM(O$13:O132)/O$317)," ")</f>
        <v>-1.2921659578548153</v>
      </c>
      <c r="Q132" s="46">
        <f t="shared" si="45"/>
        <v>0.3671396623357312</v>
      </c>
      <c r="R132" s="46">
        <f>IF(ISNUMBER(NORMSINV(SUM(Q$13:Q132)/Q$317)),NORMSINV(SUM(Q$13:Q132)/Q$317)," ")</f>
        <v>-0.55071938708073798</v>
      </c>
      <c r="S132" s="46">
        <f t="shared" si="46"/>
        <v>0.29097051094571258</v>
      </c>
      <c r="T132" s="46">
        <f>IF(ISNUMBER(NORMSINV(SUM(S$13:S132)/S$317)),NORMSINV(SUM(S$13:S132)/S$317)," ")</f>
        <v>0.91306106609581983</v>
      </c>
      <c r="U132" s="46">
        <f t="shared" si="47"/>
        <v>0.12268190843087982</v>
      </c>
      <c r="V132" s="46">
        <f>IF(ISNUMBER(NORMSINV(SUM(U$13:U132)/U$317)),NORMSINV(SUM(U$13:U132)/U$317)," ")</f>
        <v>-1.1976126521787251</v>
      </c>
      <c r="W132" s="46">
        <f t="shared" si="48"/>
        <v>3.1929488978129916E-2</v>
      </c>
      <c r="X132" s="46">
        <f>IF(ISNUMBER(NORMSINV(SUM(W$13:W132)/W$317)),NORMSINV(SUM(W$13:W132)/W$317)," ")</f>
        <v>-0.58185632344286919</v>
      </c>
      <c r="Y132" s="46">
        <f t="shared" si="49"/>
        <v>3.5011031793629951E-2</v>
      </c>
      <c r="Z132" s="46">
        <f>IF(ISNUMBER(NORMSINV(SUM(Y$13:Y132)/Y$317)),NORMSINV(SUM(Y$13:Y132)/Y$317)," ")</f>
        <v>0.69989236794690635</v>
      </c>
      <c r="AA132" s="46">
        <f t="shared" si="50"/>
        <v>0.31427376062896423</v>
      </c>
      <c r="AB132" s="46">
        <f>IF(ISNUMBER(NORMSINV(SUM(AA$13:AA132)/AA$317)),NORMSINV(SUM(AA$13:AA132)/AA$317)," ")</f>
        <v>-1.3087593883021675</v>
      </c>
      <c r="AC132" s="46">
        <f t="shared" si="51"/>
        <v>7.8019435287848826E-2</v>
      </c>
      <c r="AD132" s="46">
        <f>IF(ISNUMBER(NORMSINV(SUM(AC$13:AC132)/AC$317)),NORMSINV(SUM(AC$13:AC132)/AC$317)," ")</f>
        <v>-0.66219333430656402</v>
      </c>
      <c r="AE132" s="46">
        <f t="shared" si="52"/>
        <v>0.12243258438662193</v>
      </c>
      <c r="AF132" s="46">
        <f>IF(ISNUMBER(NORMSINV(SUM(AE$13:AE132)/AE$317)),NORMSINV(SUM(AE$13:AE132)/AE$317)," ")</f>
        <v>0.68302279491493889</v>
      </c>
      <c r="AG132" s="46">
        <f t="shared" si="53"/>
        <v>0.66824927629224451</v>
      </c>
      <c r="AH132" s="46">
        <f>IF(ISNUMBER(NORMSINV(SUM(AG$13:AG132)/AG$317)),NORMSINV(SUM(AG$13:AG132)/AG$317)," ")</f>
        <v>-1.2993258926100191</v>
      </c>
      <c r="AI132" s="46">
        <f t="shared" si="54"/>
        <v>0.25719073806975246</v>
      </c>
      <c r="AJ132" s="46">
        <f>IF(ISNUMBER(NORMSINV(SUM(AI$13:AI132)/AI$317)),NORMSINV(SUM(AI$13:AI132)/AI$317)," ")</f>
        <v>-0.49475739341275998</v>
      </c>
      <c r="AK132" s="46">
        <f t="shared" si="55"/>
        <v>0.1335268947654607</v>
      </c>
      <c r="AL132" s="46">
        <f>IF(ISNUMBER(NORMSINV(SUM(AK$13:AK132)/AK$317)),NORMSINV(SUM(AK$13:AK132)/AK$317)," ")</f>
        <v>1.2134329225872038</v>
      </c>
      <c r="AM132" s="6">
        <v>0.58800014208082707</v>
      </c>
      <c r="AN132" s="6">
        <v>0.15303433322678017</v>
      </c>
      <c r="AO132" s="6">
        <v>0.16780381013268467</v>
      </c>
      <c r="AP132" s="6">
        <v>0.54225995157419282</v>
      </c>
      <c r="AQ132" s="6">
        <v>0.13461771392038918</v>
      </c>
      <c r="AR132" s="6">
        <v>0.211249857919173</v>
      </c>
      <c r="AS132" s="6">
        <v>0.57653447530760726</v>
      </c>
      <c r="AT132" s="6">
        <v>0.22189223765380361</v>
      </c>
      <c r="AU132" s="6">
        <v>0.11520081045234409</v>
      </c>
    </row>
    <row r="133" spans="1:47" x14ac:dyDescent="0.4">
      <c r="A133" s="6">
        <f t="shared" si="40"/>
        <v>1.2249165091614664</v>
      </c>
      <c r="B133" s="6">
        <f>'Aerosol 1'!A137</f>
        <v>3.4038818779744737</v>
      </c>
      <c r="C133" t="b">
        <f t="shared" si="41"/>
        <v>0</v>
      </c>
      <c r="E133" s="46">
        <f>'Aerosol 1'!$P137</f>
        <v>0.39644557431972455</v>
      </c>
      <c r="F133" s="46">
        <f>'Aerosol 2'!$P137</f>
        <v>0.39644557431972455</v>
      </c>
      <c r="G133" s="46">
        <f>'Aerosol 3'!$P137</f>
        <v>0.39644557431972455</v>
      </c>
      <c r="H133" s="46">
        <f t="shared" si="42"/>
        <v>1.1893367229591736</v>
      </c>
      <c r="I133" s="46">
        <f>NORMSINV(SUM(H$13:H133)/H$317)</f>
        <v>-1.2064846042423503</v>
      </c>
      <c r="J133" s="46">
        <f t="shared" si="37"/>
        <v>0.21408061013265128</v>
      </c>
      <c r="K133" s="46">
        <f t="shared" si="38"/>
        <v>0.59466836147958679</v>
      </c>
      <c r="L133" s="46">
        <f t="shared" si="39"/>
        <v>1.1892891494902553</v>
      </c>
      <c r="M133" s="46">
        <f t="shared" si="43"/>
        <v>1.9980381211024933</v>
      </c>
      <c r="N133" s="46">
        <f>IF(ISNUMBER(NORMSINV(SUM(M$13:M133)/M$317)),NORMSINV(SUM(M$13:M133)/M$317)," ")</f>
        <v>-1.2064846042423509</v>
      </c>
      <c r="O133" s="46">
        <f t="shared" si="44"/>
        <v>1.1590160019488076</v>
      </c>
      <c r="P133" s="46">
        <f>IF(ISNUMBER(NORMSINV(SUM(O$13:O133)/O$317)),NORMSINV(SUM(O$13:O133)/O$317)," ")</f>
        <v>-1.2586640209592437</v>
      </c>
      <c r="Q133" s="46">
        <f t="shared" si="45"/>
        <v>0.38798883235783116</v>
      </c>
      <c r="R133" s="46">
        <f>IF(ISNUMBER(NORMSINV(SUM(Q$13:Q133)/Q$317)),NORMSINV(SUM(Q$13:Q133)/Q$317)," ")</f>
        <v>-0.49378350032023449</v>
      </c>
      <c r="S133" s="46">
        <f t="shared" si="46"/>
        <v>0.27354337612408652</v>
      </c>
      <c r="T133" s="46">
        <f>IF(ISNUMBER(NORMSINV(SUM(S$13:S133)/S$317)),NORMSINV(SUM(S$13:S133)/S$317)," ")</f>
        <v>0.99640759553329705</v>
      </c>
      <c r="U133" s="46">
        <f t="shared" si="47"/>
        <v>0.12832986195639626</v>
      </c>
      <c r="V133" s="46">
        <f>IF(ISNUMBER(NORMSINV(SUM(U$13:U133)/U$317)),NORMSINV(SUM(U$13:U133)/U$317)," ")</f>
        <v>-1.16149025053414</v>
      </c>
      <c r="W133" s="46">
        <f t="shared" si="48"/>
        <v>3.309801733963904E-2</v>
      </c>
      <c r="X133" s="46">
        <f>IF(ISNUMBER(NORMSINV(SUM(W$13:W133)/W$317)),NORMSINV(SUM(W$13:W133)/W$317)," ")</f>
        <v>-0.53960787910230368</v>
      </c>
      <c r="Y133" s="46">
        <f t="shared" si="49"/>
        <v>3.4001633991751705E-2</v>
      </c>
      <c r="Z133" s="46">
        <f>IF(ISNUMBER(NORMSINV(SUM(Y$13:Y133)/Y$317)),NORMSINV(SUM(Y$13:Y133)/Y$317)," ")</f>
        <v>0.76457696682626852</v>
      </c>
      <c r="AA133" s="46">
        <f t="shared" si="50"/>
        <v>0.32953852630098374</v>
      </c>
      <c r="AB133" s="46">
        <f>IF(ISNUMBER(NORMSINV(SUM(AA$13:AA133)/AA$317)),NORMSINV(SUM(AA$13:AA133)/AA$317)," ")</f>
        <v>-1.2751729579402127</v>
      </c>
      <c r="AC133" s="46">
        <f t="shared" si="51"/>
        <v>8.3256075469893914E-2</v>
      </c>
      <c r="AD133" s="46">
        <f>IF(ISNUMBER(NORMSINV(SUM(AC$13:AC133)/AC$317)),NORMSINV(SUM(AC$13:AC133)/AC$317)," ")</f>
        <v>-0.61589690798265051</v>
      </c>
      <c r="AE133" s="46">
        <f t="shared" si="52"/>
        <v>0.11881684914479237</v>
      </c>
      <c r="AF133" s="46">
        <f>IF(ISNUMBER(NORMSINV(SUM(AE$13:AE133)/AE$317)),NORMSINV(SUM(AE$13:AE133)/AE$317)," ")</f>
        <v>0.7619026117181219</v>
      </c>
      <c r="AG133" s="46">
        <f t="shared" si="53"/>
        <v>0.70114761369142764</v>
      </c>
      <c r="AH133" s="46">
        <f>IF(ISNUMBER(NORMSINV(SUM(AG$13:AG133)/AG$317)),NORMSINV(SUM(AG$13:AG133)/AG$317)," ")</f>
        <v>-1.2662740123834404</v>
      </c>
      <c r="AI133" s="46">
        <f t="shared" si="54"/>
        <v>0.2716347395482982</v>
      </c>
      <c r="AJ133" s="46">
        <f>IF(ISNUMBER(NORMSINV(SUM(AI$13:AI133)/AI$317)),NORMSINV(SUM(AI$13:AI133)/AI$317)," ")</f>
        <v>-0.43026865853881091</v>
      </c>
      <c r="AK133" s="46">
        <f t="shared" si="55"/>
        <v>0.12072489298754245</v>
      </c>
      <c r="AL133" s="46">
        <f>IF(ISNUMBER(NORMSINV(SUM(AK$13:AK133)/AK$317)),NORMSINV(SUM(AK$13:AK133)/AK$317)," ")</f>
        <v>1.3196503142880043</v>
      </c>
      <c r="AM133" s="6">
        <v>0.59944645092742832</v>
      </c>
      <c r="AN133" s="6">
        <v>0.15460539522533329</v>
      </c>
      <c r="AO133" s="6">
        <v>0.15882631299809541</v>
      </c>
      <c r="AP133" s="6">
        <v>0.55415513527752358</v>
      </c>
      <c r="AQ133" s="6">
        <v>0.14000421220114273</v>
      </c>
      <c r="AR133" s="6">
        <v>0.19980354907257161</v>
      </c>
      <c r="AS133" s="6">
        <v>0.58955184615276157</v>
      </c>
      <c r="AT133" s="6">
        <v>0.22840092307638082</v>
      </c>
      <c r="AU133" s="6">
        <v>0.10151012732209547</v>
      </c>
    </row>
    <row r="134" spans="1:47" x14ac:dyDescent="0.4">
      <c r="A134" s="6">
        <f t="shared" si="40"/>
        <v>1.2593950865926453</v>
      </c>
      <c r="B134" s="6">
        <f>'Aerosol 1'!A138</f>
        <v>3.5232895575225811</v>
      </c>
      <c r="C134" t="b">
        <f t="shared" si="41"/>
        <v>0</v>
      </c>
      <c r="E134" s="46">
        <f>'Aerosol 1'!$P138</f>
        <v>0.40660047377656522</v>
      </c>
      <c r="F134" s="46">
        <f>'Aerosol 2'!$P138</f>
        <v>0.40660047377656522</v>
      </c>
      <c r="G134" s="46">
        <f>'Aerosol 3'!$P138</f>
        <v>0.40660047377656522</v>
      </c>
      <c r="H134" s="46">
        <f t="shared" si="42"/>
        <v>1.2198014213296957</v>
      </c>
      <c r="I134" s="46">
        <f>NORMSINV(SUM(H$13:H134)/H$317)</f>
        <v>-1.1855411223008685</v>
      </c>
      <c r="J134" s="46">
        <f t="shared" si="37"/>
        <v>0.21956425583934525</v>
      </c>
      <c r="K134" s="46">
        <f t="shared" si="38"/>
        <v>0.60990071066484786</v>
      </c>
      <c r="L134" s="46">
        <f t="shared" si="39"/>
        <v>1.2197526292728424</v>
      </c>
      <c r="M134" s="46">
        <f t="shared" si="43"/>
        <v>2.0492175957770353</v>
      </c>
      <c r="N134" s="46">
        <f>IF(ISNUMBER(NORMSINV(SUM(M$13:M134)/M$317)),NORMSINV(SUM(M$13:M134)/M$317)," ")</f>
        <v>-1.1855411223008685</v>
      </c>
      <c r="O134" s="46">
        <f t="shared" si="44"/>
        <v>1.2161441511167694</v>
      </c>
      <c r="P134" s="46">
        <f>IF(ISNUMBER(NORMSINV(SUM(O$13:O134)/O$317)),NORMSINV(SUM(O$13:O134)/O$317)," ")</f>
        <v>-1.2249662536308845</v>
      </c>
      <c r="Q134" s="46">
        <f t="shared" si="45"/>
        <v>0.40766800685717319</v>
      </c>
      <c r="R134" s="46">
        <f>IF(ISNUMBER(NORMSINV(SUM(Q$13:Q134)/Q$317)),NORMSINV(SUM(Q$13:Q134)/Q$317)," ")</f>
        <v>-0.43563393162440678</v>
      </c>
      <c r="S134" s="46">
        <f t="shared" si="46"/>
        <v>0.25466397661944828</v>
      </c>
      <c r="T134" s="46">
        <f>IF(ISNUMBER(NORMSINV(SUM(S$13:S134)/S$317)),NORMSINV(SUM(S$13:S134)/S$317)," ")</f>
        <v>1.0807607769633842</v>
      </c>
      <c r="U134" s="46">
        <f t="shared" si="47"/>
        <v>0.13408320635013998</v>
      </c>
      <c r="V134" s="46">
        <f>IF(ISNUMBER(NORMSINV(SUM(U$13:U134)/U$317)),NORMSINV(SUM(U$13:U134)/U$317)," ")</f>
        <v>-1.1253003578314305</v>
      </c>
      <c r="W134" s="46">
        <f t="shared" si="48"/>
        <v>3.4335147906116775E-2</v>
      </c>
      <c r="X134" s="46">
        <f>IF(ISNUMBER(NORMSINV(SUM(W$13:W134)/W$317)),NORMSINV(SUM(W$13:W134)/W$317)," ")</f>
        <v>-0.49677442556972318</v>
      </c>
      <c r="Y134" s="46">
        <f t="shared" si="49"/>
        <v>3.2769163604609255E-2</v>
      </c>
      <c r="Z134" s="46">
        <f>IF(ISNUMBER(NORMSINV(SUM(Y$13:Y134)/Y$317)),NORMSINV(SUM(Y$13:Y134)/Y$317)," ")</f>
        <v>0.83009835703846291</v>
      </c>
      <c r="AA134" s="46">
        <f t="shared" si="50"/>
        <v>0.34560030072123105</v>
      </c>
      <c r="AB134" s="46">
        <f>IF(ISNUMBER(NORMSINV(SUM(AA$13:AA134)/AA$317)),NORMSINV(SUM(AA$13:AA134)/AA$317)," ")</f>
        <v>-1.241429444586063</v>
      </c>
      <c r="AC134" s="46">
        <f t="shared" si="51"/>
        <v>8.8298399020126456E-2</v>
      </c>
      <c r="AD134" s="46">
        <f>IF(ISNUMBER(NORMSINV(SUM(AC$13:AC134)/AC$317)),NORMSINV(SUM(AC$13:AC134)/AC$317)," ")</f>
        <v>-0.56819627665027372</v>
      </c>
      <c r="AE134" s="46">
        <f t="shared" si="52"/>
        <v>0.11451315408879911</v>
      </c>
      <c r="AF134" s="46">
        <f>IF(ISNUMBER(NORMSINV(SUM(AE$13:AE134)/AE$317)),NORMSINV(SUM(AE$13:AE134)/AE$317)," ")</f>
        <v>0.84269396432145827</v>
      </c>
      <c r="AG134" s="46">
        <f t="shared" si="53"/>
        <v>0.73646064404539846</v>
      </c>
      <c r="AH134" s="46">
        <f>IF(ISNUMBER(NORMSINV(SUM(AG$13:AG134)/AG$317)),NORMSINV(SUM(AG$13:AG134)/AG$317)," ")</f>
        <v>-1.2329852942686601</v>
      </c>
      <c r="AI134" s="46">
        <f t="shared" si="54"/>
        <v>0.28503445993092996</v>
      </c>
      <c r="AJ134" s="46">
        <f>IF(ISNUMBER(NORMSINV(SUM(AI$13:AI134)/AI$317)),NORMSINV(SUM(AI$13:AI134)/AI$317)," ")</f>
        <v>-0.36446671053621493</v>
      </c>
      <c r="AK134" s="46">
        <f t="shared" si="55"/>
        <v>0.10738165892603989</v>
      </c>
      <c r="AL134" s="46">
        <f>IF(ISNUMBER(NORMSINV(SUM(AK$13:AK134)/AK$317)),NORMSINV(SUM(AK$13:AK134)/AK$317)," ")</f>
        <v>1.4285256410792186</v>
      </c>
      <c r="AM134" s="6">
        <v>0.61067866369036139</v>
      </c>
      <c r="AN134" s="6">
        <v>0.1563785861904578</v>
      </c>
      <c r="AO134" s="6">
        <v>0.14924634922628932</v>
      </c>
      <c r="AP134" s="6">
        <v>0.56665010333320476</v>
      </c>
      <c r="AQ134" s="6">
        <v>0.14477503874995173</v>
      </c>
      <c r="AR134" s="6">
        <v>0.18775704321440984</v>
      </c>
      <c r="AS134" s="6">
        <v>0.60377868952366243</v>
      </c>
      <c r="AT134" s="6">
        <v>0.23368218529756621</v>
      </c>
      <c r="AU134" s="6">
        <v>8.8035603571566506E-2</v>
      </c>
    </row>
    <row r="135" spans="1:47" x14ac:dyDescent="0.4">
      <c r="A135" s="6">
        <f t="shared" si="40"/>
        <v>1.2938736640238242</v>
      </c>
      <c r="B135" s="6">
        <f>'Aerosol 1'!A139</f>
        <v>3.6468860410439765</v>
      </c>
      <c r="C135" t="b">
        <f t="shared" si="41"/>
        <v>0</v>
      </c>
      <c r="E135" s="46">
        <f>'Aerosol 1'!$P139</f>
        <v>0.41683315101094104</v>
      </c>
      <c r="F135" s="46">
        <f>'Aerosol 2'!$P139</f>
        <v>0.41683315101094104</v>
      </c>
      <c r="G135" s="46">
        <f>'Aerosol 3'!$P139</f>
        <v>0.41683315101094104</v>
      </c>
      <c r="H135" s="46">
        <f t="shared" si="42"/>
        <v>1.2504994530328231</v>
      </c>
      <c r="I135" s="46">
        <f>NORMSINV(SUM(H$13:H135)/H$317)</f>
        <v>-1.1645970919731261</v>
      </c>
      <c r="J135" s="46">
        <f t="shared" si="37"/>
        <v>0.22508990154590819</v>
      </c>
      <c r="K135" s="46">
        <f t="shared" si="38"/>
        <v>0.62524972651641153</v>
      </c>
      <c r="L135" s="46">
        <f t="shared" si="39"/>
        <v>1.2504494330547018</v>
      </c>
      <c r="M135" s="46">
        <f t="shared" si="43"/>
        <v>2.1007890611170215</v>
      </c>
      <c r="N135" s="46">
        <f>IF(ISNUMBER(NORMSINV(SUM(M$13:M135)/M$317)),NORMSINV(SUM(M$13:M135)/M$317)," ")</f>
        <v>-1.1645970919731261</v>
      </c>
      <c r="O135" s="46">
        <f t="shared" si="44"/>
        <v>1.274075506913078</v>
      </c>
      <c r="P135" s="46">
        <f>IF(ISNUMBER(NORMSINV(SUM(O$13:O135)/O$317)),NORMSINV(SUM(O$13:O135)/O$317)," ")</f>
        <v>-1.191094313696712</v>
      </c>
      <c r="Q135" s="46">
        <f t="shared" si="45"/>
        <v>0.42613245513143638</v>
      </c>
      <c r="R135" s="46">
        <f>IF(ISNUMBER(NORMSINV(SUM(Q$13:Q135)/Q$317)),NORMSINV(SUM(Q$13:Q135)/Q$317)," ")</f>
        <v>-0.37638358031574498</v>
      </c>
      <c r="S135" s="46">
        <f t="shared" si="46"/>
        <v>0.23539258032954338</v>
      </c>
      <c r="T135" s="46">
        <f>IF(ISNUMBER(NORMSINV(SUM(S$13:S135)/S$317)),NORMSINV(SUM(S$13:S135)/S$317)," ")</f>
        <v>1.1662211884833145</v>
      </c>
      <c r="U135" s="46">
        <f t="shared" si="47"/>
        <v>0.13986245797595015</v>
      </c>
      <c r="V135" s="46">
        <f>IF(ISNUMBER(NORMSINV(SUM(U$13:U135)/U$317)),NORMSINV(SUM(U$13:U135)/U$317)," ")</f>
        <v>-1.0890579592559604</v>
      </c>
      <c r="W135" s="46">
        <f t="shared" si="48"/>
        <v>3.5563191818345767E-2</v>
      </c>
      <c r="X135" s="46">
        <f>IF(ISNUMBER(NORMSINV(SUM(W$13:W135)/W$317)),NORMSINV(SUM(W$13:W135)/W$317)," ")</f>
        <v>-0.45334893004003518</v>
      </c>
      <c r="Y135" s="46">
        <f t="shared" si="49"/>
        <v>3.1542489425351213E-2</v>
      </c>
      <c r="Z135" s="46">
        <f>IF(ISNUMBER(NORMSINV(SUM(Y$13:Y135)/Y$317)),NORMSINV(SUM(Y$13:Y135)/Y$317)," ")</f>
        <v>0.89672279082027706</v>
      </c>
      <c r="AA135" s="46">
        <f t="shared" si="50"/>
        <v>0.36215340128668194</v>
      </c>
      <c r="AB135" s="46">
        <f>IF(ISNUMBER(NORMSINV(SUM(AA$13:AA135)/AA$317)),NORMSINV(SUM(AA$13:AA135)/AA$317)," ")</f>
        <v>-1.2075236017615207</v>
      </c>
      <c r="AC135" s="46">
        <f t="shared" si="51"/>
        <v>9.3688895367373001E-2</v>
      </c>
      <c r="AD135" s="46">
        <f>IF(ISNUMBER(NORMSINV(SUM(AC$13:AC135)/AC$317)),NORMSINV(SUM(AC$13:AC135)/AC$317)," ")</f>
        <v>-0.51895707244985612</v>
      </c>
      <c r="AE135" s="46">
        <f t="shared" si="52"/>
        <v>0.10970876727115081</v>
      </c>
      <c r="AF135" s="46">
        <f>IF(ISNUMBER(NORMSINV(SUM(AE$13:AE135)/AE$317)),NORMSINV(SUM(AE$13:AE135)/AE$317)," ")</f>
        <v>0.92562444315893622</v>
      </c>
      <c r="AG135" s="46">
        <f t="shared" si="53"/>
        <v>0.77205964765044599</v>
      </c>
      <c r="AH135" s="46">
        <f>IF(ISNUMBER(NORMSINV(SUM(AG$13:AG135)/AG$317)),NORMSINV(SUM(AG$13:AG135)/AG$317)," ")</f>
        <v>-1.1994948251114197</v>
      </c>
      <c r="AI135" s="46">
        <f t="shared" si="54"/>
        <v>0.29688036794571765</v>
      </c>
      <c r="AJ135" s="46">
        <f>IF(ISNUMBER(NORMSINV(SUM(AI$13:AI135)/AI$317)),NORMSINV(SUM(AI$13:AI135)/AI$317)," ")</f>
        <v>-0.29756543551675796</v>
      </c>
      <c r="AK135" s="46">
        <f t="shared" si="55"/>
        <v>9.4141323633041368E-2</v>
      </c>
      <c r="AL135" s="46">
        <f>IF(ISNUMBER(NORMSINV(SUM(AK$13:AK135)/AK$317)),NORMSINV(SUM(AK$13:AK135)/AK$317)," ")</f>
        <v>1.5402541416806113</v>
      </c>
      <c r="AM135" s="6">
        <v>0.62136265116906864</v>
      </c>
      <c r="AN135" s="6">
        <v>0.1579955012379464</v>
      </c>
      <c r="AO135" s="6">
        <v>0.14013285006887777</v>
      </c>
      <c r="AP135" s="6">
        <v>0.57921400990357119</v>
      </c>
      <c r="AQ135" s="6">
        <v>0.14984236121039529</v>
      </c>
      <c r="AR135" s="6">
        <v>0.17546391884470688</v>
      </c>
      <c r="AS135" s="6">
        <v>0.61742572489668335</v>
      </c>
      <c r="AT135" s="6">
        <v>0.23741893122417082</v>
      </c>
      <c r="AU135" s="6">
        <v>7.5285990096428862E-2</v>
      </c>
    </row>
    <row r="136" spans="1:47" x14ac:dyDescent="0.4">
      <c r="A136" s="6">
        <f t="shared" si="40"/>
        <v>1.3283522414550029</v>
      </c>
      <c r="B136" s="6">
        <f>'Aerosol 1'!A140</f>
        <v>3.7748182711707674</v>
      </c>
      <c r="C136" t="b">
        <f t="shared" si="41"/>
        <v>0</v>
      </c>
      <c r="E136" s="46">
        <f>'Aerosol 1'!$P140</f>
        <v>0.42713650240525508</v>
      </c>
      <c r="F136" s="46">
        <f>'Aerosol 2'!$P140</f>
        <v>0.42713650240525508</v>
      </c>
      <c r="G136" s="46">
        <f>'Aerosol 3'!$P140</f>
        <v>0.42713650240525508</v>
      </c>
      <c r="H136" s="46">
        <f t="shared" si="42"/>
        <v>1.2814095072157652</v>
      </c>
      <c r="I136" s="46">
        <f>NORMSINV(SUM(H$13:H136)/H$317)</f>
        <v>-1.1436524997954987</v>
      </c>
      <c r="J136" s="46">
        <f t="shared" si="37"/>
        <v>0.23065371129883777</v>
      </c>
      <c r="K136" s="46">
        <f t="shared" si="38"/>
        <v>0.64070475360788259</v>
      </c>
      <c r="L136" s="46">
        <f t="shared" si="39"/>
        <v>1.2813582508354766</v>
      </c>
      <c r="M136" s="46">
        <f t="shared" si="43"/>
        <v>2.1527167157421969</v>
      </c>
      <c r="N136" s="46">
        <f>IF(ISNUMBER(NORMSINV(SUM(M$13:M136)/M$317)),NORMSINV(SUM(M$13:M136)/M$317)," ")</f>
        <v>-1.143652499795498</v>
      </c>
      <c r="O136" s="46">
        <f t="shared" si="44"/>
        <v>1.3342713424555361</v>
      </c>
      <c r="P136" s="46">
        <f>IF(ISNUMBER(NORMSINV(SUM(O$13:O136)/O$317)),NORMSINV(SUM(O$13:O136)/O$317)," ")</f>
        <v>-1.1570284241816164</v>
      </c>
      <c r="Q136" s="46">
        <f t="shared" si="45"/>
        <v>0.44308607674273093</v>
      </c>
      <c r="R136" s="46">
        <f>IF(ISNUMBER(NORMSINV(SUM(Q$13:Q136)/Q$317)),NORMSINV(SUM(Q$13:Q136)/Q$317)," ")</f>
        <v>-0.3161443231338284</v>
      </c>
      <c r="S136" s="46">
        <f t="shared" si="46"/>
        <v>0.21551477029730992</v>
      </c>
      <c r="T136" s="46">
        <f>IF(ISNUMBER(NORMSINV(SUM(S$13:S136)/S$317)),NORMSINV(SUM(S$13:S136)/S$317)," ")</f>
        <v>1.2527132898032702</v>
      </c>
      <c r="U136" s="46">
        <f t="shared" si="47"/>
        <v>0.14564675111594244</v>
      </c>
      <c r="V136" s="46">
        <f>IF(ISNUMBER(NORMSINV(SUM(U$13:U136)/U$317)),NORMSINV(SUM(U$13:U136)/U$317)," ")</f>
        <v>-1.0527778945301918</v>
      </c>
      <c r="W136" s="46">
        <f t="shared" si="48"/>
        <v>3.6804543124364757E-2</v>
      </c>
      <c r="X136" s="46">
        <f>IF(ISNUMBER(NORMSINV(SUM(W$13:W136)/W$317)),NORMSINV(SUM(W$13:W136)/W$317)," ")</f>
        <v>-0.4092895535028428</v>
      </c>
      <c r="Y136" s="46">
        <f t="shared" si="49"/>
        <v>3.0146509734271819E-2</v>
      </c>
      <c r="Z136" s="46">
        <f>IF(ISNUMBER(NORMSINV(SUM(Y$13:Y136)/Y$317)),NORMSINV(SUM(Y$13:Y136)/Y$317)," ")</f>
        <v>0.96434882640426889</v>
      </c>
      <c r="AA136" s="46">
        <f t="shared" si="50"/>
        <v>0.37925374728760752</v>
      </c>
      <c r="AB136" s="46">
        <f>IF(ISNUMBER(NORMSINV(SUM(AA$13:AA136)/AA$317)),NORMSINV(SUM(AA$13:AA136)/AA$317)," ")</f>
        <v>-1.1734445296329501</v>
      </c>
      <c r="AC136" s="46">
        <f t="shared" si="51"/>
        <v>9.9311368314640353E-2</v>
      </c>
      <c r="AD136" s="46">
        <f>IF(ISNUMBER(NORMSINV(SUM(AC$13:AC136)/AC$317)),NORMSINV(SUM(AC$13:AC136)/AC$317)," ")</f>
        <v>-0.46809954407007243</v>
      </c>
      <c r="AE136" s="46">
        <f t="shared" si="52"/>
        <v>0.1040253918271097</v>
      </c>
      <c r="AF136" s="46">
        <f>IF(ISNUMBER(NORMSINV(SUM(AE$13:AE136)/AE$317)),NORMSINV(SUM(AE$13:AE136)/AE$317)," ")</f>
        <v>1.010613558925503</v>
      </c>
      <c r="AG136" s="46">
        <f t="shared" si="53"/>
        <v>0.80937084405198634</v>
      </c>
      <c r="AH136" s="46">
        <f>IF(ISNUMBER(NORMSINV(SUM(AG$13:AG136)/AG$317)),NORMSINV(SUM(AG$13:AG136)/AG$317)," ")</f>
        <v>-1.1657727986239104</v>
      </c>
      <c r="AI136" s="46">
        <f t="shared" si="54"/>
        <v>0.30697016530372578</v>
      </c>
      <c r="AJ136" s="46">
        <f>IF(ISNUMBER(NORMSINV(SUM(AI$13:AI136)/AI$317)),NORMSINV(SUM(AI$13:AI136)/AI$317)," ")</f>
        <v>-0.22976118636104789</v>
      </c>
      <c r="AK136" s="46">
        <f t="shared" si="55"/>
        <v>8.1342868735928414E-2</v>
      </c>
      <c r="AL136" s="46">
        <f>IF(ISNUMBER(NORMSINV(SUM(AK$13:AK136)/AK$317)),NORMSINV(SUM(AK$13:AK136)/AK$317)," ")</f>
        <v>1.6551895522335338</v>
      </c>
      <c r="AM136" s="6">
        <v>0.63145201651336413</v>
      </c>
      <c r="AN136" s="6">
        <v>0.15956622989985339</v>
      </c>
      <c r="AO136" s="6">
        <v>0.13070030204375785</v>
      </c>
      <c r="AP136" s="6">
        <v>0.59193215775594887</v>
      </c>
      <c r="AQ136" s="6">
        <v>0.15500332681380394</v>
      </c>
      <c r="AR136" s="6">
        <v>0.16236088657268527</v>
      </c>
      <c r="AS136" s="6">
        <v>0.63165070621292441</v>
      </c>
      <c r="AT136" s="6">
        <v>0.23956622989985338</v>
      </c>
      <c r="AU136" s="6">
        <v>6.3481753586782541E-2</v>
      </c>
    </row>
    <row r="137" spans="1:47" x14ac:dyDescent="0.4">
      <c r="A137" s="6">
        <f t="shared" si="40"/>
        <v>1.3628308188861817</v>
      </c>
      <c r="B137" s="6">
        <f>'Aerosol 1'!A141</f>
        <v>3.9072383452611525</v>
      </c>
      <c r="C137" t="b">
        <f t="shared" si="41"/>
        <v>0</v>
      </c>
      <c r="E137" s="46">
        <f>'Aerosol 1'!$P141</f>
        <v>0.43750315332724277</v>
      </c>
      <c r="F137" s="46">
        <f>'Aerosol 2'!$P141</f>
        <v>0.43750315332724277</v>
      </c>
      <c r="G137" s="46">
        <f>'Aerosol 3'!$P141</f>
        <v>0.43750315332724277</v>
      </c>
      <c r="H137" s="46">
        <f t="shared" si="42"/>
        <v>1.3125094599817282</v>
      </c>
      <c r="I137" s="46">
        <f>NORMSINV(SUM(H$13:H137)/H$317)</f>
        <v>-1.1227073318970995</v>
      </c>
      <c r="J137" s="46">
        <f t="shared" si="37"/>
        <v>0.23625170279671112</v>
      </c>
      <c r="K137" s="46">
        <f t="shared" si="38"/>
        <v>0.65625472999086409</v>
      </c>
      <c r="L137" s="46">
        <f t="shared" si="39"/>
        <v>1.3124569596033291</v>
      </c>
      <c r="M137" s="46">
        <f t="shared" si="43"/>
        <v>2.2049633923909044</v>
      </c>
      <c r="N137" s="46">
        <f>IF(ISNUMBER(NORMSINV(SUM(M$13:M137)/M$317)),NORMSINV(SUM(M$13:M137)/M$317)," ")</f>
        <v>-1.1227073318970995</v>
      </c>
      <c r="O137" s="46">
        <f t="shared" si="44"/>
        <v>1.3959614030508951</v>
      </c>
      <c r="P137" s="46">
        <f>IF(ISNUMBER(NORMSINV(SUM(O$13:O137)/O$317)),NORMSINV(SUM(O$13:O137)/O$317)," ")</f>
        <v>-1.1227686283676217</v>
      </c>
      <c r="Q137" s="46">
        <f t="shared" si="45"/>
        <v>0.45754498298412455</v>
      </c>
      <c r="R137" s="46">
        <f>IF(ISNUMBER(NORMSINV(SUM(Q$13:Q137)/Q$317)),NORMSINV(SUM(Q$13:Q137)/Q$317)," ")</f>
        <v>-0.25511904299726273</v>
      </c>
      <c r="S137" s="46">
        <f t="shared" si="46"/>
        <v>0.19552043325425009</v>
      </c>
      <c r="T137" s="46">
        <f>IF(ISNUMBER(NORMSINV(SUM(S$13:S137)/S$317)),NORMSINV(SUM(S$13:S137)/S$317)," ")</f>
        <v>1.3402114249593673</v>
      </c>
      <c r="U137" s="46">
        <f t="shared" si="47"/>
        <v>0.15160515357811286</v>
      </c>
      <c r="V137" s="46">
        <f>IF(ISNUMBER(NORMSINV(SUM(U$13:U137)/U$317)),NORMSINV(SUM(U$13:U137)/U$317)," ")</f>
        <v>-1.0164299408233644</v>
      </c>
      <c r="W137" s="46">
        <f t="shared" si="48"/>
        <v>3.794921623647745E-2</v>
      </c>
      <c r="X137" s="46">
        <f>IF(ISNUMBER(NORMSINV(SUM(W$13:W137)/W$317)),NORMSINV(SUM(W$13:W137)/W$317)," ")</f>
        <v>-0.36467633564539903</v>
      </c>
      <c r="Y137" s="46">
        <f t="shared" si="49"/>
        <v>2.8687428893057386E-2</v>
      </c>
      <c r="Z137" s="46">
        <f>IF(ISNUMBER(NORMSINV(SUM(Y$13:Y137)/Y$317)),NORMSINV(SUM(Y$13:Y137)/Y$317)," ")</f>
        <v>1.0330744344523559</v>
      </c>
      <c r="AA137" s="46">
        <f t="shared" si="50"/>
        <v>0.39668946735634414</v>
      </c>
      <c r="AB137" s="46">
        <f>IF(ISNUMBER(NORMSINV(SUM(AA$13:AA137)/AA$317)),NORMSINV(SUM(AA$13:AA137)/AA$317)," ")</f>
        <v>-1.1391992251651284</v>
      </c>
      <c r="AC137" s="46">
        <f t="shared" si="51"/>
        <v>0.1049437397442063</v>
      </c>
      <c r="AD137" s="46">
        <f>IF(ISNUMBER(NORMSINV(SUM(AC$13:AC137)/AC$317)),NORMSINV(SUM(AC$13:AC137)/AC$317)," ")</f>
        <v>-0.41563998271142233</v>
      </c>
      <c r="AE137" s="46">
        <f t="shared" si="52"/>
        <v>9.7710483948876159E-2</v>
      </c>
      <c r="AF137" s="46">
        <f>IF(ISNUMBER(NORMSINV(SUM(AE$13:AE137)/AE$317)),NORMSINV(SUM(AE$13:AE137)/AE$317)," ")</f>
        <v>1.0976943309064926</v>
      </c>
      <c r="AG137" s="46">
        <f t="shared" si="53"/>
        <v>0.84766678211643809</v>
      </c>
      <c r="AH137" s="46">
        <f>IF(ISNUMBER(NORMSINV(SUM(AG$13:AG137)/AG$317)),NORMSINV(SUM(AG$13:AG137)/AG$317)," ")</f>
        <v>-1.1318210292227207</v>
      </c>
      <c r="AI137" s="46">
        <f t="shared" si="54"/>
        <v>0.3146520270034408</v>
      </c>
      <c r="AJ137" s="46">
        <f>IF(ISNUMBER(NORMSINV(SUM(AI$13:AI137)/AI$317)),NORMSINV(SUM(AI$13:AI137)/AI$317)," ")</f>
        <v>-0.16133800500065393</v>
      </c>
      <c r="AK137" s="46">
        <f t="shared" si="55"/>
        <v>6.9122520412316535E-2</v>
      </c>
      <c r="AL137" s="46">
        <f>IF(ISNUMBER(NORMSINV(SUM(AK$13:AK137)/AK$317)),NORMSINV(SUM(AK$13:AK137)/AK$317)," ")</f>
        <v>1.7736473416592413</v>
      </c>
      <c r="AM137" s="6">
        <v>0.6417103105858476</v>
      </c>
      <c r="AN137" s="6">
        <v>0.16063044535654344</v>
      </c>
      <c r="AO137" s="6">
        <v>0.12142739524608728</v>
      </c>
      <c r="AP137" s="6">
        <v>0.60447483153662995</v>
      </c>
      <c r="AQ137" s="6">
        <v>0.1599131174958042</v>
      </c>
      <c r="AR137" s="6">
        <v>0.14889109286913088</v>
      </c>
      <c r="AS137" s="6">
        <v>0.6458625373685648</v>
      </c>
      <c r="AT137" s="6">
        <v>0.2397427395246087</v>
      </c>
      <c r="AU137" s="6">
        <v>5.2666504533000313E-2</v>
      </c>
    </row>
    <row r="138" spans="1:47" x14ac:dyDescent="0.4">
      <c r="A138" s="6">
        <f t="shared" si="40"/>
        <v>1.3973093963173604</v>
      </c>
      <c r="B138" s="6">
        <f>'Aerosol 1'!A142</f>
        <v>4.0443036962264589</v>
      </c>
      <c r="C138" t="b">
        <f t="shared" si="41"/>
        <v>0</v>
      </c>
      <c r="E138" s="46">
        <f>'Aerosol 1'!$P142</f>
        <v>0.44792546448737258</v>
      </c>
      <c r="F138" s="46">
        <f>'Aerosol 2'!$P142</f>
        <v>0.44792546448737258</v>
      </c>
      <c r="G138" s="46">
        <f>'Aerosol 3'!$P142</f>
        <v>0.44792546448737258</v>
      </c>
      <c r="H138" s="46">
        <f t="shared" si="42"/>
        <v>1.3437763934621176</v>
      </c>
      <c r="I138" s="46">
        <f>NORMSINV(SUM(H$13:H138)/H$317)</f>
        <v>-1.1017615739853726</v>
      </c>
      <c r="J138" s="46">
        <f t="shared" si="37"/>
        <v>0.24187975082318122</v>
      </c>
      <c r="K138" s="46">
        <f t="shared" si="38"/>
        <v>0.67188819673105882</v>
      </c>
      <c r="L138" s="46">
        <f t="shared" si="39"/>
        <v>1.3437226424063793</v>
      </c>
      <c r="M138" s="46">
        <f t="shared" si="43"/>
        <v>2.2574905899606192</v>
      </c>
      <c r="N138" s="46">
        <f>IF(ISNUMBER(NORMSINV(SUM(M$13:M138)/M$317)),NORMSINV(SUM(M$13:M138)/M$317)," ")</f>
        <v>-1.1017615739853726</v>
      </c>
      <c r="O138" s="46">
        <f t="shared" si="44"/>
        <v>1.4593791857346567</v>
      </c>
      <c r="P138" s="46">
        <f>IF(ISNUMBER(NORMSINV(SUM(O$13:O138)/O$317)),NORMSINV(SUM(O$13:O138)/O$317)," ")</f>
        <v>-1.0883076738819211</v>
      </c>
      <c r="Q138" s="46">
        <f t="shared" si="45"/>
        <v>0.4692747077290752</v>
      </c>
      <c r="R138" s="46">
        <f>IF(ISNUMBER(NORMSINV(SUM(Q$13:Q138)/Q$317)),NORMSINV(SUM(Q$13:Q138)/Q$317)," ")</f>
        <v>-0.1934998314597178</v>
      </c>
      <c r="S138" s="46">
        <f t="shared" si="46"/>
        <v>0.17563035608353061</v>
      </c>
      <c r="T138" s="46">
        <f>IF(ISNUMBER(NORMSINV(SUM(S$13:S138)/S$317)),NORMSINV(SUM(S$13:S138)/S$317)," ")</f>
        <v>1.428636939199915</v>
      </c>
      <c r="U138" s="46">
        <f t="shared" si="47"/>
        <v>0.15774628756221756</v>
      </c>
      <c r="V138" s="46">
        <f>IF(ISNUMBER(NORMSINV(SUM(U$13:U138)/U$317)),NORMSINV(SUM(U$13:U138)/U$317)," ")</f>
        <v>-0.97998305723869239</v>
      </c>
      <c r="W138" s="46">
        <f t="shared" si="48"/>
        <v>3.901628002845877E-2</v>
      </c>
      <c r="X138" s="46">
        <f>IF(ISNUMBER(NORMSINV(SUM(W$13:W138)/W$317)),NORMSINV(SUM(W$13:W138)/W$317)," ")</f>
        <v>-0.31955261881776936</v>
      </c>
      <c r="Y138" s="46">
        <f t="shared" si="49"/>
        <v>2.722166907385495E-2</v>
      </c>
      <c r="Z138" s="46">
        <f>IF(ISNUMBER(NORMSINV(SUM(Y$13:Y138)/Y$317)),NORMSINV(SUM(Y$13:Y138)/Y$317)," ")</f>
        <v>1.1031348671775385</v>
      </c>
      <c r="AA138" s="46">
        <f t="shared" si="50"/>
        <v>0.41478277947000353</v>
      </c>
      <c r="AB138" s="46">
        <f>IF(ISNUMBER(NORMSINV(SUM(AA$13:AA138)/AA$317)),NORMSINV(SUM(AA$13:AA138)/AA$317)," ")</f>
        <v>-1.104765502417371</v>
      </c>
      <c r="AC138" s="46">
        <f t="shared" si="51"/>
        <v>0.11040916773424019</v>
      </c>
      <c r="AD138" s="46">
        <f>IF(ISNUMBER(NORMSINV(SUM(AC$13:AC138)/AC$317)),NORMSINV(SUM(AC$13:AC138)/AC$317)," ")</f>
        <v>-0.36165418331519539</v>
      </c>
      <c r="AE138" s="46">
        <f t="shared" si="52"/>
        <v>9.0981060619301002E-2</v>
      </c>
      <c r="AF138" s="46">
        <f>IF(ISNUMBER(NORMSINV(SUM(AE$13:AE138)/AE$317)),NORMSINV(SUM(AE$13:AE138)/AE$317)," ")</f>
        <v>1.1870193574457313</v>
      </c>
      <c r="AG138" s="46">
        <f t="shared" si="53"/>
        <v>0.88685011870243569</v>
      </c>
      <c r="AH138" s="46">
        <f>IF(ISNUMBER(NORMSINV(SUM(AG$13:AG138)/AG$317)),NORMSINV(SUM(AG$13:AG138)/AG$317)," ")</f>
        <v>-1.0976431194727596</v>
      </c>
      <c r="AI138" s="46">
        <f t="shared" si="54"/>
        <v>0.31984925996637625</v>
      </c>
      <c r="AJ138" s="46">
        <f>IF(ISNUMBER(NORMSINV(SUM(AI$13:AI138)/AI$317)),NORMSINV(SUM(AI$13:AI138)/AI$317)," ")</f>
        <v>-9.2549404109926001E-2</v>
      </c>
      <c r="AK138" s="46">
        <f t="shared" si="55"/>
        <v>5.7427626390374645E-2</v>
      </c>
      <c r="AL138" s="46">
        <f>IF(ISNUMBER(NORMSINV(SUM(AK$13:AK138)/AK$317)),NORMSINV(SUM(AK$13:AK138)/AK$317)," ")</f>
        <v>1.8954008863110658</v>
      </c>
      <c r="AM138" s="6">
        <v>0.65216822419142129</v>
      </c>
      <c r="AN138" s="6">
        <v>0.16130444940378835</v>
      </c>
      <c r="AO138" s="6">
        <v>0.1125421577507516</v>
      </c>
      <c r="AP138" s="6">
        <v>0.6173389880757667</v>
      </c>
      <c r="AQ138" s="6">
        <v>0.16432669642272998</v>
      </c>
      <c r="AR138" s="6">
        <v>0.13541101192423327</v>
      </c>
      <c r="AS138" s="6">
        <v>0.6599949206141511</v>
      </c>
      <c r="AT138" s="6">
        <v>0.23803220238484668</v>
      </c>
      <c r="AU138" s="6">
        <v>4.2737708346963263E-2</v>
      </c>
    </row>
    <row r="139" spans="1:47" x14ac:dyDescent="0.4">
      <c r="A139" s="6">
        <f t="shared" si="40"/>
        <v>1.4317879737485391</v>
      </c>
      <c r="B139" s="6">
        <f>'Aerosol 1'!A143</f>
        <v>4.1861772797015711</v>
      </c>
      <c r="C139" t="b">
        <f t="shared" si="41"/>
        <v>0</v>
      </c>
      <c r="E139" s="46">
        <f>'Aerosol 1'!$P143</f>
        <v>0.4583955390376232</v>
      </c>
      <c r="F139" s="46">
        <f>'Aerosol 2'!$P143</f>
        <v>0.4583955390376232</v>
      </c>
      <c r="G139" s="46">
        <f>'Aerosol 3'!$P143</f>
        <v>0.4583955390376232</v>
      </c>
      <c r="H139" s="46">
        <f t="shared" si="42"/>
        <v>1.3751866171128695</v>
      </c>
      <c r="I139" s="46">
        <f>NORMSINV(SUM(H$13:H139)/H$317)</f>
        <v>-1.0808152113310849</v>
      </c>
      <c r="J139" s="46">
        <f t="shared" si="37"/>
        <v>0.24753359108031656</v>
      </c>
      <c r="K139" s="46">
        <f t="shared" si="38"/>
        <v>0.68759330855643475</v>
      </c>
      <c r="L139" s="46">
        <f t="shared" si="39"/>
        <v>1.3751316096481851</v>
      </c>
      <c r="M139" s="46">
        <f t="shared" si="43"/>
        <v>2.3102585092849366</v>
      </c>
      <c r="N139" s="46">
        <f>IF(ISNUMBER(NORMSINV(SUM(M$13:M139)/M$317)),NORMSINV(SUM(M$13:M139)/M$317)," ")</f>
        <v>-1.0808152113310849</v>
      </c>
      <c r="O139" s="46">
        <f t="shared" si="44"/>
        <v>1.5246097831351992</v>
      </c>
      <c r="P139" s="46">
        <f>IF(ISNUMBER(NORMSINV(SUM(O$13:O139)/O$317)),NORMSINV(SUM(O$13:O139)/O$317)," ")</f>
        <v>-1.0536353897812538</v>
      </c>
      <c r="Q139" s="46">
        <f t="shared" si="45"/>
        <v>0.47833025099324211</v>
      </c>
      <c r="R139" s="46">
        <f>IF(ISNUMBER(NORMSINV(SUM(Q$13:Q139)/Q$317)),NORMSINV(SUM(Q$13:Q139)/Q$317)," ")</f>
        <v>-0.13143785717496789</v>
      </c>
      <c r="S139" s="46">
        <f t="shared" si="46"/>
        <v>0.15599325616918266</v>
      </c>
      <c r="T139" s="46">
        <f>IF(ISNUMBER(NORMSINV(SUM(S$13:S139)/S$317)),NORMSINV(SUM(S$13:S139)/S$317)," ")</f>
        <v>1.5177911447307231</v>
      </c>
      <c r="U139" s="46">
        <f t="shared" si="47"/>
        <v>0.16391732720323943</v>
      </c>
      <c r="V139" s="46">
        <f>IF(ISNUMBER(NORMSINV(SUM(U$13:U139)/U$317)),NORMSINV(SUM(U$13:U139)/U$317)," ")</f>
        <v>-0.94344074061299543</v>
      </c>
      <c r="W139" s="46">
        <f t="shared" si="48"/>
        <v>4.0095179120191969E-2</v>
      </c>
      <c r="X139" s="46">
        <f>IF(ISNUMBER(NORMSINV(SUM(W$13:W139)/W$317)),NORMSINV(SUM(W$13:W139)/W$317)," ")</f>
        <v>-0.27384870038770842</v>
      </c>
      <c r="Y139" s="46">
        <f t="shared" si="49"/>
        <v>2.568814092946374E-2</v>
      </c>
      <c r="Z139" s="46">
        <f>IF(ISNUMBER(NORMSINV(SUM(Y$13:Y139)/Y$317)),NORMSINV(SUM(Y$13:Y139)/Y$317)," ")</f>
        <v>1.1746160908170094</v>
      </c>
      <c r="AA139" s="46">
        <f t="shared" si="50"/>
        <v>0.43354120089572967</v>
      </c>
      <c r="AB139" s="46">
        <f>IF(ISNUMBER(NORMSINV(SUM(AA$13:AA139)/AA$317)),NORMSINV(SUM(AA$13:AA139)/AA$317)," ")</f>
        <v>-1.0701217794530362</v>
      </c>
      <c r="AC139" s="46">
        <f t="shared" si="51"/>
        <v>0.11566690864671382</v>
      </c>
      <c r="AD139" s="46">
        <f>IF(ISNUMBER(NORMSINV(SUM(AC$13:AC139)/AC$317)),NORMSINV(SUM(AC$13:AC139)/AC$317)," ")</f>
        <v>-0.30620404371089327</v>
      </c>
      <c r="AE139" s="46">
        <f t="shared" si="52"/>
        <v>8.378252895831749E-2</v>
      </c>
      <c r="AF139" s="46">
        <f>IF(ISNUMBER(NORMSINV(SUM(AE$13:AE139)/AE$317)),NORMSINV(SUM(AE$13:AE139)/AE$317)," ")</f>
        <v>1.2785975721158727</v>
      </c>
      <c r="AG139" s="46">
        <f t="shared" si="53"/>
        <v>0.92715125503623008</v>
      </c>
      <c r="AH139" s="46">
        <f>IF(ISNUMBER(NORMSINV(SUM(AG$13:AG139)/AG$317)),NORMSINV(SUM(AG$13:AG139)/AG$317)," ")</f>
        <v>-1.0632319017326484</v>
      </c>
      <c r="AI139" s="46">
        <f t="shared" si="54"/>
        <v>0.3225681632263363</v>
      </c>
      <c r="AJ139" s="46">
        <f>IF(ISNUMBER(NORMSINV(SUM(AI$13:AI139)/AI$317)),NORMSINV(SUM(AI$13:AI139)/AI$317)," ")</f>
        <v>-2.3616371363093854E-2</v>
      </c>
      <c r="AK139" s="46">
        <f t="shared" si="55"/>
        <v>4.6522586281401442E-2</v>
      </c>
      <c r="AL139" s="46">
        <f>IF(ISNUMBER(NORMSINV(SUM(AK$13:AK139)/AK$317)),NORMSINV(SUM(AK$13:AK139)/AK$317)," ")</f>
        <v>2.0199287153974246</v>
      </c>
      <c r="AM139" s="6">
        <v>0.66220235600288135</v>
      </c>
      <c r="AN139" s="6">
        <v>0.1619787397144915</v>
      </c>
      <c r="AO139" s="6">
        <v>0.10377638371161019</v>
      </c>
      <c r="AP139" s="6">
        <v>0.63051980800384189</v>
      </c>
      <c r="AQ139" s="6">
        <v>0.16821994514395477</v>
      </c>
      <c r="AR139" s="6">
        <v>0.12184895913867227</v>
      </c>
      <c r="AS139" s="6">
        <v>0.6742272874328249</v>
      </c>
      <c r="AT139" s="6">
        <v>0.23457257542706214</v>
      </c>
      <c r="AU139" s="6">
        <v>3.3831369997598865E-2</v>
      </c>
    </row>
    <row r="140" spans="1:47" x14ac:dyDescent="0.4">
      <c r="A140" s="6">
        <f t="shared" si="40"/>
        <v>1.4662665511797179</v>
      </c>
      <c r="B140" s="6">
        <f>'Aerosol 1'!A144</f>
        <v>4.3330277677812639</v>
      </c>
      <c r="C140" t="b">
        <f t="shared" si="41"/>
        <v>0</v>
      </c>
      <c r="E140" s="46">
        <f>'Aerosol 1'!$P144</f>
        <v>0.46890523041042964</v>
      </c>
      <c r="F140" s="46">
        <f>'Aerosol 2'!$P144</f>
        <v>0.46890523041042964</v>
      </c>
      <c r="G140" s="46">
        <f>'Aerosol 3'!$P144</f>
        <v>0.46890523041042964</v>
      </c>
      <c r="H140" s="46">
        <f t="shared" si="42"/>
        <v>1.4067156912312888</v>
      </c>
      <c r="I140" s="46">
        <f>NORMSINV(SUM(H$13:H140)/H$317)</f>
        <v>-1.0598682287527286</v>
      </c>
      <c r="J140" s="46">
        <f t="shared" si="37"/>
        <v>0.25320882442163201</v>
      </c>
      <c r="K140" s="46">
        <f t="shared" si="38"/>
        <v>0.70335784561564441</v>
      </c>
      <c r="L140" s="46">
        <f t="shared" si="39"/>
        <v>1.4066594226036397</v>
      </c>
      <c r="M140" s="46">
        <f t="shared" si="43"/>
        <v>2.3632260926409163</v>
      </c>
      <c r="N140" s="46">
        <f>IF(ISNUMBER(NORMSINV(SUM(M$13:M140)/M$317)),NORMSINV(SUM(M$13:M140)/M$317)," ")</f>
        <v>-1.0598682287527286</v>
      </c>
      <c r="O140" s="46">
        <f t="shared" si="44"/>
        <v>1.5901647628904358</v>
      </c>
      <c r="P140" s="46">
        <f>IF(ISNUMBER(NORMSINV(SUM(O$13:O140)/O$317)),NORMSINV(SUM(O$13:O140)/O$317)," ")</f>
        <v>-1.0187728503605804</v>
      </c>
      <c r="Q140" s="46">
        <f t="shared" si="45"/>
        <v>0.48470461084908512</v>
      </c>
      <c r="R140" s="46">
        <f>IF(ISNUMBER(NORMSINV(SUM(Q$13:Q140)/Q$317)),NORMSINV(SUM(Q$13:Q140)/Q$317)," ")</f>
        <v>-6.906046795648968E-2</v>
      </c>
      <c r="S140" s="46">
        <f t="shared" si="46"/>
        <v>0.13736765268785525</v>
      </c>
      <c r="T140" s="46">
        <f>IF(ISNUMBER(NORMSINV(SUM(S$13:S140)/S$317)),NORMSINV(SUM(S$13:S140)/S$317)," ")</f>
        <v>1.6077220468229898</v>
      </c>
      <c r="U140" s="46">
        <f t="shared" si="47"/>
        <v>0.17006624063387327</v>
      </c>
      <c r="V140" s="46">
        <f>IF(ISNUMBER(NORMSINV(SUM(U$13:U140)/U$317)),NORMSINV(SUM(U$13:U140)/U$317)," ")</f>
        <v>-0.90681373038200896</v>
      </c>
      <c r="W140" s="46">
        <f t="shared" si="48"/>
        <v>4.1172287905829046E-2</v>
      </c>
      <c r="X140" s="46">
        <f>IF(ISNUMBER(NORMSINV(SUM(W$13:W140)/W$317)),NORMSINV(SUM(W$13:W140)/W$317)," ")</f>
        <v>-0.2275042506059321</v>
      </c>
      <c r="Y140" s="46">
        <f t="shared" si="49"/>
        <v>2.4070031159935373E-2</v>
      </c>
      <c r="Z140" s="46">
        <f>IF(ISNUMBER(NORMSINV(SUM(Y$13:Y140)/Y$317)),NORMSINV(SUM(Y$13:Y140)/Y$317)," ")</f>
        <v>1.2475211270472275</v>
      </c>
      <c r="AA140" s="46">
        <f t="shared" si="50"/>
        <v>0.45229981420022347</v>
      </c>
      <c r="AB140" s="46">
        <f>IF(ISNUMBER(NORMSINV(SUM(AA$13:AA140)/AA$317)),NORMSINV(SUM(AA$13:AA140)/AA$317)," ")</f>
        <v>-1.0352976445259827</v>
      </c>
      <c r="AC140" s="46">
        <f t="shared" si="51"/>
        <v>0.12081281529431349</v>
      </c>
      <c r="AD140" s="46">
        <f>IF(ISNUMBER(NORMSINV(SUM(AC$13:AC140)/AC$317)),NORMSINV(SUM(AC$13:AC140)/AC$317)," ")</f>
        <v>-0.24927316625567641</v>
      </c>
      <c r="AE140" s="46">
        <f t="shared" si="52"/>
        <v>7.6201790287394836E-2</v>
      </c>
      <c r="AF140" s="46">
        <f>IF(ISNUMBER(NORMSINV(SUM(AE$13:AE140)/AE$317)),NORMSINV(SUM(AE$13:AE140)/AE$317)," ")</f>
        <v>1.3723632720839456</v>
      </c>
      <c r="AG140" s="46">
        <f t="shared" si="53"/>
        <v>0.96779870805633905</v>
      </c>
      <c r="AH140" s="46">
        <f>IF(ISNUMBER(NORMSINV(SUM(AG$13:AG140)/AG$317)),NORMSINV(SUM(AG$13:AG140)/AG$317)," ")</f>
        <v>-1.0286062658099988</v>
      </c>
      <c r="AI140" s="46">
        <f t="shared" si="54"/>
        <v>0.32271950764894258</v>
      </c>
      <c r="AJ140" s="46">
        <f>IF(ISNUMBER(NORMSINV(SUM(AI$13:AI140)/AI$317)),NORMSINV(SUM(AI$13:AI140)/AI$317)," ")</f>
        <v>4.523680613252002E-2</v>
      </c>
      <c r="AK140" s="46">
        <f t="shared" si="55"/>
        <v>3.7095831240525047E-2</v>
      </c>
      <c r="AL140" s="46">
        <f>IF(ISNUMBER(NORMSINV(SUM(AK$13:AK140)/AK$317)),NORMSINV(SUM(AK$13:AK140)/AK$317)," ")</f>
        <v>2.1480416386324537</v>
      </c>
      <c r="AM140" s="6">
        <v>0.67164420917134615</v>
      </c>
      <c r="AN140" s="6">
        <v>0.16260210519863555</v>
      </c>
      <c r="AO140" s="6">
        <v>9.506000122592502E-2</v>
      </c>
      <c r="AP140" s="6">
        <v>0.64305789296247695</v>
      </c>
      <c r="AQ140" s="6">
        <v>0.17176578898976644</v>
      </c>
      <c r="AR140" s="6">
        <v>0.10834000183888745</v>
      </c>
      <c r="AS140" s="6">
        <v>0.68801210335974816</v>
      </c>
      <c r="AT140" s="6">
        <v>0.22942263241773814</v>
      </c>
      <c r="AU140" s="6">
        <v>2.6371579818420407E-2</v>
      </c>
    </row>
    <row r="141" spans="1:47" x14ac:dyDescent="0.4">
      <c r="A141" s="6">
        <f t="shared" si="40"/>
        <v>1.5007451286108966</v>
      </c>
      <c r="B141" s="6">
        <f>'Aerosol 1'!A145</f>
        <v>4.4850297495527807</v>
      </c>
      <c r="C141" t="b">
        <f t="shared" si="41"/>
        <v>0</v>
      </c>
      <c r="E141" s="46">
        <f>'Aerosol 1'!$P145</f>
        <v>0.47944615089507425</v>
      </c>
      <c r="F141" s="46">
        <f>'Aerosol 2'!$P145</f>
        <v>0.47944615089507425</v>
      </c>
      <c r="G141" s="46">
        <f>'Aerosol 3'!$P145</f>
        <v>0.47944615089507425</v>
      </c>
      <c r="H141" s="46">
        <f t="shared" si="42"/>
        <v>1.4383384526852228</v>
      </c>
      <c r="I141" s="46">
        <f>NORMSINV(SUM(H$13:H141)/H$317)</f>
        <v>-1.0389206106002762</v>
      </c>
      <c r="J141" s="46">
        <f t="shared" ref="J141:J204" si="56">F$5*G$5*E141</f>
        <v>0.2589009214833401</v>
      </c>
      <c r="K141" s="46">
        <f t="shared" ref="K141:K204" si="57">F$6*G$6*F141</f>
        <v>0.71916922634261138</v>
      </c>
      <c r="L141" s="46">
        <f t="shared" ref="L141:L204" si="58">F$7*G$7*G141</f>
        <v>1.4382809191471153</v>
      </c>
      <c r="M141" s="46">
        <f t="shared" si="43"/>
        <v>2.4163510669730668</v>
      </c>
      <c r="N141" s="46">
        <f>IF(ISNUMBER(NORMSINV(SUM(M$13:M141)/M$317)),NORMSINV(SUM(M$13:M141)/M$317)," ")</f>
        <v>-1.0389206106002762</v>
      </c>
      <c r="O141" s="46">
        <f t="shared" si="44"/>
        <v>1.6564646085925683</v>
      </c>
      <c r="P141" s="46">
        <f>IF(ISNUMBER(NORMSINV(SUM(O$13:O141)/O$317)),NORMSINV(SUM(O$13:O141)/O$317)," ")</f>
        <v>-0.98372705395586701</v>
      </c>
      <c r="Q141" s="46">
        <f t="shared" si="45"/>
        <v>0.48929719478824535</v>
      </c>
      <c r="R141" s="46">
        <f>IF(ISNUMBER(NORMSINV(SUM(Q$13:Q141)/Q$317)),NORMSINV(SUM(Q$13:Q141)/Q$317)," ")</f>
        <v>-6.3629118065770835E-3</v>
      </c>
      <c r="S141" s="46">
        <f t="shared" si="46"/>
        <v>0.12044813390960088</v>
      </c>
      <c r="T141" s="46">
        <f>IF(ISNUMBER(NORMSINV(SUM(S$13:S141)/S$317)),NORMSINV(SUM(S$13:S141)/S$317)," ")</f>
        <v>1.6989282691357581</v>
      </c>
      <c r="U141" s="46">
        <f t="shared" si="47"/>
        <v>0.17631588212833288</v>
      </c>
      <c r="V141" s="46">
        <f>IF(ISNUMBER(NORMSINV(SUM(U$13:U141)/U$317)),NORMSINV(SUM(U$13:U141)/U$317)," ")</f>
        <v>-0.87008281206760663</v>
      </c>
      <c r="W141" s="46">
        <f t="shared" si="48"/>
        <v>4.2194100060254654E-2</v>
      </c>
      <c r="X141" s="46">
        <f>IF(ISNUMBER(NORMSINV(SUM(W$13:W141)/W$317)),NORMSINV(SUM(W$13:W141)/W$317)," ")</f>
        <v>-0.18051066916926353</v>
      </c>
      <c r="Y141" s="46">
        <f t="shared" si="49"/>
        <v>2.2397325251660442E-2</v>
      </c>
      <c r="Z141" s="46">
        <f>IF(ISNUMBER(NORMSINV(SUM(Y$13:Y141)/Y$317)),NORMSINV(SUM(Y$13:Y141)/Y$317)," ")</f>
        <v>1.3218851843774377</v>
      </c>
      <c r="AA141" s="46">
        <f t="shared" si="50"/>
        <v>0.47142419683008874</v>
      </c>
      <c r="AB141" s="46">
        <f>IF(ISNUMBER(NORMSINV(SUM(AA$13:AA141)/AA$317)),NORMSINV(SUM(AA$13:AA141)/AA$317)," ")</f>
        <v>-1.000289512401376</v>
      </c>
      <c r="AC141" s="46">
        <f t="shared" si="51"/>
        <v>0.12580607505533936</v>
      </c>
      <c r="AD141" s="46">
        <f>IF(ISNUMBER(NORMSINV(SUM(AC$13:AC141)/AC$317)),NORMSINV(SUM(AC$13:AC141)/AC$317)," ")</f>
        <v>-0.19083376750880576</v>
      </c>
      <c r="AE141" s="46">
        <f t="shared" si="52"/>
        <v>6.8709392939489022E-2</v>
      </c>
      <c r="AF141" s="46">
        <f>IF(ISNUMBER(NORMSINV(SUM(AE$13:AE141)/AE$317)),NORMSINV(SUM(AE$13:AE141)/AE$317)," ")</f>
        <v>1.4686834771532167</v>
      </c>
      <c r="AG141" s="46">
        <f t="shared" si="53"/>
        <v>1.0087245296341467</v>
      </c>
      <c r="AH141" s="46">
        <f>IF(ISNUMBER(NORMSINV(SUM(AG$13:AG141)/AG$317)),NORMSINV(SUM(AG$13:AG141)/AG$317)," ")</f>
        <v>-0.99378252286137914</v>
      </c>
      <c r="AI141" s="46">
        <f t="shared" si="54"/>
        <v>0.32129701967265134</v>
      </c>
      <c r="AJ141" s="46">
        <f>IF(ISNUMBER(NORMSINV(SUM(AI$13:AI141)/AI$317)),NORMSINV(SUM(AI$13:AI141)/AI$317)," ")</f>
        <v>0.1139999697163777</v>
      </c>
      <c r="AK141" s="46">
        <f t="shared" si="55"/>
        <v>2.9341415718451412E-2</v>
      </c>
      <c r="AL141" s="46">
        <f>IF(ISNUMBER(NORMSINV(SUM(AK$13:AK141)/AK$317)),NORMSINV(SUM(AK$13:AK141)/AK$317)," ")</f>
        <v>2.2822982137188976</v>
      </c>
      <c r="AM141" s="6">
        <v>0.68101681955457449</v>
      </c>
      <c r="AN141" s="6">
        <v>0.16297392770372887</v>
      </c>
      <c r="AO141" s="6">
        <v>8.6509252741696699E-2</v>
      </c>
      <c r="AP141" s="6">
        <v>0.65551219318372611</v>
      </c>
      <c r="AQ141" s="6">
        <v>0.17493250607389796</v>
      </c>
      <c r="AR141" s="6">
        <v>9.5539951408816187E-2</v>
      </c>
      <c r="AS141" s="6">
        <v>0.70134041007253944</v>
      </c>
      <c r="AT141" s="6">
        <v>0.22338961422305242</v>
      </c>
      <c r="AU141" s="6">
        <v>2.0400337185763784E-2</v>
      </c>
    </row>
    <row r="142" spans="1:47" x14ac:dyDescent="0.4">
      <c r="A142" s="6">
        <f t="shared" ref="A142:A205" si="59">LN(B142)</f>
        <v>1.5352237060420753</v>
      </c>
      <c r="B142" s="6">
        <f>'Aerosol 1'!A146</f>
        <v>4.6423639386630704</v>
      </c>
      <c r="C142" t="b">
        <f t="shared" ref="C142:C205" si="60">OR(B142&lt;0.001,B142&gt;100)</f>
        <v>0</v>
      </c>
      <c r="E142" s="46">
        <f>'Aerosol 1'!$P146</f>
        <v>0.49000968094562725</v>
      </c>
      <c r="F142" s="46">
        <f>'Aerosol 2'!$P146</f>
        <v>0.49000968094562725</v>
      </c>
      <c r="G142" s="46">
        <f>'Aerosol 3'!$P146</f>
        <v>0.49000968094562725</v>
      </c>
      <c r="H142" s="46">
        <f t="shared" ref="H142:H205" si="61">SUM(E142,F142,G142)</f>
        <v>1.4700290428368818</v>
      </c>
      <c r="I142" s="46">
        <f>NORMSINV(SUM(H$13:H142)/H$317)</f>
        <v>-1.0179723407383039</v>
      </c>
      <c r="J142" s="46">
        <f t="shared" si="56"/>
        <v>0.26460522771063871</v>
      </c>
      <c r="K142" s="46">
        <f t="shared" si="57"/>
        <v>0.73501452141844092</v>
      </c>
      <c r="L142" s="46">
        <f t="shared" si="58"/>
        <v>1.4699702416751683</v>
      </c>
      <c r="M142" s="46">
        <f t="shared" ref="M142:M205" si="62">SUM(J142,K142,L142)</f>
        <v>2.469589990804248</v>
      </c>
      <c r="N142" s="46">
        <f>IF(ISNUMBER(NORMSINV(SUM(M$13:M142)/M$317)),NORMSINV(SUM(M$13:M142)/M$317)," ")</f>
        <v>-1.0179723407383081</v>
      </c>
      <c r="O142" s="46">
        <f t="shared" ref="O142:O205" si="63">SUM(U142,AA142,AG142)</f>
        <v>1.725031637257546</v>
      </c>
      <c r="P142" s="46">
        <f>IF(ISNUMBER(NORMSINV(SUM(O$13:O142)/O$317)),NORMSINV(SUM(O$13:O142)/O$317)," ")</f>
        <v>-0.94847083561971612</v>
      </c>
      <c r="Q142" s="46">
        <f t="shared" ref="Q142:Q205" si="64">SUM(W142,AC142,AI142)</f>
        <v>0.49024574227335671</v>
      </c>
      <c r="R142" s="46">
        <f>IF(ISNUMBER(NORMSINV(SUM(Q$13:Q142)/Q$317)),NORMSINV(SUM(Q$13:Q142)/Q$317)," ")</f>
        <v>5.64312490468225E-2</v>
      </c>
      <c r="S142" s="46">
        <f t="shared" ref="S142:S205" si="65">SUM(Y142,AE142,AK142)</f>
        <v>0.10398160483274213</v>
      </c>
      <c r="T142" s="46">
        <f>IF(ISNUMBER(NORMSINV(SUM(S$13:S142)/S$317)),NORMSINV(SUM(S$13:S142)/S$317)," ")</f>
        <v>1.7909137310776151</v>
      </c>
      <c r="U142" s="46">
        <f t="shared" ref="U142:U205" si="66">IF(C142,0,$J142*AM142)</f>
        <v>0.18252203043101783</v>
      </c>
      <c r="V142" s="46">
        <f>IF(ISNUMBER(NORMSINV(SUM(U$13:U142)/U$317)),NORMSINV(SUM(U$13:U142)/U$317)," ")</f>
        <v>-0.83325635159179634</v>
      </c>
      <c r="W142" s="46">
        <f t="shared" ref="W142:W205" si="67">IF(C142,0,$J142*AN142)</f>
        <v>4.3063944251085146E-2</v>
      </c>
      <c r="X142" s="46">
        <f>IF(ISNUMBER(NORMSINV(SUM(W$13:W142)/W$317)),NORMSINV(SUM(W$13:W142)/W$317)," ")</f>
        <v>-0.13295535530612454</v>
      </c>
      <c r="Y142" s="46">
        <f t="shared" ref="Y142:Y205" si="68">IF(C142,0,$J142*AO142)</f>
        <v>2.0629467982056955E-2</v>
      </c>
      <c r="Z142" s="46">
        <f>IF(ISNUMBER(NORMSINV(SUM(Y$13:Y142)/Y$317)),NORMSINV(SUM(Y$13:Y142)/Y$317)," ")</f>
        <v>1.3975157817818133</v>
      </c>
      <c r="AA142" s="46">
        <f t="shared" ref="AA142:AA205" si="69">IF(C142,0,$K142*AP142)</f>
        <v>0.49139894947982576</v>
      </c>
      <c r="AB142" s="46">
        <f>IF(ISNUMBER(NORMSINV(SUM(AA$13:AA142)/AA$317)),NORMSINV(SUM(AA$13:AA142)/AA$317)," ")</f>
        <v>-0.96505754822688627</v>
      </c>
      <c r="AC142" s="46">
        <f t="shared" ref="AC142:AC205" si="70">IF(C142,0,$K142*AQ142)</f>
        <v>0.12973470102053236</v>
      </c>
      <c r="AD142" s="46">
        <f>IF(ISNUMBER(NORMSINV(SUM(AC$13:AC142)/AC$317)),NORMSINV(SUM(AC$13:AC142)/AC$317)," ")</f>
        <v>-0.13124280752223544</v>
      </c>
      <c r="AE142" s="46">
        <f t="shared" ref="AE142:AE205" si="71">IF(C142,0,$K142*AR142)</f>
        <v>6.0966009362858488E-2</v>
      </c>
      <c r="AF142" s="46">
        <f>IF(ISNUMBER(NORMSINV(SUM(AE$13:AE142)/AE$317)),NORMSINV(SUM(AE$13:AE142)/AE$317)," ")</f>
        <v>1.5672937244276688</v>
      </c>
      <c r="AG142" s="46">
        <f t="shared" ref="AG142:AG205" si="72">IF(C142,0,$L142*AS142)</f>
        <v>1.0511106573467024</v>
      </c>
      <c r="AH142" s="46">
        <f>IF(ISNUMBER(NORMSINV(SUM(AG$13:AG142)/AG$317)),NORMSINV(SUM(AG$13:AG142)/AG$317)," ")</f>
        <v>-0.95873354441166125</v>
      </c>
      <c r="AI142" s="46">
        <f t="shared" ref="AI142:AI205" si="73">IF(C142,0,$L142*AT142)</f>
        <v>0.31744709700173923</v>
      </c>
      <c r="AJ142" s="46">
        <f>IF(ISNUMBER(NORMSINV(SUM(AI$13:AI142)/AI$317)),NORMSINV(SUM(AI$13:AI142)/AI$317)," ")</f>
        <v>0.18247205069253511</v>
      </c>
      <c r="AK142" s="46">
        <f t="shared" ref="AK142:AK205" si="74">IF(C142,0,$L142*AU142)</f>
        <v>2.2386127487826694E-2</v>
      </c>
      <c r="AL142" s="46">
        <f>IF(ISNUMBER(NORMSINV(SUM(AK$13:AK142)/AK$317)),NORMSINV(SUM(AK$13:AK142)/AK$317)," ")</f>
        <v>2.4222899759019949</v>
      </c>
      <c r="AM142" s="6">
        <v>0.68978996375164725</v>
      </c>
      <c r="AN142" s="6">
        <v>0.16274789664465014</v>
      </c>
      <c r="AO142" s="6">
        <v>7.7963191281377422E-2</v>
      </c>
      <c r="AP142" s="6">
        <v>0.66855679059444628</v>
      </c>
      <c r="AQ142" s="6">
        <v>0.17650631006604955</v>
      </c>
      <c r="AR142" s="6">
        <v>8.2945312760903639E-2</v>
      </c>
      <c r="AS142" s="6">
        <v>0.71505573891677132</v>
      </c>
      <c r="AT142" s="6">
        <v>0.21595477785997805</v>
      </c>
      <c r="AU142" s="6">
        <v>1.5228966446501402E-2</v>
      </c>
    </row>
    <row r="143" spans="1:47" x14ac:dyDescent="0.4">
      <c r="A143" s="6">
        <f t="shared" si="59"/>
        <v>1.5697022834732541</v>
      </c>
      <c r="B143" s="6">
        <f>'Aerosol 1'!A147</f>
        <v>4.8052173881674447</v>
      </c>
      <c r="C143" t="b">
        <f t="shared" si="60"/>
        <v>0</v>
      </c>
      <c r="E143" s="46">
        <f>'Aerosol 1'!$P147</f>
        <v>0.50058697921267492</v>
      </c>
      <c r="F143" s="46">
        <f>'Aerosol 2'!$P147</f>
        <v>0.50058697921267492</v>
      </c>
      <c r="G143" s="46">
        <f>'Aerosol 3'!$P147</f>
        <v>0.50058697921267492</v>
      </c>
      <c r="H143" s="46">
        <f t="shared" si="61"/>
        <v>1.5017609376380248</v>
      </c>
      <c r="I143" s="46">
        <f>NORMSINV(SUM(H$13:H143)/H$317)</f>
        <v>-0.99702340252836952</v>
      </c>
      <c r="J143" s="46">
        <f t="shared" si="56"/>
        <v>0.27031696877484446</v>
      </c>
      <c r="K143" s="46">
        <f t="shared" si="57"/>
        <v>0.75088046881901238</v>
      </c>
      <c r="L143" s="46">
        <f t="shared" si="58"/>
        <v>1.5017008672005192</v>
      </c>
      <c r="M143" s="46">
        <f t="shared" si="62"/>
        <v>2.522898304794376</v>
      </c>
      <c r="N143" s="46">
        <f>IF(ISNUMBER(NORMSINV(SUM(M$13:M143)/M$317)),NORMSINV(SUM(M$13:M143)/M$317)," ")</f>
        <v>-0.99702340252836952</v>
      </c>
      <c r="O143" s="46">
        <f t="shared" si="63"/>
        <v>1.7915048795755588</v>
      </c>
      <c r="P143" s="46">
        <f>IF(ISNUMBER(NORMSINV(SUM(O$13:O143)/O$317)),NORMSINV(SUM(O$13:O143)/O$317)," ")</f>
        <v>-0.9130625526206877</v>
      </c>
      <c r="Q143" s="46">
        <f t="shared" si="64"/>
        <v>0.48724016613647469</v>
      </c>
      <c r="R143" s="46">
        <f>IF(ISNUMBER(NORMSINV(SUM(Q$13:Q143)/Q$317)),NORMSINV(SUM(Q$13:Q143)/Q$317)," ")</f>
        <v>0.11906139997321376</v>
      </c>
      <c r="S143" s="46">
        <f t="shared" si="65"/>
        <v>8.861785935862139E-2</v>
      </c>
      <c r="T143" s="46">
        <f>IF(ISNUMBER(NORMSINV(SUM(S$13:S143)/S$317)),NORMSINV(SUM(S$13:S143)/S$317)," ")</f>
        <v>1.8833760196278611</v>
      </c>
      <c r="U143" s="46">
        <f t="shared" si="66"/>
        <v>0.18876484774702312</v>
      </c>
      <c r="V143" s="46">
        <f>IF(ISNUMBER(NORMSINV(SUM(U$13:U143)/U$317)),NORMSINV(SUM(U$13:U143)/U$317)," ")</f>
        <v>-0.79632274665872593</v>
      </c>
      <c r="W143" s="46">
        <f t="shared" si="67"/>
        <v>4.3872312008391506E-2</v>
      </c>
      <c r="X143" s="46">
        <f>IF(ISNUMBER(NORMSINV(SUM(W$13:W143)/W$317)),NORMSINV(SUM(W$13:W143)/W$317)," ")</f>
        <v>-8.4814091087861088E-2</v>
      </c>
      <c r="Y143" s="46">
        <f t="shared" si="68"/>
        <v>1.8953667019435357E-2</v>
      </c>
      <c r="Z143" s="46">
        <f>IF(ISNUMBER(NORMSINV(SUM(Y$13:Y143)/Y$317)),NORMSINV(SUM(Y$13:Y143)/Y$317)," ")</f>
        <v>1.4748382793908803</v>
      </c>
      <c r="AA143" s="46">
        <f t="shared" si="69"/>
        <v>0.51109669288409199</v>
      </c>
      <c r="AB143" s="46">
        <f>IF(ISNUMBER(NORMSINV(SUM(AA$13:AA143)/AA$317)),NORMSINV(SUM(AA$13:AA143)/AA$317)," ")</f>
        <v>-0.92964126774765321</v>
      </c>
      <c r="AC143" s="46">
        <f t="shared" si="70"/>
        <v>0.13354519157750924</v>
      </c>
      <c r="AD143" s="46">
        <f>IF(ISNUMBER(NORMSINV(SUM(AC$13:AC143)/AC$317)),NORMSINV(SUM(AC$13:AC143)/AC$317)," ")</f>
        <v>-7.0382828576692397E-2</v>
      </c>
      <c r="AE143" s="46">
        <f t="shared" si="71"/>
        <v>5.3528242377047036E-2</v>
      </c>
      <c r="AF143" s="46">
        <f>IF(ISNUMBER(NORMSINV(SUM(AE$13:AE143)/AE$317)),NORMSINV(SUM(AE$13:AE143)/AE$317)," ")</f>
        <v>1.6685435950965377</v>
      </c>
      <c r="AG143" s="46">
        <f t="shared" si="72"/>
        <v>1.0916433389444438</v>
      </c>
      <c r="AH143" s="46">
        <f>IF(ISNUMBER(NORMSINV(SUM(AG$13:AG143)/AG$317)),NORMSINV(SUM(AG$13:AG143)/AG$317)," ")</f>
        <v>-0.92353814881001195</v>
      </c>
      <c r="AI143" s="46">
        <f t="shared" si="73"/>
        <v>0.30982266255057395</v>
      </c>
      <c r="AJ143" s="46">
        <f>IF(ISNUMBER(NORMSINV(SUM(AI$13:AI143)/AI$317)),NORMSINV(SUM(AI$13:AI143)/AI$317)," ")</f>
        <v>0.25013320390449739</v>
      </c>
      <c r="AK143" s="46">
        <f t="shared" si="74"/>
        <v>1.6135949962139007E-2</v>
      </c>
      <c r="AL143" s="46">
        <f>IF(ISNUMBER(NORMSINV(SUM(AK$13:AK143)/AK$317)),NORMSINV(SUM(AK$13:AK143)/AK$317)," ")</f>
        <v>2.5641687570370091</v>
      </c>
      <c r="AM143" s="6">
        <v>0.69830927966734979</v>
      </c>
      <c r="AN143" s="6">
        <v>0.16229951159645528</v>
      </c>
      <c r="AO143" s="6">
        <v>7.0116452937967297E-2</v>
      </c>
      <c r="AP143" s="6">
        <v>0.68066318689570759</v>
      </c>
      <c r="AQ143" s="6">
        <v>0.17785146521063416</v>
      </c>
      <c r="AR143" s="6">
        <v>7.1287301507837131E-2</v>
      </c>
      <c r="AS143" s="6">
        <v>0.72693794269393519</v>
      </c>
      <c r="AT143" s="6">
        <v>0.2063144993237884</v>
      </c>
      <c r="AU143" s="6">
        <v>1.074511596455275E-2</v>
      </c>
    </row>
    <row r="144" spans="1:47" x14ac:dyDescent="0.4">
      <c r="A144" s="6">
        <f t="shared" si="59"/>
        <v>1.604180860904433</v>
      </c>
      <c r="B144" s="6">
        <f>'Aerosol 1'!A148</f>
        <v>4.9737837129150959</v>
      </c>
      <c r="C144" t="b">
        <f t="shared" si="60"/>
        <v>0</v>
      </c>
      <c r="E144" s="46">
        <f>'Aerosol 1'!$P148</f>
        <v>0.51116899328848275</v>
      </c>
      <c r="F144" s="46">
        <f>'Aerosol 2'!$P148</f>
        <v>0.51116899328848275</v>
      </c>
      <c r="G144" s="46">
        <f>'Aerosol 3'!$P148</f>
        <v>0.51116899328848275</v>
      </c>
      <c r="H144" s="46">
        <f t="shared" si="61"/>
        <v>1.5335069798654484</v>
      </c>
      <c r="I144" s="46">
        <f>NORMSINV(SUM(H$13:H144)/H$317)</f>
        <v>-0.97607377881073287</v>
      </c>
      <c r="J144" s="46">
        <f t="shared" si="56"/>
        <v>0.27603125637578069</v>
      </c>
      <c r="K144" s="46">
        <f t="shared" si="57"/>
        <v>0.76675348993272419</v>
      </c>
      <c r="L144" s="46">
        <f t="shared" si="58"/>
        <v>1.5334456395862537</v>
      </c>
      <c r="M144" s="46">
        <f t="shared" si="62"/>
        <v>2.5762303858947586</v>
      </c>
      <c r="N144" s="46">
        <f>IF(ISNUMBER(NORMSINV(SUM(M$13:M144)/M$317)),NORMSINV(SUM(M$13:M144)/M$317)," ")</f>
        <v>-0.97607377881073287</v>
      </c>
      <c r="O144" s="46">
        <f t="shared" si="63"/>
        <v>1.8590742171373469</v>
      </c>
      <c r="P144" s="46">
        <f>IF(ISNUMBER(NORMSINV(SUM(O$13:O144)/O$317)),NORMSINV(SUM(O$13:O144)/O$317)," ")</f>
        <v>-0.87749020846746717</v>
      </c>
      <c r="Q144" s="46">
        <f t="shared" si="64"/>
        <v>0.48243706301201716</v>
      </c>
      <c r="R144" s="46">
        <f>IF(ISNUMBER(NORMSINV(SUM(Q$13:Q144)/Q$317)),NORMSINV(SUM(Q$13:Q144)/Q$317)," ")</f>
        <v>0.18153737911908116</v>
      </c>
      <c r="S144" s="46">
        <f t="shared" si="65"/>
        <v>7.5007949507062813E-2</v>
      </c>
      <c r="T144" s="46">
        <f>IF(ISNUMBER(NORMSINV(SUM(S$13:S144)/S$317)),NORMSINV(SUM(S$13:S144)/S$317)," ")</f>
        <v>1.9765787692970656</v>
      </c>
      <c r="U144" s="46">
        <f t="shared" si="66"/>
        <v>0.19494225851321154</v>
      </c>
      <c r="V144" s="46">
        <f>IF(ISNUMBER(NORMSINV(SUM(U$13:U144)/U$317)),NORMSINV(SUM(U$13:U144)/U$317)," ")</f>
        <v>-0.75928728110377874</v>
      </c>
      <c r="W144" s="46">
        <f t="shared" si="67"/>
        <v>4.4675934061687732E-2</v>
      </c>
      <c r="X144" s="46">
        <f>IF(ISNUMBER(NORMSINV(SUM(W$13:W144)/W$317)),NORMSINV(SUM(W$13:W144)/W$317)," ")</f>
        <v>-3.5991599893961695E-2</v>
      </c>
      <c r="Y144" s="46">
        <f t="shared" si="68"/>
        <v>1.7242830654217244E-2</v>
      </c>
      <c r="Z144" s="46">
        <f>IF(ISNUMBER(NORMSINV(SUM(Y$13:Y144)/Y$317)),NORMSINV(SUM(Y$13:Y144)/Y$317)," ")</f>
        <v>1.5537688373684846</v>
      </c>
      <c r="AA144" s="46">
        <f t="shared" si="69"/>
        <v>0.53088023962675601</v>
      </c>
      <c r="AB144" s="46">
        <f>IF(ISNUMBER(NORMSINV(SUM(AA$13:AA144)/AA$317)),NORMSINV(SUM(AA$13:AA144)/AA$317)," ")</f>
        <v>-0.8940483091996928</v>
      </c>
      <c r="AC144" s="46">
        <f t="shared" si="70"/>
        <v>0.13587024740089892</v>
      </c>
      <c r="AD144" s="46">
        <f>IF(ISNUMBER(NORMSINV(SUM(AC$13:AC144)/AC$317)),NORMSINV(SUM(AC$13:AC144)/AC$317)," ")</f>
        <v>-8.7285689758629745E-3</v>
      </c>
      <c r="AE144" s="46">
        <f t="shared" si="71"/>
        <v>4.6024321706215648E-2</v>
      </c>
      <c r="AF144" s="46">
        <f>IF(ISNUMBER(NORMSINV(SUM(AE$13:AE144)/AE$317)),NORMSINV(SUM(AE$13:AE144)/AE$317)," ")</f>
        <v>1.7717799548380009</v>
      </c>
      <c r="AG144" s="46">
        <f t="shared" si="72"/>
        <v>1.1332517189973794</v>
      </c>
      <c r="AH144" s="46">
        <f>IF(ISNUMBER(NORMSINV(SUM(AG$13:AG144)/AG$317)),NORMSINV(SUM(AG$13:AG144)/AG$317)," ")</f>
        <v>-0.88817238674385457</v>
      </c>
      <c r="AI144" s="46">
        <f t="shared" si="73"/>
        <v>0.3018908815494305</v>
      </c>
      <c r="AJ144" s="46">
        <f>IF(ISNUMBER(NORMSINV(SUM(AI$13:AI144)/AI$317)),NORMSINV(SUM(AI$13:AI144)/AI$317)," ")</f>
        <v>0.31718097953421998</v>
      </c>
      <c r="AK144" s="46">
        <f t="shared" si="74"/>
        <v>1.174079714662991E-2</v>
      </c>
      <c r="AL144" s="46">
        <f>IF(ISNUMBER(NORMSINV(SUM(AK$13:AK144)/AK$317)),NORMSINV(SUM(AK$13:AK144)/AK$317)," ")</f>
        <v>2.714105034158294</v>
      </c>
      <c r="AM144" s="6">
        <v>0.70623255160576082</v>
      </c>
      <c r="AN144" s="6">
        <v>0.16185099705109937</v>
      </c>
      <c r="AO144" s="6">
        <v>6.2466949868689406E-2</v>
      </c>
      <c r="AP144" s="6">
        <v>0.69237407667141637</v>
      </c>
      <c r="AQ144" s="6">
        <v>0.17720199410219878</v>
      </c>
      <c r="AR144" s="6">
        <v>6.0024926277484403E-2</v>
      </c>
      <c r="AS144" s="6">
        <v>0.73902307962031677</v>
      </c>
      <c r="AT144" s="6">
        <v>0.19687093807308692</v>
      </c>
      <c r="AU144" s="6">
        <v>7.6564808321459323E-3</v>
      </c>
    </row>
    <row r="145" spans="1:47" x14ac:dyDescent="0.4">
      <c r="A145" s="6">
        <f t="shared" si="59"/>
        <v>1.6386594383356117</v>
      </c>
      <c r="B145" s="6">
        <f>'Aerosol 1'!A149</f>
        <v>5.1482633197358743</v>
      </c>
      <c r="C145" t="b">
        <f t="shared" si="60"/>
        <v>0</v>
      </c>
      <c r="E145" s="46">
        <f>'Aerosol 1'!$P149</f>
        <v>0.52174647115289241</v>
      </c>
      <c r="F145" s="46">
        <f>'Aerosol 2'!$P149</f>
        <v>0.52174647115289241</v>
      </c>
      <c r="G145" s="46">
        <f>'Aerosol 3'!$P149</f>
        <v>0.52174647115289241</v>
      </c>
      <c r="H145" s="46">
        <f t="shared" si="61"/>
        <v>1.5652394134586771</v>
      </c>
      <c r="I145" s="46">
        <f>NORMSINV(SUM(H$13:H145)/H$317)</f>
        <v>-0.95512345188526593</v>
      </c>
      <c r="J145" s="46">
        <f t="shared" si="56"/>
        <v>0.2817430944225619</v>
      </c>
      <c r="K145" s="46">
        <f t="shared" si="57"/>
        <v>0.78261970672933856</v>
      </c>
      <c r="L145" s="46">
        <f t="shared" si="58"/>
        <v>1.565176803882139</v>
      </c>
      <c r="M145" s="46">
        <f t="shared" si="62"/>
        <v>2.6295396050340392</v>
      </c>
      <c r="N145" s="46">
        <f>IF(ISNUMBER(NORMSINV(SUM(M$13:M145)/M$317)),NORMSINV(SUM(M$13:M145)/M$317)," ")</f>
        <v>-0.95512345188526593</v>
      </c>
      <c r="O145" s="46">
        <f t="shared" si="63"/>
        <v>1.9273635070212496</v>
      </c>
      <c r="P145" s="46">
        <f>IF(ISNUMBER(NORMSINV(SUM(O$13:O145)/O$317)),NORMSINV(SUM(O$13:O145)/O$317)," ")</f>
        <v>-0.84174706362006935</v>
      </c>
      <c r="Q145" s="46">
        <f t="shared" si="64"/>
        <v>0.47555244883248421</v>
      </c>
      <c r="R145" s="46">
        <f>IF(ISNUMBER(NORMSINV(SUM(Q$13:Q145)/Q$317)),NORMSINV(SUM(Q$13:Q145)/Q$317)," ")</f>
        <v>0.24382269339437188</v>
      </c>
      <c r="S145" s="46">
        <f t="shared" si="65"/>
        <v>6.3299213022583206E-2</v>
      </c>
      <c r="T145" s="46">
        <f>IF(ISNUMBER(NORMSINV(SUM(S$13:S145)/S$317)),NORMSINV(SUM(S$13:S145)/S$317)," ")</f>
        <v>2.0712692530461383</v>
      </c>
      <c r="U145" s="46">
        <f t="shared" si="66"/>
        <v>0.20123826806042419</v>
      </c>
      <c r="V145" s="46">
        <f>IF(ISNUMBER(NORMSINV(SUM(U$13:U145)/U$317)),NORMSINV(SUM(U$13:U145)/U$317)," ")</f>
        <v>-0.72211752916461125</v>
      </c>
      <c r="W145" s="46">
        <f t="shared" si="67"/>
        <v>4.5277919321307661E-2</v>
      </c>
      <c r="X145" s="46">
        <f>IF(ISNUMBER(NORMSINV(SUM(W$13:W145)/W$317)),NORMSINV(SUM(W$13:W145)/W$317)," ")</f>
        <v>1.3401850163008017E-2</v>
      </c>
      <c r="Y145" s="46">
        <f t="shared" si="68"/>
        <v>1.5645761978462028E-2</v>
      </c>
      <c r="Z145" s="46">
        <f>IF(ISNUMBER(NORMSINV(SUM(Y$13:Y145)/Y$317)),NORMSINV(SUM(Y$13:Y145)/Y$317)," ")</f>
        <v>1.6348663212545833</v>
      </c>
      <c r="AA145" s="46">
        <f t="shared" si="69"/>
        <v>0.55072685824961531</v>
      </c>
      <c r="AB145" s="46">
        <f>IF(ISNUMBER(NORMSINV(SUM(AA$13:AA145)/AA$317)),NORMSINV(SUM(AA$13:AA145)/AA$317)," ")</f>
        <v>-0.85828377189300564</v>
      </c>
      <c r="AC145" s="46">
        <f t="shared" si="70"/>
        <v>0.13770694864236591</v>
      </c>
      <c r="AD145" s="46">
        <f>IF(ISNUMBER(NORMSINV(SUM(AC$13:AC145)/AC$317)),NORMSINV(SUM(AC$13:AC145)/AC$317)," ")</f>
        <v>5.3726343667696588E-2</v>
      </c>
      <c r="AE145" s="46">
        <f t="shared" si="71"/>
        <v>3.9147333754393401E-2</v>
      </c>
      <c r="AF145" s="46">
        <f>IF(ISNUMBER(NORMSINV(SUM(AE$13:AE145)/AE$317)),NORMSINV(SUM(AE$13:AE145)/AE$317)," ")</f>
        <v>1.877424350977458</v>
      </c>
      <c r="AG145" s="46">
        <f t="shared" si="72"/>
        <v>1.1753983807112101</v>
      </c>
      <c r="AH145" s="46">
        <f>IF(ISNUMBER(NORMSINV(SUM(AG$13:AG145)/AG$317)),NORMSINV(SUM(AG$13:AG145)/AG$317)," ")</f>
        <v>-0.85262825491836003</v>
      </c>
      <c r="AI145" s="46">
        <f t="shared" si="73"/>
        <v>0.29256758086881063</v>
      </c>
      <c r="AJ145" s="46">
        <f>IF(ISNUMBER(NORMSINV(SUM(AI$13:AI145)/AI$317)),NORMSINV(SUM(AI$13:AI145)/AI$317)," ")</f>
        <v>0.38354604935951481</v>
      </c>
      <c r="AK145" s="46">
        <f t="shared" si="74"/>
        <v>8.506117289727784E-3</v>
      </c>
      <c r="AL145" s="46">
        <f>IF(ISNUMBER(NORMSINV(SUM(AK$13:AK145)/AK$317)),NORMSINV(SUM(AK$13:AK145)/AK$317)," ")</f>
        <v>2.8807584924030607</v>
      </c>
      <c r="AM145" s="6">
        <v>0.71426158100828008</v>
      </c>
      <c r="AN145" s="6">
        <v>0.16070640316528667</v>
      </c>
      <c r="AO145" s="6">
        <v>5.5532015826433398E-2</v>
      </c>
      <c r="AP145" s="6">
        <v>0.7036966402892777</v>
      </c>
      <c r="AQ145" s="6">
        <v>0.17595640316528666</v>
      </c>
      <c r="AR145" s="6">
        <v>5.0020889351221162E-2</v>
      </c>
      <c r="AS145" s="6">
        <v>0.75096843870663443</v>
      </c>
      <c r="AT145" s="6">
        <v>0.18692302373965003</v>
      </c>
      <c r="AU145" s="6">
        <v>5.4346047479300053E-3</v>
      </c>
    </row>
    <row r="146" spans="1:47" x14ac:dyDescent="0.4">
      <c r="A146" s="6">
        <f t="shared" si="59"/>
        <v>1.6731380157667906</v>
      </c>
      <c r="B146" s="6">
        <f>'Aerosol 1'!A150</f>
        <v>5.3288636457019765</v>
      </c>
      <c r="C146" t="b">
        <f t="shared" si="60"/>
        <v>0</v>
      </c>
      <c r="E146" s="46">
        <f>'Aerosol 1'!$P150</f>
        <v>0.53230997330443452</v>
      </c>
      <c r="F146" s="46">
        <f>'Aerosol 2'!$P150</f>
        <v>0.53230997330443452</v>
      </c>
      <c r="G146" s="46">
        <f>'Aerosol 3'!$P150</f>
        <v>0.53230997330443452</v>
      </c>
      <c r="H146" s="46">
        <f t="shared" si="61"/>
        <v>1.5969299199133036</v>
      </c>
      <c r="I146" s="46">
        <f>NORMSINV(SUM(H$13:H146)/H$317)</f>
        <v>-0.934172403491623</v>
      </c>
      <c r="J146" s="46">
        <f t="shared" si="56"/>
        <v>0.28744738558439464</v>
      </c>
      <c r="K146" s="46">
        <f t="shared" si="57"/>
        <v>0.79846495995665179</v>
      </c>
      <c r="L146" s="46">
        <f t="shared" si="58"/>
        <v>1.5968660427165071</v>
      </c>
      <c r="M146" s="46">
        <f t="shared" si="62"/>
        <v>2.6827783882575535</v>
      </c>
      <c r="N146" s="46">
        <f>IF(ISNUMBER(NORMSINV(SUM(M$13:M146)/M$317)),NORMSINV(SUM(M$13:M146)/M$317)," ")</f>
        <v>-0.934172403491623</v>
      </c>
      <c r="O146" s="46">
        <f t="shared" si="63"/>
        <v>1.995096921280521</v>
      </c>
      <c r="P146" s="46">
        <f>IF(ISNUMBER(NORMSINV(SUM(O$13:O146)/O$317)),NORMSINV(SUM(O$13:O146)/O$317)," ")</f>
        <v>-0.80584660776429207</v>
      </c>
      <c r="Q146" s="46">
        <f t="shared" si="64"/>
        <v>0.46604913512774249</v>
      </c>
      <c r="R146" s="46">
        <f>IF(ISNUMBER(NORMSINV(SUM(Q$13:Q146)/Q$317)),NORMSINV(SUM(Q$13:Q146)/Q$317)," ")</f>
        <v>0.30579431875023827</v>
      </c>
      <c r="S146" s="46">
        <f t="shared" si="65"/>
        <v>5.2305527071956057E-2</v>
      </c>
      <c r="T146" s="46">
        <f>IF(ISNUMBER(NORMSINV(SUM(S$13:S146)/S$317)),NORMSINV(SUM(S$13:S146)/S$317)," ")</f>
        <v>2.16650843676842</v>
      </c>
      <c r="U146" s="46">
        <f t="shared" si="66"/>
        <v>0.20725140507651138</v>
      </c>
      <c r="V146" s="46">
        <f>IF(ISNUMBER(NORMSINV(SUM(U$13:U146)/U$317)),NORMSINV(SUM(U$13:U146)/U$317)," ")</f>
        <v>-0.68485206837638302</v>
      </c>
      <c r="W146" s="46">
        <f t="shared" si="67"/>
        <v>4.5807525848232479E-2</v>
      </c>
      <c r="X146" s="46">
        <f>IF(ISNUMBER(NORMSINV(SUM(W$13:W146)/W$317)),NORMSINV(SUM(W$13:W146)/W$317)," ")</f>
        <v>6.3406839794410558E-2</v>
      </c>
      <c r="Y146" s="46">
        <f t="shared" si="68"/>
        <v>1.4026984824035223E-2</v>
      </c>
      <c r="Z146" s="46">
        <f>IF(ISNUMBER(NORMSINV(SUM(Y$13:Y146)/Y$317)),NORMSINV(SUM(Y$13:Y146)/Y$317)," ")</f>
        <v>1.7180157068876818</v>
      </c>
      <c r="AA146" s="46">
        <f t="shared" si="69"/>
        <v>0.57107494063538267</v>
      </c>
      <c r="AB146" s="46">
        <f>IF(ISNUMBER(NORMSINV(SUM(AA$13:AA146)/AA$317)),NORMSINV(SUM(AA$13:AA146)/AA$317)," ")</f>
        <v>-0.8223217775114906</v>
      </c>
      <c r="AC146" s="46">
        <f t="shared" si="70"/>
        <v>0.1385903551058795</v>
      </c>
      <c r="AD146" s="46">
        <f>IF(ISNUMBER(NORMSINV(SUM(AC$13:AC146)/AC$317)),NORMSINV(SUM(AC$13:AC146)/AC$317)," ")</f>
        <v>0.11679495512655086</v>
      </c>
      <c r="AE146" s="46">
        <f t="shared" si="71"/>
        <v>3.3062942016860858E-2</v>
      </c>
      <c r="AF146" s="46">
        <f>IF(ISNUMBER(NORMSINV(SUM(AE$13:AE146)/AE$317)),NORMSINV(SUM(AE$13:AE146)/AE$317)," ")</f>
        <v>1.9865606831004374</v>
      </c>
      <c r="AG146" s="46">
        <f t="shared" si="72"/>
        <v>1.2167705755686269</v>
      </c>
      <c r="AH146" s="46">
        <f>IF(ISNUMBER(NORMSINV(SUM(AG$13:AG146)/AG$317)),NORMSINV(SUM(AG$13:AG146)/AG$317)," ")</f>
        <v>-0.81693353552773407</v>
      </c>
      <c r="AI146" s="46">
        <f t="shared" si="73"/>
        <v>0.28165125417363052</v>
      </c>
      <c r="AJ146" s="46">
        <f>IF(ISNUMBER(NORMSINV(SUM(AI$13:AI146)/AI$317)),NORMSINV(SUM(AI$13:AI146)/AI$317)," ")</f>
        <v>0.44906965789442088</v>
      </c>
      <c r="AK146" s="46">
        <f t="shared" si="74"/>
        <v>5.2156002310599766E-3</v>
      </c>
      <c r="AL146" s="46">
        <f>IF(ISNUMBER(NORMSINV(SUM(AK$13:AK146)/AK$317)),NORMSINV(SUM(AK$13:AK146)/AK$317)," ")</f>
        <v>3.0452379174740969</v>
      </c>
      <c r="AM146" s="6">
        <v>0.72100640141554639</v>
      </c>
      <c r="AN146" s="6">
        <v>0.15935968857432303</v>
      </c>
      <c r="AO146" s="6">
        <v>4.879844287161518E-2</v>
      </c>
      <c r="AP146" s="6">
        <v>0.71521603235586695</v>
      </c>
      <c r="AQ146" s="6">
        <v>0.17357099191103326</v>
      </c>
      <c r="AR146" s="6">
        <v>4.1408131445938245E-2</v>
      </c>
      <c r="AS146" s="6">
        <v>0.76197410616780281</v>
      </c>
      <c r="AT146" s="6">
        <v>0.17637750859458426</v>
      </c>
      <c r="AU146" s="6">
        <v>3.2661476238717325E-3</v>
      </c>
    </row>
    <row r="147" spans="1:47" x14ac:dyDescent="0.4">
      <c r="A147" s="6">
        <f t="shared" si="59"/>
        <v>1.7076165931979694</v>
      </c>
      <c r="B147" s="6">
        <f>'Aerosol 1'!A151</f>
        <v>5.5157994047478169</v>
      </c>
      <c r="C147" t="b">
        <f t="shared" si="60"/>
        <v>0</v>
      </c>
      <c r="E147" s="46">
        <f>'Aerosol 1'!$P151</f>
        <v>0.54284988555951263</v>
      </c>
      <c r="F147" s="46">
        <f>'Aerosol 2'!$P151</f>
        <v>0.54284988555951263</v>
      </c>
      <c r="G147" s="46">
        <f>'Aerosol 3'!$P151</f>
        <v>0.54284988555951263</v>
      </c>
      <c r="H147" s="46">
        <f t="shared" si="61"/>
        <v>1.6285496566785378</v>
      </c>
      <c r="I147" s="46">
        <f>NORMSINV(SUM(H$13:H147)/H$317)</f>
        <v>-0.91322061478853789</v>
      </c>
      <c r="J147" s="46">
        <f t="shared" si="56"/>
        <v>0.29313893820213682</v>
      </c>
      <c r="K147" s="46">
        <f t="shared" si="57"/>
        <v>0.8142748283392689</v>
      </c>
      <c r="L147" s="46">
        <f t="shared" si="58"/>
        <v>1.6284845146922708</v>
      </c>
      <c r="M147" s="46">
        <f t="shared" si="62"/>
        <v>2.7358982812336765</v>
      </c>
      <c r="N147" s="46">
        <f>IF(ISNUMBER(NORMSINV(SUM(M$13:M147)/M$317)),NORMSINV(SUM(M$13:M147)/M$317)," ")</f>
        <v>-0.91322061478853789</v>
      </c>
      <c r="O147" s="46">
        <f t="shared" si="63"/>
        <v>2.0612784111471627</v>
      </c>
      <c r="P147" s="46">
        <f>IF(ISNUMBER(NORMSINV(SUM(O$13:O147)/O$317)),NORMSINV(SUM(O$13:O147)/O$317)," ")</f>
        <v>-0.7698146969424724</v>
      </c>
      <c r="Q147" s="46">
        <f t="shared" si="64"/>
        <v>0.45390786697117547</v>
      </c>
      <c r="R147" s="46">
        <f>IF(ISNUMBER(NORMSINV(SUM(Q$13:Q147)/Q$317)),NORMSINV(SUM(Q$13:Q147)/Q$317)," ")</f>
        <v>0.36730088412750539</v>
      </c>
      <c r="S147" s="46">
        <f t="shared" si="65"/>
        <v>4.2873110123781803E-2</v>
      </c>
      <c r="T147" s="46">
        <f>IF(ISNUMBER(NORMSINV(SUM(S$13:S147)/S$317)),NORMSINV(SUM(S$13:S147)/S$317)," ")</f>
        <v>2.2625282225674015</v>
      </c>
      <c r="U147" s="46">
        <f t="shared" si="66"/>
        <v>0.21324039729996272</v>
      </c>
      <c r="V147" s="46">
        <f>IF(ISNUMBER(NORMSINV(SUM(U$13:U147)/U$317)),NORMSINV(SUM(U$13:U147)/U$317)," ")</f>
        <v>-0.64747714976995441</v>
      </c>
      <c r="W147" s="46">
        <f t="shared" si="67"/>
        <v>4.6175442847533846E-2</v>
      </c>
      <c r="X147" s="46">
        <f>IF(ISNUMBER(NORMSINV(SUM(W$13:W147)/W$317)),NORMSINV(SUM(W$13:W147)/W$317)," ")</f>
        <v>0.11397488073074161</v>
      </c>
      <c r="Y147" s="46">
        <f t="shared" si="68"/>
        <v>1.2474161083403773E-2</v>
      </c>
      <c r="Z147" s="46">
        <f>IF(ISNUMBER(NORMSINV(SUM(Y$13:Y147)/Y$317)),NORMSINV(SUM(Y$13:Y147)/Y$317)," ")</f>
        <v>1.8034789200776076</v>
      </c>
      <c r="AA147" s="46">
        <f t="shared" si="69"/>
        <v>0.59118955871913537</v>
      </c>
      <c r="AB147" s="46">
        <f>IF(ISNUMBER(NORMSINV(SUM(AA$13:AA147)/AA$317)),NORMSINV(SUM(AA$13:AA147)/AA$317)," ")</f>
        <v>-0.78618041970818309</v>
      </c>
      <c r="AC147" s="46">
        <f t="shared" si="70"/>
        <v>0.13865722321674848</v>
      </c>
      <c r="AD147" s="46">
        <f>IF(ISNUMBER(NORMSINV(SUM(AC$13:AC147)/AC$317)),NORMSINV(SUM(AC$13:AC147)/AC$317)," ")</f>
        <v>0.18036286972495871</v>
      </c>
      <c r="AE147" s="46">
        <f t="shared" si="71"/>
        <v>2.7335440844839916E-2</v>
      </c>
      <c r="AF147" s="46">
        <f>IF(ISNUMBER(NORMSINV(SUM(AE$13:AE147)/AE$317)),NORMSINV(SUM(AE$13:AE147)/AE$317)," ")</f>
        <v>2.0989770423619056</v>
      </c>
      <c r="AG147" s="46">
        <f t="shared" si="72"/>
        <v>1.2568484551280648</v>
      </c>
      <c r="AH147" s="46">
        <f>IF(ISNUMBER(NORMSINV(SUM(AG$13:AG147)/AG$317)),NORMSINV(SUM(AG$13:AG147)/AG$317)," ")</f>
        <v>-0.78112425530564478</v>
      </c>
      <c r="AI147" s="46">
        <f t="shared" si="73"/>
        <v>0.26907520090689313</v>
      </c>
      <c r="AJ147" s="46">
        <f>IF(ISNUMBER(NORMSINV(SUM(AI$13:AI147)/AI$317)),NORMSINV(SUM(AI$13:AI147)/AI$317)," ")</f>
        <v>0.51351922063621791</v>
      </c>
      <c r="AK147" s="46">
        <f t="shared" si="74"/>
        <v>3.063508195538113E-3</v>
      </c>
      <c r="AL147" s="46">
        <f>IF(ISNUMBER(NORMSINV(SUM(AK$13:AK147)/AK$317)),NORMSINV(SUM(AK$13:AK147)/AK$317)," ")</f>
        <v>3.2029324698332684</v>
      </c>
      <c r="AM147" s="6">
        <v>0.72743798080117461</v>
      </c>
      <c r="AN147" s="6">
        <v>0.15752067306627521</v>
      </c>
      <c r="AO147" s="6">
        <v>4.2553749972315494E-2</v>
      </c>
      <c r="AP147" s="6">
        <v>0.72603197120176155</v>
      </c>
      <c r="AQ147" s="6">
        <v>0.17028307690604028</v>
      </c>
      <c r="AR147" s="6">
        <v>3.3570288425335632E-2</v>
      </c>
      <c r="AS147" s="6">
        <v>0.77179024042827149</v>
      </c>
      <c r="AT147" s="6">
        <v>0.16523043263800352</v>
      </c>
      <c r="AU147" s="6">
        <v>1.8812019198825563E-3</v>
      </c>
    </row>
    <row r="148" spans="1:47" x14ac:dyDescent="0.4">
      <c r="A148" s="6">
        <f t="shared" si="59"/>
        <v>1.7420951706291481</v>
      </c>
      <c r="B148" s="6">
        <f>'Aerosol 1'!A152</f>
        <v>5.7092928429412986</v>
      </c>
      <c r="C148" t="b">
        <f t="shared" si="60"/>
        <v>0</v>
      </c>
      <c r="E148" s="46">
        <f>'Aerosol 1'!$P152</f>
        <v>0.55335643249893596</v>
      </c>
      <c r="F148" s="46">
        <f>'Aerosol 2'!$P152</f>
        <v>0.55335643249893596</v>
      </c>
      <c r="G148" s="46">
        <f>'Aerosol 3'!$P152</f>
        <v>0.55335643249893596</v>
      </c>
      <c r="H148" s="46">
        <f t="shared" si="61"/>
        <v>1.6600692974968079</v>
      </c>
      <c r="I148" s="46">
        <f>NORMSINV(SUM(H$13:H148)/H$317)</f>
        <v>-0.89226806633228128</v>
      </c>
      <c r="J148" s="46">
        <f t="shared" si="56"/>
        <v>0.29881247354942542</v>
      </c>
      <c r="K148" s="46">
        <f t="shared" si="57"/>
        <v>0.83003464874840394</v>
      </c>
      <c r="L148" s="46">
        <f t="shared" si="58"/>
        <v>1.6600028947249081</v>
      </c>
      <c r="M148" s="46">
        <f t="shared" si="62"/>
        <v>2.7888500170227375</v>
      </c>
      <c r="N148" s="46">
        <f>IF(ISNUMBER(NORMSINV(SUM(M$13:M148)/M$317)),NORMSINV(SUM(M$13:M148)/M$317)," ")</f>
        <v>-0.89226806633228128</v>
      </c>
      <c r="O148" s="46">
        <f t="shared" si="63"/>
        <v>2.1273273673522604</v>
      </c>
      <c r="P148" s="46">
        <f>IF(ISNUMBER(NORMSINV(SUM(O$13:O148)/O$317)),NORMSINV(SUM(O$13:O148)/O$317)," ")</f>
        <v>-0.73364725360303418</v>
      </c>
      <c r="Q148" s="46">
        <f t="shared" si="64"/>
        <v>0.44026004468792157</v>
      </c>
      <c r="R148" s="46">
        <f>IF(ISNUMBER(NORMSINV(SUM(Q$13:Q148)/Q$317)),NORMSINV(SUM(Q$13:Q148)/Q$317)," ")</f>
        <v>0.42831464347223036</v>
      </c>
      <c r="S148" s="46">
        <f t="shared" si="65"/>
        <v>3.501324101226462E-2</v>
      </c>
      <c r="T148" s="46">
        <f>IF(ISNUMBER(NORMSINV(SUM(S$13:S148)/S$317)),NORMSINV(SUM(S$13:S148)/S$317)," ")</f>
        <v>2.3601291235605268</v>
      </c>
      <c r="U148" s="46">
        <f t="shared" si="66"/>
        <v>0.21935242779770481</v>
      </c>
      <c r="V148" s="46">
        <f>IF(ISNUMBER(NORMSINV(SUM(U$13:U148)/U$317)),NORMSINV(SUM(U$13:U148)/U$317)," ")</f>
        <v>-0.60995183321173996</v>
      </c>
      <c r="W148" s="46">
        <f t="shared" si="67"/>
        <v>4.639779157323997E-2</v>
      </c>
      <c r="X148" s="46">
        <f>IF(ISNUMBER(NORMSINV(SUM(W$13:W148)/W$317)),NORMSINV(SUM(W$13:W148)/W$317)," ")</f>
        <v>0.16508209103046836</v>
      </c>
      <c r="Y148" s="46">
        <f t="shared" si="68"/>
        <v>1.0999246039670584E-2</v>
      </c>
      <c r="Z148" s="46">
        <f>IF(ISNUMBER(NORMSINV(SUM(Y$13:Y148)/Y$317)),NORMSINV(SUM(Y$13:Y148)/Y$317)," ")</f>
        <v>1.891598609626302</v>
      </c>
      <c r="AA148" s="46">
        <f t="shared" si="69"/>
        <v>0.61102357195736634</v>
      </c>
      <c r="AB148" s="46">
        <f>IF(ISNUMBER(NORMSINV(SUM(AA$13:AA148)/AA$317)),NORMSINV(SUM(AA$13:AA148)/AA$317)," ")</f>
        <v>-0.7498751317542347</v>
      </c>
      <c r="AC148" s="46">
        <f t="shared" si="70"/>
        <v>0.13778996280921671</v>
      </c>
      <c r="AD148" s="46">
        <f>IF(ISNUMBER(NORMSINV(SUM(AC$13:AC148)/AC$317)),NORMSINV(SUM(AC$13:AC148)/AC$317)," ")</f>
        <v>0.24426373768212223</v>
      </c>
      <c r="AE148" s="46">
        <f t="shared" si="71"/>
        <v>2.2010066884774991E-2</v>
      </c>
      <c r="AF148" s="46">
        <f>IF(ISNUMBER(NORMSINV(SUM(AE$13:AE148)/AE$317)),NORMSINV(SUM(AE$13:AE148)/AE$317)," ")</f>
        <v>2.2138461108985417</v>
      </c>
      <c r="AG148" s="46">
        <f t="shared" si="72"/>
        <v>1.2969513675971891</v>
      </c>
      <c r="AH148" s="46">
        <f>IF(ISNUMBER(NORMSINV(SUM(AG$13:AG148)/AG$317)),NORMSINV(SUM(AG$13:AG148)/AG$317)," ")</f>
        <v>-0.7451932234383758</v>
      </c>
      <c r="AI148" s="46">
        <f t="shared" si="73"/>
        <v>0.25607229030546486</v>
      </c>
      <c r="AJ148" s="46">
        <f>IF(ISNUMBER(NORMSINV(SUM(AI$13:AI148)/AI$317)),NORMSINV(SUM(AI$13:AI148)/AI$317)," ")</f>
        <v>0.57689873704767802</v>
      </c>
      <c r="AK148" s="46">
        <f t="shared" si="74"/>
        <v>2.0039280878190427E-3</v>
      </c>
      <c r="AL148" s="46">
        <f>IF(ISNUMBER(NORMSINV(SUM(AK$13:AK148)/AK$317)),NORMSINV(SUM(AK$13:AK148)/AK$317)," ")</f>
        <v>3.3782891062857403</v>
      </c>
      <c r="AM148" s="6">
        <v>0.73408055959692919</v>
      </c>
      <c r="AN148" s="6">
        <v>0.15527394496657615</v>
      </c>
      <c r="AO148" s="6">
        <v>3.6809862416440395E-2</v>
      </c>
      <c r="AP148" s="6">
        <v>0.73614224765040726</v>
      </c>
      <c r="AQ148" s="6">
        <v>0.16600507342312518</v>
      </c>
      <c r="AR148" s="6">
        <v>2.6517045906413211E-2</v>
      </c>
      <c r="AS148" s="6">
        <v>0.78129464214706501</v>
      </c>
      <c r="AT148" s="6">
        <v>0.15426014684625028</v>
      </c>
      <c r="AU148" s="6">
        <v>1.2071834899728467E-3</v>
      </c>
    </row>
    <row r="149" spans="1:47" x14ac:dyDescent="0.4">
      <c r="A149" s="6">
        <f t="shared" si="59"/>
        <v>1.776573748060327</v>
      </c>
      <c r="B149" s="6">
        <f>'Aerosol 1'!A153</f>
        <v>5.9095740027099541</v>
      </c>
      <c r="C149" t="b">
        <f t="shared" si="60"/>
        <v>0</v>
      </c>
      <c r="E149" s="46">
        <f>'Aerosol 1'!$P153</f>
        <v>0.56381969153982969</v>
      </c>
      <c r="F149" s="46">
        <f>'Aerosol 2'!$P153</f>
        <v>0.56381969153982969</v>
      </c>
      <c r="G149" s="46">
        <f>'Aerosol 3'!$P153</f>
        <v>0.56381969153982969</v>
      </c>
      <c r="H149" s="46">
        <f t="shared" si="61"/>
        <v>1.6914590746194891</v>
      </c>
      <c r="I149" s="46">
        <f>NORMSINV(SUM(H$13:H149)/H$317)</f>
        <v>-0.87131473805421999</v>
      </c>
      <c r="J149" s="46">
        <f t="shared" si="56"/>
        <v>0.30446263343150803</v>
      </c>
      <c r="K149" s="46">
        <f t="shared" si="57"/>
        <v>0.84572953730974454</v>
      </c>
      <c r="L149" s="46">
        <f t="shared" si="58"/>
        <v>1.6913914162565045</v>
      </c>
      <c r="M149" s="46">
        <f t="shared" si="62"/>
        <v>2.841583586997757</v>
      </c>
      <c r="N149" s="46">
        <f>IF(ISNUMBER(NORMSINV(SUM(M$13:M149)/M$317)),NORMSINV(SUM(M$13:M149)/M$317)," ")</f>
        <v>-0.87131473805421999</v>
      </c>
      <c r="O149" s="46">
        <f t="shared" si="63"/>
        <v>2.1933222850458893</v>
      </c>
      <c r="P149" s="46">
        <f>IF(ISNUMBER(NORMSINV(SUM(O$13:O149)/O$317)),NORMSINV(SUM(O$13:O149)/O$317)," ")</f>
        <v>-0.69733599469404983</v>
      </c>
      <c r="Q149" s="46">
        <f t="shared" si="64"/>
        <v>0.42570799647936897</v>
      </c>
      <c r="R149" s="46">
        <f>IF(ISNUMBER(NORMSINV(SUM(Q$13:Q149)/Q$317)),NORMSINV(SUM(Q$13:Q149)/Q$317)," ")</f>
        <v>0.48886678205832224</v>
      </c>
      <c r="S149" s="46">
        <f t="shared" si="65"/>
        <v>2.8363261253879512E-2</v>
      </c>
      <c r="T149" s="46">
        <f>IF(ISNUMBER(NORMSINV(SUM(S$13:S149)/S$317)),NORMSINV(SUM(S$13:S149)/S$317)," ")</f>
        <v>2.4599082867785702</v>
      </c>
      <c r="U149" s="46">
        <f t="shared" si="66"/>
        <v>0.22539649444166693</v>
      </c>
      <c r="V149" s="46">
        <f>IF(ISNUMBER(NORMSINV(SUM(U$13:U149)/U$317)),NORMSINV(SUM(U$13:U149)/U$317)," ")</f>
        <v>-0.57226675075963662</v>
      </c>
      <c r="W149" s="46">
        <f t="shared" si="67"/>
        <v>4.6502659684695351E-2</v>
      </c>
      <c r="X149" s="46">
        <f>IF(ISNUMBER(NORMSINV(SUM(W$13:W149)/W$317)),NORMSINV(SUM(W$13:W149)/W$317)," ")</f>
        <v>0.21674154548938893</v>
      </c>
      <c r="Y149" s="46">
        <f t="shared" si="68"/>
        <v>9.562528009041291E-3</v>
      </c>
      <c r="Z149" s="46">
        <f>IF(ISNUMBER(NORMSINV(SUM(Y$13:Y149)/Y$317)),NORMSINV(SUM(Y$13:Y149)/Y$317)," ")</f>
        <v>1.9823171685717311</v>
      </c>
      <c r="AA149" s="46">
        <f t="shared" si="69"/>
        <v>0.63070281364279956</v>
      </c>
      <c r="AB149" s="46">
        <f>IF(ISNUMBER(NORMSINV(SUM(AA$13:AA149)/AA$317)),NORMSINV(SUM(AA$13:AA149)/AA$317)," ")</f>
        <v>-0.71340904836437558</v>
      </c>
      <c r="AC149" s="46">
        <f t="shared" si="70"/>
        <v>0.13577853085533875</v>
      </c>
      <c r="AD149" s="46">
        <f>IF(ISNUMBER(NORMSINV(SUM(AC$13:AC149)/AC$317)),NORMSINV(SUM(AC$13:AC149)/AC$317)," ")</f>
        <v>0.30822254077132105</v>
      </c>
      <c r="AE149" s="46">
        <f t="shared" si="71"/>
        <v>1.7532189682645846E-2</v>
      </c>
      <c r="AF149" s="46">
        <f>IF(ISNUMBER(NORMSINV(SUM(AE$13:AE149)/AE$317)),NORMSINV(SUM(AE$13:AE149)/AE$317)," ")</f>
        <v>2.332266585083079</v>
      </c>
      <c r="AG149" s="46">
        <f t="shared" si="72"/>
        <v>1.3372229769614226</v>
      </c>
      <c r="AH149" s="46">
        <f>IF(ISNUMBER(NORMSINV(SUM(AG$13:AG149)/AG$317)),NORMSINV(SUM(AG$13:AG149)/AG$317)," ")</f>
        <v>-0.70912694513884156</v>
      </c>
      <c r="AI149" s="46">
        <f t="shared" si="73"/>
        <v>0.24342680593933486</v>
      </c>
      <c r="AJ149" s="46">
        <f>IF(ISNUMBER(NORMSINV(SUM(AI$13:AI149)/AI$317)),NORMSINV(SUM(AI$13:AI149)/AI$317)," ")</f>
        <v>0.63937399542218731</v>
      </c>
      <c r="AK149" s="46">
        <f t="shared" si="74"/>
        <v>1.268543562192378E-3</v>
      </c>
      <c r="AL149" s="46">
        <f>IF(ISNUMBER(NORMSINV(SUM(AK$13:AK149)/AK$317)),NORMSINV(SUM(AK$13:AK149)/AK$317)," ")</f>
        <v>3.5905678993405656</v>
      </c>
      <c r="AM149" s="6">
        <v>0.74030921923419601</v>
      </c>
      <c r="AN149" s="6">
        <v>0.15273683722885029</v>
      </c>
      <c r="AO149" s="6">
        <v>3.1407887073907473E-2</v>
      </c>
      <c r="AP149" s="6">
        <v>0.745750013235978</v>
      </c>
      <c r="AQ149" s="6">
        <v>0.16054604322706834</v>
      </c>
      <c r="AR149" s="6">
        <v>2.07302558432753E-2</v>
      </c>
      <c r="AS149" s="6">
        <v>0.79060527569724215</v>
      </c>
      <c r="AT149" s="6">
        <v>0.14392103660907929</v>
      </c>
      <c r="AU149" s="6">
        <v>7.499999999999998E-4</v>
      </c>
    </row>
    <row r="150" spans="1:47" x14ac:dyDescent="0.4">
      <c r="A150" s="6">
        <f t="shared" si="59"/>
        <v>1.8110523254915056</v>
      </c>
      <c r="B150" s="6">
        <f>'Aerosol 1'!A154</f>
        <v>6.1168809963361008</v>
      </c>
      <c r="C150" t="b">
        <f t="shared" si="60"/>
        <v>0</v>
      </c>
      <c r="E150" s="46">
        <f>'Aerosol 1'!$P154</f>
        <v>0.57422960760769304</v>
      </c>
      <c r="F150" s="46">
        <f>'Aerosol 2'!$P154</f>
        <v>0.57422960760769304</v>
      </c>
      <c r="G150" s="46">
        <f>'Aerosol 3'!$P154</f>
        <v>0.57422960760769304</v>
      </c>
      <c r="H150" s="46">
        <f t="shared" si="61"/>
        <v>1.7226888228230792</v>
      </c>
      <c r="I150" s="46">
        <f>NORMSINV(SUM(H$13:H150)/H$317)</f>
        <v>-0.85036060923740309</v>
      </c>
      <c r="J150" s="46">
        <f t="shared" si="56"/>
        <v>0.31008398810815424</v>
      </c>
      <c r="K150" s="46">
        <f t="shared" si="57"/>
        <v>0.86134441141153961</v>
      </c>
      <c r="L150" s="46">
        <f t="shared" si="58"/>
        <v>1.7226199152701662</v>
      </c>
      <c r="M150" s="46">
        <f t="shared" si="62"/>
        <v>2.8940483147898601</v>
      </c>
      <c r="N150" s="46">
        <f>IF(ISNUMBER(NORMSINV(SUM(M$13:M150)/M$317)),NORMSINV(SUM(M$13:M150)/M$317)," ")</f>
        <v>-0.85036060923740309</v>
      </c>
      <c r="O150" s="46">
        <f t="shared" si="63"/>
        <v>2.2561557016323466</v>
      </c>
      <c r="P150" s="46">
        <f>IF(ISNUMBER(NORMSINV(SUM(O$13:O150)/O$317)),NORMSINV(SUM(O$13:O150)/O$317)," ")</f>
        <v>-0.66091960663414517</v>
      </c>
      <c r="Q150" s="46">
        <f t="shared" si="64"/>
        <v>0.40942289893128081</v>
      </c>
      <c r="R150" s="46">
        <f>IF(ISNUMBER(NORMSINV(SUM(Q$13:Q150)/Q$317)),NORMSINV(SUM(Q$13:Q150)/Q$317)," ")</f>
        <v>0.54884257264649994</v>
      </c>
      <c r="S150" s="46">
        <f t="shared" si="65"/>
        <v>2.3137745079627084E-2</v>
      </c>
      <c r="T150" s="46">
        <f>IF(ISNUMBER(NORMSINV(SUM(S$13:S150)/S$317)),NORMSINV(SUM(S$13:S150)/S$317)," ")</f>
        <v>2.5645394951473035</v>
      </c>
      <c r="U150" s="46">
        <f t="shared" si="66"/>
        <v>0.23124255692492149</v>
      </c>
      <c r="V150" s="46">
        <f>IF(ISNUMBER(NORMSINV(SUM(U$13:U150)/U$317)),NORMSINV(SUM(U$13:U150)/U$317)," ")</f>
        <v>-0.53443057683263162</v>
      </c>
      <c r="W150" s="46">
        <f t="shared" si="67"/>
        <v>4.6385114692334431E-2</v>
      </c>
      <c r="X150" s="46">
        <f>IF(ISNUMBER(NORMSINV(SUM(W$13:W150)/W$317)),NORMSINV(SUM(W$13:W150)/W$317)," ")</f>
        <v>0.26885344457343602</v>
      </c>
      <c r="Y150" s="46">
        <f t="shared" si="68"/>
        <v>8.2198028916006232E-3</v>
      </c>
      <c r="Z150" s="46">
        <f>IF(ISNUMBER(NORMSINV(SUM(Y$13:Y150)/Y$317)),NORMSINV(SUM(Y$13:Y150)/Y$317)," ")</f>
        <v>2.0759158133162634</v>
      </c>
      <c r="AA150" s="46">
        <f t="shared" si="69"/>
        <v>0.64962598759372459</v>
      </c>
      <c r="AB150" s="46">
        <f>IF(ISNUMBER(NORMSINV(SUM(AA$13:AA150)/AA$317)),NORMSINV(SUM(AA$13:AA150)/AA$317)," ")</f>
        <v>-0.67681491366754232</v>
      </c>
      <c r="AC150" s="46">
        <f t="shared" si="70"/>
        <v>0.1329341270718965</v>
      </c>
      <c r="AD150" s="46">
        <f>IF(ISNUMBER(NORMSINV(SUM(AC$13:AC150)/AC$317)),NORMSINV(SUM(AC$13:AC150)/AC$317)," ")</f>
        <v>0.37208668435605113</v>
      </c>
      <c r="AE150" s="46">
        <f t="shared" si="71"/>
        <v>1.3870020490543958E-2</v>
      </c>
      <c r="AF150" s="46">
        <f>IF(ISNUMBER(NORMSINV(SUM(AE$13:AE150)/AE$317)),NORMSINV(SUM(AE$13:AE150)/AE$317)," ")</f>
        <v>2.456544333579437</v>
      </c>
      <c r="AG150" s="46">
        <f t="shared" si="72"/>
        <v>1.3752871571137006</v>
      </c>
      <c r="AH150" s="46">
        <f>IF(ISNUMBER(NORMSINV(SUM(AG$13:AG150)/AG$317)),NORMSINV(SUM(AG$13:AG150)/AG$317)," ")</f>
        <v>-0.67297168661586348</v>
      </c>
      <c r="AI150" s="46">
        <f t="shared" si="73"/>
        <v>0.23010365716704989</v>
      </c>
      <c r="AJ150" s="46">
        <f>IF(ISNUMBER(NORMSINV(SUM(AI$13:AI150)/AI$317)),NORMSINV(SUM(AI$13:AI150)/AI$317)," ")</f>
        <v>0.70081433091071255</v>
      </c>
      <c r="AK150" s="46">
        <f t="shared" si="74"/>
        <v>1.047921697482503E-3</v>
      </c>
      <c r="AL150" s="46" t="str">
        <f>IF(ISNUMBER(NORMSINV(SUM(AK$13:AK150)/AK$317)),NORMSINV(SUM(AK$13:AK150)/AK$317)," ")</f>
        <v xml:space="preserve"> </v>
      </c>
      <c r="AM150" s="6">
        <v>0.7457416886816689</v>
      </c>
      <c r="AN150" s="6">
        <v>0.14958887421222072</v>
      </c>
      <c r="AO150" s="6">
        <v>2.6508311318331076E-2</v>
      </c>
      <c r="AP150" s="6">
        <v>0.75420003774000388</v>
      </c>
      <c r="AQ150" s="6">
        <v>0.15433330188333019</v>
      </c>
      <c r="AR150" s="6">
        <v>1.6102757859442401E-2</v>
      </c>
      <c r="AS150" s="6">
        <v>0.79836947484611431</v>
      </c>
      <c r="AT150" s="6">
        <v>0.13357772955443958</v>
      </c>
      <c r="AU150" s="6">
        <v>6.0833018833301522E-4</v>
      </c>
    </row>
    <row r="151" spans="1:47" x14ac:dyDescent="0.4">
      <c r="A151" s="6">
        <f t="shared" si="59"/>
        <v>1.8455309029226843</v>
      </c>
      <c r="B151" s="6">
        <f>'Aerosol 1'!A155</f>
        <v>6.3314602890461762</v>
      </c>
      <c r="C151" t="b">
        <f t="shared" si="60"/>
        <v>0</v>
      </c>
      <c r="E151" s="46">
        <f>'Aerosol 1'!$P155</f>
        <v>0.58457600838144885</v>
      </c>
      <c r="F151" s="46">
        <f>'Aerosol 2'!$P155</f>
        <v>0.58457600838144885</v>
      </c>
      <c r="G151" s="46">
        <f>'Aerosol 3'!$P155</f>
        <v>0.58457600838144885</v>
      </c>
      <c r="H151" s="46">
        <f t="shared" si="61"/>
        <v>1.7537280251443466</v>
      </c>
      <c r="I151" s="46">
        <f>NORMSINV(SUM(H$13:H151)/H$317)</f>
        <v>-0.82940565849219217</v>
      </c>
      <c r="J151" s="46">
        <f t="shared" si="56"/>
        <v>0.31567104452598238</v>
      </c>
      <c r="K151" s="46">
        <f t="shared" si="57"/>
        <v>0.87686401257217328</v>
      </c>
      <c r="L151" s="46">
        <f t="shared" si="58"/>
        <v>1.7536578760233408</v>
      </c>
      <c r="M151" s="46">
        <f t="shared" si="62"/>
        <v>2.9461929331214964</v>
      </c>
      <c r="N151" s="46">
        <f>IF(ISNUMBER(NORMSINV(SUM(M$13:M151)/M$317)),NORMSINV(SUM(M$13:M151)/M$317)," ")</f>
        <v>-0.82940565849219217</v>
      </c>
      <c r="O151" s="46">
        <f t="shared" si="63"/>
        <v>2.3166796401657694</v>
      </c>
      <c r="P151" s="46">
        <f>IF(ISNUMBER(NORMSINV(SUM(O$13:O151)/O$317)),NORMSINV(SUM(O$13:O151)/O$317)," ")</f>
        <v>-0.62441647136676937</v>
      </c>
      <c r="Q151" s="46">
        <f t="shared" si="64"/>
        <v>0.39191133966689617</v>
      </c>
      <c r="R151" s="46">
        <f>IF(ISNUMBER(NORMSINV(SUM(Q$13:Q151)/Q$317)),NORMSINV(SUM(Q$13:Q151)/Q$317)," ")</f>
        <v>0.60816239493471014</v>
      </c>
      <c r="S151" s="46">
        <f t="shared" si="65"/>
        <v>1.736760393872611E-2</v>
      </c>
      <c r="T151" s="46">
        <f>IF(ISNUMBER(NORMSINV(SUM(S$13:S151)/S$317)),NORMSINV(SUM(S$13:S151)/S$317)," ")</f>
        <v>2.6669370343997074</v>
      </c>
      <c r="U151" s="46">
        <f t="shared" si="66"/>
        <v>0.23687910580634172</v>
      </c>
      <c r="V151" s="46">
        <f>IF(ISNUMBER(NORMSINV(SUM(U$13:U151)/U$317)),NORMSINV(SUM(U$13:U151)/U$317)," ")</f>
        <v>-0.49644931619168481</v>
      </c>
      <c r="W151" s="46">
        <f t="shared" si="67"/>
        <v>4.6198903372332935E-2</v>
      </c>
      <c r="X151" s="46">
        <f>IF(ISNUMBER(NORMSINV(SUM(W$13:W151)/W$317)),NORMSINV(SUM(W$13:W151)/W$317)," ")</f>
        <v>0.32149247713006751</v>
      </c>
      <c r="Y151" s="46">
        <f t="shared" si="68"/>
        <v>6.8978583288481247E-3</v>
      </c>
      <c r="Z151" s="46">
        <f>IF(ISNUMBER(NORMSINV(SUM(Y$13:Y151)/Y$317)),NORMSINV(SUM(Y$13:Y151)/Y$317)," ")</f>
        <v>2.171487901020094</v>
      </c>
      <c r="AA151" s="46">
        <f t="shared" si="69"/>
        <v>0.66841154193403785</v>
      </c>
      <c r="AB151" s="46">
        <f>IF(ISNUMBER(NORMSINV(SUM(AA$13:AA151)/AA$317)),NORMSINV(SUM(AA$13:AA151)/AA$317)," ")</f>
        <v>-0.64008519676490638</v>
      </c>
      <c r="AC151" s="46">
        <f t="shared" si="70"/>
        <v>0.12941257869782941</v>
      </c>
      <c r="AD151" s="46">
        <f>IF(ISNUMBER(NORMSINV(SUM(AC$13:AC151)/AC$317)),NORMSINV(SUM(AC$13:AC151)/AC$317)," ")</f>
        <v>0.43575096186398021</v>
      </c>
      <c r="AE151" s="46">
        <f t="shared" si="71"/>
        <v>1.0469745609877986E-2</v>
      </c>
      <c r="AF151" s="46">
        <f>IF(ISNUMBER(NORMSINV(SUM(AE$13:AE151)/AE$317)),NORMSINV(SUM(AE$13:AE151)/AE$317)," ")</f>
        <v>2.5843365255751696</v>
      </c>
      <c r="AG151" s="46">
        <f t="shared" si="72"/>
        <v>1.4113889924253897</v>
      </c>
      <c r="AH151" s="46">
        <f>IF(ISNUMBER(NORMSINV(SUM(AG$13:AG151)/AG$317)),NORMSINV(SUM(AG$13:AG151)/AG$317)," ")</f>
        <v>-0.63675981827126582</v>
      </c>
      <c r="AI151" s="46">
        <f t="shared" si="73"/>
        <v>0.21629985759673381</v>
      </c>
      <c r="AJ151" s="46">
        <f>IF(ISNUMBER(NORMSINV(SUM(AI$13:AI151)/AI$317)),NORMSINV(SUM(AI$13:AI151)/AI$317)," ")</f>
        <v>0.76108322526159267</v>
      </c>
      <c r="AK151" s="46">
        <f t="shared" si="74"/>
        <v>0</v>
      </c>
      <c r="AL151" s="46" t="str">
        <f>IF(ISNUMBER(NORMSINV(SUM(AK$13:AK151)/AK$317)),NORMSINV(SUM(AK$13:AK151)/AK$317)," ")</f>
        <v xml:space="preserve"> </v>
      </c>
      <c r="AM151" s="6">
        <v>0.75039858711794072</v>
      </c>
      <c r="AN151" s="6">
        <v>0.14635141288205919</v>
      </c>
      <c r="AO151" s="6">
        <v>2.1851412882059169E-2</v>
      </c>
      <c r="AP151" s="6">
        <v>0.76227503050710721</v>
      </c>
      <c r="AQ151" s="6">
        <v>0.14758568813676529</v>
      </c>
      <c r="AR151" s="6">
        <v>1.1939987797157131E-2</v>
      </c>
      <c r="AS151" s="6">
        <v>0.80482573694813686</v>
      </c>
      <c r="AT151" s="6">
        <v>0.1233421071202459</v>
      </c>
      <c r="AU151" s="6">
        <v>0</v>
      </c>
    </row>
    <row r="152" spans="1:47" x14ac:dyDescent="0.4">
      <c r="A152" s="6">
        <f t="shared" si="59"/>
        <v>1.8800094803538632</v>
      </c>
      <c r="B152" s="6">
        <f>'Aerosol 1'!A156</f>
        <v>6.5535669920307917</v>
      </c>
      <c r="C152" t="b">
        <f t="shared" si="60"/>
        <v>0</v>
      </c>
      <c r="E152" s="46">
        <f>'Aerosol 1'!$P156</f>
        <v>0.59484862008212513</v>
      </c>
      <c r="F152" s="46">
        <f>'Aerosol 2'!$P156</f>
        <v>0.59484862008212513</v>
      </c>
      <c r="G152" s="46">
        <f>'Aerosol 3'!$P156</f>
        <v>0.59484862008212513</v>
      </c>
      <c r="H152" s="46">
        <f t="shared" si="61"/>
        <v>1.7845458602463755</v>
      </c>
      <c r="I152" s="46">
        <f>NORMSINV(SUM(H$13:H152)/H$317)</f>
        <v>-0.80844986373082095</v>
      </c>
      <c r="J152" s="46">
        <f t="shared" si="56"/>
        <v>0.32121825484434757</v>
      </c>
      <c r="K152" s="46">
        <f t="shared" si="57"/>
        <v>0.89227293012318776</v>
      </c>
      <c r="L152" s="46">
        <f t="shared" si="58"/>
        <v>1.7844744784119657</v>
      </c>
      <c r="M152" s="46">
        <f t="shared" si="62"/>
        <v>2.9979656633795013</v>
      </c>
      <c r="N152" s="46">
        <f>IF(ISNUMBER(NORMSINV(SUM(M$13:M152)/M$317)),NORMSINV(SUM(M$13:M152)/M$317)," ")</f>
        <v>-0.80844986373082162</v>
      </c>
      <c r="O152" s="46">
        <f t="shared" si="63"/>
        <v>2.3761557222753491</v>
      </c>
      <c r="P152" s="46">
        <f>IF(ISNUMBER(NORMSINV(SUM(O$13:O152)/O$317)),NORMSINV(SUM(O$13:O152)/O$317)," ")</f>
        <v>-0.58782084827676362</v>
      </c>
      <c r="Q152" s="46">
        <f t="shared" si="64"/>
        <v>0.37501417273475002</v>
      </c>
      <c r="R152" s="46">
        <f>IF(ISNUMBER(NORMSINV(SUM(Q$13:Q152)/Q$317)),NORMSINV(SUM(Q$13:Q152)/Q$317)," ")</f>
        <v>0.66700005379114014</v>
      </c>
      <c r="S152" s="46">
        <f t="shared" si="65"/>
        <v>1.3561453084136985E-2</v>
      </c>
      <c r="T152" s="46">
        <f>IF(ISNUMBER(NORMSINV(SUM(S$13:S152)/S$317)),NORMSINV(SUM(S$13:S152)/S$317)," ")</f>
        <v>2.7723965056987065</v>
      </c>
      <c r="U152" s="46">
        <f t="shared" si="66"/>
        <v>0.24234258064456091</v>
      </c>
      <c r="V152" s="46">
        <f>IF(ISNUMBER(NORMSINV(SUM(U$13:U152)/U$317)),NORMSINV(SUM(U$13:U152)/U$317)," ")</f>
        <v>-0.45831911513470652</v>
      </c>
      <c r="W152" s="46">
        <f t="shared" si="67"/>
        <v>4.5709889387107766E-2</v>
      </c>
      <c r="X152" s="46">
        <f>IF(ISNUMBER(NORMSINV(SUM(W$13:W152)/W$317)),NORMSINV(SUM(W$13:W152)/W$317)," ")</f>
        <v>0.3744661555683178</v>
      </c>
      <c r="Y152" s="46">
        <f t="shared" si="68"/>
        <v>5.7182166589864834E-3</v>
      </c>
      <c r="Z152" s="46">
        <f>IF(ISNUMBER(NORMSINV(SUM(Y$13:Y152)/Y$317)),NORMSINV(SUM(Y$13:Y152)/Y$317)," ")</f>
        <v>2.2691981473213536</v>
      </c>
      <c r="AA152" s="46">
        <f t="shared" si="69"/>
        <v>0.68718360371095388</v>
      </c>
      <c r="AB152" s="46">
        <f>IF(ISNUMBER(NORMSINV(SUM(AA$13:AA152)/AA$317)),NORMSINV(SUM(AA$13:AA152)/AA$317)," ")</f>
        <v>-0.60320299903258068</v>
      </c>
      <c r="AC152" s="46">
        <f t="shared" si="70"/>
        <v>0.12566423267177998</v>
      </c>
      <c r="AD152" s="46">
        <f>IF(ISNUMBER(NORMSINV(SUM(AC$13:AC152)/AC$317)),NORMSINV(SUM(AC$13:AC152)/AC$317)," ")</f>
        <v>0.49930804593284311</v>
      </c>
      <c r="AE152" s="46">
        <f t="shared" si="71"/>
        <v>7.8432364251505016E-3</v>
      </c>
      <c r="AF152" s="46">
        <f>IF(ISNUMBER(NORMSINV(SUM(AE$13:AE152)/AE$317)),NORMSINV(SUM(AE$13:AE152)/AE$317)," ")</f>
        <v>2.7185532630507332</v>
      </c>
      <c r="AG152" s="46">
        <f t="shared" si="72"/>
        <v>1.4466295379198342</v>
      </c>
      <c r="AH152" s="46">
        <f>IF(ISNUMBER(NORMSINV(SUM(AG$13:AG152)/AG$317)),NORMSINV(SUM(AG$13:AG152)/AG$317)," ")</f>
        <v>-0.60049037690263773</v>
      </c>
      <c r="AI152" s="46">
        <f t="shared" si="73"/>
        <v>0.20364005067586224</v>
      </c>
      <c r="AJ152" s="46">
        <f>IF(ISNUMBER(NORMSINV(SUM(AI$13:AI152)/AI$317)),NORMSINV(SUM(AI$13:AI152)/AI$317)," ")</f>
        <v>0.82046624224075637</v>
      </c>
      <c r="AK152" s="46">
        <f t="shared" si="74"/>
        <v>0</v>
      </c>
      <c r="AL152" s="46" t="str">
        <f>IF(ISNUMBER(NORMSINV(SUM(AK$13:AK152)/AK$317)),NORMSINV(SUM(AK$13:AK152)/AK$317)," ")</f>
        <v xml:space="preserve"> </v>
      </c>
      <c r="AM152" s="6">
        <v>0.75444834466830857</v>
      </c>
      <c r="AN152" s="6">
        <v>0.14230165533169142</v>
      </c>
      <c r="AO152" s="6">
        <v>1.7801655331691389E-2</v>
      </c>
      <c r="AP152" s="6">
        <v>0.77014955907726668</v>
      </c>
      <c r="AQ152" s="6">
        <v>0.14083609221948568</v>
      </c>
      <c r="AR152" s="6">
        <v>8.7901763690933221E-3</v>
      </c>
      <c r="AS152" s="6">
        <v>0.81067538674311246</v>
      </c>
      <c r="AT152" s="6">
        <v>0.11411765936663044</v>
      </c>
      <c r="AU152" s="6">
        <v>0</v>
      </c>
    </row>
    <row r="153" spans="1:47" x14ac:dyDescent="0.4">
      <c r="A153" s="6">
        <f t="shared" si="59"/>
        <v>1.9144880577850418</v>
      </c>
      <c r="B153" s="6">
        <f>'Aerosol 1'!A157</f>
        <v>6.7834651657438956</v>
      </c>
      <c r="C153" t="b">
        <f t="shared" si="60"/>
        <v>0</v>
      </c>
      <c r="E153" s="46">
        <f>'Aerosol 1'!$P157</f>
        <v>0.60503708377300236</v>
      </c>
      <c r="F153" s="46">
        <f>'Aerosol 2'!$P157</f>
        <v>0.60503708377300236</v>
      </c>
      <c r="G153" s="46">
        <f>'Aerosol 3'!$P157</f>
        <v>0.60503708377300236</v>
      </c>
      <c r="H153" s="46">
        <f t="shared" si="61"/>
        <v>1.8151112513190071</v>
      </c>
      <c r="I153" s="46">
        <f>NORMSINV(SUM(H$13:H153)/H$317)</f>
        <v>-0.78749320214089202</v>
      </c>
      <c r="J153" s="46">
        <f t="shared" si="56"/>
        <v>0.32672002523742127</v>
      </c>
      <c r="K153" s="46">
        <f t="shared" si="57"/>
        <v>0.90755562565950354</v>
      </c>
      <c r="L153" s="46">
        <f t="shared" si="58"/>
        <v>1.8150386468689543</v>
      </c>
      <c r="M153" s="46">
        <f t="shared" si="62"/>
        <v>3.0493142977658794</v>
      </c>
      <c r="N153" s="46">
        <f>IF(ISNUMBER(NORMSINV(SUM(M$13:M153)/M$317)),NORMSINV(SUM(M$13:M153)/M$317)," ")</f>
        <v>-0.78749320214089202</v>
      </c>
      <c r="O153" s="46">
        <f t="shared" si="63"/>
        <v>2.4337196979410418</v>
      </c>
      <c r="P153" s="46">
        <f>IF(ISNUMBER(NORMSINV(SUM(O$13:O153)/O$317)),NORMSINV(SUM(O$13:O153)/O$317)," ")</f>
        <v>-0.55113718989688221</v>
      </c>
      <c r="Q153" s="46">
        <f t="shared" si="64"/>
        <v>0.35591045105492569</v>
      </c>
      <c r="R153" s="46">
        <f>IF(ISNUMBER(NORMSINV(SUM(Q$13:Q153)/Q$317)),NORMSINV(SUM(Q$13:Q153)/Q$317)," ")</f>
        <v>0.72505894555205486</v>
      </c>
      <c r="S153" s="46">
        <f t="shared" si="65"/>
        <v>1.0117020042990005E-2</v>
      </c>
      <c r="T153" s="46">
        <f>IF(ISNUMBER(NORMSINV(SUM(S$13:S153)/S$317)),NORMSINV(SUM(S$13:S153)/S$317)," ")</f>
        <v>2.8777444776393115</v>
      </c>
      <c r="U153" s="46">
        <f t="shared" si="66"/>
        <v>0.24766716721601853</v>
      </c>
      <c r="V153" s="46">
        <f>IF(ISNUMBER(NORMSINV(SUM(U$13:U153)/U$317)),NORMSINV(SUM(U$13:U153)/U$317)," ")</f>
        <v>-0.42002748409603979</v>
      </c>
      <c r="W153" s="46">
        <f t="shared" si="67"/>
        <v>4.4957481611143976E-2</v>
      </c>
      <c r="X153" s="46">
        <f>IF(ISNUMBER(NORMSINV(SUM(W$13:W153)/W$317)),NORMSINV(SUM(W$13:W153)/W$317)," ")</f>
        <v>0.42761334965576542</v>
      </c>
      <c r="Y153" s="46">
        <f t="shared" si="68"/>
        <v>4.7869857953780764E-3</v>
      </c>
      <c r="Z153" s="46">
        <f>IF(ISNUMBER(NORMSINV(SUM(Y$13:Y153)/Y$317)),NORMSINV(SUM(Y$13:Y153)/Y$317)," ")</f>
        <v>2.3718500340084971</v>
      </c>
      <c r="AA153" s="46">
        <f t="shared" si="69"/>
        <v>0.70486943195887519</v>
      </c>
      <c r="AB153" s="46">
        <f>IF(ISNUMBER(NORMSINV(SUM(AA$13:AA153)/AA$317)),NORMSINV(SUM(AA$13:AA153)/AA$317)," ")</f>
        <v>-0.56620508489242283</v>
      </c>
      <c r="AC153" s="46">
        <f t="shared" si="70"/>
        <v>0.12050777822167411</v>
      </c>
      <c r="AD153" s="46">
        <f>IF(ISNUMBER(NORMSINV(SUM(AC$13:AC153)/AC$317)),NORMSINV(SUM(AC$13:AC153)/AC$317)," ")</f>
        <v>0.562210611356595</v>
      </c>
      <c r="AE153" s="46">
        <f t="shared" si="71"/>
        <v>5.3300342476119283E-3</v>
      </c>
      <c r="AF153" s="46">
        <f>IF(ISNUMBER(NORMSINV(SUM(AE$13:AE153)/AE$317)),NORMSINV(SUM(AE$13:AE153)/AE$317)," ")</f>
        <v>2.8492466713375122</v>
      </c>
      <c r="AG153" s="46">
        <f t="shared" si="72"/>
        <v>1.4811830987661481</v>
      </c>
      <c r="AH153" s="46">
        <f>IF(ISNUMBER(NORMSINV(SUM(AG$13:AG153)/AG$317)),NORMSINV(SUM(AG$13:AG153)/AG$317)," ")</f>
        <v>-0.56415527500480733</v>
      </c>
      <c r="AI153" s="46">
        <f t="shared" si="73"/>
        <v>0.1904451912221076</v>
      </c>
      <c r="AJ153" s="46">
        <f>IF(ISNUMBER(NORMSINV(SUM(AI$13:AI153)/AI$317)),NORMSINV(SUM(AI$13:AI153)/AI$317)," ")</f>
        <v>0.87874607020175277</v>
      </c>
      <c r="AK153" s="46">
        <f t="shared" si="74"/>
        <v>0</v>
      </c>
      <c r="AL153" s="46" t="str">
        <f>IF(ISNUMBER(NORMSINV(SUM(AK$13:AK153)/AK$317)),NORMSINV(SUM(AK$13:AK153)/AK$317)," ")</f>
        <v xml:space="preserve"> </v>
      </c>
      <c r="AM153" s="6">
        <v>0.75804097724356956</v>
      </c>
      <c r="AN153" s="6">
        <v>0.13760246736781506</v>
      </c>
      <c r="AO153" s="6">
        <v>1.4651644911876656E-2</v>
      </c>
      <c r="AP153" s="6">
        <v>0.77666802125396983</v>
      </c>
      <c r="AQ153" s="6">
        <v>0.13278280120196861</v>
      </c>
      <c r="AR153" s="6">
        <v>5.8729559895997485E-3</v>
      </c>
      <c r="AS153" s="6">
        <v>0.81606146586535433</v>
      </c>
      <c r="AT153" s="6">
        <v>0.10492624581335305</v>
      </c>
      <c r="AU153" s="6">
        <v>0</v>
      </c>
    </row>
    <row r="154" spans="1:47" x14ac:dyDescent="0.4">
      <c r="A154" s="6">
        <f t="shared" si="59"/>
        <v>1.9489666352162205</v>
      </c>
      <c r="B154" s="6">
        <f>'Aerosol 1'!A158</f>
        <v>7.0214281338416287</v>
      </c>
      <c r="C154" t="b">
        <f t="shared" si="60"/>
        <v>0</v>
      </c>
      <c r="E154" s="46">
        <f>'Aerosol 1'!$P158</f>
        <v>0.61513097213788948</v>
      </c>
      <c r="F154" s="46">
        <f>'Aerosol 2'!$P158</f>
        <v>0.61513097213788948</v>
      </c>
      <c r="G154" s="46">
        <f>'Aerosol 3'!$P158</f>
        <v>0.61513097213788948</v>
      </c>
      <c r="H154" s="46">
        <f t="shared" si="61"/>
        <v>1.8453929164136684</v>
      </c>
      <c r="I154" s="46">
        <f>NORMSINV(SUM(H$13:H154)/H$317)</f>
        <v>-0.76653565015771941</v>
      </c>
      <c r="J154" s="46">
        <f t="shared" si="56"/>
        <v>0.33217072495446032</v>
      </c>
      <c r="K154" s="46">
        <f t="shared" si="57"/>
        <v>0.92269645820683421</v>
      </c>
      <c r="L154" s="46">
        <f t="shared" si="58"/>
        <v>1.845319100697012</v>
      </c>
      <c r="M154" s="46">
        <f t="shared" si="62"/>
        <v>3.1001862838583065</v>
      </c>
      <c r="N154" s="46">
        <f>IF(ISNUMBER(NORMSINV(SUM(M$13:M154)/M$317)),NORMSINV(SUM(M$13:M154)/M$317)," ")</f>
        <v>-0.76653565015771941</v>
      </c>
      <c r="O154" s="46">
        <f t="shared" si="63"/>
        <v>2.4887739489764176</v>
      </c>
      <c r="P154" s="46">
        <f>IF(ISNUMBER(NORMSINV(SUM(O$13:O154)/O$317)),NORMSINV(SUM(O$13:O154)/O$317)," ")</f>
        <v>-0.51437519379059304</v>
      </c>
      <c r="Q154" s="46">
        <f t="shared" si="64"/>
        <v>0.3378696821401882</v>
      </c>
      <c r="R154" s="46">
        <f>IF(ISNUMBER(NORMSINV(SUM(Q$13:Q154)/Q$317)),NORMSINV(SUM(Q$13:Q154)/Q$317)," ")</f>
        <v>0.78253112196433594</v>
      </c>
      <c r="S154" s="46">
        <f t="shared" si="65"/>
        <v>7.8163408050944735E-3</v>
      </c>
      <c r="T154" s="46">
        <f>IF(ISNUMBER(NORMSINV(SUM(S$13:S154)/S$317)),NORMSINV(SUM(S$13:S154)/S$317)," ")</f>
        <v>2.9888117623723054</v>
      </c>
      <c r="U154" s="46">
        <f t="shared" si="66"/>
        <v>0.25266598883454794</v>
      </c>
      <c r="V154" s="46">
        <f>IF(ISNUMBER(NORMSINV(SUM(U$13:U154)/U$317)),NORMSINV(SUM(U$13:U154)/U$317)," ")</f>
        <v>-0.38158731213044633</v>
      </c>
      <c r="W154" s="46">
        <f t="shared" si="67"/>
        <v>4.4338217389796014E-2</v>
      </c>
      <c r="X154" s="46">
        <f>IF(ISNUMBER(NORMSINV(SUM(W$13:W154)/W$317)),NORMSINV(SUM(W$13:W154)/W$317)," ")</f>
        <v>0.48123894914537479</v>
      </c>
      <c r="Y154" s="46">
        <f t="shared" si="68"/>
        <v>3.8240768858504586E-3</v>
      </c>
      <c r="Z154" s="46">
        <f>IF(ISNUMBER(NORMSINV(SUM(Y$13:Y154)/Y$317)),NORMSINV(SUM(Y$13:Y154)/Y$317)," ")</f>
        <v>2.4767071163813168</v>
      </c>
      <c r="AA154" s="46">
        <f t="shared" si="69"/>
        <v>0.72172676265938807</v>
      </c>
      <c r="AB154" s="46">
        <f>IF(ISNUMBER(NORMSINV(SUM(AA$13:AA154)/AA$317)),NORMSINV(SUM(AA$13:AA154)/AA$317)," ")</f>
        <v>-0.52910857930892674</v>
      </c>
      <c r="AC154" s="46">
        <f t="shared" si="70"/>
        <v>0.11579156983065134</v>
      </c>
      <c r="AD154" s="46">
        <f>IF(ISNUMBER(NORMSINV(SUM(AC$13:AC154)/AC$317)),NORMSINV(SUM(AC$13:AC154)/AC$317)," ")</f>
        <v>0.62482089455911005</v>
      </c>
      <c r="AE154" s="46">
        <f t="shared" si="71"/>
        <v>3.9922639192440153E-3</v>
      </c>
      <c r="AF154" s="46">
        <f>IF(ISNUMBER(NORMSINV(SUM(AE$13:AE154)/AE$317)),NORMSINV(SUM(AE$13:AE154)/AE$317)," ")</f>
        <v>2.9939905259765154</v>
      </c>
      <c r="AG154" s="46">
        <f t="shared" si="72"/>
        <v>1.5143811974824817</v>
      </c>
      <c r="AH154" s="46">
        <f>IF(ISNUMBER(NORMSINV(SUM(AG$13:AG154)/AG$317)),NORMSINV(SUM(AG$13:AG154)/AG$317)," ")</f>
        <v>-0.52776005858528197</v>
      </c>
      <c r="AI154" s="46">
        <f t="shared" si="73"/>
        <v>0.17773989491974082</v>
      </c>
      <c r="AJ154" s="46">
        <f>IF(ISNUMBER(NORMSINV(SUM(AI$13:AI154)/AI$317)),NORMSINV(SUM(AI$13:AI154)/AI$317)," ")</f>
        <v>0.93596761325342848</v>
      </c>
      <c r="AK154" s="46">
        <f t="shared" si="74"/>
        <v>0</v>
      </c>
      <c r="AL154" s="46" t="str">
        <f>IF(ISNUMBER(NORMSINV(SUM(AK$13:AK154)/AK$317)),NORMSINV(SUM(AK$13:AK154)/AK$317)," ")</f>
        <v xml:space="preserve"> </v>
      </c>
      <c r="AM154" s="6">
        <v>0.76065098412627341</v>
      </c>
      <c r="AN154" s="6">
        <v>0.13348020779337089</v>
      </c>
      <c r="AO154" s="6">
        <v>1.1512383839288452E-2</v>
      </c>
      <c r="AP154" s="6">
        <v>0.78219305627550573</v>
      </c>
      <c r="AQ154" s="6">
        <v>0.1254925916326593</v>
      </c>
      <c r="AR154" s="6">
        <v>4.3267359311236226E-3</v>
      </c>
      <c r="AS154" s="6">
        <v>0.82066088022958805</v>
      </c>
      <c r="AT154" s="6">
        <v>9.6319327563782919E-2</v>
      </c>
      <c r="AU154" s="6">
        <v>0</v>
      </c>
    </row>
    <row r="155" spans="1:47" x14ac:dyDescent="0.4">
      <c r="A155" s="6">
        <f t="shared" si="59"/>
        <v>1.9834452126473991</v>
      </c>
      <c r="B155" s="6">
        <f>'Aerosol 1'!A159</f>
        <v>7.2677388081341014</v>
      </c>
      <c r="C155" t="b">
        <f t="shared" si="60"/>
        <v>0</v>
      </c>
      <c r="E155" s="46">
        <f>'Aerosol 1'!$P159</f>
        <v>0.62511980670089395</v>
      </c>
      <c r="F155" s="46">
        <f>'Aerosol 2'!$P159</f>
        <v>0.62511980670089395</v>
      </c>
      <c r="G155" s="46">
        <f>'Aerosol 3'!$P159</f>
        <v>0.62511980670089395</v>
      </c>
      <c r="H155" s="46">
        <f t="shared" si="61"/>
        <v>1.875359420102682</v>
      </c>
      <c r="I155" s="46">
        <f>NORMSINV(SUM(H$13:H155)/H$317)</f>
        <v>-0.74557718343548895</v>
      </c>
      <c r="J155" s="46">
        <f t="shared" si="56"/>
        <v>0.33756469561848274</v>
      </c>
      <c r="K155" s="46">
        <f t="shared" si="57"/>
        <v>0.93767971005134099</v>
      </c>
      <c r="L155" s="46">
        <f t="shared" si="58"/>
        <v>1.8752844057258777</v>
      </c>
      <c r="M155" s="46">
        <f t="shared" si="62"/>
        <v>3.1505288113957013</v>
      </c>
      <c r="N155" s="46">
        <f>IF(ISNUMBER(NORMSINV(SUM(M$13:M155)/M$317)),NORMSINV(SUM(M$13:M155)/M$317)," ")</f>
        <v>-0.74557718343548873</v>
      </c>
      <c r="O155" s="46">
        <f t="shared" si="63"/>
        <v>2.5406642572669886</v>
      </c>
      <c r="P155" s="46">
        <f>IF(ISNUMBER(NORMSINV(SUM(O$13:O155)/O$317)),NORMSINV(SUM(O$13:O155)/O$317)," ")</f>
        <v>-0.47755018668682359</v>
      </c>
      <c r="Q155" s="46">
        <f t="shared" si="64"/>
        <v>0.31950343632248057</v>
      </c>
      <c r="R155" s="46">
        <f>IF(ISNUMBER(NORMSINV(SUM(Q$13:Q155)/Q$317)),NORMSINV(SUM(Q$13:Q155)/Q$317)," ")</f>
        <v>0.83936370080042144</v>
      </c>
      <c r="S155" s="46">
        <f t="shared" si="65"/>
        <v>5.6903178149125657E-3</v>
      </c>
      <c r="T155" s="46">
        <f>IF(ISNUMBER(NORMSINV(SUM(S$13:S155)/S$317)),NORMSINV(SUM(S$13:S155)/S$317)," ")</f>
        <v>3.1017722370510921</v>
      </c>
      <c r="U155" s="46">
        <f t="shared" si="66"/>
        <v>0.2574874526216776</v>
      </c>
      <c r="V155" s="46">
        <f>IF(ISNUMBER(NORMSINV(SUM(U$13:U155)/U$317)),NORMSINV(SUM(U$13:U155)/U$317)," ")</f>
        <v>-0.34298507413171209</v>
      </c>
      <c r="W155" s="46">
        <f t="shared" si="67"/>
        <v>4.3293077496927887E-2</v>
      </c>
      <c r="X155" s="46">
        <f>IF(ISNUMBER(NORMSINV(SUM(W$13:W155)/W$317)),NORMSINV(SUM(W$13:W155)/W$317)," ")</f>
        <v>0.53497048592362562</v>
      </c>
      <c r="Y155" s="46">
        <f t="shared" si="68"/>
        <v>3.0551226088902585E-3</v>
      </c>
      <c r="Z155" s="46">
        <f>IF(ISNUMBER(NORMSINV(SUM(Y$13:Y155)/Y$317)),NORMSINV(SUM(Y$13:Y155)/Y$317)," ")</f>
        <v>2.5858646708787894</v>
      </c>
      <c r="AA155" s="46">
        <f t="shared" si="69"/>
        <v>0.7383373447661129</v>
      </c>
      <c r="AB155" s="46">
        <f>IF(ISNUMBER(NORMSINV(SUM(AA$13:AA155)/AA$317)),NORMSINV(SUM(AA$13:AA155)/AA$317)," ")</f>
        <v>-0.49189692405816215</v>
      </c>
      <c r="AC155" s="46">
        <f t="shared" si="70"/>
        <v>0.11030088542876915</v>
      </c>
      <c r="AD155" s="46">
        <f>IF(ISNUMBER(NORMSINV(SUM(AC$13:AC155)/AC$317)),NORMSINV(SUM(AC$13:AC155)/AC$317)," ")</f>
        <v>0.68682854581595454</v>
      </c>
      <c r="AE155" s="46">
        <f t="shared" si="71"/>
        <v>2.6351952060223072E-3</v>
      </c>
      <c r="AF155" s="46">
        <f>IF(ISNUMBER(NORMSINV(SUM(AE$13:AE155)/AE$317)),NORMSINV(SUM(AE$13:AE155)/AE$317)," ")</f>
        <v>3.14191787012768</v>
      </c>
      <c r="AG155" s="46">
        <f t="shared" si="72"/>
        <v>1.5448394598791979</v>
      </c>
      <c r="AH155" s="46">
        <f>IF(ISNUMBER(NORMSINV(SUM(AG$13:AG155)/AG$317)),NORMSINV(SUM(AG$13:AG155)/AG$317)," ")</f>
        <v>-0.49133932650200063</v>
      </c>
      <c r="AI155" s="46">
        <f t="shared" si="73"/>
        <v>0.16590947339678352</v>
      </c>
      <c r="AJ155" s="46">
        <f>IF(ISNUMBER(NORMSINV(SUM(AI$13:AI155)/AI$317)),NORMSINV(SUM(AI$13:AI155)/AI$317)," ")</f>
        <v>0.99229397242783868</v>
      </c>
      <c r="AK155" s="46">
        <f t="shared" si="74"/>
        <v>0</v>
      </c>
      <c r="AL155" s="46" t="str">
        <f>IF(ISNUMBER(NORMSINV(SUM(AK$13:AK155)/AK$317)),NORMSINV(SUM(AK$13:AK155)/AK$317)," ")</f>
        <v xml:space="preserve"> </v>
      </c>
      <c r="AM155" s="6">
        <v>0.76277956778007139</v>
      </c>
      <c r="AN155" s="6">
        <v>0.12825120061091322</v>
      </c>
      <c r="AO155" s="6">
        <v>9.0504802443652846E-3</v>
      </c>
      <c r="AP155" s="6">
        <v>0.78740889543795989</v>
      </c>
      <c r="AQ155" s="6">
        <v>0.11763172887971503</v>
      </c>
      <c r="AR155" s="6">
        <v>2.8103361710557027E-3</v>
      </c>
      <c r="AS155" s="6">
        <v>0.82378942370676167</v>
      </c>
      <c r="AT155" s="6">
        <v>8.8471632830841959E-2</v>
      </c>
      <c r="AU155" s="6">
        <v>0</v>
      </c>
    </row>
    <row r="156" spans="1:47" x14ac:dyDescent="0.4">
      <c r="A156" s="6">
        <f t="shared" si="59"/>
        <v>2.0179237900785778</v>
      </c>
      <c r="B156" s="6">
        <f>'Aerosol 1'!A160</f>
        <v>7.5226900249364386</v>
      </c>
      <c r="C156" t="b">
        <f t="shared" si="60"/>
        <v>0</v>
      </c>
      <c r="E156" s="46">
        <f>'Aerosol 1'!$P160</f>
        <v>0.63499307545027972</v>
      </c>
      <c r="F156" s="46">
        <f>'Aerosol 2'!$P160</f>
        <v>0.63499307545027972</v>
      </c>
      <c r="G156" s="46">
        <f>'Aerosol 3'!$P160</f>
        <v>0.63499307545027972</v>
      </c>
      <c r="H156" s="46">
        <f t="shared" si="61"/>
        <v>1.9049792263508392</v>
      </c>
      <c r="I156" s="46">
        <f>NORMSINV(SUM(H$13:H156)/H$317)</f>
        <v>-0.72461777681716655</v>
      </c>
      <c r="J156" s="46">
        <f t="shared" si="56"/>
        <v>0.34289626074315105</v>
      </c>
      <c r="K156" s="46">
        <f t="shared" si="57"/>
        <v>0.95248961317541958</v>
      </c>
      <c r="L156" s="46">
        <f t="shared" si="58"/>
        <v>1.9049030271817853</v>
      </c>
      <c r="M156" s="46">
        <f t="shared" si="62"/>
        <v>3.2002889011003557</v>
      </c>
      <c r="N156" s="46">
        <f>IF(ISNUMBER(NORMSINV(SUM(M$13:M156)/M$317)),NORMSINV(SUM(M$13:M156)/M$317)," ")</f>
        <v>-0.72461777681716655</v>
      </c>
      <c r="O156" s="46">
        <f t="shared" si="63"/>
        <v>2.5890251722969126</v>
      </c>
      <c r="P156" s="46">
        <f>IF(ISNUMBER(NORMSINV(SUM(O$13:O156)/O$317)),NORMSINV(SUM(O$13:O156)/O$317)," ")</f>
        <v>-0.44067869555630634</v>
      </c>
      <c r="Q156" s="46">
        <f t="shared" si="64"/>
        <v>0.30182373448148425</v>
      </c>
      <c r="R156" s="46">
        <f>IF(ISNUMBER(NORMSINV(SUM(Q$13:Q156)/Q$317)),NORMSINV(SUM(Q$13:Q156)/Q$317)," ")</f>
        <v>0.89566076421005048</v>
      </c>
      <c r="S156" s="46">
        <f t="shared" si="65"/>
        <v>4.0639252091323411E-3</v>
      </c>
      <c r="T156" s="46">
        <f>IF(ISNUMBER(NORMSINV(SUM(S$13:S156)/S$317)),NORMSINV(SUM(S$13:S156)/S$317)," ")</f>
        <v>3.2165696935041241</v>
      </c>
      <c r="U156" s="46">
        <f t="shared" si="66"/>
        <v>0.2618012950773958</v>
      </c>
      <c r="V156" s="46">
        <f>IF(ISNUMBER(NORMSINV(SUM(U$13:U156)/U$317)),NORMSINV(SUM(U$13:U156)/U$317)," ")</f>
        <v>-0.30425307559491804</v>
      </c>
      <c r="W156" s="46">
        <f t="shared" si="67"/>
        <v>4.2250499354940435E-2</v>
      </c>
      <c r="X156" s="46">
        <f>IF(ISNUMBER(NORMSINV(SUM(W$13:W156)/W$317)),NORMSINV(SUM(W$13:W156)/W$317)," ")</f>
        <v>0.5889405284756567</v>
      </c>
      <c r="Y156" s="46">
        <f t="shared" si="68"/>
        <v>2.3335829302346235E-3</v>
      </c>
      <c r="Z156" s="46">
        <f>IF(ISNUMBER(NORMSINV(SUM(Y$13:Y156)/Y$317)),NORMSINV(SUM(Y$13:Y156)/Y$317)," ")</f>
        <v>2.6966278701117412</v>
      </c>
      <c r="AA156" s="46">
        <f t="shared" si="69"/>
        <v>0.75395381040268372</v>
      </c>
      <c r="AB156" s="46">
        <f>IF(ISNUMBER(NORMSINV(SUM(AA$13:AA156)/AA$317)),NORMSINV(SUM(AA$13:AA156)/AA$317)," ")</f>
        <v>-0.45458819271028245</v>
      </c>
      <c r="AC156" s="46">
        <f t="shared" si="70"/>
        <v>0.10448265735316464</v>
      </c>
      <c r="AD156" s="46">
        <f>IF(ISNUMBER(NORMSINV(SUM(AC$13:AC156)/AC$317)),NORMSINV(SUM(AC$13:AC156)/AC$317)," ")</f>
        <v>0.74810388085655755</v>
      </c>
      <c r="AE156" s="46">
        <f t="shared" si="71"/>
        <v>1.7303422788977178E-3</v>
      </c>
      <c r="AF156" s="46">
        <f>IF(ISNUMBER(NORMSINV(SUM(AE$13:AE156)/AE$317)),NORMSINV(SUM(AE$13:AE156)/AE$317)," ")</f>
        <v>3.2983597015142703</v>
      </c>
      <c r="AG156" s="46">
        <f t="shared" si="72"/>
        <v>1.5732700668168331</v>
      </c>
      <c r="AH156" s="46">
        <f>IF(ISNUMBER(NORMSINV(SUM(AG$13:AG156)/AG$317)),NORMSINV(SUM(AG$13:AG156)/AG$317)," ")</f>
        <v>-0.4549061932784591</v>
      </c>
      <c r="AI156" s="46">
        <f t="shared" si="73"/>
        <v>0.15509057777337915</v>
      </c>
      <c r="AJ156" s="46">
        <f>IF(ISNUMBER(NORMSINV(SUM(AI$13:AI156)/AI$317)),NORMSINV(SUM(AI$13:AI156)/AI$317)," ")</f>
        <v>1.0479542983087282</v>
      </c>
      <c r="AK156" s="46">
        <f t="shared" si="74"/>
        <v>0</v>
      </c>
      <c r="AL156" s="46" t="str">
        <f>IF(ISNUMBER(NORMSINV(SUM(AK$13:AK156)/AK$317)),NORMSINV(SUM(AK$13:AK156)/AK$317)," ")</f>
        <v xml:space="preserve"> </v>
      </c>
      <c r="AM156" s="6">
        <v>0.76349999999999996</v>
      </c>
      <c r="AN156" s="6">
        <v>0.12321656486825466</v>
      </c>
      <c r="AO156" s="6">
        <v>6.8055070801212696E-3</v>
      </c>
      <c r="AP156" s="6">
        <v>0.79156118867180592</v>
      </c>
      <c r="AQ156" s="6">
        <v>0.10969427478042443</v>
      </c>
      <c r="AR156" s="6">
        <v>1.8166521240363821E-3</v>
      </c>
      <c r="AS156" s="6">
        <v>0.82590559433590294</v>
      </c>
      <c r="AT156" s="6">
        <v>8.1416521240363818E-2</v>
      </c>
      <c r="AU156" s="6">
        <v>0</v>
      </c>
    </row>
    <row r="157" spans="1:47" x14ac:dyDescent="0.4">
      <c r="A157" s="6">
        <f t="shared" si="59"/>
        <v>2.0524023675097567</v>
      </c>
      <c r="B157" s="6">
        <f>'Aerosol 1'!A161</f>
        <v>7.7865848932189659</v>
      </c>
      <c r="C157" t="b">
        <f t="shared" si="60"/>
        <v>0</v>
      </c>
      <c r="E157" s="46">
        <f>'Aerosol 1'!$P161</f>
        <v>0.64474025082608966</v>
      </c>
      <c r="F157" s="46">
        <f>'Aerosol 2'!$P161</f>
        <v>0.64474025082608966</v>
      </c>
      <c r="G157" s="46">
        <f>'Aerosol 3'!$P161</f>
        <v>0.64474025082608966</v>
      </c>
      <c r="H157" s="46">
        <f t="shared" si="61"/>
        <v>1.9342207524782689</v>
      </c>
      <c r="I157" s="46">
        <f>NORMSINV(SUM(H$13:H157)/H$317)</f>
        <v>-0.70365740430310053</v>
      </c>
      <c r="J157" s="46">
        <f t="shared" si="56"/>
        <v>0.34815973544608841</v>
      </c>
      <c r="K157" s="46">
        <f t="shared" si="57"/>
        <v>0.96711037623913443</v>
      </c>
      <c r="L157" s="46">
        <f t="shared" si="58"/>
        <v>1.9341433836481698</v>
      </c>
      <c r="M157" s="46">
        <f t="shared" si="62"/>
        <v>3.2494134953333926</v>
      </c>
      <c r="N157" s="46">
        <f>IF(ISNUMBER(NORMSINV(SUM(M$13:M157)/M$317)),NORMSINV(SUM(M$13:M157)/M$317)," ")</f>
        <v>-0.70365740430309998</v>
      </c>
      <c r="O157" s="46">
        <f t="shared" si="63"/>
        <v>2.634837001947</v>
      </c>
      <c r="P157" s="46">
        <f>IF(ISNUMBER(NORMSINV(SUM(O$13:O157)/O$317)),NORMSINV(SUM(O$13:O157)/O$317)," ")</f>
        <v>-0.40375985383390939</v>
      </c>
      <c r="Q157" s="46">
        <f t="shared" si="64"/>
        <v>0.28436322975012018</v>
      </c>
      <c r="R157" s="46">
        <f>IF(ISNUMBER(NORMSINV(SUM(Q$13:Q157)/Q$317)),NORMSINV(SUM(Q$13:Q157)/Q$317)," ")</f>
        <v>0.95142970719998798</v>
      </c>
      <c r="S157" s="46">
        <f t="shared" si="65"/>
        <v>2.8172492636369898E-3</v>
      </c>
      <c r="T157" s="46">
        <f>IF(ISNUMBER(NORMSINV(SUM(S$13:S157)/S$317)),NORMSINV(SUM(S$13:S157)/S$317)," ")</f>
        <v>3.33171111624792</v>
      </c>
      <c r="U157" s="46">
        <f t="shared" si="66"/>
        <v>0.26586139289001481</v>
      </c>
      <c r="V157" s="46">
        <f>IF(ISNUMBER(NORMSINV(SUM(U$13:U157)/U$317)),NORMSINV(SUM(U$13:U157)/U$317)," ")</f>
        <v>-0.26538189475765811</v>
      </c>
      <c r="W157" s="46">
        <f t="shared" si="67"/>
        <v>4.1091456065818981E-2</v>
      </c>
      <c r="X157" s="46">
        <f>IF(ISNUMBER(NORMSINV(SUM(W$13:W157)/W$317)),NORMSINV(SUM(W$13:W157)/W$317)," ")</f>
        <v>0.64312846463911766</v>
      </c>
      <c r="Y157" s="46">
        <f t="shared" si="68"/>
        <v>1.7118743403308533E-3</v>
      </c>
      <c r="Z157" s="46">
        <f>IF(ISNUMBER(NORMSINV(SUM(Y$13:Y157)/Y$317)),NORMSINV(SUM(Y$13:Y157)/Y$317)," ")</f>
        <v>2.805920395500924</v>
      </c>
      <c r="AA157" s="46">
        <f t="shared" si="69"/>
        <v>0.76831127475520178</v>
      </c>
      <c r="AB157" s="46">
        <f>IF(ISNUMBER(NORMSINV(SUM(AA$13:AA157)/AA$317)),NORMSINV(SUM(AA$13:AA157)/AA$317)," ")</f>
        <v>-0.41720886247240957</v>
      </c>
      <c r="AC157" s="46">
        <f t="shared" si="70"/>
        <v>9.8600405949419143E-2</v>
      </c>
      <c r="AD157" s="46">
        <f>IF(ISNUMBER(NORMSINV(SUM(AC$13:AC157)/AC$317)),NORMSINV(SUM(AC$13:AC157)/AC$317)," ")</f>
        <v>0.80862315622903369</v>
      </c>
      <c r="AE157" s="46">
        <f t="shared" si="71"/>
        <v>1.1053749233061367E-3</v>
      </c>
      <c r="AF157" s="46">
        <f>IF(ISNUMBER(NORMSINV(SUM(AE$13:AE157)/AE$317)),NORMSINV(SUM(AE$13:AE157)/AE$317)," ")</f>
        <v>3.4694375553214676</v>
      </c>
      <c r="AG157" s="46">
        <f t="shared" si="72"/>
        <v>1.6006643343017832</v>
      </c>
      <c r="AH157" s="46">
        <f>IF(ISNUMBER(NORMSINV(SUM(AG$13:AG157)/AG$317)),NORMSINV(SUM(AG$13:AG157)/AG$317)," ")</f>
        <v>-0.418448086130285</v>
      </c>
      <c r="AI157" s="46">
        <f t="shared" si="73"/>
        <v>0.14467136773488209</v>
      </c>
      <c r="AJ157" s="46">
        <f>IF(ISNUMBER(NORMSINV(SUM(AI$13:AI157)/AI$317)),NORMSINV(SUM(AI$13:AI157)/AI$317)," ")</f>
        <v>1.1029741210843074</v>
      </c>
      <c r="AK157" s="46">
        <f t="shared" si="74"/>
        <v>0</v>
      </c>
      <c r="AL157" s="46" t="str">
        <f>IF(ISNUMBER(NORMSINV(SUM(AK$13:AK157)/AK$317)),NORMSINV(SUM(AK$13:AK157)/AK$317)," ")</f>
        <v xml:space="preserve"> </v>
      </c>
      <c r="AM157" s="6">
        <v>0.76361901111101549</v>
      </c>
      <c r="AN157" s="6">
        <v>0.11802472222461199</v>
      </c>
      <c r="AO157" s="6">
        <v>4.9169222228913727E-3</v>
      </c>
      <c r="AP157" s="6">
        <v>0.794440111110155</v>
      </c>
      <c r="AQ157" s="6">
        <v>0.10195362222547236</v>
      </c>
      <c r="AR157" s="6">
        <v>1.1429666669534461E-3</v>
      </c>
      <c r="AS157" s="6">
        <v>0.82758307777710849</v>
      </c>
      <c r="AT157" s="6">
        <v>7.4798677780549966E-2</v>
      </c>
      <c r="AU157" s="6">
        <v>0</v>
      </c>
    </row>
    <row r="158" spans="1:47" x14ac:dyDescent="0.4">
      <c r="A158" s="6">
        <f t="shared" si="59"/>
        <v>2.0868809449409356</v>
      </c>
      <c r="B158" s="6">
        <f>'Aerosol 1'!A162</f>
        <v>8.0597371549704526</v>
      </c>
      <c r="C158" t="b">
        <f t="shared" si="60"/>
        <v>0</v>
      </c>
      <c r="E158" s="46">
        <f>'Aerosol 1'!$P162</f>
        <v>0.65435080803017687</v>
      </c>
      <c r="F158" s="46">
        <f>'Aerosol 2'!$P162</f>
        <v>0.65435080803017687</v>
      </c>
      <c r="G158" s="46">
        <f>'Aerosol 3'!$P162</f>
        <v>0.65435080803017687</v>
      </c>
      <c r="H158" s="46">
        <f t="shared" si="61"/>
        <v>1.9630524240905305</v>
      </c>
      <c r="I158" s="46">
        <f>NORMSINV(SUM(H$13:H158)/H$317)</f>
        <v>-0.68269603901823928</v>
      </c>
      <c r="J158" s="46">
        <f t="shared" si="56"/>
        <v>0.35334943633629551</v>
      </c>
      <c r="K158" s="46">
        <f t="shared" si="57"/>
        <v>0.98152621204526525</v>
      </c>
      <c r="L158" s="46">
        <f t="shared" si="58"/>
        <v>1.962973901993567</v>
      </c>
      <c r="M158" s="46">
        <f t="shared" si="62"/>
        <v>3.2978495503751279</v>
      </c>
      <c r="N158" s="46">
        <f>IF(ISNUMBER(NORMSINV(SUM(M$13:M158)/M$317)),NORMSINV(SUM(M$13:M158)/M$317)," ")</f>
        <v>-0.68269603901823928</v>
      </c>
      <c r="O158" s="46">
        <f t="shared" si="63"/>
        <v>2.6778214855462377</v>
      </c>
      <c r="P158" s="46">
        <f>IF(ISNUMBER(NORMSINV(SUM(O$13:O158)/O$317)),NORMSINV(SUM(O$13:O158)/O$317)," ")</f>
        <v>-0.36679414323215942</v>
      </c>
      <c r="Q158" s="46">
        <f t="shared" si="64"/>
        <v>0.26607907761601512</v>
      </c>
      <c r="R158" s="46">
        <f>IF(ISNUMBER(NORMSINV(SUM(Q$13:Q158)/Q$317)),NORMSINV(SUM(Q$13:Q158)/Q$317)," ")</f>
        <v>1.0064350818708927</v>
      </c>
      <c r="S158" s="46">
        <f t="shared" si="65"/>
        <v>2.0502271410767206E-3</v>
      </c>
      <c r="T158" s="46">
        <f>IF(ISNUMBER(NORMSINV(SUM(S$13:S158)/S$317)),NORMSINV(SUM(S$13:S158)/S$317)," ")</f>
        <v>3.4565396482624595</v>
      </c>
      <c r="U158" s="46">
        <f t="shared" si="66"/>
        <v>0.26980442182631076</v>
      </c>
      <c r="V158" s="46">
        <f>IF(ISNUMBER(NORMSINV(SUM(U$13:U158)/U$317)),NORMSINV(SUM(U$13:U158)/U$317)," ")</f>
        <v>-0.22633979817339181</v>
      </c>
      <c r="W158" s="46">
        <f t="shared" si="67"/>
        <v>3.9653010449868221E-2</v>
      </c>
      <c r="X158" s="46">
        <f>IF(ISNUMBER(NORMSINV(SUM(W$13:W158)/W$317)),NORMSINV(SUM(W$13:W158)/W$317)," ")</f>
        <v>0.69727269853496265</v>
      </c>
      <c r="Y158" s="46">
        <f t="shared" si="68"/>
        <v>1.3140824820427721E-3</v>
      </c>
      <c r="Z158" s="46">
        <f>IF(ISNUMBER(NORMSINV(SUM(Y$13:Y158)/Y$317)),NORMSINV(SUM(Y$13:Y158)/Y$317)," ")</f>
        <v>2.9207546745405248</v>
      </c>
      <c r="AA158" s="46">
        <f t="shared" si="69"/>
        <v>0.78150927612067922</v>
      </c>
      <c r="AB158" s="46">
        <f>IF(ISNUMBER(NORMSINV(SUM(AA$13:AA158)/AA$317)),NORMSINV(SUM(AA$13:AA158)/AA$317)," ")</f>
        <v>-0.37977610198029305</v>
      </c>
      <c r="AC158" s="46">
        <f t="shared" si="70"/>
        <v>9.2572214051930127E-2</v>
      </c>
      <c r="AD158" s="46">
        <f>IF(ISNUMBER(NORMSINV(SUM(AC$13:AC158)/AC$317)),NORMSINV(SUM(AC$13:AC158)/AC$317)," ")</f>
        <v>0.86826936757367901</v>
      </c>
      <c r="AE158" s="46">
        <f t="shared" si="71"/>
        <v>7.3614465903394872E-4</v>
      </c>
      <c r="AF158" s="46">
        <f>IF(ISNUMBER(NORMSINV(SUM(AE$13:AE158)/AE$317)),NORMSINV(SUM(AE$13:AE158)/AE$317)," ")</f>
        <v>3.693463067250478</v>
      </c>
      <c r="AG158" s="46">
        <f t="shared" si="72"/>
        <v>1.6265077875992475</v>
      </c>
      <c r="AH158" s="46">
        <f>IF(ISNUMBER(NORMSINV(SUM(AG$13:AG158)/AG$317)),NORMSINV(SUM(AG$13:AG158)/AG$317)," ")</f>
        <v>-0.38196237287043189</v>
      </c>
      <c r="AI158" s="46">
        <f t="shared" si="73"/>
        <v>0.1338538531142168</v>
      </c>
      <c r="AJ158" s="46">
        <f>IF(ISNUMBER(NORMSINV(SUM(AI$13:AI158)/AI$317)),NORMSINV(SUM(AI$13:AI158)/AI$317)," ")</f>
        <v>1.1570347829607925</v>
      </c>
      <c r="AK158" s="46">
        <f t="shared" si="74"/>
        <v>0</v>
      </c>
      <c r="AL158" s="46" t="str">
        <f>IF(ISNUMBER(NORMSINV(SUM(AK$13:AK158)/AK$317)),NORMSINV(SUM(AK$13:AK158)/AK$317)," ")</f>
        <v xml:space="preserve"> </v>
      </c>
      <c r="AM158" s="6">
        <v>0.76356262125044994</v>
      </c>
      <c r="AN158" s="6">
        <v>0.11222038688107319</v>
      </c>
      <c r="AO158" s="6">
        <v>3.7189318756747983E-3</v>
      </c>
      <c r="AP158" s="6">
        <v>0.79621844687387544</v>
      </c>
      <c r="AQ158" s="6">
        <v>9.4314561257647755E-2</v>
      </c>
      <c r="AR158" s="6">
        <v>7.499999999999998E-4</v>
      </c>
      <c r="AS158" s="6">
        <v>0.82859368937477496</v>
      </c>
      <c r="AT158" s="6">
        <v>6.8189318756748024E-2</v>
      </c>
      <c r="AU158" s="6">
        <v>0</v>
      </c>
    </row>
    <row r="159" spans="1:47" x14ac:dyDescent="0.4">
      <c r="A159" s="6">
        <f t="shared" si="59"/>
        <v>2.1213595223721144</v>
      </c>
      <c r="B159" s="6">
        <f>'Aerosol 1'!A163</f>
        <v>8.342471558202849</v>
      </c>
      <c r="C159" t="b">
        <f t="shared" si="60"/>
        <v>0</v>
      </c>
      <c r="E159" s="46">
        <f>'Aerosol 1'!$P163</f>
        <v>0.66381424361518504</v>
      </c>
      <c r="F159" s="46">
        <f>'Aerosol 2'!$P163</f>
        <v>0.66381424361518504</v>
      </c>
      <c r="G159" s="46">
        <f>'Aerosol 3'!$P163</f>
        <v>0.66381424361518504</v>
      </c>
      <c r="H159" s="46">
        <f t="shared" si="61"/>
        <v>1.9914427308455551</v>
      </c>
      <c r="I159" s="46">
        <f>NORMSINV(SUM(H$13:H159)/H$317)</f>
        <v>-0.66173365317792809</v>
      </c>
      <c r="J159" s="46">
        <f t="shared" si="56"/>
        <v>0.35845969155219992</v>
      </c>
      <c r="K159" s="46">
        <f t="shared" si="57"/>
        <v>0.99572136542277756</v>
      </c>
      <c r="L159" s="46">
        <f t="shared" si="58"/>
        <v>1.9913630731363214</v>
      </c>
      <c r="M159" s="46">
        <f t="shared" si="62"/>
        <v>3.3455441301112989</v>
      </c>
      <c r="N159" s="46">
        <f>IF(ISNUMBER(NORMSINV(SUM(M$13:M159)/M$317)),NORMSINV(SUM(M$13:M159)/M$317)," ")</f>
        <v>-0.66173365317792809</v>
      </c>
      <c r="O159" s="46">
        <f t="shared" si="63"/>
        <v>2.7168909867215456</v>
      </c>
      <c r="P159" s="46">
        <f>IF(ISNUMBER(NORMSINV(SUM(O$13:O159)/O$317)),NORMSINV(SUM(O$13:O159)/O$317)," ")</f>
        <v>-0.32979435239447658</v>
      </c>
      <c r="Q159" s="46">
        <f t="shared" si="64"/>
        <v>0.24812529679306378</v>
      </c>
      <c r="R159" s="46">
        <f>IF(ISNUMBER(NORMSINV(SUM(Q$13:Q159)/Q$317)),NORMSINV(SUM(Q$13:Q159)/Q$317)," ")</f>
        <v>1.0606250323762829</v>
      </c>
      <c r="S159" s="46">
        <f t="shared" si="65"/>
        <v>1.6090504921515091E-3</v>
      </c>
      <c r="T159" s="46">
        <f>IF(ISNUMBER(NORMSINV(SUM(S$13:S159)/S$317)),NORMSINV(SUM(S$13:S159)/S$317)," ")</f>
        <v>3.616014900960125</v>
      </c>
      <c r="U159" s="46">
        <f t="shared" si="66"/>
        <v>0.27329980706206614</v>
      </c>
      <c r="V159" s="46">
        <f>IF(ISNUMBER(NORMSINV(SUM(U$13:U159)/U$317)),NORMSINV(SUM(U$13:U159)/U$317)," ")</f>
        <v>-0.18714041189225628</v>
      </c>
      <c r="W159" s="46">
        <f t="shared" si="67"/>
        <v>3.8099995614407405E-2</v>
      </c>
      <c r="X159" s="46">
        <f>IF(ISNUMBER(NORMSINV(SUM(W$13:W159)/W$317)),NORMSINV(SUM(W$13:W159)/W$317)," ")</f>
        <v>0.75129508230593955</v>
      </c>
      <c r="Y159" s="46">
        <f t="shared" si="68"/>
        <v>1.0668098258278206E-3</v>
      </c>
      <c r="Z159" s="46">
        <f>IF(ISNUMBER(NORMSINV(SUM(Y$13:Y159)/Y$317)),NORMSINV(SUM(Y$13:Y159)/Y$317)," ")</f>
        <v>3.0546233793343447</v>
      </c>
      <c r="AA159" s="46">
        <f t="shared" si="69"/>
        <v>0.79379447859969721</v>
      </c>
      <c r="AB159" s="46">
        <f>IF(ISNUMBER(NORMSINV(SUM(AA$13:AA159)/AA$317)),NORMSINV(SUM(AA$13:AA159)/AA$317)," ")</f>
        <v>-0.34229187326821681</v>
      </c>
      <c r="AC159" s="46">
        <f t="shared" si="70"/>
        <v>8.6573697945193248E-2</v>
      </c>
      <c r="AD159" s="46">
        <f>IF(ISNUMBER(NORMSINV(SUM(AC$13:AC159)/AC$317)),NORMSINV(SUM(AC$13:AC159)/AC$317)," ")</f>
        <v>0.926990231447678</v>
      </c>
      <c r="AE159" s="46">
        <f t="shared" si="71"/>
        <v>5.4224066632368865E-4</v>
      </c>
      <c r="AF159" s="46" t="str">
        <f>IF(ISNUMBER(NORMSINV(SUM(AE$13:AE159)/AE$317)),NORMSINV(SUM(AE$13:AE159)/AE$317)," ")</f>
        <v xml:space="preserve"> </v>
      </c>
      <c r="AG159" s="46">
        <f t="shared" si="72"/>
        <v>1.649796701059782</v>
      </c>
      <c r="AH159" s="46">
        <f>IF(ISNUMBER(NORMSINV(SUM(AG$13:AG159)/AG$317)),NORMSINV(SUM(AG$13:AG159)/AG$317)," ")</f>
        <v>-0.34546642915196984</v>
      </c>
      <c r="AI159" s="46">
        <f t="shared" si="73"/>
        <v>0.12345160323346313</v>
      </c>
      <c r="AJ159" s="46">
        <f>IF(ISNUMBER(NORMSINV(SUM(AI$13:AI159)/AI$317)),NORMSINV(SUM(AI$13:AI159)/AI$317)," ")</f>
        <v>1.210079916639996</v>
      </c>
      <c r="AK159" s="46">
        <f t="shared" si="74"/>
        <v>0</v>
      </c>
      <c r="AL159" s="46" t="str">
        <f>IF(ISNUMBER(NORMSINV(SUM(AK$13:AK159)/AK$317)),NORMSINV(SUM(AK$13:AK159)/AK$317)," ")</f>
        <v xml:space="preserve"> </v>
      </c>
      <c r="AM159" s="6">
        <v>0.76242828274115004</v>
      </c>
      <c r="AN159" s="6">
        <v>0.10628808904406251</v>
      </c>
      <c r="AO159" s="6">
        <v>2.9760942470500023E-3</v>
      </c>
      <c r="AP159" s="6">
        <v>0.79720542931471261</v>
      </c>
      <c r="AQ159" s="6">
        <v>8.6945706852875004E-2</v>
      </c>
      <c r="AR159" s="6">
        <v>5.4457068528750152E-4</v>
      </c>
      <c r="AS159" s="6">
        <v>0.82847609424704993</v>
      </c>
      <c r="AT159" s="6">
        <v>6.1993518358774993E-2</v>
      </c>
      <c r="AU159" s="6">
        <v>0</v>
      </c>
    </row>
    <row r="160" spans="1:47" x14ac:dyDescent="0.4">
      <c r="A160" s="6">
        <f t="shared" si="59"/>
        <v>2.1558380998032933</v>
      </c>
      <c r="B160" s="6">
        <f>'Aerosol 1'!A164</f>
        <v>8.6351242430409805</v>
      </c>
      <c r="C160" t="b">
        <f t="shared" si="60"/>
        <v>0</v>
      </c>
      <c r="E160" s="46">
        <f>'Aerosol 1'!$P164</f>
        <v>0.67312009430771091</v>
      </c>
      <c r="F160" s="46">
        <f>'Aerosol 2'!$P164</f>
        <v>0.67312009430771091</v>
      </c>
      <c r="G160" s="46">
        <f>'Aerosol 3'!$P164</f>
        <v>0.67312009430771091</v>
      </c>
      <c r="H160" s="46">
        <f t="shared" si="61"/>
        <v>2.0193602829231327</v>
      </c>
      <c r="I160" s="46">
        <f>NORMSINV(SUM(H$13:H160)/H$317)</f>
        <v>-0.6407702180521806</v>
      </c>
      <c r="J160" s="46">
        <f t="shared" si="56"/>
        <v>0.36348485092616389</v>
      </c>
      <c r="K160" s="46">
        <f t="shared" si="57"/>
        <v>1.0096801414615664</v>
      </c>
      <c r="L160" s="46">
        <f t="shared" si="58"/>
        <v>2.0192795085118158</v>
      </c>
      <c r="M160" s="46">
        <f t="shared" si="62"/>
        <v>3.3924445008995461</v>
      </c>
      <c r="N160" s="46">
        <f>IF(ISNUMBER(NORMSINV(SUM(M$13:M160)/M$317)),NORMSINV(SUM(M$13:M160)/M$317)," ")</f>
        <v>-0.64077021805218071</v>
      </c>
      <c r="O160" s="46">
        <f t="shared" si="63"/>
        <v>2.7523222455917984</v>
      </c>
      <c r="P160" s="46">
        <f>IF(ISNUMBER(NORMSINV(SUM(O$13:O160)/O$317)),NORMSINV(SUM(O$13:O160)/O$317)," ")</f>
        <v>-0.29276674135046366</v>
      </c>
      <c r="Q160" s="46">
        <f t="shared" si="64"/>
        <v>0.23264319265200217</v>
      </c>
      <c r="R160" s="46">
        <f>IF(ISNUMBER(NORMSINV(SUM(Q$13:Q160)/Q$317)),NORMSINV(SUM(Q$13:Q160)/Q$317)," ")</f>
        <v>1.114427445748003</v>
      </c>
      <c r="S160" s="46">
        <f t="shared" si="65"/>
        <v>7.7061152155045434E-4</v>
      </c>
      <c r="T160" s="46">
        <f>IF(ISNUMBER(NORMSINV(SUM(S$13:S160)/S$317)),NORMSINV(SUM(S$13:S160)/S$317)," ")</f>
        <v>3.7449813958919482</v>
      </c>
      <c r="U160" s="46">
        <f t="shared" si="66"/>
        <v>0.27613469721347128</v>
      </c>
      <c r="V160" s="46">
        <f>IF(ISNUMBER(NORMSINV(SUM(U$13:U160)/U$317)),NORMSINV(SUM(U$13:U160)/U$317)," ")</f>
        <v>-0.14782422855592389</v>
      </c>
      <c r="W160" s="46">
        <f t="shared" si="67"/>
        <v>3.6559519044436453E-2</v>
      </c>
      <c r="X160" s="46">
        <f>IF(ISNUMBER(NORMSINV(SUM(W$13:W160)/W$317)),NORMSINV(SUM(W$13:W160)/W$317)," ")</f>
        <v>0.80527908633720058</v>
      </c>
      <c r="Y160" s="46">
        <f t="shared" si="68"/>
        <v>7.7061152155045434E-4</v>
      </c>
      <c r="Z160" s="46">
        <f>IF(ISNUMBER(NORMSINV(SUM(Y$13:Y160)/Y$317)),NORMSINV(SUM(Y$13:Y160)/Y$317)," ")</f>
        <v>3.2032492293943458</v>
      </c>
      <c r="AA160" s="46">
        <f t="shared" si="69"/>
        <v>0.80542860193148913</v>
      </c>
      <c r="AB160" s="46">
        <f>IF(ISNUMBER(NORMSINV(SUM(AA$13:AA160)/AA$317)),NORMSINV(SUM(AA$13:AA160)/AA$317)," ")</f>
        <v>-0.30474346428652754</v>
      </c>
      <c r="AC160" s="46">
        <f t="shared" si="70"/>
        <v>8.0977003944856199E-2</v>
      </c>
      <c r="AD160" s="46">
        <f>IF(ISNUMBER(NORMSINV(SUM(AC$13:AC160)/AC$317)),NORMSINV(SUM(AC$13:AC160)/AC$317)," ")</f>
        <v>0.984966042918625</v>
      </c>
      <c r="AE160" s="46">
        <f t="shared" si="71"/>
        <v>0</v>
      </c>
      <c r="AF160" s="46" t="str">
        <f>IF(ISNUMBER(NORMSINV(SUM(AE$13:AE160)/AE$317)),NORMSINV(SUM(AE$13:AE160)/AE$317)," ")</f>
        <v xml:space="preserve"> </v>
      </c>
      <c r="AG160" s="46">
        <f t="shared" si="72"/>
        <v>1.670758946446838</v>
      </c>
      <c r="AH160" s="46">
        <f>IF(ISNUMBER(NORMSINV(SUM(AG$13:AG160)/AG$317)),NORMSINV(SUM(AG$13:AG160)/AG$317)," ")</f>
        <v>-0.30896978918192392</v>
      </c>
      <c r="AI160" s="46">
        <f t="shared" si="73"/>
        <v>0.11510666966270952</v>
      </c>
      <c r="AJ160" s="46">
        <f>IF(ISNUMBER(NORMSINV(SUM(AI$13:AI160)/AI$317)),NORMSINV(SUM(AI$13:AI160)/AI$317)," ")</f>
        <v>1.2628071035278283</v>
      </c>
      <c r="AK160" s="46">
        <f t="shared" si="74"/>
        <v>0</v>
      </c>
      <c r="AL160" s="46" t="str">
        <f>IF(ISNUMBER(NORMSINV(SUM(AK$13:AK160)/AK$317)),NORMSINV(SUM(AK$13:AK160)/AK$317)," ")</f>
        <v xml:space="preserve"> </v>
      </c>
      <c r="AM160" s="6">
        <v>0.75968694846532581</v>
      </c>
      <c r="AN160" s="6">
        <v>0.10058058527413824</v>
      </c>
      <c r="AO160" s="6">
        <v>2.1200650304598022E-3</v>
      </c>
      <c r="AP160" s="6">
        <v>0.79770668834348657</v>
      </c>
      <c r="AQ160" s="6">
        <v>8.0200650304598067E-2</v>
      </c>
      <c r="AR160" s="6">
        <v>0</v>
      </c>
      <c r="AS160" s="6">
        <v>0.82740350674789287</v>
      </c>
      <c r="AT160" s="6">
        <v>5.7003831900191829E-2</v>
      </c>
      <c r="AU160" s="6">
        <v>0</v>
      </c>
    </row>
    <row r="161" spans="1:47" x14ac:dyDescent="0.4">
      <c r="A161" s="6">
        <f t="shared" si="59"/>
        <v>2.1903166772344722</v>
      </c>
      <c r="B161" s="6">
        <f>'Aerosol 1'!A165</f>
        <v>8.9380431413561876</v>
      </c>
      <c r="C161" t="b">
        <f t="shared" si="60"/>
        <v>0</v>
      </c>
      <c r="E161" s="46">
        <f>'Aerosol 1'!$P165</f>
        <v>0.68225795601922767</v>
      </c>
      <c r="F161" s="46">
        <f>'Aerosol 2'!$P165</f>
        <v>0.68225795601922767</v>
      </c>
      <c r="G161" s="46">
        <f>'Aerosol 3'!$P165</f>
        <v>0.68225795601922767</v>
      </c>
      <c r="H161" s="46">
        <f t="shared" si="61"/>
        <v>2.046773868057683</v>
      </c>
      <c r="I161" s="46">
        <f>NORMSINV(SUM(H$13:H161)/H$317)</f>
        <v>-0.61980570392838041</v>
      </c>
      <c r="J161" s="46">
        <f t="shared" si="56"/>
        <v>0.36841929625038294</v>
      </c>
      <c r="K161" s="46">
        <f t="shared" si="57"/>
        <v>1.0233869340288415</v>
      </c>
      <c r="L161" s="46">
        <f t="shared" si="58"/>
        <v>2.0466919971029607</v>
      </c>
      <c r="M161" s="46">
        <f t="shared" si="62"/>
        <v>3.4384982273821851</v>
      </c>
      <c r="N161" s="46">
        <f>IF(ISNUMBER(NORMSINV(SUM(M$13:M161)/M$317)),NORMSINV(SUM(M$13:M161)/M$317)," ")</f>
        <v>-0.61980570392838019</v>
      </c>
      <c r="O161" s="46">
        <f t="shared" si="63"/>
        <v>2.7842922921977822</v>
      </c>
      <c r="P161" s="46">
        <f>IF(ISNUMBER(NORMSINV(SUM(O$13:O161)/O$317)),NORMSINV(SUM(O$13:O161)/O$317)," ")</f>
        <v>-0.25571297982754709</v>
      </c>
      <c r="Q161" s="46">
        <f t="shared" si="64"/>
        <v>0.21617759029153297</v>
      </c>
      <c r="R161" s="46">
        <f>IF(ISNUMBER(NORMSINV(SUM(Q$13:Q161)/Q$317)),NORMSINV(SUM(Q$13:Q161)/Q$317)," ")</f>
        <v>1.1674880601028281</v>
      </c>
      <c r="S161" s="46">
        <f t="shared" si="65"/>
        <v>5.32388222775766E-4</v>
      </c>
      <c r="T161" s="46">
        <f>IF(ISNUMBER(NORMSINV(SUM(S$13:S161)/S$317)),NORMSINV(SUM(S$13:S161)/S$317)," ")</f>
        <v>3.8946123274111364</v>
      </c>
      <c r="U161" s="46">
        <f t="shared" si="66"/>
        <v>0.27877870983914094</v>
      </c>
      <c r="V161" s="46">
        <f>IF(ISNUMBER(NORMSINV(SUM(U$13:U161)/U$317)),NORMSINV(SUM(U$13:U161)/U$317)," ")</f>
        <v>-0.10836193065946376</v>
      </c>
      <c r="W161" s="46">
        <f t="shared" si="67"/>
        <v>3.4837907370987908E-2</v>
      </c>
      <c r="X161" s="46">
        <f>IF(ISNUMBER(NORMSINV(SUM(W$13:W161)/W$317)),NORMSINV(SUM(W$13:W161)/W$317)," ")</f>
        <v>0.85900009455867277</v>
      </c>
      <c r="Y161" s="46">
        <f t="shared" si="68"/>
        <v>5.32388222775766E-4</v>
      </c>
      <c r="Z161" s="46">
        <f>IF(ISNUMBER(NORMSINV(SUM(Y$13:Y161)/Y$317)),NORMSINV(SUM(Y$13:Y161)/Y$317)," ")</f>
        <v>3.3740026029723382</v>
      </c>
      <c r="AA161" s="46">
        <f t="shared" si="69"/>
        <v>0.81590744157244788</v>
      </c>
      <c r="AB161" s="46">
        <f>IF(ISNUMBER(NORMSINV(SUM(AA$13:AA161)/AA$317)),NORMSINV(SUM(AA$13:AA161)/AA$317)," ")</f>
        <v>-0.26713954425787478</v>
      </c>
      <c r="AC161" s="46">
        <f t="shared" si="70"/>
        <v>7.5224615078139032E-2</v>
      </c>
      <c r="AD161" s="46">
        <f>IF(ISNUMBER(NORMSINV(SUM(AC$13:AC161)/AC$317)),NORMSINV(SUM(AC$13:AC161)/AC$317)," ")</f>
        <v>1.0419591049776897</v>
      </c>
      <c r="AE161" s="46">
        <f t="shared" si="71"/>
        <v>0</v>
      </c>
      <c r="AF161" s="46" t="str">
        <f>IF(ISNUMBER(NORMSINV(SUM(AE$13:AE161)/AE$317)),NORMSINV(SUM(AE$13:AE161)/AE$317)," ")</f>
        <v xml:space="preserve"> </v>
      </c>
      <c r="AG161" s="46">
        <f t="shared" si="72"/>
        <v>1.6896061407861931</v>
      </c>
      <c r="AH161" s="46">
        <f>IF(ISNUMBER(NORMSINV(SUM(AG$13:AG161)/AG$317)),NORMSINV(SUM(AG$13:AG161)/AG$317)," ")</f>
        <v>-0.27247524195502609</v>
      </c>
      <c r="AI161" s="46">
        <f t="shared" si="73"/>
        <v>0.10611506784240603</v>
      </c>
      <c r="AJ161" s="46">
        <f>IF(ISNUMBER(NORMSINV(SUM(AI$13:AI161)/AI$317)),NORMSINV(SUM(AI$13:AI161)/AI$317)," ")</f>
        <v>1.314734783855114</v>
      </c>
      <c r="AK161" s="46">
        <f t="shared" si="74"/>
        <v>0</v>
      </c>
      <c r="AL161" s="46" t="str">
        <f>IF(ISNUMBER(NORMSINV(SUM(AK$13:AK161)/AK$317)),NORMSINV(SUM(AK$13:AK161)/AK$317)," ")</f>
        <v xml:space="preserve"> </v>
      </c>
      <c r="AM161" s="6">
        <v>0.75668867694074038</v>
      </c>
      <c r="AN161" s="6">
        <v>9.4560485092810051E-2</v>
      </c>
      <c r="AO161" s="6">
        <v>1.4450606366012584E-3</v>
      </c>
      <c r="AP161" s="6">
        <v>0.79726192942527219</v>
      </c>
      <c r="AQ161" s="6">
        <v>7.3505545729411301E-2</v>
      </c>
      <c r="AR161" s="6">
        <v>0</v>
      </c>
      <c r="AS161" s="6">
        <v>0.82553024254640495</v>
      </c>
      <c r="AT161" s="6">
        <v>5.1847111335075892E-2</v>
      </c>
      <c r="AU161" s="6">
        <v>0</v>
      </c>
    </row>
    <row r="162" spans="1:47" x14ac:dyDescent="0.4">
      <c r="A162" s="6">
        <f t="shared" si="59"/>
        <v>2.2247952546656511</v>
      </c>
      <c r="B162" s="6">
        <f>'Aerosol 1'!A166</f>
        <v>9.2515883904190943</v>
      </c>
      <c r="C162" t="b">
        <f t="shared" si="60"/>
        <v>0</v>
      </c>
      <c r="E162" s="46">
        <f>'Aerosol 1'!$P166</f>
        <v>0.69121750299766527</v>
      </c>
      <c r="F162" s="46">
        <f>'Aerosol 2'!$P166</f>
        <v>0.69121750299766527</v>
      </c>
      <c r="G162" s="46">
        <f>'Aerosol 3'!$P166</f>
        <v>0.69121750299766527</v>
      </c>
      <c r="H162" s="46">
        <f t="shared" si="61"/>
        <v>2.0736525089929958</v>
      </c>
      <c r="I162" s="46">
        <f>NORMSINV(SUM(H$13:H162)/H$317)</f>
        <v>-0.59884008007231149</v>
      </c>
      <c r="J162" s="46">
        <f t="shared" si="56"/>
        <v>0.37325745161873924</v>
      </c>
      <c r="K162" s="46">
        <f t="shared" si="57"/>
        <v>1.0368262544964979</v>
      </c>
      <c r="L162" s="46">
        <f t="shared" si="58"/>
        <v>2.0735695628926361</v>
      </c>
      <c r="M162" s="46">
        <f t="shared" si="62"/>
        <v>3.4836532690078732</v>
      </c>
      <c r="N162" s="46">
        <f>IF(ISNUMBER(NORMSINV(SUM(M$13:M162)/M$317)),NORMSINV(SUM(M$13:M162)/M$317)," ")</f>
        <v>-0.59884008007231093</v>
      </c>
      <c r="O162" s="46">
        <f t="shared" si="63"/>
        <v>2.8108062341923405</v>
      </c>
      <c r="P162" s="46">
        <f>IF(ISNUMBER(NORMSINV(SUM(O$13:O162)/O$317)),NORMSINV(SUM(O$13:O162)/O$317)," ")</f>
        <v>-0.21865908593855457</v>
      </c>
      <c r="Q162" s="46">
        <f t="shared" si="64"/>
        <v>0.20045485529246759</v>
      </c>
      <c r="R162" s="46">
        <f>IF(ISNUMBER(NORMSINV(SUM(Q$13:Q162)/Q$317)),NORMSINV(SUM(Q$13:Q162)/Q$317)," ")</f>
        <v>1.2198100870422939</v>
      </c>
      <c r="S162" s="46">
        <f t="shared" si="65"/>
        <v>2.8765947435670605E-4</v>
      </c>
      <c r="T162" s="46">
        <f>IF(ISNUMBER(NORMSINV(SUM(S$13:S162)/S$317)),NORMSINV(SUM(S$13:S162)/S$317)," ")</f>
        <v>4.0375077403505077</v>
      </c>
      <c r="U162" s="46">
        <f t="shared" si="66"/>
        <v>0.28101327289131423</v>
      </c>
      <c r="V162" s="46">
        <f>IF(ISNUMBER(NORMSINV(SUM(U$13:U162)/U$317)),NORMSINV(SUM(U$13:U162)/U$317)," ")</f>
        <v>-6.8753275346048151E-2</v>
      </c>
      <c r="W162" s="46">
        <f t="shared" si="67"/>
        <v>3.3281644279208995E-2</v>
      </c>
      <c r="X162" s="46">
        <f>IF(ISNUMBER(NORMSINV(SUM(W$13:W162)/W$317)),NORMSINV(SUM(W$13:W162)/W$317)," ")</f>
        <v>0.91274505811239903</v>
      </c>
      <c r="Y162" s="46">
        <f t="shared" si="68"/>
        <v>2.8765947435670605E-4</v>
      </c>
      <c r="Z162" s="46">
        <f>IF(ISNUMBER(NORMSINV(SUM(Y$13:Y162)/Y$317)),NORMSINV(SUM(Y$13:Y162)/Y$317)," ")</f>
        <v>3.5355643315027132</v>
      </c>
      <c r="AA162" s="46">
        <f t="shared" si="69"/>
        <v>0.82359213505361617</v>
      </c>
      <c r="AB162" s="46">
        <f>IF(ISNUMBER(NORMSINV(SUM(AA$13:AA162)/AA$317)),NORMSINV(SUM(AA$13:AA162)/AA$317)," ")</f>
        <v>-0.22956068887025272</v>
      </c>
      <c r="AC162" s="46">
        <f t="shared" si="70"/>
        <v>6.9919475255955724E-2</v>
      </c>
      <c r="AD162" s="46">
        <f>IF(ISNUMBER(NORMSINV(SUM(AC$13:AC162)/AC$317)),NORMSINV(SUM(AC$13:AC162)/AC$317)," ")</f>
        <v>1.0981488587953268</v>
      </c>
      <c r="AE162" s="46">
        <f t="shared" si="71"/>
        <v>0</v>
      </c>
      <c r="AF162" s="46" t="str">
        <f>IF(ISNUMBER(NORMSINV(SUM(AE$13:AE162)/AE$317)),NORMSINV(SUM(AE$13:AE162)/AE$317)," ")</f>
        <v xml:space="preserve"> </v>
      </c>
      <c r="AG162" s="46">
        <f t="shared" si="72"/>
        <v>1.70620082624741</v>
      </c>
      <c r="AH162" s="46">
        <f>IF(ISNUMBER(NORMSINV(SUM(AG$13:AG162)/AG$317)),NORMSINV(SUM(AG$13:AG162)/AG$317)," ")</f>
        <v>-0.23598683562969486</v>
      </c>
      <c r="AI162" s="46">
        <f t="shared" si="73"/>
        <v>9.7253735757302867E-2</v>
      </c>
      <c r="AJ162" s="46">
        <f>IF(ISNUMBER(NORMSINV(SUM(AI$13:AI162)/AI$317)),NORMSINV(SUM(AI$13:AI162)/AI$317)," ")</f>
        <v>1.3656537067509542</v>
      </c>
      <c r="AK162" s="46">
        <f t="shared" si="74"/>
        <v>0</v>
      </c>
      <c r="AL162" s="46" t="str">
        <f>IF(ISNUMBER(NORMSINV(SUM(AK$13:AK162)/AK$317)),NORMSINV(SUM(AK$13:AK162)/AK$317)," ")</f>
        <v xml:space="preserve"> </v>
      </c>
      <c r="AM162" s="6">
        <v>0.75286714752141892</v>
      </c>
      <c r="AN162" s="6">
        <v>8.9165384736121109E-2</v>
      </c>
      <c r="AO162" s="6">
        <v>7.7067309201514196E-4</v>
      </c>
      <c r="AP162" s="6">
        <v>0.79433958339873234</v>
      </c>
      <c r="AQ162" s="6">
        <v>6.7436057828136234E-2</v>
      </c>
      <c r="AR162" s="6">
        <v>0</v>
      </c>
      <c r="AS162" s="6">
        <v>0.82283269236806045</v>
      </c>
      <c r="AT162" s="6">
        <v>4.6901602674777693E-2</v>
      </c>
      <c r="AU162" s="6">
        <v>0</v>
      </c>
    </row>
    <row r="163" spans="1:47" x14ac:dyDescent="0.4">
      <c r="A163" s="6">
        <f t="shared" si="59"/>
        <v>2.25927383209683</v>
      </c>
      <c r="B163" s="6">
        <f>'Aerosol 1'!A167</f>
        <v>9.5761327610632154</v>
      </c>
      <c r="C163" t="b">
        <f t="shared" si="60"/>
        <v>0</v>
      </c>
      <c r="E163" s="46">
        <f>'Aerosol 1'!$P167</f>
        <v>0.69998850707042592</v>
      </c>
      <c r="F163" s="46">
        <f>'Aerosol 2'!$P167</f>
        <v>0.69998850707042592</v>
      </c>
      <c r="G163" s="46">
        <f>'Aerosol 3'!$P167</f>
        <v>0.69998850707042592</v>
      </c>
      <c r="H163" s="46">
        <f t="shared" si="61"/>
        <v>2.0999655212112778</v>
      </c>
      <c r="I163" s="46">
        <f>NORMSINV(SUM(H$13:H163)/H$317)</f>
        <v>-0.57787331468745495</v>
      </c>
      <c r="J163" s="46">
        <f t="shared" si="56"/>
        <v>0.37799379381803</v>
      </c>
      <c r="K163" s="46">
        <f t="shared" si="57"/>
        <v>1.0499827606056389</v>
      </c>
      <c r="L163" s="46">
        <f t="shared" si="58"/>
        <v>2.0998815225904295</v>
      </c>
      <c r="M163" s="46">
        <f t="shared" si="62"/>
        <v>3.5278580770140984</v>
      </c>
      <c r="N163" s="46">
        <f>IF(ISNUMBER(NORMSINV(SUM(M$13:M163)/M$317)),NORMSINV(SUM(M$13:M163)/M$317)," ")</f>
        <v>-0.57787331468745495</v>
      </c>
      <c r="O163" s="46">
        <f t="shared" si="63"/>
        <v>2.8330549875502906</v>
      </c>
      <c r="P163" s="46">
        <f>IF(ISNUMBER(NORMSINV(SUM(O$13:O163)/O$317)),NORMSINV(SUM(O$13:O163)/O$317)," ")</f>
        <v>-0.18161320200779257</v>
      </c>
      <c r="Q163" s="46">
        <f t="shared" si="64"/>
        <v>0.18613987415791078</v>
      </c>
      <c r="R163" s="46">
        <f>IF(ISNUMBER(NORMSINV(SUM(Q$13:Q163)/Q$317)),NORMSINV(SUM(Q$13:Q163)/Q$317)," ")</f>
        <v>1.2715791172710558</v>
      </c>
      <c r="S163" s="46">
        <f t="shared" si="65"/>
        <v>2.8349534536352243E-4</v>
      </c>
      <c r="T163" s="46">
        <f>IF(ISNUMBER(NORMSINV(SUM(S$13:S163)/S$317)),NORMSINV(SUM(S$13:S163)/S$317)," ")</f>
        <v>4.410148156399754</v>
      </c>
      <c r="U163" s="46">
        <f t="shared" si="66"/>
        <v>0.28215266141451523</v>
      </c>
      <c r="V163" s="46">
        <f>IF(ISNUMBER(NORMSINV(SUM(U$13:U163)/U$317)),NORMSINV(SUM(U$13:U163)/U$317)," ")</f>
        <v>-2.9092207060243225E-2</v>
      </c>
      <c r="W163" s="46">
        <f t="shared" si="67"/>
        <v>3.1505711824557178E-2</v>
      </c>
      <c r="X163" s="46">
        <f>IF(ISNUMBER(NORMSINV(SUM(W$13:W163)/W$317)),NORMSINV(SUM(W$13:W163)/W$317)," ")</f>
        <v>0.9661715486129433</v>
      </c>
      <c r="Y163" s="46">
        <f t="shared" si="68"/>
        <v>2.8349534536352243E-4</v>
      </c>
      <c r="Z163" s="46">
        <f>IF(ISNUMBER(NORMSINV(SUM(Y$13:Y163)/Y$317)),NORMSINV(SUM(Y$13:Y163)/Y$317)," ")</f>
        <v>3.9510545090836655</v>
      </c>
      <c r="AA163" s="46">
        <f t="shared" si="69"/>
        <v>0.8309825078537405</v>
      </c>
      <c r="AB163" s="46">
        <f>IF(ISNUMBER(NORMSINV(SUM(AA$13:AA163)/AA$317)),NORMSINV(SUM(AA$13:AA163)/AA$317)," ")</f>
        <v>-0.1919703127750598</v>
      </c>
      <c r="AC163" s="46">
        <f t="shared" si="70"/>
        <v>6.4678741136152865E-2</v>
      </c>
      <c r="AD163" s="46">
        <f>IF(ISNUMBER(NORMSINV(SUM(AC$13:AC163)/AC$317)),NORMSINV(SUM(AC$13:AC163)/AC$317)," ")</f>
        <v>1.1534054237715545</v>
      </c>
      <c r="AE163" s="46">
        <f t="shared" si="71"/>
        <v>0</v>
      </c>
      <c r="AF163" s="46" t="str">
        <f>IF(ISNUMBER(NORMSINV(SUM(AE$13:AE163)/AE$317)),NORMSINV(SUM(AE$13:AE163)/AE$317)," ")</f>
        <v xml:space="preserve"> </v>
      </c>
      <c r="AG163" s="46">
        <f t="shared" si="72"/>
        <v>1.719919818282035</v>
      </c>
      <c r="AH163" s="46">
        <f>IF(ISNUMBER(NORMSINV(SUM(AG$13:AG163)/AG$317)),NORMSINV(SUM(AG$13:AG163)/AG$317)," ")</f>
        <v>-0.19952027932031668</v>
      </c>
      <c r="AI163" s="46">
        <f t="shared" si="73"/>
        <v>8.9955421197200736E-2</v>
      </c>
      <c r="AJ163" s="46">
        <f>IF(ISNUMBER(NORMSINV(SUM(AI$13:AI163)/AI$317)),NORMSINV(SUM(AI$13:AI163)/AI$317)," ")</f>
        <v>1.416126769176159</v>
      </c>
      <c r="AK163" s="46">
        <f t="shared" si="74"/>
        <v>0</v>
      </c>
      <c r="AL163" s="46" t="str">
        <f>IF(ISNUMBER(NORMSINV(SUM(AK$13:AK163)/AK$317)),NORMSINV(SUM(AK$13:AK163)/AK$317)," ")</f>
        <v xml:space="preserve"> </v>
      </c>
      <c r="AM163" s="6">
        <v>0.74644786774024752</v>
      </c>
      <c r="AN163" s="6">
        <v>8.334981245677367E-2</v>
      </c>
      <c r="AO163" s="6">
        <v>7.499999999999998E-4</v>
      </c>
      <c r="AP163" s="6">
        <v>0.79142490622838679</v>
      </c>
      <c r="AQ163" s="6">
        <v>6.1599812456773692E-2</v>
      </c>
      <c r="AR163" s="6">
        <v>0</v>
      </c>
      <c r="AS163" s="6">
        <v>0.81905564660635188</v>
      </c>
      <c r="AT163" s="6">
        <v>4.2838331700843321E-2</v>
      </c>
      <c r="AU163" s="6">
        <v>0</v>
      </c>
    </row>
    <row r="164" spans="1:47" x14ac:dyDescent="0.4">
      <c r="A164" s="6">
        <f t="shared" si="59"/>
        <v>2.2937524095280089</v>
      </c>
      <c r="B164" s="6">
        <f>'Aerosol 1'!A168</f>
        <v>9.9120621008685088</v>
      </c>
      <c r="C164" t="b">
        <f t="shared" si="60"/>
        <v>0</v>
      </c>
      <c r="E164" s="46">
        <f>'Aerosol 1'!$P168</f>
        <v>0.70856085692989623</v>
      </c>
      <c r="F164" s="46">
        <f>'Aerosol 2'!$P168</f>
        <v>0.70856085692989623</v>
      </c>
      <c r="G164" s="46">
        <f>'Aerosol 3'!$P168</f>
        <v>0.70856085692989623</v>
      </c>
      <c r="H164" s="46">
        <f t="shared" si="61"/>
        <v>2.1256825707896887</v>
      </c>
      <c r="I164" s="46">
        <f>NORMSINV(SUM(H$13:H164)/H$317)</f>
        <v>-0.55690537487245273</v>
      </c>
      <c r="J164" s="46">
        <f t="shared" si="56"/>
        <v>0.38262286274214397</v>
      </c>
      <c r="K164" s="46">
        <f t="shared" si="57"/>
        <v>1.0628412853948443</v>
      </c>
      <c r="L164" s="46">
        <f t="shared" si="58"/>
        <v>2.1255975434868573</v>
      </c>
      <c r="M164" s="46">
        <f t="shared" si="62"/>
        <v>3.5710616916238456</v>
      </c>
      <c r="N164" s="46">
        <f>IF(ISNUMBER(NORMSINV(SUM(M$13:M164)/M$317)),NORMSINV(SUM(M$13:M164)/M$317)," ")</f>
        <v>-0.55690537487245317</v>
      </c>
      <c r="O164" s="46">
        <f t="shared" si="63"/>
        <v>2.8510024160180567</v>
      </c>
      <c r="P164" s="46">
        <f>IF(ISNUMBER(NORMSINV(SUM(O$13:O164)/O$317)),NORMSINV(SUM(O$13:O164)/O$317)," ")</f>
        <v>-0.14458254190125816</v>
      </c>
      <c r="Q164" s="46">
        <f t="shared" si="64"/>
        <v>0.17359144660215831</v>
      </c>
      <c r="R164" s="46">
        <f>IF(ISNUMBER(NORMSINV(SUM(Q$13:Q164)/Q$317)),NORMSINV(SUM(Q$13:Q164)/Q$317)," ")</f>
        <v>1.3231354272339952</v>
      </c>
      <c r="S164" s="46">
        <f t="shared" si="65"/>
        <v>6.7025997428726773E-5</v>
      </c>
      <c r="T164" s="46" t="str">
        <f>IF(ISNUMBER(NORMSINV(SUM(S$13:S164)/S$317)),NORMSINV(SUM(S$13:S164)/S$317)," ")</f>
        <v xml:space="preserve"> </v>
      </c>
      <c r="U164" s="46">
        <f t="shared" si="66"/>
        <v>0.28311924639453212</v>
      </c>
      <c r="V164" s="46">
        <f>IF(ISNUMBER(NORMSINV(SUM(U$13:U164)/U$317)),NORMSINV(SUM(U$13:U164)/U$317)," ")</f>
        <v>1.0658839184907544E-2</v>
      </c>
      <c r="W164" s="46">
        <f t="shared" si="67"/>
        <v>2.9806856979203822E-2</v>
      </c>
      <c r="X164" s="46">
        <f>IF(ISNUMBER(NORMSINV(SUM(W$13:W164)/W$317)),NORMSINV(SUM(W$13:W164)/W$317)," ")</f>
        <v>1.0193886202464608</v>
      </c>
      <c r="Y164" s="46">
        <f t="shared" si="68"/>
        <v>6.7025997428726773E-5</v>
      </c>
      <c r="Z164" s="46" t="str">
        <f>IF(ISNUMBER(NORMSINV(SUM(Y$13:Y164)/Y$317)),NORMSINV(SUM(Y$13:Y164)/Y$317)," ")</f>
        <v xml:space="preserve"> </v>
      </c>
      <c r="AA164" s="46">
        <f t="shared" si="69"/>
        <v>0.83744906934542751</v>
      </c>
      <c r="AB164" s="46">
        <f>IF(ISNUMBER(NORMSINV(SUM(AA$13:AA164)/AA$317)),NORMSINV(SUM(AA$13:AA164)/AA$317)," ")</f>
        <v>-0.15435983405699449</v>
      </c>
      <c r="AC164" s="46">
        <f t="shared" si="70"/>
        <v>6.0087325410131828E-2</v>
      </c>
      <c r="AD164" s="46">
        <f>IF(ISNUMBER(NORMSINV(SUM(AC$13:AC164)/AC$317)),NORMSINV(SUM(AC$13:AC164)/AC$317)," ")</f>
        <v>1.2080986010424106</v>
      </c>
      <c r="AE164" s="46">
        <f t="shared" si="71"/>
        <v>0</v>
      </c>
      <c r="AF164" s="46" t="str">
        <f>IF(ISNUMBER(NORMSINV(SUM(AE$13:AE164)/AE$317)),NORMSINV(SUM(AE$13:AE164)/AE$317)," ")</f>
        <v xml:space="preserve"> </v>
      </c>
      <c r="AG164" s="46">
        <f t="shared" si="72"/>
        <v>1.730434100278097</v>
      </c>
      <c r="AH164" s="46">
        <f>IF(ISNUMBER(NORMSINV(SUM(AG$13:AG164)/AG$317)),NORMSINV(SUM(AG$13:AG164)/AG$317)," ")</f>
        <v>-0.16309660508778256</v>
      </c>
      <c r="AI164" s="46">
        <f t="shared" si="73"/>
        <v>8.3697264212822642E-2</v>
      </c>
      <c r="AJ164" s="46">
        <f>IF(ISNUMBER(NORMSINV(SUM(AI$13:AI164)/AI$317)),NORMSINV(SUM(AI$13:AI164)/AI$317)," ")</f>
        <v>1.4665659706359422</v>
      </c>
      <c r="AK164" s="46">
        <f t="shared" si="74"/>
        <v>0</v>
      </c>
      <c r="AL164" s="46" t="str">
        <f>IF(ISNUMBER(NORMSINV(SUM(AK$13:AK164)/AK$317)),NORMSINV(SUM(AK$13:AK164)/AK$317)," ")</f>
        <v xml:space="preserve"> </v>
      </c>
      <c r="AM164" s="6">
        <v>0.73994335927942445</v>
      </c>
      <c r="AN164" s="6">
        <v>7.7901400782971947E-2</v>
      </c>
      <c r="AO164" s="6">
        <v>1.7517509787149527E-4</v>
      </c>
      <c r="AP164" s="6">
        <v>0.78793426718864812</v>
      </c>
      <c r="AQ164" s="6">
        <v>5.6534617384390987E-2</v>
      </c>
      <c r="AR164" s="6">
        <v>0</v>
      </c>
      <c r="AS164" s="6">
        <v>0.81409300908368143</v>
      </c>
      <c r="AT164" s="6">
        <v>3.9375875489357497E-2</v>
      </c>
      <c r="AU164" s="6">
        <v>0</v>
      </c>
    </row>
    <row r="165" spans="1:47" x14ac:dyDescent="0.4">
      <c r="A165" s="6">
        <f t="shared" si="59"/>
        <v>2.3282309869591877</v>
      </c>
      <c r="B165" s="6">
        <f>'Aerosol 1'!A169</f>
        <v>10.259775792891732</v>
      </c>
      <c r="C165" t="b">
        <f t="shared" si="60"/>
        <v>0</v>
      </c>
      <c r="E165" s="46">
        <f>'Aerosol 1'!$P169</f>
        <v>0.7169245774106936</v>
      </c>
      <c r="F165" s="46">
        <f>'Aerosol 2'!$P169</f>
        <v>0.7169245774106936</v>
      </c>
      <c r="G165" s="46">
        <f>'Aerosol 3'!$P169</f>
        <v>0.7169245774106936</v>
      </c>
      <c r="H165" s="46">
        <f t="shared" si="61"/>
        <v>2.1507737322320808</v>
      </c>
      <c r="I165" s="46">
        <f>NORMSINV(SUM(H$13:H165)/H$317)</f>
        <v>-0.53593622657665196</v>
      </c>
      <c r="J165" s="46">
        <f t="shared" si="56"/>
        <v>0.38713927180177454</v>
      </c>
      <c r="K165" s="46">
        <f t="shared" si="57"/>
        <v>1.0753868661160404</v>
      </c>
      <c r="L165" s="46">
        <f t="shared" si="58"/>
        <v>2.1506877012827914</v>
      </c>
      <c r="M165" s="46">
        <f t="shared" si="62"/>
        <v>3.6132138392006063</v>
      </c>
      <c r="N165" s="46">
        <f>IF(ISNUMBER(NORMSINV(SUM(M$13:M165)/M$317)),NORMSINV(SUM(M$13:M165)/M$317)," ")</f>
        <v>-0.53593622657665207</v>
      </c>
      <c r="O165" s="46">
        <f t="shared" si="63"/>
        <v>2.8648748561519959</v>
      </c>
      <c r="P165" s="46">
        <f>IF(ISNUMBER(NORMSINV(SUM(O$13:O165)/O$317)),NORMSINV(SUM(O$13:O165)/O$317)," ")</f>
        <v>-0.1075703279813589</v>
      </c>
      <c r="Q165" s="46">
        <f t="shared" si="64"/>
        <v>0.16000022461146582</v>
      </c>
      <c r="R165" s="46">
        <f>IF(ISNUMBER(NORMSINV(SUM(Q$13:Q165)/Q$317)),NORMSINV(SUM(Q$13:Q165)/Q$317)," ")</f>
        <v>1.3739850221201091</v>
      </c>
      <c r="S165" s="46">
        <f t="shared" si="65"/>
        <v>0</v>
      </c>
      <c r="T165" s="46" t="str">
        <f>IF(ISNUMBER(NORMSINV(SUM(S$13:S165)/S$317)),NORMSINV(SUM(S$13:S165)/S$317)," ")</f>
        <v xml:space="preserve"> </v>
      </c>
      <c r="U165" s="46">
        <f t="shared" si="66"/>
        <v>0.28342758413963998</v>
      </c>
      <c r="V165" s="46">
        <f>IF(ISNUMBER(NORMSINV(SUM(U$13:U165)/U$317)),NORMSINV(SUM(U$13:U165)/U$317)," ")</f>
        <v>5.0470084003976484E-2</v>
      </c>
      <c r="W165" s="46">
        <f t="shared" si="67"/>
        <v>2.813794847758001E-2</v>
      </c>
      <c r="X165" s="46">
        <f>IF(ISNUMBER(NORMSINV(SUM(W$13:W165)/W$317)),NORMSINV(SUM(W$13:W165)/W$317)," ")</f>
        <v>1.072420827563894</v>
      </c>
      <c r="Y165" s="46">
        <f t="shared" si="68"/>
        <v>0</v>
      </c>
      <c r="Z165" s="46" t="str">
        <f>IF(ISNUMBER(NORMSINV(SUM(Y$13:Y165)/Y$317)),NORMSINV(SUM(Y$13:Y165)/Y$317)," ")</f>
        <v xml:space="preserve"> </v>
      </c>
      <c r="AA165" s="46">
        <f t="shared" si="69"/>
        <v>0.8420448090963506</v>
      </c>
      <c r="AB165" s="46">
        <f>IF(ISNUMBER(NORMSINV(SUM(AA$13:AA165)/AA$317)),NORMSINV(SUM(AA$13:AA165)/AA$317)," ")</f>
        <v>-0.11676181271881765</v>
      </c>
      <c r="AC165" s="46">
        <f t="shared" si="70"/>
        <v>5.5487524360685839E-2</v>
      </c>
      <c r="AD165" s="46">
        <f>IF(ISNUMBER(NORMSINV(SUM(AC$13:AC165)/AC$317)),NORMSINV(SUM(AC$13:AC165)/AC$317)," ")</f>
        <v>1.2620286121283975</v>
      </c>
      <c r="AE165" s="46">
        <f t="shared" si="71"/>
        <v>0</v>
      </c>
      <c r="AF165" s="46" t="str">
        <f>IF(ISNUMBER(NORMSINV(SUM(AE$13:AE165)/AE$317)),NORMSINV(SUM(AE$13:AE165)/AE$317)," ")</f>
        <v xml:space="preserve"> </v>
      </c>
      <c r="AG165" s="46">
        <f t="shared" si="72"/>
        <v>1.7394024629160052</v>
      </c>
      <c r="AH165" s="46">
        <f>IF(ISNUMBER(NORMSINV(SUM(AG$13:AG165)/AG$317)),NORMSINV(SUM(AG$13:AG165)/AG$317)," ")</f>
        <v>-0.12670091667053238</v>
      </c>
      <c r="AI165" s="46">
        <f t="shared" si="73"/>
        <v>7.6374751773199967E-2</v>
      </c>
      <c r="AJ165" s="46">
        <f>IF(ISNUMBER(NORMSINV(SUM(AI$13:AI165)/AI$317)),NORMSINV(SUM(AI$13:AI165)/AI$317)," ")</f>
        <v>1.5160918297679578</v>
      </c>
      <c r="AK165" s="46">
        <f t="shared" si="74"/>
        <v>0</v>
      </c>
      <c r="AL165" s="46" t="str">
        <f>IF(ISNUMBER(NORMSINV(SUM(AK$13:AK165)/AK$317)),NORMSINV(SUM(AK$13:AK165)/AK$317)," ")</f>
        <v xml:space="preserve"> </v>
      </c>
      <c r="AM165" s="6">
        <v>0.73210755090938517</v>
      </c>
      <c r="AN165" s="6">
        <v>7.2681720835563735E-2</v>
      </c>
      <c r="AO165" s="6">
        <v>0</v>
      </c>
      <c r="AP165" s="6">
        <v>0.78301570869797954</v>
      </c>
      <c r="AQ165" s="6">
        <v>5.1597732973147931E-2</v>
      </c>
      <c r="AR165" s="6">
        <v>0</v>
      </c>
      <c r="AS165" s="6">
        <v>0.80876570869797948</v>
      </c>
      <c r="AT165" s="6">
        <v>3.5511781523484678E-2</v>
      </c>
      <c r="AU165" s="6">
        <v>0</v>
      </c>
    </row>
    <row r="166" spans="1:47" x14ac:dyDescent="0.4">
      <c r="A166" s="6">
        <f t="shared" si="59"/>
        <v>2.3627095643903671</v>
      </c>
      <c r="B166" s="6">
        <f>'Aerosol 1'!A170</f>
        <v>10.619687230488996</v>
      </c>
      <c r="C166" t="b">
        <f t="shared" si="60"/>
        <v>0</v>
      </c>
      <c r="E166" s="46">
        <f>'Aerosol 1'!$P170</f>
        <v>0.72506984870768232</v>
      </c>
      <c r="F166" s="46">
        <f>'Aerosol 2'!$P170</f>
        <v>0.72506984870768232</v>
      </c>
      <c r="G166" s="46">
        <f>'Aerosol 3'!$P170</f>
        <v>0.72506984870768232</v>
      </c>
      <c r="H166" s="46">
        <f t="shared" si="61"/>
        <v>2.175209546123047</v>
      </c>
      <c r="I166" s="46">
        <f>NORMSINV(SUM(H$13:H166)/H$317)</f>
        <v>-0.51496583455363432</v>
      </c>
      <c r="J166" s="46">
        <f t="shared" si="56"/>
        <v>0.39153771830214845</v>
      </c>
      <c r="K166" s="46">
        <f t="shared" si="57"/>
        <v>1.0876047730615235</v>
      </c>
      <c r="L166" s="46">
        <f t="shared" si="58"/>
        <v>2.1751225377412022</v>
      </c>
      <c r="M166" s="46">
        <f t="shared" si="62"/>
        <v>3.6542650291048742</v>
      </c>
      <c r="N166" s="46">
        <f>IF(ISNUMBER(NORMSINV(SUM(M$13:M166)/M$317)),NORMSINV(SUM(M$13:M166)/M$317)," ")</f>
        <v>-0.51496583455363443</v>
      </c>
      <c r="O166" s="46">
        <f t="shared" si="63"/>
        <v>2.8745958661124766</v>
      </c>
      <c r="P166" s="46">
        <f>IF(ISNUMBER(NORMSINV(SUM(O$13:O166)/O$317)),NORMSINV(SUM(O$13:O166)/O$317)," ")</f>
        <v>-7.0580041928657786E-2</v>
      </c>
      <c r="Q166" s="46">
        <f t="shared" si="64"/>
        <v>0.14792867899840589</v>
      </c>
      <c r="R166" s="46">
        <f>IF(ISNUMBER(NORMSINV(SUM(Q$13:Q166)/Q$317)),NORMSINV(SUM(Q$13:Q166)/Q$317)," ")</f>
        <v>1.4243837098612675</v>
      </c>
      <c r="S166" s="46">
        <f t="shared" si="65"/>
        <v>0</v>
      </c>
      <c r="T166" s="46" t="str">
        <f>IF(ISNUMBER(NORMSINV(SUM(S$13:S166)/S$317)),NORMSINV(SUM(S$13:S166)/S$317)," ")</f>
        <v xml:space="preserve"> </v>
      </c>
      <c r="U166" s="46">
        <f t="shared" si="66"/>
        <v>0.28323076622202914</v>
      </c>
      <c r="V166" s="46">
        <f>IF(ISNUMBER(NORMSINV(SUM(U$13:U166)/U$317)),NORMSINV(SUM(U$13:U166)/U$317)," ")</f>
        <v>9.0333769596010402E-2</v>
      </c>
      <c r="W166" s="46">
        <f t="shared" si="67"/>
        <v>2.6436161078240702E-2</v>
      </c>
      <c r="X166" s="46">
        <f>IF(ISNUMBER(NORMSINV(SUM(W$13:W166)/W$317)),NORMSINV(SUM(W$13:W166)/W$317)," ")</f>
        <v>1.1251520393254031</v>
      </c>
      <c r="Y166" s="46">
        <f t="shared" si="68"/>
        <v>0</v>
      </c>
      <c r="Z166" s="46" t="str">
        <f>IF(ISNUMBER(NORMSINV(SUM(Y$13:Y166)/Y$317)),NORMSINV(SUM(Y$13:Y166)/Y$317)," ")</f>
        <v xml:space="preserve"> </v>
      </c>
      <c r="AA166" s="46">
        <f t="shared" si="69"/>
        <v>0.84514110194392222</v>
      </c>
      <c r="AB166" s="46">
        <f>IF(ISNUMBER(NORMSINV(SUM(AA$13:AA166)/AA$317)),NORMSINV(SUM(AA$13:AA166)/AA$317)," ")</f>
        <v>-7.9190772956131597E-2</v>
      </c>
      <c r="AC166" s="46">
        <f t="shared" si="70"/>
        <v>5.1205255655331364E-2</v>
      </c>
      <c r="AD166" s="46">
        <f>IF(ISNUMBER(NORMSINV(SUM(AC$13:AC166)/AC$317)),NORMSINV(SUM(AC$13:AC166)/AC$317)," ")</f>
        <v>1.3152776145394969</v>
      </c>
      <c r="AE166" s="46">
        <f t="shared" si="71"/>
        <v>0</v>
      </c>
      <c r="AF166" s="46" t="str">
        <f>IF(ISNUMBER(NORMSINV(SUM(AE$13:AE166)/AE$317)),NORMSINV(SUM(AE$13:AE166)/AE$317)," ")</f>
        <v xml:space="preserve"> </v>
      </c>
      <c r="AG166" s="46">
        <f t="shared" si="72"/>
        <v>1.7462239979465253</v>
      </c>
      <c r="AH166" s="46">
        <f>IF(ISNUMBER(NORMSINV(SUM(AG$13:AG166)/AG$317)),NORMSINV(SUM(AG$13:AG166)/AG$317)," ")</f>
        <v>-9.03305312755633E-2</v>
      </c>
      <c r="AI166" s="46">
        <f t="shared" si="73"/>
        <v>7.0287262264833825E-2</v>
      </c>
      <c r="AJ166" s="46">
        <f>IF(ISNUMBER(NORMSINV(SUM(AI$13:AI166)/AI$317)),NORMSINV(SUM(AI$13:AI166)/AI$317)," ")</f>
        <v>1.5652081131930109</v>
      </c>
      <c r="AK166" s="46">
        <f t="shared" si="74"/>
        <v>0</v>
      </c>
      <c r="AL166" s="46" t="str">
        <f>IF(ISNUMBER(NORMSINV(SUM(AK$13:AK166)/AK$317)),NORMSINV(SUM(AK$13:AK166)/AK$317)," ")</f>
        <v xml:space="preserve"> </v>
      </c>
      <c r="AM166" s="6">
        <v>0.72338054032245458</v>
      </c>
      <c r="AN166" s="6">
        <v>6.7518810685411407E-2</v>
      </c>
      <c r="AO166" s="6">
        <v>0</v>
      </c>
      <c r="AP166" s="6">
        <v>0.77706637822571822</v>
      </c>
      <c r="AQ166" s="6">
        <v>4.7080756653165946E-2</v>
      </c>
      <c r="AR166" s="6">
        <v>0</v>
      </c>
      <c r="AS166" s="6">
        <v>0.80281637822571827</v>
      </c>
      <c r="AT166" s="6">
        <v>3.231416209673639E-2</v>
      </c>
      <c r="AU166" s="6">
        <v>0</v>
      </c>
    </row>
    <row r="167" spans="1:47" x14ac:dyDescent="0.4">
      <c r="A167" s="6">
        <f t="shared" si="59"/>
        <v>2.3971881418215464</v>
      </c>
      <c r="B167" s="6">
        <f>'Aerosol 1'!A171</f>
        <v>10.992224308795002</v>
      </c>
      <c r="C167" t="b">
        <f t="shared" si="60"/>
        <v>0</v>
      </c>
      <c r="E167" s="46">
        <f>'Aerosol 1'!$P171</f>
        <v>0.73298702548364458</v>
      </c>
      <c r="F167" s="46">
        <f>'Aerosol 2'!$P171</f>
        <v>0.73298702548364458</v>
      </c>
      <c r="G167" s="46">
        <f>'Aerosol 3'!$P171</f>
        <v>0.73298702548364458</v>
      </c>
      <c r="H167" s="46">
        <f t="shared" si="61"/>
        <v>2.1989610764509337</v>
      </c>
      <c r="I167" s="46">
        <f>NORMSINV(SUM(H$13:H167)/H$317)</f>
        <v>-0.49399416231262883</v>
      </c>
      <c r="J167" s="46">
        <f t="shared" si="56"/>
        <v>0.39581299376116807</v>
      </c>
      <c r="K167" s="46">
        <f t="shared" si="57"/>
        <v>1.0994805382254669</v>
      </c>
      <c r="L167" s="46">
        <f t="shared" si="58"/>
        <v>2.1988731180078758</v>
      </c>
      <c r="M167" s="46">
        <f t="shared" si="62"/>
        <v>3.6941666499945107</v>
      </c>
      <c r="N167" s="46">
        <f>IF(ISNUMBER(NORMSINV(SUM(M$13:M167)/M$317)),NORMSINV(SUM(M$13:M167)/M$317)," ")</f>
        <v>-0.49399416231262899</v>
      </c>
      <c r="O167" s="46">
        <f t="shared" si="63"/>
        <v>2.8795262370948262</v>
      </c>
      <c r="P167" s="46">
        <f>IF(ISNUMBER(NORMSINV(SUM(O$13:O167)/O$317)),NORMSINV(SUM(O$13:O167)/O$317)," ")</f>
        <v>-3.3622885573785656E-2</v>
      </c>
      <c r="Q167" s="46">
        <f t="shared" si="64"/>
        <v>0.13654779690664498</v>
      </c>
      <c r="R167" s="46">
        <f>IF(ISNUMBER(NORMSINV(SUM(Q$13:Q167)/Q$317)),NORMSINV(SUM(Q$13:Q167)/Q$317)," ")</f>
        <v>1.4743511180148581</v>
      </c>
      <c r="S167" s="46">
        <f t="shared" si="65"/>
        <v>0</v>
      </c>
      <c r="T167" s="46" t="str">
        <f>IF(ISNUMBER(NORMSINV(SUM(S$13:S167)/S$317)),NORMSINV(SUM(S$13:S167)/S$317)," ")</f>
        <v xml:space="preserve"> </v>
      </c>
      <c r="U167" s="46">
        <f t="shared" si="66"/>
        <v>0.28263103534563871</v>
      </c>
      <c r="V167" s="46">
        <f>IF(ISNUMBER(NORMSINV(SUM(U$13:U167)/U$317)),NORMSINV(SUM(U$13:U167)/U$317)," ")</f>
        <v>0.13025666921031415</v>
      </c>
      <c r="W167" s="46">
        <f t="shared" si="67"/>
        <v>2.4725817670985091E-2</v>
      </c>
      <c r="X167" s="46">
        <f>IF(ISNUMBER(NORMSINV(SUM(W$13:W167)/W$317)),NORMSINV(SUM(W$13:W167)/W$317)," ")</f>
        <v>1.1774733744108357</v>
      </c>
      <c r="Y167" s="46">
        <f t="shared" si="68"/>
        <v>0</v>
      </c>
      <c r="Z167" s="46" t="str">
        <f>IF(ISNUMBER(NORMSINV(SUM(Y$13:Y167)/Y$317)),NORMSINV(SUM(Y$13:Y167)/Y$317)," ")</f>
        <v xml:space="preserve"> </v>
      </c>
      <c r="AA167" s="46">
        <f t="shared" si="69"/>
        <v>0.84694934295624535</v>
      </c>
      <c r="AB167" s="46">
        <f>IF(ISNUMBER(NORMSINV(SUM(AA$13:AA167)/AA$317)),NORMSINV(SUM(AA$13:AA167)/AA$317)," ")</f>
        <v>-4.1651159160344862E-2</v>
      </c>
      <c r="AC167" s="46">
        <f t="shared" si="70"/>
        <v>4.7199290303121415E-2</v>
      </c>
      <c r="AD167" s="46">
        <f>IF(ISNUMBER(NORMSINV(SUM(AC$13:AC167)/AC$317)),NORMSINV(SUM(AC$13:AC167)/AC$317)," ")</f>
        <v>1.3678987318173474</v>
      </c>
      <c r="AE167" s="46">
        <f t="shared" si="71"/>
        <v>0</v>
      </c>
      <c r="AF167" s="46" t="str">
        <f>IF(ISNUMBER(NORMSINV(SUM(AE$13:AE167)/AE$317)),NORMSINV(SUM(AE$13:AE167)/AE$317)," ")</f>
        <v xml:space="preserve"> </v>
      </c>
      <c r="AG167" s="46">
        <f t="shared" si="72"/>
        <v>1.7499458587929422</v>
      </c>
      <c r="AH167" s="46">
        <f>IF(ISNUMBER(NORMSINV(SUM(AG$13:AG167)/AG$317)),NORMSINV(SUM(AG$13:AG167)/AG$317)," ")</f>
        <v>-5.4002111200335788E-2</v>
      </c>
      <c r="AI167" s="46">
        <f t="shared" si="73"/>
        <v>6.4622688932538488E-2</v>
      </c>
      <c r="AJ167" s="46">
        <f>IF(ISNUMBER(NORMSINV(SUM(AI$13:AI167)/AI$317)),NORMSINV(SUM(AI$13:AI167)/AI$317)," ")</f>
        <v>1.6139598043038208</v>
      </c>
      <c r="AK167" s="46">
        <f t="shared" si="74"/>
        <v>0</v>
      </c>
      <c r="AL167" s="46" t="str">
        <f>IF(ISNUMBER(NORMSINV(SUM(AK$13:AK167)/AK$317)),NORMSINV(SUM(AK$13:AK167)/AK$317)," ")</f>
        <v xml:space="preserve"> </v>
      </c>
      <c r="AM167" s="6">
        <v>0.71405193816395307</v>
      </c>
      <c r="AN167" s="6">
        <v>6.2468433479231728E-2</v>
      </c>
      <c r="AO167" s="6">
        <v>0</v>
      </c>
      <c r="AP167" s="6">
        <v>0.77031772142433708</v>
      </c>
      <c r="AQ167" s="6">
        <v>4.292871830118962E-2</v>
      </c>
      <c r="AR167" s="6">
        <v>0</v>
      </c>
      <c r="AS167" s="6">
        <v>0.79583757901335817</v>
      </c>
      <c r="AT167" s="6">
        <v>2.9389003123147475E-2</v>
      </c>
      <c r="AU167" s="6">
        <v>0</v>
      </c>
    </row>
    <row r="168" spans="1:47" x14ac:dyDescent="0.4">
      <c r="A168" s="6">
        <f t="shared" si="59"/>
        <v>2.4316667192527257</v>
      </c>
      <c r="B168" s="6">
        <f>'Aerosol 1'!A172</f>
        <v>11.377829933443346</v>
      </c>
      <c r="C168" t="b">
        <f t="shared" si="60"/>
        <v>0</v>
      </c>
      <c r="E168" s="46">
        <f>'Aerosol 1'!$P172</f>
        <v>0.74066665581441482</v>
      </c>
      <c r="F168" s="46">
        <f>'Aerosol 2'!$P172</f>
        <v>0.74066665581441482</v>
      </c>
      <c r="G168" s="46">
        <f>'Aerosol 3'!$P172</f>
        <v>0.74066665581441482</v>
      </c>
      <c r="H168" s="46">
        <f t="shared" si="61"/>
        <v>2.2219999674432445</v>
      </c>
      <c r="I168" s="46">
        <f>NORMSINV(SUM(H$13:H168)/H$317)</f>
        <v>-0.4730211720677025</v>
      </c>
      <c r="J168" s="46">
        <f t="shared" si="56"/>
        <v>0.399959994139784</v>
      </c>
      <c r="K168" s="46">
        <f t="shared" si="57"/>
        <v>1.1109999837216222</v>
      </c>
      <c r="L168" s="46">
        <f t="shared" si="58"/>
        <v>2.2219110874445467</v>
      </c>
      <c r="M168" s="46">
        <f t="shared" si="62"/>
        <v>3.7328710653059529</v>
      </c>
      <c r="N168" s="46">
        <f>IF(ISNUMBER(NORMSINV(SUM(M$13:M168)/M$317)),NORMSINV(SUM(M$13:M168)/M$317)," ")</f>
        <v>-0.4730211720677025</v>
      </c>
      <c r="O168" s="46">
        <f t="shared" si="63"/>
        <v>2.8794450934890623</v>
      </c>
      <c r="P168" s="46">
        <f>IF(ISNUMBER(NORMSINV(SUM(O$13:O168)/O$317)),NORMSINV(SUM(O$13:O168)/O$317)," ")</f>
        <v>3.2873489815086897E-3</v>
      </c>
      <c r="Q168" s="46">
        <f t="shared" si="64"/>
        <v>0.12552257800627292</v>
      </c>
      <c r="R168" s="46">
        <f>IF(ISNUMBER(NORMSINV(SUM(Q$13:Q168)/Q$317)),NORMSINV(SUM(Q$13:Q168)/Q$317)," ")</f>
        <v>1.5237748862708265</v>
      </c>
      <c r="S168" s="46">
        <f t="shared" si="65"/>
        <v>0</v>
      </c>
      <c r="T168" s="46" t="str">
        <f>IF(ISNUMBER(NORMSINV(SUM(S$13:S168)/S$317)),NORMSINV(SUM(S$13:S168)/S$317)," ")</f>
        <v xml:space="preserve"> </v>
      </c>
      <c r="U168" s="46">
        <f t="shared" si="66"/>
        <v>0.28140428449992055</v>
      </c>
      <c r="V168" s="46">
        <f>IF(ISNUMBER(NORMSINV(SUM(U$13:U168)/U$317)),NORMSINV(SUM(U$13:U168)/U$317)," ")</f>
        <v>0.17021360904845931</v>
      </c>
      <c r="W168" s="46">
        <f t="shared" si="67"/>
        <v>2.3115307235123912E-2</v>
      </c>
      <c r="X168" s="46">
        <f>IF(ISNUMBER(NORMSINV(SUM(W$13:W168)/W$317)),NORMSINV(SUM(W$13:W168)/W$317)," ")</f>
        <v>1.2294845307623525</v>
      </c>
      <c r="Y168" s="46">
        <f t="shared" si="68"/>
        <v>0</v>
      </c>
      <c r="Z168" s="46" t="str">
        <f>IF(ISNUMBER(NORMSINV(SUM(Y$13:Y168)/Y$317)),NORMSINV(SUM(Y$13:Y168)/Y$317)," ")</f>
        <v xml:space="preserve"> </v>
      </c>
      <c r="AA168" s="46">
        <f t="shared" si="69"/>
        <v>0.84713560971913449</v>
      </c>
      <c r="AB168" s="46">
        <f>IF(ISNUMBER(NORMSINV(SUM(AA$13:AA168)/AA$317)),NORMSINV(SUM(AA$13:AA168)/AA$317)," ")</f>
        <v>-4.1619295907841082E-3</v>
      </c>
      <c r="AC168" s="46">
        <f t="shared" si="70"/>
        <v>4.3499200182407174E-2</v>
      </c>
      <c r="AD168" s="46">
        <f>IF(ISNUMBER(NORMSINV(SUM(AC$13:AC168)/AC$317)),NORMSINV(SUM(AC$13:AC168)/AC$317)," ")</f>
        <v>1.4199943536538921</v>
      </c>
      <c r="AE168" s="46">
        <f t="shared" si="71"/>
        <v>0</v>
      </c>
      <c r="AF168" s="46" t="str">
        <f>IF(ISNUMBER(NORMSINV(SUM(AE$13:AE168)/AE$317)),NORMSINV(SUM(AE$13:AE168)/AE$317)," ")</f>
        <v xml:space="preserve"> </v>
      </c>
      <c r="AG168" s="46">
        <f t="shared" si="72"/>
        <v>1.7509051992700073</v>
      </c>
      <c r="AH168" s="46">
        <f>IF(ISNUMBER(NORMSINV(SUM(AG$13:AG168)/AG$317)),NORMSINV(SUM(AG$13:AG168)/AG$317)," ")</f>
        <v>-1.7724978591005639E-2</v>
      </c>
      <c r="AI168" s="46">
        <f t="shared" si="73"/>
        <v>5.8908070588741854E-2</v>
      </c>
      <c r="AJ168" s="46">
        <f>IF(ISNUMBER(NORMSINV(SUM(AI$13:AI168)/AI$317)),NORMSINV(SUM(AI$13:AI168)/AI$317)," ")</f>
        <v>1.6620102095997558</v>
      </c>
      <c r="AK168" s="46">
        <f t="shared" si="74"/>
        <v>0</v>
      </c>
      <c r="AL168" s="46" t="str">
        <f>IF(ISNUMBER(NORMSINV(SUM(AK$13:AK168)/AK$317)),NORMSINV(SUM(AK$13:AK168)/AK$317)," ")</f>
        <v xml:space="preserve"> </v>
      </c>
      <c r="AM168" s="6">
        <v>0.70358107966561068</v>
      </c>
      <c r="AN168" s="6">
        <v>5.779404833935773E-2</v>
      </c>
      <c r="AO168" s="6">
        <v>0</v>
      </c>
      <c r="AP168" s="6">
        <v>0.76249830974920796</v>
      </c>
      <c r="AQ168" s="6">
        <v>3.9153196057387658E-2</v>
      </c>
      <c r="AR168" s="6">
        <v>0</v>
      </c>
      <c r="AS168" s="6">
        <v>0.78801767053773053</v>
      </c>
      <c r="AT168" s="6">
        <v>2.6512343775417634E-2</v>
      </c>
      <c r="AU168" s="6">
        <v>0</v>
      </c>
    </row>
    <row r="169" spans="1:47" x14ac:dyDescent="0.4">
      <c r="A169" s="6">
        <f t="shared" si="59"/>
        <v>2.4661452966839046</v>
      </c>
      <c r="B169" s="6">
        <f>'Aerosol 1'!A173</f>
        <v>11.776962547132609</v>
      </c>
      <c r="C169" t="b">
        <f t="shared" si="60"/>
        <v>0</v>
      </c>
      <c r="E169" s="46">
        <f>'Aerosol 1'!$P173</f>
        <v>0.74809949992012958</v>
      </c>
      <c r="F169" s="46">
        <f>'Aerosol 2'!$P173</f>
        <v>0.74809949992012958</v>
      </c>
      <c r="G169" s="46">
        <f>'Aerosol 3'!$P173</f>
        <v>0.74809949992012958</v>
      </c>
      <c r="H169" s="46">
        <f t="shared" si="61"/>
        <v>2.2442984997603888</v>
      </c>
      <c r="I169" s="46">
        <f>NORMSINV(SUM(H$13:H169)/H$317)</f>
        <v>-0.45204682468460988</v>
      </c>
      <c r="J169" s="46">
        <f t="shared" si="56"/>
        <v>0.40397372995686998</v>
      </c>
      <c r="K169" s="46">
        <f t="shared" si="57"/>
        <v>1.1221492498801944</v>
      </c>
      <c r="L169" s="46">
        <f t="shared" si="58"/>
        <v>2.2442087278203986</v>
      </c>
      <c r="M169" s="46">
        <f t="shared" si="62"/>
        <v>3.7703317076574629</v>
      </c>
      <c r="N169" s="46">
        <f>IF(ISNUMBER(NORMSINV(SUM(M$13:M169)/M$317)),NORMSINV(SUM(M$13:M169)/M$317)," ")</f>
        <v>-0.45204682468460988</v>
      </c>
      <c r="O169" s="46">
        <f t="shared" si="63"/>
        <v>2.8745720787182707</v>
      </c>
      <c r="P169" s="46">
        <f>IF(ISNUMBER(NORMSINV(SUM(O$13:O169)/O$317)),NORMSINV(SUM(O$13:O169)/O$317)," ")</f>
        <v>4.0139559640941812E-2</v>
      </c>
      <c r="Q169" s="46">
        <f t="shared" si="64"/>
        <v>0.11572330453908838</v>
      </c>
      <c r="R169" s="46">
        <f>IF(ISNUMBER(NORMSINV(SUM(Q$13:Q169)/Q$317)),NORMSINV(SUM(Q$13:Q169)/Q$317)," ")</f>
        <v>1.5728920039225232</v>
      </c>
      <c r="S169" s="46">
        <f t="shared" si="65"/>
        <v>0</v>
      </c>
      <c r="T169" s="46" t="str">
        <f>IF(ISNUMBER(NORMSINV(SUM(S$13:S169)/S$317)),NORMSINV(SUM(S$13:S169)/S$317)," ")</f>
        <v xml:space="preserve"> </v>
      </c>
      <c r="U169" s="46">
        <f t="shared" si="66"/>
        <v>0.27940156254115195</v>
      </c>
      <c r="V169" s="46">
        <f>IF(ISNUMBER(NORMSINV(SUM(U$13:U169)/U$317)),NORMSINV(SUM(U$13:U169)/U$317)," ")</f>
        <v>0.21015683126228288</v>
      </c>
      <c r="W169" s="46">
        <f t="shared" si="67"/>
        <v>2.1621806518426573E-2</v>
      </c>
      <c r="X169" s="46">
        <f>IF(ISNUMBER(NORMSINV(SUM(W$13:W169)/W$317)),NORMSINV(SUM(W$13:W169)/W$317)," ")</f>
        <v>1.2813421612937315</v>
      </c>
      <c r="Y169" s="46">
        <f t="shared" si="68"/>
        <v>0</v>
      </c>
      <c r="Z169" s="46" t="str">
        <f>IF(ISNUMBER(NORMSINV(SUM(Y$13:Y169)/Y$317)),NORMSINV(SUM(Y$13:Y169)/Y$317)," ")</f>
        <v xml:space="preserve"> </v>
      </c>
      <c r="AA169" s="46">
        <f t="shared" si="69"/>
        <v>0.84572621702475059</v>
      </c>
      <c r="AB169" s="46">
        <f>IF(ISNUMBER(NORMSINV(SUM(AA$13:AA169)/AA$317)),NORMSINV(SUM(AA$13:AA169)/AA$317)," ")</f>
        <v>3.3259063520896595E-2</v>
      </c>
      <c r="AC169" s="46">
        <f t="shared" si="70"/>
        <v>4.0151802484167193E-2</v>
      </c>
      <c r="AD169" s="46">
        <f>IF(ISNUMBER(NORMSINV(SUM(AC$13:AC169)/AC$317)),NORMSINV(SUM(AC$13:AC169)/AC$317)," ")</f>
        <v>1.4717600413033505</v>
      </c>
      <c r="AE169" s="46">
        <f t="shared" si="71"/>
        <v>0</v>
      </c>
      <c r="AF169" s="46" t="str">
        <f>IF(ISNUMBER(NORMSINV(SUM(AE$13:AE169)/AE$317)),NORMSINV(SUM(AE$13:AE169)/AE$317)," ")</f>
        <v xml:space="preserve"> </v>
      </c>
      <c r="AG169" s="46">
        <f t="shared" si="72"/>
        <v>1.749444299152368</v>
      </c>
      <c r="AH169" s="46">
        <f>IF(ISNUMBER(NORMSINV(SUM(AG$13:AG169)/AG$317)),NORMSINV(SUM(AG$13:AG169)/AG$317)," ")</f>
        <v>1.8498582171290055E-2</v>
      </c>
      <c r="AI169" s="46">
        <f t="shared" si="73"/>
        <v>5.3949695536494618E-2</v>
      </c>
      <c r="AJ169" s="46">
        <f>IF(ISNUMBER(NORMSINV(SUM(AI$13:AI169)/AI$317)),NORMSINV(SUM(AI$13:AI169)/AI$317)," ")</f>
        <v>1.7096578406893417</v>
      </c>
      <c r="AK169" s="46">
        <f t="shared" si="74"/>
        <v>0</v>
      </c>
      <c r="AL169" s="46" t="str">
        <f>IF(ISNUMBER(NORMSINV(SUM(AK$13:AK169)/AK$317)),NORMSINV(SUM(AK$13:AK169)/AK$317)," ")</f>
        <v xml:space="preserve"> </v>
      </c>
      <c r="AM169" s="6">
        <v>0.69163299943038892</v>
      </c>
      <c r="AN169" s="6">
        <v>5.3522803378167713E-2</v>
      </c>
      <c r="AO169" s="6">
        <v>0</v>
      </c>
      <c r="AP169" s="6">
        <v>0.75366642816456375</v>
      </c>
      <c r="AQ169" s="6">
        <v>3.5781160561711357E-2</v>
      </c>
      <c r="AR169" s="6">
        <v>0</v>
      </c>
      <c r="AS169" s="6">
        <v>0.77953724957279191</v>
      </c>
      <c r="AT169" s="6">
        <v>2.4039517745255E-2</v>
      </c>
      <c r="AU169" s="6">
        <v>0</v>
      </c>
    </row>
    <row r="170" spans="1:47" x14ac:dyDescent="0.4">
      <c r="A170" s="6">
        <f t="shared" si="59"/>
        <v>2.5006238741150835</v>
      </c>
      <c r="B170" s="6">
        <f>'Aerosol 1'!A174</f>
        <v>12.190096674664346</v>
      </c>
      <c r="C170" t="b">
        <f t="shared" si="60"/>
        <v>0</v>
      </c>
      <c r="E170" s="46">
        <f>'Aerosol 1'!$P174</f>
        <v>0.75527654863051796</v>
      </c>
      <c r="F170" s="46">
        <f>'Aerosol 2'!$P174</f>
        <v>0.75527654863051796</v>
      </c>
      <c r="G170" s="46">
        <f>'Aerosol 3'!$P174</f>
        <v>0.75527654863051796</v>
      </c>
      <c r="H170" s="46">
        <f t="shared" si="61"/>
        <v>2.2658296458915537</v>
      </c>
      <c r="I170" s="46">
        <f>NORMSINV(SUM(H$13:H170)/H$317)</f>
        <v>-0.4310710796251927</v>
      </c>
      <c r="J170" s="46">
        <f t="shared" si="56"/>
        <v>0.4078493362604797</v>
      </c>
      <c r="K170" s="46">
        <f t="shared" si="57"/>
        <v>1.1329148229457768</v>
      </c>
      <c r="L170" s="46">
        <f t="shared" si="58"/>
        <v>2.2657390127057182</v>
      </c>
      <c r="M170" s="46">
        <f t="shared" si="62"/>
        <v>3.8065031719119746</v>
      </c>
      <c r="N170" s="46">
        <f>IF(ISNUMBER(NORMSINV(SUM(M$13:M170)/M$317)),NORMSINV(SUM(M$13:M170)/M$317)," ")</f>
        <v>-0.4310710796251927</v>
      </c>
      <c r="O170" s="46">
        <f t="shared" si="63"/>
        <v>2.8651831810664961</v>
      </c>
      <c r="P170" s="46">
        <f>IF(ISNUMBER(NORMSINV(SUM(O$13:O170)/O$317)),NORMSINV(SUM(O$13:O170)/O$317)," ")</f>
        <v>7.6925694359287658E-2</v>
      </c>
      <c r="Q170" s="46">
        <f t="shared" si="64"/>
        <v>0.10593375307877614</v>
      </c>
      <c r="R170" s="46">
        <f>IF(ISNUMBER(NORMSINV(SUM(Q$13:Q170)/Q$317)),NORMSINV(SUM(Q$13:Q170)/Q$317)," ")</f>
        <v>1.6214428335240259</v>
      </c>
      <c r="S170" s="46">
        <f t="shared" si="65"/>
        <v>0</v>
      </c>
      <c r="T170" s="46" t="str">
        <f>IF(ISNUMBER(NORMSINV(SUM(S$13:S170)/S$317)),NORMSINV(SUM(S$13:S170)/S$317)," ")</f>
        <v xml:space="preserve"> </v>
      </c>
      <c r="U170" s="46">
        <f t="shared" si="66"/>
        <v>0.27688198772883327</v>
      </c>
      <c r="V170" s="46">
        <f>IF(ISNUMBER(NORMSINV(SUM(U$13:U170)/U$317)),NORMSINV(SUM(U$13:U170)/U$317)," ")</f>
        <v>0.2500733567053805</v>
      </c>
      <c r="W170" s="46">
        <f t="shared" si="67"/>
        <v>2.0086765490128125E-2</v>
      </c>
      <c r="X170" s="46">
        <f>IF(ISNUMBER(NORMSINV(SUM(W$13:W170)/W$317)),NORMSINV(SUM(W$13:W170)/W$317)," ")</f>
        <v>1.3328144055247046</v>
      </c>
      <c r="Y170" s="46">
        <f t="shared" si="68"/>
        <v>0</v>
      </c>
      <c r="Z170" s="46" t="str">
        <f>IF(ISNUMBER(NORMSINV(SUM(Y$13:Y170)/Y$317)),NORMSINV(SUM(Y$13:Y170)/Y$317)," ")</f>
        <v xml:space="preserve"> </v>
      </c>
      <c r="AA170" s="46">
        <f t="shared" si="69"/>
        <v>0.84347118688535938</v>
      </c>
      <c r="AB170" s="46">
        <f>IF(ISNUMBER(NORMSINV(SUM(AA$13:AA170)/AA$317)),NORMSINV(SUM(AA$13:AA170)/AA$317)," ")</f>
        <v>7.0626692929295104E-2</v>
      </c>
      <c r="AC170" s="46">
        <f t="shared" si="70"/>
        <v>3.671579151928115E-2</v>
      </c>
      <c r="AD170" s="46">
        <f>IF(ISNUMBER(NORMSINV(SUM(AC$13:AC170)/AC$317)),NORMSINV(SUM(AC$13:AC170)/AC$317)," ")</f>
        <v>1.5228153122856065</v>
      </c>
      <c r="AE170" s="46">
        <f t="shared" si="71"/>
        <v>0</v>
      </c>
      <c r="AF170" s="46" t="str">
        <f>IF(ISNUMBER(NORMSINV(SUM(AE$13:AE170)/AE$317)),NORMSINV(SUM(AE$13:AE170)/AE$317)," ")</f>
        <v xml:space="preserve"> </v>
      </c>
      <c r="AG170" s="46">
        <f t="shared" si="72"/>
        <v>1.7448300064523037</v>
      </c>
      <c r="AH170" s="46">
        <f>IF(ISNUMBER(NORMSINV(SUM(AG$13:AG170)/AG$317)),NORMSINV(SUM(AG$13:AG170)/AG$317)," ")</f>
        <v>5.465075983759738E-2</v>
      </c>
      <c r="AI170" s="46">
        <f t="shared" si="73"/>
        <v>4.9131196069366861E-2</v>
      </c>
      <c r="AJ170" s="46">
        <f>IF(ISNUMBER(NORMSINV(SUM(AI$13:AI170)/AI$317)),NORMSINV(SUM(AI$13:AI170)/AI$317)," ")</f>
        <v>1.7567076839372413</v>
      </c>
      <c r="AK170" s="46">
        <f t="shared" si="74"/>
        <v>0</v>
      </c>
      <c r="AL170" s="46" t="str">
        <f>IF(ISNUMBER(NORMSINV(SUM(AK$13:AK170)/AK$317)),NORMSINV(SUM(AK$13:AK170)/AK$317)," ")</f>
        <v xml:space="preserve"> </v>
      </c>
      <c r="AM170" s="6">
        <v>0.67888301662454598</v>
      </c>
      <c r="AN170" s="6">
        <v>4.9250455264439566E-2</v>
      </c>
      <c r="AO170" s="6">
        <v>0</v>
      </c>
      <c r="AP170" s="6">
        <v>0.74451421219133374</v>
      </c>
      <c r="AQ170" s="6">
        <v>3.2408254156136525E-2</v>
      </c>
      <c r="AR170" s="6">
        <v>0</v>
      </c>
      <c r="AS170" s="6">
        <v>0.77009311163718219</v>
      </c>
      <c r="AT170" s="6">
        <v>2.1684402216606131E-2</v>
      </c>
      <c r="AU170" s="6">
        <v>0</v>
      </c>
    </row>
    <row r="171" spans="1:47" x14ac:dyDescent="0.4">
      <c r="A171" s="6">
        <f t="shared" si="59"/>
        <v>2.5351024515462623</v>
      </c>
      <c r="B171" s="6">
        <f>'Aerosol 1'!A175</f>
        <v>12.617723487100898</v>
      </c>
      <c r="C171" t="b">
        <f t="shared" si="60"/>
        <v>0</v>
      </c>
      <c r="E171" s="46">
        <f>'Aerosol 1'!$P175</f>
        <v>0.76218904153284583</v>
      </c>
      <c r="F171" s="46">
        <f>'Aerosol 2'!$P175</f>
        <v>0.76218904153284583</v>
      </c>
      <c r="G171" s="46">
        <f>'Aerosol 3'!$P175</f>
        <v>0.76218904153284583</v>
      </c>
      <c r="H171" s="46">
        <f t="shared" si="61"/>
        <v>2.2865671245985375</v>
      </c>
      <c r="I171" s="46">
        <f>NORMSINV(SUM(H$13:H171)/H$317)</f>
        <v>-0.41009389488919645</v>
      </c>
      <c r="J171" s="46">
        <f t="shared" si="56"/>
        <v>0.41158208242773675</v>
      </c>
      <c r="K171" s="46">
        <f t="shared" si="57"/>
        <v>1.1432835622992688</v>
      </c>
      <c r="L171" s="46">
        <f t="shared" si="58"/>
        <v>2.2864756619135536</v>
      </c>
      <c r="M171" s="46">
        <f t="shared" si="62"/>
        <v>3.8413413066405591</v>
      </c>
      <c r="N171" s="46">
        <f>IF(ISNUMBER(NORMSINV(SUM(M$13:M171)/M$317)),NORMSINV(SUM(M$13:M171)/M$317)," ")</f>
        <v>-0.41009389488919634</v>
      </c>
      <c r="O171" s="46">
        <f t="shared" si="63"/>
        <v>2.8528096237347818</v>
      </c>
      <c r="P171" s="46">
        <f>IF(ISNUMBER(NORMSINV(SUM(O$13:O171)/O$317)),NORMSINV(SUM(O$13:O171)/O$317)," ")</f>
        <v>0.11365664491720856</v>
      </c>
      <c r="Q171" s="46">
        <f t="shared" si="64"/>
        <v>9.7194224205260749E-2</v>
      </c>
      <c r="R171" s="46">
        <f>IF(ISNUMBER(NORMSINV(SUM(Q$13:Q171)/Q$317)),NORMSINV(SUM(Q$13:Q171)/Q$317)," ")</f>
        <v>1.6696212822360681</v>
      </c>
      <c r="S171" s="46">
        <f t="shared" si="65"/>
        <v>0</v>
      </c>
      <c r="T171" s="46" t="str">
        <f>IF(ISNUMBER(NORMSINV(SUM(S$13:S171)/S$317)),NORMSINV(SUM(S$13:S171)/S$317)," ")</f>
        <v xml:space="preserve"> </v>
      </c>
      <c r="U171" s="46">
        <f t="shared" si="66"/>
        <v>0.27382462969224308</v>
      </c>
      <c r="V171" s="46">
        <f>IF(ISNUMBER(NORMSINV(SUM(U$13:U171)/U$317)),NORMSINV(SUM(U$13:U171)/U$317)," ")</f>
        <v>0.289944841853647</v>
      </c>
      <c r="W171" s="46">
        <f t="shared" si="67"/>
        <v>1.8535013610483164E-2</v>
      </c>
      <c r="X171" s="46">
        <f>IF(ISNUMBER(NORMSINV(SUM(W$13:W171)/W$317)),NORMSINV(SUM(W$13:W171)/W$317)," ")</f>
        <v>1.3836607464486936</v>
      </c>
      <c r="Y171" s="46">
        <f t="shared" si="68"/>
        <v>0</v>
      </c>
      <c r="Z171" s="46" t="str">
        <f>IF(ISNUMBER(NORMSINV(SUM(Y$13:Y171)/Y$317)),NORMSINV(SUM(Y$13:Y171)/Y$317)," ")</f>
        <v xml:space="preserve"> </v>
      </c>
      <c r="AA171" s="46">
        <f t="shared" si="69"/>
        <v>0.83982395138230037</v>
      </c>
      <c r="AB171" s="46">
        <f>IF(ISNUMBER(NORMSINV(SUM(AA$13:AA171)/AA$317)),NORMSINV(SUM(AA$13:AA171)/AA$317)," ")</f>
        <v>0.10793093958091249</v>
      </c>
      <c r="AC171" s="46">
        <f t="shared" si="70"/>
        <v>3.3259593861495983E-2</v>
      </c>
      <c r="AD171" s="46">
        <f>IF(ISNUMBER(NORMSINV(SUM(AC$13:AC171)/AC$317)),NORMSINV(SUM(AC$13:AC171)/AC$317)," ")</f>
        <v>1.5727603583225525</v>
      </c>
      <c r="AE171" s="46">
        <f t="shared" si="71"/>
        <v>0</v>
      </c>
      <c r="AF171" s="46" t="str">
        <f>IF(ISNUMBER(NORMSINV(SUM(AE$13:AE171)/AE$317)),NORMSINV(SUM(AE$13:AE171)/AE$317)," ")</f>
        <v xml:space="preserve"> </v>
      </c>
      <c r="AG171" s="46">
        <f t="shared" si="72"/>
        <v>1.7391610426602382</v>
      </c>
      <c r="AH171" s="46">
        <f>IF(ISNUMBER(NORMSINV(SUM(AG$13:AG171)/AG$317)),NORMSINV(SUM(AG$13:AG171)/AG$317)," ")</f>
        <v>9.075667110563708E-2</v>
      </c>
      <c r="AI171" s="46">
        <f t="shared" si="73"/>
        <v>4.5399616733281606E-2</v>
      </c>
      <c r="AJ171" s="46">
        <f>IF(ISNUMBER(NORMSINV(SUM(AI$13:AI171)/AI$317)),NORMSINV(SUM(AI$13:AI171)/AI$317)," ")</f>
        <v>1.8039369003380505</v>
      </c>
      <c r="AK171" s="46">
        <f t="shared" si="74"/>
        <v>0</v>
      </c>
      <c r="AL171" s="46" t="str">
        <f>IF(ISNUMBER(NORMSINV(SUM(AK$13:AK171)/AK$317)),NORMSINV(SUM(AK$13:AK171)/AK$317)," ")</f>
        <v xml:space="preserve"> </v>
      </c>
      <c r="AM171" s="6">
        <v>0.66529774104128958</v>
      </c>
      <c r="AN171" s="6">
        <v>4.5033577509384012E-2</v>
      </c>
      <c r="AO171" s="6">
        <v>0</v>
      </c>
      <c r="AP171" s="6">
        <v>0.73457187619607001</v>
      </c>
      <c r="AQ171" s="6">
        <v>2.9091290173548272E-2</v>
      </c>
      <c r="AR171" s="6">
        <v>0</v>
      </c>
      <c r="AS171" s="6">
        <v>0.76062958886023424</v>
      </c>
      <c r="AT171" s="6">
        <v>1.9855718339589334E-2</v>
      </c>
      <c r="AU171" s="6">
        <v>0</v>
      </c>
    </row>
    <row r="172" spans="1:47" x14ac:dyDescent="0.4">
      <c r="A172" s="6">
        <f t="shared" si="59"/>
        <v>2.5695810289774412</v>
      </c>
      <c r="B172" s="6">
        <f>'Aerosol 1'!A176</f>
        <v>13.060351385713798</v>
      </c>
      <c r="C172" t="b">
        <f t="shared" si="60"/>
        <v>0</v>
      </c>
      <c r="E172" s="46">
        <f>'Aerosol 1'!$P176</f>
        <v>0.76882848475167687</v>
      </c>
      <c r="F172" s="46">
        <f>'Aerosol 2'!$P176</f>
        <v>0.76882848475167687</v>
      </c>
      <c r="G172" s="46">
        <f>'Aerosol 3'!$P176</f>
        <v>0.76882848475167687</v>
      </c>
      <c r="H172" s="46">
        <f t="shared" si="61"/>
        <v>2.3064854542550304</v>
      </c>
      <c r="I172" s="46">
        <f>NORMSINV(SUM(H$13:H172)/H$317)</f>
        <v>-0.38911522695337303</v>
      </c>
      <c r="J172" s="46">
        <f t="shared" si="56"/>
        <v>0.41516738176590551</v>
      </c>
      <c r="K172" s="46">
        <f t="shared" si="57"/>
        <v>1.1532427271275152</v>
      </c>
      <c r="L172" s="46">
        <f t="shared" si="58"/>
        <v>2.3063931948368603</v>
      </c>
      <c r="M172" s="46">
        <f t="shared" si="62"/>
        <v>3.8748033037302809</v>
      </c>
      <c r="N172" s="46">
        <f>IF(ISNUMBER(NORMSINV(SUM(M$13:M172)/M$317)),NORMSINV(SUM(M$13:M172)/M$317)," ")</f>
        <v>-0.38911522695337281</v>
      </c>
      <c r="O172" s="46">
        <f t="shared" si="63"/>
        <v>2.8370424584869118</v>
      </c>
      <c r="P172" s="46">
        <f>IF(ISNUMBER(NORMSINV(SUM(O$13:O172)/O$317)),NORMSINV(SUM(O$13:O172)/O$317)," ")</f>
        <v>0.15033725547990101</v>
      </c>
      <c r="Q172" s="46">
        <f t="shared" si="64"/>
        <v>8.8609290434792626E-2</v>
      </c>
      <c r="R172" s="46">
        <f>IF(ISNUMBER(NORMSINV(SUM(Q$13:Q172)/Q$317)),NORMSINV(SUM(Q$13:Q172)/Q$317)," ")</f>
        <v>1.7171986420389354</v>
      </c>
      <c r="S172" s="46">
        <f t="shared" si="65"/>
        <v>0</v>
      </c>
      <c r="T172" s="46" t="str">
        <f>IF(ISNUMBER(NORMSINV(SUM(S$13:S172)/S$317)),NORMSINV(SUM(S$13:S172)/S$317)," ")</f>
        <v xml:space="preserve"> </v>
      </c>
      <c r="U172" s="46">
        <f t="shared" si="66"/>
        <v>0.27005333853201985</v>
      </c>
      <c r="V172" s="46">
        <f>IF(ISNUMBER(NORMSINV(SUM(U$13:U172)/U$317)),NORMSINV(SUM(U$13:U172)/U$317)," ")</f>
        <v>0.32972377369092148</v>
      </c>
      <c r="W172" s="46">
        <f t="shared" si="67"/>
        <v>1.7297249122744791E-2</v>
      </c>
      <c r="X172" s="46">
        <f>IF(ISNUMBER(NORMSINV(SUM(W$13:W172)/W$317)),NORMSINV(SUM(W$13:W172)/W$317)," ")</f>
        <v>1.4345717076933406</v>
      </c>
      <c r="Y172" s="46">
        <f t="shared" si="68"/>
        <v>0</v>
      </c>
      <c r="Z172" s="46" t="str">
        <f>IF(ISNUMBER(NORMSINV(SUM(Y$13:Y172)/Y$317)),NORMSINV(SUM(Y$13:Y172)/Y$317)," ")</f>
        <v xml:space="preserve"> </v>
      </c>
      <c r="AA172" s="46">
        <f t="shared" si="69"/>
        <v>0.83496124837946228</v>
      </c>
      <c r="AB172" s="46">
        <f>IF(ISNUMBER(NORMSINV(SUM(AA$13:AA172)/AA$317)),NORMSINV(SUM(AA$13:AA172)/AA$317)," ")</f>
        <v>0.14516863623083023</v>
      </c>
      <c r="AC172" s="46">
        <f t="shared" si="70"/>
        <v>3.0699049041852652E-2</v>
      </c>
      <c r="AD172" s="46">
        <f>IF(ISNUMBER(NORMSINV(SUM(AC$13:AC172)/AC$317)),NORMSINV(SUM(AC$13:AC172)/AC$317)," ")</f>
        <v>1.6226235013633379</v>
      </c>
      <c r="AE172" s="46">
        <f t="shared" si="71"/>
        <v>0</v>
      </c>
      <c r="AF172" s="46" t="str">
        <f>IF(ISNUMBER(NORMSINV(SUM(AE$13:AE172)/AE$317)),NORMSINV(SUM(AE$13:AE172)/AE$317)," ")</f>
        <v xml:space="preserve"> </v>
      </c>
      <c r="AG172" s="46">
        <f t="shared" si="72"/>
        <v>1.7320278715754296</v>
      </c>
      <c r="AH172" s="46">
        <f>IF(ISNUMBER(NORMSINV(SUM(AG$13:AG172)/AG$317)),NORMSINV(SUM(AG$13:AG172)/AG$317)," ")</f>
        <v>0.12683244045249331</v>
      </c>
      <c r="AI172" s="46">
        <f t="shared" si="73"/>
        <v>4.0612992270195186E-2</v>
      </c>
      <c r="AJ172" s="46">
        <f>IF(ISNUMBER(NORMSINV(SUM(AI$13:AI172)/AI$317)),NORMSINV(SUM(AI$13:AI172)/AI$317)," ")</f>
        <v>1.8498902087535822</v>
      </c>
      <c r="AK172" s="46">
        <f t="shared" si="74"/>
        <v>0</v>
      </c>
      <c r="AL172" s="46" t="str">
        <f>IF(ISNUMBER(NORMSINV(SUM(AK$13:AK172)/AK$317)),NORMSINV(SUM(AK$13:AK172)/AK$317)," ")</f>
        <v xml:space="preserve"> </v>
      </c>
      <c r="AM172" s="6">
        <v>0.65046858301669508</v>
      </c>
      <c r="AN172" s="6">
        <v>4.1663314321976147E-2</v>
      </c>
      <c r="AO172" s="6">
        <v>0</v>
      </c>
      <c r="AP172" s="6">
        <v>0.72401171820885868</v>
      </c>
      <c r="AQ172" s="6">
        <v>2.6619763836115855E-2</v>
      </c>
      <c r="AR172" s="6">
        <v>0</v>
      </c>
      <c r="AS172" s="6">
        <v>0.75096816772299846</v>
      </c>
      <c r="AT172" s="6">
        <v>1.7608876214650768E-2</v>
      </c>
      <c r="AU172" s="6">
        <v>0</v>
      </c>
    </row>
    <row r="173" spans="1:47" x14ac:dyDescent="0.4">
      <c r="A173" s="6">
        <f t="shared" si="59"/>
        <v>2.6040596064086201</v>
      </c>
      <c r="B173" s="6">
        <f>'Aerosol 1'!A177</f>
        <v>13.518506606416992</v>
      </c>
      <c r="C173" t="b">
        <f t="shared" si="60"/>
        <v>0</v>
      </c>
      <c r="E173" s="46">
        <f>'Aerosol 1'!$P177</f>
        <v>0.77518666830984073</v>
      </c>
      <c r="F173" s="46">
        <f>'Aerosol 2'!$P177</f>
        <v>0.77518666830984073</v>
      </c>
      <c r="G173" s="46">
        <f>'Aerosol 3'!$P177</f>
        <v>0.77518666830984073</v>
      </c>
      <c r="H173" s="46">
        <f t="shared" si="61"/>
        <v>2.325560004929522</v>
      </c>
      <c r="I173" s="46">
        <f>NORMSINV(SUM(H$13:H173)/H$317)</f>
        <v>-0.36813503070773057</v>
      </c>
      <c r="J173" s="46">
        <f t="shared" si="56"/>
        <v>0.418600800887314</v>
      </c>
      <c r="K173" s="46">
        <f t="shared" si="57"/>
        <v>1.162780002464761</v>
      </c>
      <c r="L173" s="46">
        <f t="shared" si="58"/>
        <v>2.325466982529325</v>
      </c>
      <c r="M173" s="46">
        <f t="shared" si="62"/>
        <v>3.9068477858813999</v>
      </c>
      <c r="N173" s="46">
        <f>IF(ISNUMBER(NORMSINV(SUM(M$13:M173)/M$317)),NORMSINV(SUM(M$13:M173)/M$317)," ")</f>
        <v>-0.36813503070773052</v>
      </c>
      <c r="O173" s="46">
        <f t="shared" si="63"/>
        <v>2.8149945722840419</v>
      </c>
      <c r="P173" s="46">
        <f>IF(ISNUMBER(NORMSINV(SUM(O$13:O173)/O$317)),NORMSINV(SUM(O$13:O173)/O$317)," ")</f>
        <v>0.18693377015439794</v>
      </c>
      <c r="Q173" s="46">
        <f t="shared" si="64"/>
        <v>8.0844839789129375E-2</v>
      </c>
      <c r="R173" s="46">
        <f>IF(ISNUMBER(NORMSINV(SUM(Q$13:Q173)/Q$317)),NORMSINV(SUM(Q$13:Q173)/Q$317)," ")</f>
        <v>1.7642815518453003</v>
      </c>
      <c r="S173" s="46">
        <f t="shared" si="65"/>
        <v>0</v>
      </c>
      <c r="T173" s="46" t="str">
        <f>IF(ISNUMBER(NORMSINV(SUM(S$13:S173)/S$317)),NORMSINV(SUM(S$13:S173)/S$317)," ")</f>
        <v xml:space="preserve"> </v>
      </c>
      <c r="U173" s="46">
        <f t="shared" si="66"/>
        <v>0.2659137767884473</v>
      </c>
      <c r="V173" s="46">
        <f>IF(ISNUMBER(NORMSINV(SUM(U$13:U173)/U$317)),NORMSINV(SUM(U$13:U173)/U$317)," ")</f>
        <v>0.36940934915448626</v>
      </c>
      <c r="W173" s="46">
        <f t="shared" si="67"/>
        <v>1.603250082768715E-2</v>
      </c>
      <c r="X173" s="46">
        <f>IF(ISNUMBER(NORMSINV(SUM(W$13:W173)/W$317)),NORMSINV(SUM(W$13:W173)/W$317)," ")</f>
        <v>1.4853290880478021</v>
      </c>
      <c r="Y173" s="46">
        <f t="shared" si="68"/>
        <v>0</v>
      </c>
      <c r="Z173" s="46" t="str">
        <f>IF(ISNUMBER(NORMSINV(SUM(Y$13:Y173)/Y$317)),NORMSINV(SUM(Y$13:Y173)/Y$317)," ")</f>
        <v xml:space="preserve"> </v>
      </c>
      <c r="AA173" s="46">
        <f t="shared" si="69"/>
        <v>0.82862113680807759</v>
      </c>
      <c r="AB173" s="46">
        <f>IF(ISNUMBER(NORMSINV(SUM(AA$13:AA173)/AA$317)),NORMSINV(SUM(AA$13:AA173)/AA$317)," ")</f>
        <v>0.18232360164098207</v>
      </c>
      <c r="AC173" s="46">
        <f t="shared" si="70"/>
        <v>2.8085196639297608E-2</v>
      </c>
      <c r="AD173" s="46">
        <f>IF(ISNUMBER(NORMSINV(SUM(AC$13:AC173)/AC$317)),NORMSINV(SUM(AC$13:AC173)/AC$317)," ")</f>
        <v>1.6720676290202963</v>
      </c>
      <c r="AE173" s="46">
        <f t="shared" si="71"/>
        <v>0</v>
      </c>
      <c r="AF173" s="46" t="str">
        <f>IF(ISNUMBER(NORMSINV(SUM(AE$13:AE173)/AE$317)),NORMSINV(SUM(AE$13:AE173)/AE$317)," ")</f>
        <v xml:space="preserve"> </v>
      </c>
      <c r="AG173" s="46">
        <f t="shared" si="72"/>
        <v>1.7204596586875172</v>
      </c>
      <c r="AH173" s="46">
        <f>IF(ISNUMBER(NORMSINV(SUM(AG$13:AG173)/AG$317)),NORMSINV(SUM(AG$13:AG173)/AG$317)," ")</f>
        <v>0.16283137415478594</v>
      </c>
      <c r="AI173" s="46">
        <f t="shared" si="73"/>
        <v>3.6727142322144628E-2</v>
      </c>
      <c r="AJ173" s="46">
        <f>IF(ISNUMBER(NORMSINV(SUM(AI$13:AI173)/AI$317)),NORMSINV(SUM(AI$13:AI173)/AI$317)," ")</f>
        <v>1.8951021152807965</v>
      </c>
      <c r="AK173" s="46">
        <f t="shared" si="74"/>
        <v>0</v>
      </c>
      <c r="AL173" s="46" t="str">
        <f>IF(ISNUMBER(NORMSINV(SUM(AK$13:AK173)/AK$317)),NORMSINV(SUM(AK$13:AK173)/AK$317)," ")</f>
        <v xml:space="preserve"> </v>
      </c>
      <c r="AM173" s="6">
        <v>0.63524430967352696</v>
      </c>
      <c r="AN173" s="6">
        <v>3.8300215369160381E-2</v>
      </c>
      <c r="AO173" s="6">
        <v>0</v>
      </c>
      <c r="AP173" s="6">
        <v>0.71262073225514522</v>
      </c>
      <c r="AQ173" s="6">
        <v>2.4153491270717611E-2</v>
      </c>
      <c r="AR173" s="6">
        <v>0</v>
      </c>
      <c r="AS173" s="6">
        <v>0.73983405123053447</v>
      </c>
      <c r="AT173" s="6">
        <v>1.5793448196885541E-2</v>
      </c>
      <c r="AU173" s="6">
        <v>0</v>
      </c>
    </row>
    <row r="174" spans="1:47" x14ac:dyDescent="0.4">
      <c r="A174" s="6">
        <f t="shared" si="59"/>
        <v>2.638538183839799</v>
      </c>
      <c r="B174" s="6">
        <f>'Aerosol 1'!A178</f>
        <v>13.992733845403491</v>
      </c>
      <c r="C174" t="b">
        <f t="shared" si="60"/>
        <v>0</v>
      </c>
      <c r="E174" s="46">
        <f>'Aerosol 1'!$P178</f>
        <v>0.78125568302105375</v>
      </c>
      <c r="F174" s="46">
        <f>'Aerosol 2'!$P178</f>
        <v>0.78125568302105375</v>
      </c>
      <c r="G174" s="46">
        <f>'Aerosol 3'!$P178</f>
        <v>0.78125568302105375</v>
      </c>
      <c r="H174" s="46">
        <f t="shared" si="61"/>
        <v>2.3437670490631612</v>
      </c>
      <c r="I174" s="46">
        <f>NORMSINV(SUM(H$13:H174)/H$317)</f>
        <v>-0.34715325938878383</v>
      </c>
      <c r="J174" s="46">
        <f t="shared" si="56"/>
        <v>0.42187806883136902</v>
      </c>
      <c r="K174" s="46">
        <f t="shared" si="57"/>
        <v>1.1718835245315806</v>
      </c>
      <c r="L174" s="46">
        <f t="shared" si="58"/>
        <v>2.3436732983811988</v>
      </c>
      <c r="M174" s="46">
        <f t="shared" si="62"/>
        <v>3.9374348917441484</v>
      </c>
      <c r="N174" s="46">
        <f>IF(ISNUMBER(NORMSINV(SUM(M$13:M174)/M$317)),NORMSINV(SUM(M$13:M174)/M$317)," ")</f>
        <v>-0.34715325938878366</v>
      </c>
      <c r="O174" s="46">
        <f t="shared" si="63"/>
        <v>2.7897713949084539</v>
      </c>
      <c r="P174" s="46">
        <f>IF(ISNUMBER(NORMSINV(SUM(O$13:O174)/O$317)),NORMSINV(SUM(O$13:O174)/O$317)," ")</f>
        <v>0.22345100461018783</v>
      </c>
      <c r="Q174" s="46">
        <f t="shared" si="64"/>
        <v>7.4719954701228761E-2</v>
      </c>
      <c r="R174" s="46">
        <f>IF(ISNUMBER(NORMSINV(SUM(Q$13:Q174)/Q$317)),NORMSINV(SUM(Q$13:Q174)/Q$317)," ")</f>
        <v>1.8115746183179804</v>
      </c>
      <c r="S174" s="46">
        <f t="shared" si="65"/>
        <v>0</v>
      </c>
      <c r="T174" s="46" t="str">
        <f>IF(ISNUMBER(NORMSINV(SUM(S$13:S174)/S$317)),NORMSINV(SUM(S$13:S174)/S$317)," ")</f>
        <v xml:space="preserve"> </v>
      </c>
      <c r="U174" s="46">
        <f t="shared" si="66"/>
        <v>0.26108562410753322</v>
      </c>
      <c r="V174" s="46">
        <f>IF(ISNUMBER(NORMSINV(SUM(U$13:U174)/U$317)),NORMSINV(SUM(U$13:U174)/U$317)," ")</f>
        <v>0.4089485854716926</v>
      </c>
      <c r="W174" s="46">
        <f t="shared" si="67"/>
        <v>1.4738520622941847E-2</v>
      </c>
      <c r="X174" s="46">
        <f>IF(ISNUMBER(NORMSINV(SUM(W$13:W174)/W$317)),NORMSINV(SUM(W$13:W174)/W$317)," ")</f>
        <v>1.5356254722214944</v>
      </c>
      <c r="Y174" s="46">
        <f t="shared" si="68"/>
        <v>0</v>
      </c>
      <c r="Z174" s="46" t="str">
        <f>IF(ISNUMBER(NORMSINV(SUM(Y$13:Y174)/Y$317)),NORMSINV(SUM(Y$13:Y174)/Y$317)," ")</f>
        <v xml:space="preserve"> </v>
      </c>
      <c r="AA174" s="46">
        <f t="shared" si="69"/>
        <v>0.82104245030639778</v>
      </c>
      <c r="AB174" s="46">
        <f>IF(ISNUMBER(NORMSINV(SUM(AA$13:AA174)/AA$317)),NORMSINV(SUM(AA$13:AA174)/AA$317)," ")</f>
        <v>0.21938860959288101</v>
      </c>
      <c r="AC174" s="46">
        <f t="shared" si="70"/>
        <v>2.5413503850242505E-2</v>
      </c>
      <c r="AD174" s="46">
        <f>IF(ISNUMBER(NORMSINV(SUM(AC$13:AC174)/AC$317)),NORMSINV(SUM(AC$13:AC174)/AC$317)," ")</f>
        <v>1.7206273873821376</v>
      </c>
      <c r="AE174" s="46">
        <f t="shared" si="71"/>
        <v>0</v>
      </c>
      <c r="AF174" s="46" t="str">
        <f>IF(ISNUMBER(NORMSINV(SUM(AE$13:AE174)/AE$317)),NORMSINV(SUM(AE$13:AE174)/AE$317)," ")</f>
        <v xml:space="preserve"> </v>
      </c>
      <c r="AG174" s="46">
        <f t="shared" si="72"/>
        <v>1.7076433204945229</v>
      </c>
      <c r="AH174" s="46">
        <f>IF(ISNUMBER(NORMSINV(SUM(AG$13:AG174)/AG$317)),NORMSINV(SUM(AG$13:AG174)/AG$317)," ")</f>
        <v>0.19877198027185711</v>
      </c>
      <c r="AI174" s="46">
        <f t="shared" si="73"/>
        <v>3.4567930228044406E-2</v>
      </c>
      <c r="AJ174" s="46">
        <f>IF(ISNUMBER(NORMSINV(SUM(AI$13:AI174)/AI$317)),NORMSINV(SUM(AI$13:AI174)/AI$317)," ")</f>
        <v>1.9415149776238383</v>
      </c>
      <c r="AK174" s="46">
        <f t="shared" si="74"/>
        <v>0</v>
      </c>
      <c r="AL174" s="46" t="str">
        <f>IF(ISNUMBER(NORMSINV(SUM(AK$13:AK174)/AK$317)),NORMSINV(SUM(AK$13:AK174)/AK$317)," ")</f>
        <v xml:space="preserve"> </v>
      </c>
      <c r="AM174" s="6">
        <v>0.61886512572402297</v>
      </c>
      <c r="AN174" s="6">
        <v>3.4935498457572239E-2</v>
      </c>
      <c r="AO174" s="6">
        <v>0</v>
      </c>
      <c r="AP174" s="6">
        <v>0.70061779444726024</v>
      </c>
      <c r="AQ174" s="6">
        <v>2.1686032202219638E-2</v>
      </c>
      <c r="AR174" s="6">
        <v>0</v>
      </c>
      <c r="AS174" s="6">
        <v>0.72861832819190764</v>
      </c>
      <c r="AT174" s="6">
        <v>1.4749466255352596E-2</v>
      </c>
      <c r="AU174" s="6">
        <v>0</v>
      </c>
    </row>
    <row r="175" spans="1:47" x14ac:dyDescent="0.4">
      <c r="A175" s="6">
        <f t="shared" si="59"/>
        <v>2.6730167612709779</v>
      </c>
      <c r="B175" s="6">
        <f>'Aerosol 1'!A179</f>
        <v>14.48359690672927</v>
      </c>
      <c r="C175" t="b">
        <f t="shared" si="60"/>
        <v>0</v>
      </c>
      <c r="E175" s="46">
        <f>'Aerosol 1'!$P179</f>
        <v>0.78702793686581951</v>
      </c>
      <c r="F175" s="46">
        <f>'Aerosol 2'!$P179</f>
        <v>0.78702793686581951</v>
      </c>
      <c r="G175" s="46">
        <f>'Aerosol 3'!$P179</f>
        <v>0.78702793686581951</v>
      </c>
      <c r="H175" s="46">
        <f t="shared" si="61"/>
        <v>2.3610838105974583</v>
      </c>
      <c r="I175" s="46">
        <f>NORMSINV(SUM(H$13:H175)/H$317)</f>
        <v>-0.32616986450964119</v>
      </c>
      <c r="J175" s="46">
        <f t="shared" si="56"/>
        <v>0.42499508590754259</v>
      </c>
      <c r="K175" s="46">
        <f t="shared" si="57"/>
        <v>1.1805419052987292</v>
      </c>
      <c r="L175" s="46">
        <f t="shared" si="58"/>
        <v>2.3609893672450348</v>
      </c>
      <c r="M175" s="46">
        <f t="shared" si="62"/>
        <v>3.9665263584513069</v>
      </c>
      <c r="N175" s="46">
        <f>IF(ISNUMBER(NORMSINV(SUM(M$13:M175)/M$317)),NORMSINV(SUM(M$13:M175)/M$317)," ")</f>
        <v>-0.32616986450964103</v>
      </c>
      <c r="O175" s="46">
        <f t="shared" si="63"/>
        <v>2.7606137791561332</v>
      </c>
      <c r="P175" s="46">
        <f>IF(ISNUMBER(NORMSINV(SUM(O$13:O175)/O$317)),NORMSINV(SUM(O$13:O175)/O$317)," ")</f>
        <v>0.25988222010606687</v>
      </c>
      <c r="Q175" s="46">
        <f t="shared" si="64"/>
        <v>6.8494014339687243E-2</v>
      </c>
      <c r="R175" s="46">
        <f>IF(ISNUMBER(NORMSINV(SUM(Q$13:Q175)/Q$317)),NORMSINV(SUM(Q$13:Q175)/Q$317)," ")</f>
        <v>1.8588014241673858</v>
      </c>
      <c r="S175" s="46">
        <f t="shared" si="65"/>
        <v>0</v>
      </c>
      <c r="T175" s="46" t="str">
        <f>IF(ISNUMBER(NORMSINV(SUM(S$13:S175)/S$317)),NORMSINV(SUM(S$13:S175)/S$317)," ")</f>
        <v xml:space="preserve"> </v>
      </c>
      <c r="U175" s="46">
        <f t="shared" si="66"/>
        <v>0.2559567953709998</v>
      </c>
      <c r="V175" s="46">
        <f>IF(ISNUMBER(NORMSINV(SUM(U$13:U175)/U$317)),NORMSINV(SUM(U$13:U175)/U$317)," ")</f>
        <v>0.44834163673395511</v>
      </c>
      <c r="W175" s="46">
        <f t="shared" si="67"/>
        <v>1.3485642298317051E-2</v>
      </c>
      <c r="X175" s="46">
        <f>IF(ISNUMBER(NORMSINV(SUM(W$13:W175)/W$317)),NORMSINV(SUM(W$13:W175)/W$317)," ")</f>
        <v>1.5853176033417125</v>
      </c>
      <c r="Y175" s="46">
        <f t="shared" si="68"/>
        <v>0</v>
      </c>
      <c r="Z175" s="46" t="str">
        <f>IF(ISNUMBER(NORMSINV(SUM(Y$13:Y175)/Y$317)),NORMSINV(SUM(Y$13:Y175)/Y$317)," ")</f>
        <v xml:space="preserve"> </v>
      </c>
      <c r="AA175" s="46">
        <f t="shared" si="69"/>
        <v>0.81203699900380766</v>
      </c>
      <c r="AB175" s="46">
        <f>IF(ISNUMBER(NORMSINV(SUM(AA$13:AA175)/AA$317)),NORMSINV(SUM(AA$13:AA175)/AA$317)," ")</f>
        <v>0.25634586605884729</v>
      </c>
      <c r="AC175" s="46">
        <f t="shared" si="70"/>
        <v>2.3452226368857465E-2</v>
      </c>
      <c r="AD175" s="46">
        <f>IF(ISNUMBER(NORMSINV(SUM(AC$13:AC175)/AC$317)),NORMSINV(SUM(AC$13:AC175)/AC$317)," ")</f>
        <v>1.7693507231975134</v>
      </c>
      <c r="AE175" s="46">
        <f t="shared" si="71"/>
        <v>0</v>
      </c>
      <c r="AF175" s="46" t="str">
        <f>IF(ISNUMBER(NORMSINV(SUM(AE$13:AE175)/AE$317)),NORMSINV(SUM(AE$13:AE175)/AE$317)," ")</f>
        <v xml:space="preserve"> </v>
      </c>
      <c r="AG175" s="46">
        <f t="shared" si="72"/>
        <v>1.6926199847813257</v>
      </c>
      <c r="AH175" s="46">
        <f>IF(ISNUMBER(NORMSINV(SUM(AG$13:AG175)/AG$317)),NORMSINV(SUM(AG$13:AG175)/AG$317)," ")</f>
        <v>0.23465153199870753</v>
      </c>
      <c r="AI175" s="46">
        <f t="shared" si="73"/>
        <v>3.1556145672512734E-2</v>
      </c>
      <c r="AJ175" s="46">
        <f>IF(ISNUMBER(NORMSINV(SUM(AI$13:AI175)/AI$317)),NORMSINV(SUM(AI$13:AI175)/AI$317)," ")</f>
        <v>1.9878762081714427</v>
      </c>
      <c r="AK175" s="46">
        <f t="shared" si="74"/>
        <v>0</v>
      </c>
      <c r="AL175" s="46" t="str">
        <f>IF(ISNUMBER(NORMSINV(SUM(AK$13:AK175)/AK$317)),NORMSINV(SUM(AK$13:AK175)/AK$317)," ")</f>
        <v xml:space="preserve"> </v>
      </c>
      <c r="AM175" s="6">
        <v>0.6022582468793134</v>
      </c>
      <c r="AN175" s="6">
        <v>3.1731289950140372E-2</v>
      </c>
      <c r="AO175" s="6">
        <v>0</v>
      </c>
      <c r="AP175" s="6">
        <v>0.68785105836486715</v>
      </c>
      <c r="AQ175" s="6">
        <v>1.9865644975070172E-2</v>
      </c>
      <c r="AR175" s="6">
        <v>0</v>
      </c>
      <c r="AS175" s="6">
        <v>0.71691131195410307</v>
      </c>
      <c r="AT175" s="6">
        <v>1.3365644975070184E-2</v>
      </c>
      <c r="AU175" s="6">
        <v>0</v>
      </c>
    </row>
    <row r="176" spans="1:47" x14ac:dyDescent="0.4">
      <c r="A176" s="6">
        <f t="shared" si="59"/>
        <v>2.7074953387021568</v>
      </c>
      <c r="B176" s="6">
        <f>'Aerosol 1'!A180</f>
        <v>14.991679372614316</v>
      </c>
      <c r="C176" t="b">
        <f t="shared" si="60"/>
        <v>0</v>
      </c>
      <c r="E176" s="46">
        <f>'Aerosol 1'!$P180</f>
        <v>0.79249617080289769</v>
      </c>
      <c r="F176" s="46">
        <f>'Aerosol 2'!$P180</f>
        <v>0.79249617080289769</v>
      </c>
      <c r="G176" s="46">
        <f>'Aerosol 3'!$P180</f>
        <v>0.79249617080289769</v>
      </c>
      <c r="H176" s="46">
        <f t="shared" si="61"/>
        <v>2.3774885124086929</v>
      </c>
      <c r="I176" s="46">
        <f>NORMSINV(SUM(H$13:H176)/H$317)</f>
        <v>-0.30518479578677554</v>
      </c>
      <c r="J176" s="46">
        <f t="shared" si="56"/>
        <v>0.42794793223356481</v>
      </c>
      <c r="K176" s="46">
        <f t="shared" si="57"/>
        <v>1.1887442562043464</v>
      </c>
      <c r="L176" s="46">
        <f t="shared" si="58"/>
        <v>2.3773934128681966</v>
      </c>
      <c r="M176" s="46">
        <f t="shared" si="62"/>
        <v>3.9940856013061081</v>
      </c>
      <c r="N176" s="46">
        <f>IF(ISNUMBER(NORMSINV(SUM(M$13:M176)/M$317)),NORMSINV(SUM(M$13:M176)/M$317)," ")</f>
        <v>-0.30518479578677538</v>
      </c>
      <c r="O176" s="46">
        <f t="shared" si="63"/>
        <v>2.7291347366661185</v>
      </c>
      <c r="P176" s="46">
        <f>IF(ISNUMBER(NORMSINV(SUM(O$13:O176)/O$317)),NORMSINV(SUM(O$13:O176)/O$317)," ")</f>
        <v>0.29624020847575189</v>
      </c>
      <c r="Q176" s="46">
        <f t="shared" si="64"/>
        <v>6.1974554423685782E-2</v>
      </c>
      <c r="R176" s="46">
        <f>IF(ISNUMBER(NORMSINV(SUM(Q$13:Q176)/Q$317)),NORMSINV(SUM(Q$13:Q176)/Q$317)," ")</f>
        <v>1.9054269579381147</v>
      </c>
      <c r="S176" s="46">
        <f t="shared" si="65"/>
        <v>0</v>
      </c>
      <c r="T176" s="46" t="str">
        <f>IF(ISNUMBER(NORMSINV(SUM(S$13:S176)/S$317)),NORMSINV(SUM(S$13:S176)/S$317)," ")</f>
        <v xml:space="preserve"> </v>
      </c>
      <c r="U176" s="46">
        <f t="shared" si="66"/>
        <v>0.25068343324077808</v>
      </c>
      <c r="V176" s="46">
        <f>IF(ISNUMBER(NORMSINV(SUM(U$13:U176)/U$317)),NORMSINV(SUM(U$13:U176)/U$317)," ")</f>
        <v>0.48760929746464643</v>
      </c>
      <c r="W176" s="46">
        <f t="shared" si="67"/>
        <v>1.2351061677665949E-2</v>
      </c>
      <c r="X176" s="46">
        <f>IF(ISNUMBER(NORMSINV(SUM(W$13:W176)/W$317)),NORMSINV(SUM(W$13:W176)/W$317)," ")</f>
        <v>1.6345400466045517</v>
      </c>
      <c r="Y176" s="46">
        <f t="shared" si="68"/>
        <v>0</v>
      </c>
      <c r="Z176" s="46" t="str">
        <f>IF(ISNUMBER(NORMSINV(SUM(Y$13:Y176)/Y$317)),NORMSINV(SUM(Y$13:Y176)/Y$317)," ")</f>
        <v xml:space="preserve"> </v>
      </c>
      <c r="AA176" s="46">
        <f t="shared" si="69"/>
        <v>0.80236121394178295</v>
      </c>
      <c r="AB176" s="46">
        <f>IF(ISNUMBER(NORMSINV(SUM(AA$13:AA176)/AA$317)),NORMSINV(SUM(AA$13:AA176)/AA$317)," ")</f>
        <v>0.29320983741828843</v>
      </c>
      <c r="AC176" s="46">
        <f t="shared" si="70"/>
        <v>2.1584530162567419E-2</v>
      </c>
      <c r="AD176" s="46">
        <f>IF(ISNUMBER(NORMSINV(SUM(AC$13:AC176)/AC$317)),NORMSINV(SUM(AC$13:AC176)/AC$317)," ")</f>
        <v>1.8182374629885845</v>
      </c>
      <c r="AE176" s="46">
        <f t="shared" si="71"/>
        <v>0</v>
      </c>
      <c r="AF176" s="46" t="str">
        <f>IF(ISNUMBER(NORMSINV(SUM(AE$13:AE176)/AE$317)),NORMSINV(SUM(AE$13:AE176)/AE$317)," ")</f>
        <v xml:space="preserve"> </v>
      </c>
      <c r="AG176" s="46">
        <f t="shared" si="72"/>
        <v>1.6760900894835578</v>
      </c>
      <c r="AH176" s="46">
        <f>IF(ISNUMBER(NORMSINV(SUM(AG$13:AG176)/AG$317)),NORMSINV(SUM(AG$13:AG176)/AG$317)," ")</f>
        <v>0.27048081362100157</v>
      </c>
      <c r="AI176" s="46">
        <f t="shared" si="73"/>
        <v>2.8038962583452415E-2</v>
      </c>
      <c r="AJ176" s="46">
        <f>IF(ISNUMBER(NORMSINV(SUM(AI$13:AI176)/AI$317)),NORMSINV(SUM(AI$13:AI176)/AI$317)," ")</f>
        <v>2.032990315667913</v>
      </c>
      <c r="AK176" s="46">
        <f t="shared" si="74"/>
        <v>0</v>
      </c>
      <c r="AL176" s="46" t="str">
        <f>IF(ISNUMBER(NORMSINV(SUM(AK$13:AK176)/AK$317)),NORMSINV(SUM(AK$13:AK176)/AK$317)," ")</f>
        <v xml:space="preserve"> </v>
      </c>
      <c r="AM176" s="6">
        <v>0.58578021847751427</v>
      </c>
      <c r="AN176" s="6">
        <v>2.8861131804522905E-2</v>
      </c>
      <c r="AO176" s="6">
        <v>0</v>
      </c>
      <c r="AP176" s="6">
        <v>0.67496537607148377</v>
      </c>
      <c r="AQ176" s="6">
        <v>1.8157421203015271E-2</v>
      </c>
      <c r="AR176" s="6">
        <v>0</v>
      </c>
      <c r="AS176" s="6">
        <v>0.70501166546997607</v>
      </c>
      <c r="AT176" s="6">
        <v>1.179399355263836E-2</v>
      </c>
      <c r="AU176" s="6">
        <v>0</v>
      </c>
    </row>
    <row r="177" spans="1:47" x14ac:dyDescent="0.4">
      <c r="A177" s="6">
        <f t="shared" si="59"/>
        <v>2.7419739161333356</v>
      </c>
      <c r="B177" s="6">
        <f>'Aerosol 1'!A181</f>
        <v>15.517585297257723</v>
      </c>
      <c r="C177" t="b">
        <f t="shared" si="60"/>
        <v>0</v>
      </c>
      <c r="E177" s="46">
        <f>'Aerosol 1'!$P181</f>
        <v>0.79765347397063868</v>
      </c>
      <c r="F177" s="46">
        <f>'Aerosol 2'!$P181</f>
        <v>0.79765347397063868</v>
      </c>
      <c r="G177" s="46">
        <f>'Aerosol 3'!$P181</f>
        <v>0.79765347397063868</v>
      </c>
      <c r="H177" s="46">
        <f t="shared" si="61"/>
        <v>2.392960421911916</v>
      </c>
      <c r="I177" s="46">
        <f>NORMSINV(SUM(H$13:H177)/H$317)</f>
        <v>-0.28419800106329024</v>
      </c>
      <c r="J177" s="46">
        <f t="shared" si="56"/>
        <v>0.43073287594414494</v>
      </c>
      <c r="K177" s="46">
        <f t="shared" si="57"/>
        <v>1.196480210955958</v>
      </c>
      <c r="L177" s="46">
        <f t="shared" si="58"/>
        <v>2.3928647034950394</v>
      </c>
      <c r="M177" s="46">
        <f t="shared" si="62"/>
        <v>4.0200777903951419</v>
      </c>
      <c r="N177" s="46">
        <f>IF(ISNUMBER(NORMSINV(SUM(M$13:M177)/M$317)),NORMSINV(SUM(M$13:M177)/M$317)," ")</f>
        <v>-0.28419800106329024</v>
      </c>
      <c r="O177" s="46">
        <f t="shared" si="63"/>
        <v>2.6944469118977867</v>
      </c>
      <c r="P177" s="46">
        <f>IF(ISNUMBER(NORMSINV(SUM(O$13:O177)/O$317)),NORMSINV(SUM(O$13:O177)/O$317)," ")</f>
        <v>0.33252432135303894</v>
      </c>
      <c r="Q177" s="46">
        <f t="shared" si="64"/>
        <v>5.6283645907493837E-2</v>
      </c>
      <c r="R177" s="46">
        <f>IF(ISNUMBER(NORMSINV(SUM(Q$13:Q177)/Q$317)),NORMSINV(SUM(Q$13:Q177)/Q$317)," ")</f>
        <v>1.9516882968892562</v>
      </c>
      <c r="S177" s="46">
        <f t="shared" si="65"/>
        <v>0</v>
      </c>
      <c r="T177" s="46" t="str">
        <f>IF(ISNUMBER(NORMSINV(SUM(S$13:S177)/S$317)),NORMSINV(SUM(S$13:S177)/S$317)," ")</f>
        <v xml:space="preserve"> </v>
      </c>
      <c r="U177" s="46">
        <f t="shared" si="66"/>
        <v>0.2448689313672083</v>
      </c>
      <c r="V177" s="46">
        <f>IF(ISNUMBER(NORMSINV(SUM(U$13:U177)/U$317)),NORMSINV(SUM(U$13:U177)/U$317)," ")</f>
        <v>0.52670585756235844</v>
      </c>
      <c r="W177" s="46">
        <f t="shared" si="67"/>
        <v>1.1318334960119667E-2</v>
      </c>
      <c r="X177" s="46">
        <f>IF(ISNUMBER(NORMSINV(SUM(W$13:W177)/W$317)),NORMSINV(SUM(W$13:W177)/W$317)," ")</f>
        <v>1.6834109607143233</v>
      </c>
      <c r="Y177" s="46">
        <f t="shared" si="68"/>
        <v>0</v>
      </c>
      <c r="Z177" s="46" t="str">
        <f>IF(ISNUMBER(NORMSINV(SUM(Y$13:Y177)/Y$317)),NORMSINV(SUM(Y$13:Y177)/Y$317)," ")</f>
        <v xml:space="preserve"> </v>
      </c>
      <c r="AA177" s="46">
        <f t="shared" si="69"/>
        <v>0.79133277248515976</v>
      </c>
      <c r="AB177" s="46">
        <f>IF(ISNUMBER(NORMSINV(SUM(AA$13:AA177)/AA$317)),NORMSINV(SUM(AA$13:AA177)/AA$317)," ")</f>
        <v>0.32996152774579335</v>
      </c>
      <c r="AC177" s="46">
        <f t="shared" si="70"/>
        <v>1.9708037705048302E-2</v>
      </c>
      <c r="AD177" s="46">
        <f>IF(ISNUMBER(NORMSINV(SUM(AC$13:AC177)/AC$317)),NORMSINV(SUM(AC$13:AC177)/AC$317)," ")</f>
        <v>1.867017882258345</v>
      </c>
      <c r="AE177" s="46">
        <f t="shared" si="71"/>
        <v>0</v>
      </c>
      <c r="AF177" s="46" t="str">
        <f>IF(ISNUMBER(NORMSINV(SUM(AE$13:AE177)/AE$317)),NORMSINV(SUM(AE$13:AE177)/AE$317)," ")</f>
        <v xml:space="preserve"> </v>
      </c>
      <c r="AG177" s="46">
        <f t="shared" si="72"/>
        <v>1.6582452080454189</v>
      </c>
      <c r="AH177" s="46">
        <f>IF(ISNUMBER(NORMSINV(SUM(AG$13:AG177)/AG$317)),NORMSINV(SUM(AG$13:AG177)/AG$317)," ")</f>
        <v>0.30627360098783413</v>
      </c>
      <c r="AI177" s="46">
        <f t="shared" si="73"/>
        <v>2.5257273242325871E-2</v>
      </c>
      <c r="AJ177" s="46">
        <f>IF(ISNUMBER(NORMSINV(SUM(AI$13:AI177)/AI$317)),NORMSINV(SUM(AI$13:AI177)/AI$317)," ")</f>
        <v>2.0775044063298709</v>
      </c>
      <c r="AK177" s="46">
        <f t="shared" si="74"/>
        <v>0</v>
      </c>
      <c r="AL177" s="46" t="str">
        <f>IF(ISNUMBER(NORMSINV(SUM(AK$13:AK177)/AK$317)),NORMSINV(SUM(AK$13:AK177)/AK$317)," ")</f>
        <v xml:space="preserve"> </v>
      </c>
      <c r="AM177" s="6">
        <v>0.56849371163152529</v>
      </c>
      <c r="AN177" s="6">
        <v>2.6276923801812069E-2</v>
      </c>
      <c r="AO177" s="6">
        <v>0</v>
      </c>
      <c r="AP177" s="6">
        <v>0.66138392030145199</v>
      </c>
      <c r="AQ177" s="6">
        <v>1.647167878297132E-2</v>
      </c>
      <c r="AR177" s="6">
        <v>0</v>
      </c>
      <c r="AS177" s="6">
        <v>0.69299580775435032</v>
      </c>
      <c r="AT177" s="6">
        <v>1.0555245018840753E-2</v>
      </c>
      <c r="AU177" s="6">
        <v>0</v>
      </c>
    </row>
    <row r="178" spans="1:47" x14ac:dyDescent="0.4">
      <c r="A178" s="6">
        <f t="shared" si="59"/>
        <v>2.7764524935645145</v>
      </c>
      <c r="B178" s="6">
        <f>'Aerosol 1'!A182</f>
        <v>16.061939924991741</v>
      </c>
      <c r="C178" t="b">
        <f t="shared" si="60"/>
        <v>0</v>
      </c>
      <c r="E178" s="46">
        <f>'Aerosol 1'!$P182</f>
        <v>0.80249329823325888</v>
      </c>
      <c r="F178" s="46">
        <f>'Aerosol 2'!$P182</f>
        <v>0.80249329823325888</v>
      </c>
      <c r="G178" s="46">
        <f>'Aerosol 3'!$P182</f>
        <v>0.80249329823325888</v>
      </c>
      <c r="H178" s="46">
        <f t="shared" si="61"/>
        <v>2.4074798946997769</v>
      </c>
      <c r="I178" s="46">
        <f>NORMSINV(SUM(H$13:H178)/H$317)</f>
        <v>-0.26320942622850818</v>
      </c>
      <c r="J178" s="46">
        <f t="shared" si="56"/>
        <v>0.43334638104595985</v>
      </c>
      <c r="K178" s="46">
        <f t="shared" si="57"/>
        <v>1.2037399473498884</v>
      </c>
      <c r="L178" s="46">
        <f t="shared" si="58"/>
        <v>2.4073835955039886</v>
      </c>
      <c r="M178" s="46">
        <f t="shared" si="62"/>
        <v>4.0444699238998369</v>
      </c>
      <c r="N178" s="46">
        <f>IF(ISNUMBER(NORMSINV(SUM(M$13:M178)/M$317)),NORMSINV(SUM(M$13:M178)/M$317)," ")</f>
        <v>-0.26320942622850807</v>
      </c>
      <c r="O178" s="46">
        <f t="shared" si="63"/>
        <v>2.6561139500995417</v>
      </c>
      <c r="P178" s="46">
        <f>IF(ISNUMBER(NORMSINV(SUM(O$13:O178)/O$317)),NORMSINV(SUM(O$13:O178)/O$317)," ")</f>
        <v>0.36872581888409445</v>
      </c>
      <c r="Q178" s="46">
        <f t="shared" si="64"/>
        <v>5.1496916473031951E-2</v>
      </c>
      <c r="R178" s="46">
        <f>IF(ISNUMBER(NORMSINV(SUM(Q$13:Q178)/Q$317)),NORMSINV(SUM(Q$13:Q178)/Q$317)," ")</f>
        <v>1.9980170087327995</v>
      </c>
      <c r="S178" s="46">
        <f t="shared" si="65"/>
        <v>0</v>
      </c>
      <c r="T178" s="46" t="str">
        <f>IF(ISNUMBER(NORMSINV(SUM(S$13:S178)/S$317)),NORMSINV(SUM(S$13:S178)/S$317)," ")</f>
        <v xml:space="preserve"> </v>
      </c>
      <c r="U178" s="46">
        <f t="shared" si="66"/>
        <v>0.23850468398046804</v>
      </c>
      <c r="V178" s="46">
        <f>IF(ISNUMBER(NORMSINV(SUM(U$13:U178)/U$317)),NORMSINV(SUM(U$13:U178)/U$317)," ")</f>
        <v>0.56557605322062099</v>
      </c>
      <c r="W178" s="46">
        <f t="shared" si="67"/>
        <v>1.0315904737995955E-2</v>
      </c>
      <c r="X178" s="46">
        <f>IF(ISNUMBER(NORMSINV(SUM(W$13:W178)/W$317)),NORMSINV(SUM(W$13:W178)/W$317)," ")</f>
        <v>1.7317504701161288</v>
      </c>
      <c r="Y178" s="46">
        <f t="shared" si="68"/>
        <v>0</v>
      </c>
      <c r="Z178" s="46" t="str">
        <f>IF(ISNUMBER(NORMSINV(SUM(Y$13:Y178)/Y$317)),NORMSINV(SUM(Y$13:Y178)/Y$317)," ")</f>
        <v xml:space="preserve"> </v>
      </c>
      <c r="AA178" s="46">
        <f t="shared" si="69"/>
        <v>0.77913362126035146</v>
      </c>
      <c r="AB178" s="46">
        <f>IF(ISNUMBER(NORMSINV(SUM(AA$13:AA178)/AA$317)),NORMSINV(SUM(AA$13:AA178)/AA$317)," ")</f>
        <v>0.36658726550122739</v>
      </c>
      <c r="AC178" s="46">
        <f t="shared" si="70"/>
        <v>1.7934250156084672E-2</v>
      </c>
      <c r="AD178" s="46">
        <f>IF(ISNUMBER(NORMSINV(SUM(AC$13:AC178)/AC$317)),NORMSINV(SUM(AC$13:AC178)/AC$317)," ")</f>
        <v>1.9156320567679401</v>
      </c>
      <c r="AE178" s="46">
        <f t="shared" si="71"/>
        <v>0</v>
      </c>
      <c r="AF178" s="46" t="str">
        <f>IF(ISNUMBER(NORMSINV(SUM(AE$13:AE178)/AE$317)),NORMSINV(SUM(AE$13:AE178)/AE$317)," ")</f>
        <v xml:space="preserve"> </v>
      </c>
      <c r="AG178" s="46">
        <f t="shared" si="72"/>
        <v>1.6384756448587223</v>
      </c>
      <c r="AH178" s="46">
        <f>IF(ISNUMBER(NORMSINV(SUM(AG$13:AG178)/AG$317)),NORMSINV(SUM(AG$13:AG178)/AG$317)," ")</f>
        <v>0.34202923614437319</v>
      </c>
      <c r="AI178" s="46">
        <f t="shared" si="73"/>
        <v>2.3246761578951326E-2</v>
      </c>
      <c r="AJ178" s="46">
        <f>IF(ISNUMBER(NORMSINV(SUM(AI$13:AI178)/AI$317)),NORMSINV(SUM(AI$13:AI178)/AI$317)," ")</f>
        <v>2.1224648606689427</v>
      </c>
      <c r="AK178" s="46">
        <f t="shared" si="74"/>
        <v>0</v>
      </c>
      <c r="AL178" s="46" t="str">
        <f>IF(ISNUMBER(NORMSINV(SUM(AK$13:AK178)/AK$317)),NORMSINV(SUM(AK$13:AK178)/AK$317)," ")</f>
        <v xml:space="preserve"> </v>
      </c>
      <c r="AM178" s="6">
        <v>0.55037885260468511</v>
      </c>
      <c r="AN178" s="6">
        <v>2.3805217233144195E-2</v>
      </c>
      <c r="AO178" s="6">
        <v>0</v>
      </c>
      <c r="AP178" s="6">
        <v>0.64726075011107231</v>
      </c>
      <c r="AQ178" s="6">
        <v>1.4898774602909944E-2</v>
      </c>
      <c r="AR178" s="6">
        <v>0</v>
      </c>
      <c r="AS178" s="6">
        <v>0.68060430748083811</v>
      </c>
      <c r="AT178" s="6">
        <v>9.6564426302342514E-3</v>
      </c>
      <c r="AU178" s="6">
        <v>0</v>
      </c>
    </row>
    <row r="179" spans="1:47" x14ac:dyDescent="0.4">
      <c r="A179" s="6">
        <f t="shared" si="59"/>
        <v>2.8109310709956934</v>
      </c>
      <c r="B179" s="6">
        <f>'Aerosol 1'!A183</f>
        <v>16.62539043362856</v>
      </c>
      <c r="C179" t="b">
        <f t="shared" si="60"/>
        <v>0</v>
      </c>
      <c r="E179" s="46">
        <f>'Aerosol 1'!$P183</f>
        <v>0.80700947202965723</v>
      </c>
      <c r="F179" s="46">
        <f>'Aerosol 2'!$P183</f>
        <v>0.80700947202965723</v>
      </c>
      <c r="G179" s="46">
        <f>'Aerosol 3'!$P183</f>
        <v>0.80700947202965723</v>
      </c>
      <c r="H179" s="46">
        <f t="shared" si="61"/>
        <v>2.4210284160889719</v>
      </c>
      <c r="I179" s="46">
        <f>NORMSINV(SUM(H$13:H179)/H$317)</f>
        <v>-0.24221901513367711</v>
      </c>
      <c r="J179" s="46">
        <f t="shared" si="56"/>
        <v>0.43578511489601496</v>
      </c>
      <c r="K179" s="46">
        <f t="shared" si="57"/>
        <v>1.210514208044486</v>
      </c>
      <c r="L179" s="46">
        <f t="shared" si="58"/>
        <v>2.4209315749523284</v>
      </c>
      <c r="M179" s="46">
        <f t="shared" si="62"/>
        <v>4.0672308978928289</v>
      </c>
      <c r="N179" s="46">
        <f>IF(ISNUMBER(NORMSINV(SUM(M$13:M179)/M$317)),NORMSINV(SUM(M$13:M179)/M$317)," ")</f>
        <v>-0.242219015133677</v>
      </c>
      <c r="O179" s="46">
        <f t="shared" si="63"/>
        <v>2.6151916081382618</v>
      </c>
      <c r="P179" s="46">
        <f>IF(ISNUMBER(NORMSINV(SUM(O$13:O179)/O$317)),NORMSINV(SUM(O$13:O179)/O$317)," ")</f>
        <v>0.40484792853695317</v>
      </c>
      <c r="Q179" s="46">
        <f t="shared" si="64"/>
        <v>4.6880195295335186E-2</v>
      </c>
      <c r="R179" s="46">
        <f>IF(ISNUMBER(NORMSINV(SUM(Q$13:Q179)/Q$317)),NORMSINV(SUM(Q$13:Q179)/Q$317)," ")</f>
        <v>2.0442788522713262</v>
      </c>
      <c r="S179" s="46">
        <f t="shared" si="65"/>
        <v>0</v>
      </c>
      <c r="T179" s="46" t="str">
        <f>IF(ISNUMBER(NORMSINV(SUM(S$13:S179)/S$317)),NORMSINV(SUM(S$13:S179)/S$317)," ")</f>
        <v xml:space="preserve"> </v>
      </c>
      <c r="U179" s="46">
        <f t="shared" si="66"/>
        <v>0.23203644184025055</v>
      </c>
      <c r="V179" s="46">
        <f>IF(ISNUMBER(NORMSINV(SUM(U$13:U179)/U$317)),NORMSINV(SUM(U$13:U179)/U$317)," ")</f>
        <v>0.60423007678558804</v>
      </c>
      <c r="W179" s="46">
        <f t="shared" si="67"/>
        <v>9.4021614142511273E-3</v>
      </c>
      <c r="X179" s="46">
        <f>IF(ISNUMBER(NORMSINV(SUM(W$13:W179)/W$317)),NORMSINV(SUM(W$13:W179)/W$317)," ")</f>
        <v>1.7796354799368612</v>
      </c>
      <c r="Y179" s="46">
        <f t="shared" si="68"/>
        <v>0</v>
      </c>
      <c r="Z179" s="46" t="str">
        <f>IF(ISNUMBER(NORMSINV(SUM(Y$13:Y179)/Y$317)),NORMSINV(SUM(Y$13:Y179)/Y$317)," ")</f>
        <v xml:space="preserve"> </v>
      </c>
      <c r="AA179" s="46">
        <f t="shared" si="69"/>
        <v>0.76677240123981871</v>
      </c>
      <c r="AB179" s="46">
        <f>IF(ISNUMBER(NORMSINV(SUM(AA$13:AA179)/AA$317)),NORMSINV(SUM(AA$13:AA179)/AA$317)," ")</f>
        <v>0.40311841291453138</v>
      </c>
      <c r="AC179" s="46">
        <f t="shared" si="70"/>
        <v>1.6130372823219444E-2</v>
      </c>
      <c r="AD179" s="46">
        <f>IF(ISNUMBER(NORMSINV(SUM(AC$13:AC179)/AC$317)),NORMSINV(SUM(AC$13:AC179)/AC$317)," ")</f>
        <v>1.9635931109960469</v>
      </c>
      <c r="AE179" s="46">
        <f t="shared" si="71"/>
        <v>0</v>
      </c>
      <c r="AF179" s="46" t="str">
        <f>IF(ISNUMBER(NORMSINV(SUM(AE$13:AE179)/AE$317)),NORMSINV(SUM(AE$13:AE179)/AE$317)," ")</f>
        <v xml:space="preserve"> </v>
      </c>
      <c r="AG179" s="46">
        <f t="shared" si="72"/>
        <v>1.6163827650581923</v>
      </c>
      <c r="AH179" s="46">
        <f>IF(ISNUMBER(NORMSINV(SUM(AG$13:AG179)/AG$317)),NORMSINV(SUM(AG$13:AG179)/AG$317)," ")</f>
        <v>0.37773641208328179</v>
      </c>
      <c r="AI179" s="46">
        <f t="shared" si="73"/>
        <v>2.1347661057864613E-2</v>
      </c>
      <c r="AJ179" s="46">
        <f>IF(ISNUMBER(NORMSINV(SUM(AI$13:AI179)/AI$317)),NORMSINV(SUM(AI$13:AI179)/AI$317)," ")</f>
        <v>2.1679089439422818</v>
      </c>
      <c r="AK179" s="46">
        <f t="shared" si="74"/>
        <v>0</v>
      </c>
      <c r="AL179" s="46" t="str">
        <f>IF(ISNUMBER(NORMSINV(SUM(AK$13:AK179)/AK$317)),NORMSINV(SUM(AK$13:AK179)/AK$317)," ")</f>
        <v xml:space="preserve"> </v>
      </c>
      <c r="AM179" s="6">
        <v>0.5324560979913644</v>
      </c>
      <c r="AN179" s="6">
        <v>2.1575223872652528E-2</v>
      </c>
      <c r="AO179" s="6">
        <v>0</v>
      </c>
      <c r="AP179" s="6">
        <v>0.63342701485387287</v>
      </c>
      <c r="AQ179" s="6">
        <v>1.3325223872652522E-2</v>
      </c>
      <c r="AR179" s="6">
        <v>0</v>
      </c>
      <c r="AS179" s="6">
        <v>0.66766974406949986</v>
      </c>
      <c r="AT179" s="6">
        <v>8.8179530882796543E-3</v>
      </c>
      <c r="AU179" s="6">
        <v>0</v>
      </c>
    </row>
    <row r="180" spans="1:47" x14ac:dyDescent="0.4">
      <c r="A180" s="6">
        <f t="shared" si="59"/>
        <v>2.8454096484268723</v>
      </c>
      <c r="B180" s="6">
        <f>'Aerosol 1'!A184</f>
        <v>17.208606703883571</v>
      </c>
      <c r="C180" t="b">
        <f t="shared" si="60"/>
        <v>0</v>
      </c>
      <c r="E180" s="46">
        <f>'Aerosol 1'!$P184</f>
        <v>0.81119621348344495</v>
      </c>
      <c r="F180" s="46">
        <f>'Aerosol 2'!$P184</f>
        <v>0.81119621348344495</v>
      </c>
      <c r="G180" s="46">
        <f>'Aerosol 3'!$P184</f>
        <v>0.81119621348344495</v>
      </c>
      <c r="H180" s="46">
        <f t="shared" si="61"/>
        <v>2.4335886404503349</v>
      </c>
      <c r="I180" s="46">
        <f>NORMSINV(SUM(H$13:H180)/H$317)</f>
        <v>-0.22122670950359252</v>
      </c>
      <c r="J180" s="46">
        <f t="shared" si="56"/>
        <v>0.43804595528106033</v>
      </c>
      <c r="K180" s="46">
        <f t="shared" si="57"/>
        <v>1.2167943202251674</v>
      </c>
      <c r="L180" s="46">
        <f t="shared" si="58"/>
        <v>2.4334912969047169</v>
      </c>
      <c r="M180" s="46">
        <f t="shared" si="62"/>
        <v>4.0883315724109446</v>
      </c>
      <c r="N180" s="46">
        <f>IF(ISNUMBER(NORMSINV(SUM(M$13:M180)/M$317)),NORMSINV(SUM(M$13:M180)/M$317)," ")</f>
        <v>-0.22122670950359252</v>
      </c>
      <c r="O180" s="46">
        <f t="shared" si="63"/>
        <v>2.5717038786795454</v>
      </c>
      <c r="P180" s="46">
        <f>IF(ISNUMBER(NORMSINV(SUM(O$13:O180)/O$317)),NORMSINV(SUM(O$13:O180)/O$317)," ")</f>
        <v>0.44089198967129245</v>
      </c>
      <c r="Q180" s="46">
        <f t="shared" si="64"/>
        <v>4.2903912951473736E-2</v>
      </c>
      <c r="R180" s="46">
        <f>IF(ISNUMBER(NORMSINV(SUM(Q$13:Q180)/Q$317)),NORMSINV(SUM(Q$13:Q180)/Q$317)," ")</f>
        <v>2.0908292261105292</v>
      </c>
      <c r="S180" s="46">
        <f t="shared" si="65"/>
        <v>0</v>
      </c>
      <c r="T180" s="46" t="str">
        <f>IF(ISNUMBER(NORMSINV(SUM(S$13:S180)/S$317)),NORMSINV(SUM(S$13:S180)/S$317)," ")</f>
        <v xml:space="preserve"> </v>
      </c>
      <c r="U180" s="46">
        <f t="shared" si="66"/>
        <v>0.22545721032111446</v>
      </c>
      <c r="V180" s="46">
        <f>IF(ISNUMBER(NORMSINV(SUM(U$13:U180)/U$317)),NORMSINV(SUM(U$13:U180)/U$317)," ")</f>
        <v>0.64267296082532022</v>
      </c>
      <c r="W180" s="46">
        <f t="shared" si="67"/>
        <v>8.7457144894456038E-3</v>
      </c>
      <c r="X180" s="46">
        <f>IF(ISNUMBER(NORMSINV(SUM(W$13:W180)/W$317)),NORMSINV(SUM(W$13:W180)/W$317)," ")</f>
        <v>1.8281665899481787</v>
      </c>
      <c r="Y180" s="46">
        <f t="shared" si="68"/>
        <v>0</v>
      </c>
      <c r="Z180" s="46" t="str">
        <f>IF(ISNUMBER(NORMSINV(SUM(Y$13:Y180)/Y$317)),NORMSINV(SUM(Y$13:Y180)/Y$317)," ")</f>
        <v xml:space="preserve"> </v>
      </c>
      <c r="AA180" s="46">
        <f t="shared" si="69"/>
        <v>0.75359611362940404</v>
      </c>
      <c r="AB180" s="46">
        <f>IF(ISNUMBER(NORMSINV(SUM(AA$13:AA180)/AA$317)),NORMSINV(SUM(AA$13:AA180)/AA$317)," ")</f>
        <v>0.43955364032895894</v>
      </c>
      <c r="AC180" s="46">
        <f t="shared" si="70"/>
        <v>1.4428315030207747E-2</v>
      </c>
      <c r="AD180" s="46">
        <f>IF(ISNUMBER(NORMSINV(SUM(AC$13:AC180)/AC$317)),NORMSINV(SUM(AC$13:AC180)/AC$317)," ")</f>
        <v>2.0106890347943129</v>
      </c>
      <c r="AE180" s="46">
        <f t="shared" si="71"/>
        <v>0</v>
      </c>
      <c r="AF180" s="46" t="str">
        <f>IF(ISNUMBER(NORMSINV(SUM(AE$13:AE180)/AE$317)),NORMSINV(SUM(AE$13:AE180)/AE$317)," ")</f>
        <v xml:space="preserve"> </v>
      </c>
      <c r="AG180" s="46">
        <f t="shared" si="72"/>
        <v>1.5926505547290268</v>
      </c>
      <c r="AH180" s="46">
        <f>IF(ISNUMBER(NORMSINV(SUM(AG$13:AG180)/AG$317)),NORMSINV(SUM(AG$13:AG180)/AG$317)," ")</f>
        <v>0.41339669705873044</v>
      </c>
      <c r="AI180" s="46">
        <f t="shared" si="73"/>
        <v>1.9729883431820382E-2</v>
      </c>
      <c r="AJ180" s="46">
        <f>IF(ISNUMBER(NORMSINV(SUM(AI$13:AI180)/AI$317)),NORMSINV(SUM(AI$13:AI180)/AI$317)," ")</f>
        <v>2.2143045551023404</v>
      </c>
      <c r="AK180" s="46">
        <f t="shared" si="74"/>
        <v>0</v>
      </c>
      <c r="AL180" s="46" t="str">
        <f>IF(ISNUMBER(NORMSINV(SUM(AK$13:AK180)/AK$317)),NORMSINV(SUM(AK$13:AK180)/AK$317)," ")</f>
        <v xml:space="preserve"> </v>
      </c>
      <c r="AM180" s="6">
        <v>0.51468848782419629</v>
      </c>
      <c r="AN180" s="6">
        <v>1.9965289906247741E-2</v>
      </c>
      <c r="AO180" s="6">
        <v>0</v>
      </c>
      <c r="AP180" s="6">
        <v>0.61932908553513899</v>
      </c>
      <c r="AQ180" s="6">
        <v>1.185764495312387E-2</v>
      </c>
      <c r="AR180" s="6">
        <v>0</v>
      </c>
      <c r="AS180" s="6">
        <v>0.65447144058201534</v>
      </c>
      <c r="AT180" s="6">
        <v>8.1076449531238669E-3</v>
      </c>
      <c r="AU180" s="6">
        <v>0</v>
      </c>
    </row>
    <row r="181" spans="1:47" x14ac:dyDescent="0.4">
      <c r="A181" s="6">
        <f t="shared" si="59"/>
        <v>2.8798882258580516</v>
      </c>
      <c r="B181" s="6">
        <f>'Aerosol 1'!A185</f>
        <v>17.812282115789912</v>
      </c>
      <c r="C181" t="b">
        <f t="shared" si="60"/>
        <v>0</v>
      </c>
      <c r="E181" s="46">
        <f>'Aerosol 1'!$P185</f>
        <v>0.81504814273534731</v>
      </c>
      <c r="F181" s="46">
        <f>'Aerosol 2'!$P185</f>
        <v>0.81504814273534731</v>
      </c>
      <c r="G181" s="46">
        <f>'Aerosol 3'!$P185</f>
        <v>0.81504814273534731</v>
      </c>
      <c r="H181" s="46">
        <f t="shared" si="61"/>
        <v>2.4451444282060422</v>
      </c>
      <c r="I181" s="46">
        <f>NORMSINV(SUM(H$13:H181)/H$317)</f>
        <v>-0.2002324488439145</v>
      </c>
      <c r="J181" s="46">
        <f t="shared" si="56"/>
        <v>0.44012599707708761</v>
      </c>
      <c r="K181" s="46">
        <f t="shared" si="57"/>
        <v>1.2225722141030211</v>
      </c>
      <c r="L181" s="46">
        <f t="shared" si="58"/>
        <v>2.4450466224289138</v>
      </c>
      <c r="M181" s="46">
        <f t="shared" si="62"/>
        <v>4.1077448336090221</v>
      </c>
      <c r="N181" s="46">
        <f>IF(ISNUMBER(NORMSINV(SUM(M$13:M181)/M$317)),NORMSINV(SUM(M$13:M181)/M$317)," ")</f>
        <v>-0.20023244884391467</v>
      </c>
      <c r="O181" s="46">
        <f t="shared" si="63"/>
        <v>2.527875617795015</v>
      </c>
      <c r="P181" s="46">
        <f>IF(ISNUMBER(NORMSINV(SUM(O$13:O181)/O$317)),NORMSINV(SUM(O$13:O181)/O$317)," ")</f>
        <v>0.47688884533902098</v>
      </c>
      <c r="Q181" s="46">
        <f t="shared" si="64"/>
        <v>3.8980259427294467E-2</v>
      </c>
      <c r="R181" s="46">
        <f>IF(ISNUMBER(NORMSINV(SUM(Q$13:Q181)/Q$317)),NORMSINV(SUM(Q$13:Q181)/Q$317)," ")</f>
        <v>2.1374483282107875</v>
      </c>
      <c r="S181" s="46">
        <f t="shared" si="65"/>
        <v>0</v>
      </c>
      <c r="T181" s="46" t="str">
        <f>IF(ISNUMBER(NORMSINV(SUM(S$13:S181)/S$317)),NORMSINV(SUM(S$13:S181)/S$317)," ")</f>
        <v xml:space="preserve"> </v>
      </c>
      <c r="U181" s="46">
        <f t="shared" si="66"/>
        <v>0.21870434800364053</v>
      </c>
      <c r="V181" s="46">
        <f>IF(ISNUMBER(NORMSINV(SUM(U$13:U181)/U$317)),NORMSINV(SUM(U$13:U181)/U$317)," ")</f>
        <v>0.68089428107968208</v>
      </c>
      <c r="W181" s="46">
        <f t="shared" si="67"/>
        <v>7.9996593290573657E-3</v>
      </c>
      <c r="X181" s="46">
        <f>IF(ISNUMBER(NORMSINV(SUM(W$13:W181)/W$317)),NORMSINV(SUM(W$13:W181)/W$317)," ")</f>
        <v>1.8766743778758652</v>
      </c>
      <c r="Y181" s="46">
        <f t="shared" si="68"/>
        <v>0</v>
      </c>
      <c r="Z181" s="46" t="str">
        <f>IF(ISNUMBER(NORMSINV(SUM(Y$13:Y181)/Y$317)),NORMSINV(SUM(Y$13:Y181)/Y$317)," ")</f>
        <v xml:space="preserve"> </v>
      </c>
      <c r="AA181" s="46">
        <f t="shared" si="69"/>
        <v>0.74036840185996944</v>
      </c>
      <c r="AB181" s="46">
        <f>IF(ISNUMBER(NORMSINV(SUM(AA$13:AA181)/AA$317)),NORMSINV(SUM(AA$13:AA181)/AA$317)," ")</f>
        <v>0.4759266316417694</v>
      </c>
      <c r="AC181" s="46">
        <f t="shared" si="70"/>
        <v>1.3357627361801348E-2</v>
      </c>
      <c r="AD181" s="46">
        <f>IF(ISNUMBER(NORMSINV(SUM(AC$13:AC181)/AC$317)),NORMSINV(SUM(AC$13:AC181)/AC$317)," ")</f>
        <v>2.0586621325074268</v>
      </c>
      <c r="AE181" s="46">
        <f t="shared" si="71"/>
        <v>0</v>
      </c>
      <c r="AF181" s="46" t="str">
        <f>IF(ISNUMBER(NORMSINV(SUM(AE$13:AE181)/AE$317)),NORMSINV(SUM(AE$13:AE181)/AE$317)," ")</f>
        <v xml:space="preserve"> </v>
      </c>
      <c r="AG181" s="46">
        <f t="shared" si="72"/>
        <v>1.5688028679314052</v>
      </c>
      <c r="AH181" s="46">
        <f>IF(ISNUMBER(NORMSINV(SUM(AG$13:AG181)/AG$317)),NORMSINV(SUM(AG$13:AG181)/AG$317)," ")</f>
        <v>0.44904452975941972</v>
      </c>
      <c r="AI181" s="46">
        <f t="shared" si="73"/>
        <v>1.762297273643575E-2</v>
      </c>
      <c r="AJ181" s="46">
        <f>IF(ISNUMBER(NORMSINV(SUM(AI$13:AI181)/AI$317)),NORMSINV(SUM(AI$13:AI181)/AI$317)," ")</f>
        <v>2.2602034693982711</v>
      </c>
      <c r="AK181" s="46">
        <f t="shared" si="74"/>
        <v>0</v>
      </c>
      <c r="AL181" s="46" t="str">
        <f>IF(ISNUMBER(NORMSINV(SUM(AK$13:AK181)/AK$317)),NORMSINV(SUM(AK$13:AK181)/AK$317)," ")</f>
        <v xml:space="preserve"> </v>
      </c>
      <c r="AM181" s="6">
        <v>0.49691304184727514</v>
      </c>
      <c r="AN181" s="6">
        <v>1.8175839151024369E-2</v>
      </c>
      <c r="AO181" s="6">
        <v>0</v>
      </c>
      <c r="AP181" s="6">
        <v>0.60558255235921932</v>
      </c>
      <c r="AQ181" s="6">
        <v>1.092583915102438E-2</v>
      </c>
      <c r="AR181" s="6">
        <v>0</v>
      </c>
      <c r="AS181" s="6">
        <v>0.64162492998720555</v>
      </c>
      <c r="AT181" s="6">
        <v>7.2076223720139356E-3</v>
      </c>
      <c r="AU181" s="6">
        <v>0</v>
      </c>
    </row>
    <row r="182" spans="1:47" x14ac:dyDescent="0.4">
      <c r="A182" s="6">
        <f t="shared" si="59"/>
        <v>2.9143668032892309</v>
      </c>
      <c r="B182" s="6">
        <f>'Aerosol 1'!A186</f>
        <v>18.437134373051084</v>
      </c>
      <c r="C182" t="b">
        <f t="shared" si="60"/>
        <v>0</v>
      </c>
      <c r="E182" s="46">
        <f>'Aerosol 1'!$P186</f>
        <v>0.8185602934612457</v>
      </c>
      <c r="F182" s="46">
        <f>'Aerosol 2'!$P186</f>
        <v>0.8185602934612457</v>
      </c>
      <c r="G182" s="46">
        <f>'Aerosol 3'!$P186</f>
        <v>0.8185602934612457</v>
      </c>
      <c r="H182" s="46">
        <f t="shared" si="61"/>
        <v>2.4556808803837371</v>
      </c>
      <c r="I182" s="46">
        <f>NORMSINV(SUM(H$13:H182)/H$317)</f>
        <v>-0.17923617034394851</v>
      </c>
      <c r="J182" s="46">
        <f t="shared" si="56"/>
        <v>0.44202255846907273</v>
      </c>
      <c r="K182" s="46">
        <f t="shared" si="57"/>
        <v>1.2278404401918686</v>
      </c>
      <c r="L182" s="46">
        <f t="shared" si="58"/>
        <v>2.4555826531485216</v>
      </c>
      <c r="M182" s="46">
        <f t="shared" si="62"/>
        <v>4.1254456518094624</v>
      </c>
      <c r="N182" s="46">
        <f>IF(ISNUMBER(NORMSINV(SUM(M$13:M182)/M$317)),NORMSINV(SUM(M$13:M182)/M$317)," ")</f>
        <v>-0.17923617034394865</v>
      </c>
      <c r="O182" s="46">
        <f t="shared" si="63"/>
        <v>2.481027194430343</v>
      </c>
      <c r="P182" s="46">
        <f>IF(ISNUMBER(NORMSINV(SUM(O$13:O182)/O$317)),NORMSINV(SUM(O$13:O182)/O$317)," ")</f>
        <v>0.51282973578309121</v>
      </c>
      <c r="Q182" s="46">
        <f t="shared" si="64"/>
        <v>3.4318049034747958E-2</v>
      </c>
      <c r="R182" s="46">
        <f>IF(ISNUMBER(NORMSINV(SUM(Q$13:Q182)/Q$317)),NORMSINV(SUM(Q$13:Q182)/Q$317)," ")</f>
        <v>2.1827264934612214</v>
      </c>
      <c r="S182" s="46">
        <f t="shared" si="65"/>
        <v>0</v>
      </c>
      <c r="T182" s="46" t="str">
        <f>IF(ISNUMBER(NORMSINV(SUM(S$13:S182)/S$317)),NORMSINV(SUM(S$13:S182)/S$317)," ")</f>
        <v xml:space="preserve"> </v>
      </c>
      <c r="U182" s="46">
        <f t="shared" si="66"/>
        <v>0.21180585678761396</v>
      </c>
      <c r="V182" s="46">
        <f>IF(ISNUMBER(NORMSINV(SUM(U$13:U182)/U$317)),NORMSINV(SUM(U$13:U182)/U$317)," ")</f>
        <v>0.71888274019922604</v>
      </c>
      <c r="W182" s="46">
        <f t="shared" si="67"/>
        <v>7.3393660992432446E-3</v>
      </c>
      <c r="X182" s="46">
        <f>IF(ISNUMBER(NORMSINV(SUM(W$13:W182)/W$317)),NORMSINV(SUM(W$13:W182)/W$317)," ")</f>
        <v>1.9254302930383085</v>
      </c>
      <c r="Y182" s="46">
        <f t="shared" si="68"/>
        <v>0</v>
      </c>
      <c r="Z182" s="46" t="str">
        <f>IF(ISNUMBER(NORMSINV(SUM(Y$13:Y182)/Y$317)),NORMSINV(SUM(Y$13:Y182)/Y$317)," ")</f>
        <v xml:space="preserve"> </v>
      </c>
      <c r="AA182" s="46">
        <f t="shared" si="69"/>
        <v>0.72618962704588719</v>
      </c>
      <c r="AB182" s="46">
        <f>IF(ISNUMBER(NORMSINV(SUM(AA$13:AA182)/AA$317)),NORMSINV(SUM(AA$13:AA182)/AA$317)," ")</f>
        <v>0.51222526907880628</v>
      </c>
      <c r="AC182" s="46">
        <f t="shared" si="70"/>
        <v>1.1485284862062422E-2</v>
      </c>
      <c r="AD182" s="46">
        <f>IF(ISNUMBER(NORMSINV(SUM(AC$13:AC182)/AC$317)),NORMSINV(SUM(AC$13:AC182)/AC$317)," ")</f>
        <v>2.1040718525176683</v>
      </c>
      <c r="AE182" s="46">
        <f t="shared" si="71"/>
        <v>0</v>
      </c>
      <c r="AF182" s="46" t="str">
        <f>IF(ISNUMBER(NORMSINV(SUM(AE$13:AE182)/AE$317)),NORMSINV(SUM(AE$13:AE182)/AE$317)," ")</f>
        <v xml:space="preserve"> </v>
      </c>
      <c r="AG182" s="46">
        <f t="shared" si="72"/>
        <v>1.5430317105968416</v>
      </c>
      <c r="AH182" s="46">
        <f>IF(ISNUMBER(NORMSINV(SUM(AG$13:AG182)/AG$317)),NORMSINV(SUM(AG$13:AG182)/AG$317)," ")</f>
        <v>0.484672310592624</v>
      </c>
      <c r="AI182" s="46">
        <f t="shared" si="73"/>
        <v>1.5493398073442294E-2</v>
      </c>
      <c r="AJ182" s="46">
        <f>IF(ISNUMBER(NORMSINV(SUM(AI$13:AI182)/AI$317)),NORMSINV(SUM(AI$13:AI182)/AI$317)," ")</f>
        <v>2.3049059233740619</v>
      </c>
      <c r="AK182" s="46">
        <f t="shared" si="74"/>
        <v>0</v>
      </c>
      <c r="AL182" s="46" t="str">
        <f>IF(ISNUMBER(NORMSINV(SUM(AK$13:AK182)/AK$317)),NORMSINV(SUM(AK$13:AK182)/AK$317)," ")</f>
        <v xml:space="preserve"> </v>
      </c>
      <c r="AM182" s="6">
        <v>0.47917431526842202</v>
      </c>
      <c r="AN182" s="6">
        <v>1.660405325163232E-2</v>
      </c>
      <c r="AO182" s="6">
        <v>0</v>
      </c>
      <c r="AP182" s="6">
        <v>0.59143647926469101</v>
      </c>
      <c r="AQ182" s="6">
        <v>9.3540532516323324E-3</v>
      </c>
      <c r="AR182" s="6">
        <v>0</v>
      </c>
      <c r="AS182" s="6">
        <v>0.62837702026375819</v>
      </c>
      <c r="AT182" s="6">
        <v>6.3094590009327624E-3</v>
      </c>
      <c r="AU182" s="6">
        <v>0</v>
      </c>
    </row>
    <row r="183" spans="1:47" x14ac:dyDescent="0.4">
      <c r="A183" s="6">
        <f t="shared" si="59"/>
        <v>2.9488453807204102</v>
      </c>
      <c r="B183" s="6">
        <f>'Aerosol 1'!A187</f>
        <v>19.083906356311786</v>
      </c>
      <c r="C183" t="b">
        <f t="shared" si="60"/>
        <v>0</v>
      </c>
      <c r="E183" s="46">
        <f>'Aerosol 1'!$P187</f>
        <v>0.8217281235412266</v>
      </c>
      <c r="F183" s="46">
        <f>'Aerosol 2'!$P187</f>
        <v>0.8217281235412266</v>
      </c>
      <c r="G183" s="46">
        <f>'Aerosol 3'!$P187</f>
        <v>0.8217281235412266</v>
      </c>
      <c r="H183" s="46">
        <f t="shared" si="61"/>
        <v>2.46518437062368</v>
      </c>
      <c r="I183" s="46">
        <f>NORMSINV(SUM(H$13:H183)/H$317)</f>
        <v>-0.15823780877464164</v>
      </c>
      <c r="J183" s="46">
        <f t="shared" si="56"/>
        <v>0.44373318671226242</v>
      </c>
      <c r="K183" s="46">
        <f t="shared" si="57"/>
        <v>1.23259218531184</v>
      </c>
      <c r="L183" s="46">
        <f t="shared" si="58"/>
        <v>2.465085763248855</v>
      </c>
      <c r="M183" s="46">
        <f t="shared" si="62"/>
        <v>4.141411135272957</v>
      </c>
      <c r="N183" s="46">
        <f>IF(ISNUMBER(NORMSINV(SUM(M$13:M183)/M$317)),NORMSINV(SUM(M$13:M183)/M$317)," ")</f>
        <v>-0.15823780877464177</v>
      </c>
      <c r="O183" s="46">
        <f t="shared" si="63"/>
        <v>2.4343848941334985</v>
      </c>
      <c r="P183" s="46">
        <f>IF(ISNUMBER(NORMSINV(SUM(O$13:O183)/O$317)),NORMSINV(SUM(O$13:O183)/O$317)," ")</f>
        <v>0.54875070949421978</v>
      </c>
      <c r="Q183" s="46">
        <f t="shared" si="64"/>
        <v>3.0806053223263019E-2</v>
      </c>
      <c r="R183" s="46">
        <f>IF(ISNUMBER(NORMSINV(SUM(Q$13:Q183)/Q$317)),NORMSINV(SUM(Q$13:Q183)/Q$317)," ")</f>
        <v>2.2275712248730097</v>
      </c>
      <c r="S183" s="46">
        <f t="shared" si="65"/>
        <v>0</v>
      </c>
      <c r="T183" s="46" t="str">
        <f>IF(ISNUMBER(NORMSINV(SUM(S$13:S183)/S$317)),NORMSINV(SUM(S$13:S183)/S$317)," ")</f>
        <v xml:space="preserve"> </v>
      </c>
      <c r="U183" s="46">
        <f t="shared" si="66"/>
        <v>0.20485801368563025</v>
      </c>
      <c r="V183" s="46">
        <f>IF(ISNUMBER(NORMSINV(SUM(U$13:U183)/U$317)),NORMSINV(SUM(U$13:U183)/U$317)," ")</f>
        <v>0.75663892873506777</v>
      </c>
      <c r="W183" s="46">
        <f t="shared" si="67"/>
        <v>6.578371984564511E-3</v>
      </c>
      <c r="X183" s="46">
        <f>IF(ISNUMBER(NORMSINV(SUM(W$13:W183)/W$317)),NORMSINV(SUM(W$13:W183)/W$317)," ")</f>
        <v>1.9733945577400878</v>
      </c>
      <c r="Y183" s="46">
        <f t="shared" si="68"/>
        <v>0</v>
      </c>
      <c r="Z183" s="46" t="str">
        <f>IF(ISNUMBER(NORMSINV(SUM(Y$13:Y183)/Y$317)),NORMSINV(SUM(Y$13:Y183)/Y$317)," ")</f>
        <v xml:space="preserve"> </v>
      </c>
      <c r="AA183" s="46">
        <f t="shared" si="69"/>
        <v>0.71158762551003296</v>
      </c>
      <c r="AB183" s="46">
        <f>IF(ISNUMBER(NORMSINV(SUM(AA$13:AA183)/AA$317)),NORMSINV(SUM(AA$13:AA183)/AA$317)," ")</f>
        <v>0.5484608588690697</v>
      </c>
      <c r="AC183" s="46">
        <f t="shared" si="70"/>
        <v>1.0369219941651436E-2</v>
      </c>
      <c r="AD183" s="46">
        <f>IF(ISNUMBER(NORMSINV(SUM(AC$13:AC183)/AC$317)),NORMSINV(SUM(AC$13:AC183)/AC$317)," ")</f>
        <v>2.1491634652855574</v>
      </c>
      <c r="AE183" s="46">
        <f t="shared" si="71"/>
        <v>0</v>
      </c>
      <c r="AF183" s="46" t="str">
        <f>IF(ISNUMBER(NORMSINV(SUM(AE$13:AE183)/AE$317)),NORMSINV(SUM(AE$13:AE183)/AE$317)," ")</f>
        <v xml:space="preserve"> </v>
      </c>
      <c r="AG183" s="46">
        <f t="shared" si="72"/>
        <v>1.5179392549378354</v>
      </c>
      <c r="AH183" s="46">
        <f>IF(ISNUMBER(NORMSINV(SUM(AG$13:AG183)/AG$317)),NORMSINV(SUM(AG$13:AG183)/AG$317)," ")</f>
        <v>0.5203314022238289</v>
      </c>
      <c r="AI183" s="46">
        <f t="shared" si="73"/>
        <v>1.3858461297047072E-2</v>
      </c>
      <c r="AJ183" s="46">
        <f>IF(ISNUMBER(NORMSINV(SUM(AI$13:AI183)/AI$317)),NORMSINV(SUM(AI$13:AI183)/AI$317)," ")</f>
        <v>2.349209744317788</v>
      </c>
      <c r="AK183" s="46">
        <f t="shared" si="74"/>
        <v>0</v>
      </c>
      <c r="AL183" s="46" t="str">
        <f>IF(ISNUMBER(NORMSINV(SUM(AK$13:AK183)/AK$317)),NORMSINV(SUM(AK$13:AK183)/AK$317)," ")</f>
        <v xml:space="preserve"> </v>
      </c>
      <c r="AM183" s="6">
        <v>0.46166935406269238</v>
      </c>
      <c r="AN183" s="6">
        <v>1.4825061955147923E-2</v>
      </c>
      <c r="AO183" s="6">
        <v>0</v>
      </c>
      <c r="AP183" s="6">
        <v>0.57730986289678987</v>
      </c>
      <c r="AQ183" s="6">
        <v>8.4125309775739589E-3</v>
      </c>
      <c r="AR183" s="6">
        <v>0</v>
      </c>
      <c r="AS183" s="6">
        <v>0.61577543368603549</v>
      </c>
      <c r="AT183" s="6">
        <v>5.6218982331804716E-3</v>
      </c>
      <c r="AU183" s="6">
        <v>0</v>
      </c>
    </row>
    <row r="184" spans="1:47" x14ac:dyDescent="0.4">
      <c r="A184" s="6">
        <f t="shared" si="59"/>
        <v>2.9833239581515896</v>
      </c>
      <c r="B184" s="6">
        <f>'Aerosol 1'!A188</f>
        <v>19.753367006361312</v>
      </c>
      <c r="C184" t="b">
        <f t="shared" si="60"/>
        <v>0</v>
      </c>
      <c r="E184" s="46">
        <f>'Aerosol 1'!$P188</f>
        <v>0.82454752484759086</v>
      </c>
      <c r="F184" s="46">
        <f>'Aerosol 2'!$P188</f>
        <v>0.82454752484759086</v>
      </c>
      <c r="G184" s="46">
        <f>'Aerosol 3'!$P188</f>
        <v>0.82454752484759086</v>
      </c>
      <c r="H184" s="46">
        <f t="shared" si="61"/>
        <v>2.4736425745427724</v>
      </c>
      <c r="I184" s="46">
        <f>NORMSINV(SUM(H$13:H184)/H$317)</f>
        <v>-0.13723729638153803</v>
      </c>
      <c r="J184" s="46">
        <f t="shared" si="56"/>
        <v>0.44525566341769912</v>
      </c>
      <c r="K184" s="46">
        <f t="shared" si="57"/>
        <v>1.2368212872713862</v>
      </c>
      <c r="L184" s="46">
        <f t="shared" si="58"/>
        <v>2.4735436288397912</v>
      </c>
      <c r="M184" s="46">
        <f t="shared" si="62"/>
        <v>4.1556205795288763</v>
      </c>
      <c r="N184" s="46">
        <f>IF(ISNUMBER(NORMSINV(SUM(M$13:M184)/M$317)),NORMSINV(SUM(M$13:M184)/M$317)," ")</f>
        <v>-0.13723729638153803</v>
      </c>
      <c r="O184" s="46">
        <f t="shared" si="63"/>
        <v>2.3855846691454206</v>
      </c>
      <c r="P184" s="46">
        <f>IF(ISNUMBER(NORMSINV(SUM(O$13:O184)/O$317)),NORMSINV(SUM(O$13:O184)/O$317)," ")</f>
        <v>0.58465207822772591</v>
      </c>
      <c r="Q184" s="46">
        <f t="shared" si="64"/>
        <v>2.7420008295104138E-2</v>
      </c>
      <c r="R184" s="46">
        <f>IF(ISNUMBER(NORMSINV(SUM(Q$13:Q184)/Q$317)),NORMSINV(SUM(Q$13:Q184)/Q$317)," ")</f>
        <v>2.2716415493170414</v>
      </c>
      <c r="S184" s="46">
        <f t="shared" si="65"/>
        <v>0</v>
      </c>
      <c r="T184" s="46" t="str">
        <f>IF(ISNUMBER(NORMSINV(SUM(S$13:S184)/S$317)),NORMSINV(SUM(S$13:S184)/S$317)," ")</f>
        <v xml:space="preserve"> </v>
      </c>
      <c r="U184" s="46">
        <f t="shared" si="66"/>
        <v>0.19809716701961538</v>
      </c>
      <c r="V184" s="46">
        <f>IF(ISNUMBER(NORMSINV(SUM(U$13:U184)/U$317)),NORMSINV(SUM(U$13:U184)/U$317)," ")</f>
        <v>0.79420420354614585</v>
      </c>
      <c r="W184" s="46">
        <f t="shared" si="67"/>
        <v>5.8836681654782881E-3</v>
      </c>
      <c r="X184" s="46">
        <f>IF(ISNUMBER(NORMSINV(SUM(W$13:W184)/W$317)),NORMSINV(SUM(W$13:W184)/W$317)," ")</f>
        <v>2.0205122439981804</v>
      </c>
      <c r="Y184" s="46">
        <f t="shared" si="68"/>
        <v>0</v>
      </c>
      <c r="Z184" s="46" t="str">
        <f>IF(ISNUMBER(NORMSINV(SUM(Y$13:Y184)/Y$317)),NORMSINV(SUM(Y$13:Y184)/Y$317)," ")</f>
        <v xml:space="preserve"> </v>
      </c>
      <c r="AA184" s="46">
        <f t="shared" si="69"/>
        <v>0.69723115500022104</v>
      </c>
      <c r="AB184" s="46">
        <f>IF(ISNUMBER(NORMSINV(SUM(AA$13:AA184)/AA$317)),NORMSINV(SUM(AA$13:AA184)/AA$317)," ")</f>
        <v>0.5846777825472822</v>
      </c>
      <c r="AC184" s="46">
        <f t="shared" si="70"/>
        <v>9.2949836293883901E-3</v>
      </c>
      <c r="AD184" s="46">
        <f>IF(ISNUMBER(NORMSINV(SUM(AC$13:AC184)/AC$317)),NORMSINV(SUM(AC$13:AC184)/AC$317)," ")</f>
        <v>2.1936680875905967</v>
      </c>
      <c r="AE184" s="46">
        <f t="shared" si="71"/>
        <v>0</v>
      </c>
      <c r="AF184" s="46" t="str">
        <f>IF(ISNUMBER(NORMSINV(SUM(AE$13:AE184)/AE$317)),NORMSINV(SUM(AE$13:AE184)/AE$317)," ")</f>
        <v xml:space="preserve"> </v>
      </c>
      <c r="AG184" s="46">
        <f t="shared" si="72"/>
        <v>1.4902563471255843</v>
      </c>
      <c r="AH184" s="46">
        <f>IF(ISNUMBER(NORMSINV(SUM(AG$13:AG184)/AG$317)),NORMSINV(SUM(AG$13:AG184)/AG$317)," ")</f>
        <v>0.55599578975638364</v>
      </c>
      <c r="AI184" s="46">
        <f t="shared" si="73"/>
        <v>1.2241356500237461E-2</v>
      </c>
      <c r="AJ184" s="46">
        <f>IF(ISNUMBER(NORMSINV(SUM(AI$13:AI184)/AI$317)),NORMSINV(SUM(AI$13:AI184)/AI$317)," ")</f>
        <v>2.3925887853479861</v>
      </c>
      <c r="AK184" s="46">
        <f t="shared" si="74"/>
        <v>0</v>
      </c>
      <c r="AL184" s="46" t="str">
        <f>IF(ISNUMBER(NORMSINV(SUM(AK$13:AK184)/AK$317)),NORMSINV(SUM(AK$13:AK184)/AK$317)," ")</f>
        <v xml:space="preserve"> </v>
      </c>
      <c r="AM184" s="6">
        <v>0.44490656334174083</v>
      </c>
      <c r="AN184" s="6">
        <v>1.3214134370164665E-2</v>
      </c>
      <c r="AO184" s="6">
        <v>0</v>
      </c>
      <c r="AP184" s="6">
        <v>0.56372829460141149</v>
      </c>
      <c r="AQ184" s="6">
        <v>7.5152196400941011E-3</v>
      </c>
      <c r="AR184" s="6">
        <v>0</v>
      </c>
      <c r="AS184" s="6">
        <v>0.60247829460141156</v>
      </c>
      <c r="AT184" s="6">
        <v>4.948914730070573E-3</v>
      </c>
      <c r="AU184" s="6">
        <v>0</v>
      </c>
    </row>
    <row r="185" spans="1:47" x14ac:dyDescent="0.4">
      <c r="A185" s="6">
        <f t="shared" si="59"/>
        <v>3.0178025355827685</v>
      </c>
      <c r="B185" s="6">
        <f>'Aerosol 1'!A189</f>
        <v>20.446312238319635</v>
      </c>
      <c r="C185" t="b">
        <f t="shared" si="60"/>
        <v>0</v>
      </c>
      <c r="E185" s="46">
        <f>'Aerosol 1'!$P189</f>
        <v>0.82701483212230809</v>
      </c>
      <c r="F185" s="46">
        <f>'Aerosol 2'!$P189</f>
        <v>0.82701483212230809</v>
      </c>
      <c r="G185" s="46">
        <f>'Aerosol 3'!$P189</f>
        <v>0.82701483212230809</v>
      </c>
      <c r="H185" s="46">
        <f t="shared" si="61"/>
        <v>2.4810444963669243</v>
      </c>
      <c r="I185" s="46">
        <f>NORMSINV(SUM(H$13:H185)/H$317)</f>
        <v>-0.1162345627724141</v>
      </c>
      <c r="J185" s="46">
        <f t="shared" si="56"/>
        <v>0.44658800934604642</v>
      </c>
      <c r="K185" s="46">
        <f t="shared" si="57"/>
        <v>1.2405222481834621</v>
      </c>
      <c r="L185" s="46">
        <f t="shared" si="58"/>
        <v>2.4809452545870698</v>
      </c>
      <c r="M185" s="46">
        <f t="shared" si="62"/>
        <v>4.1680555121165783</v>
      </c>
      <c r="N185" s="46">
        <f>IF(ISNUMBER(NORMSINV(SUM(M$13:M185)/M$317)),NORMSINV(SUM(M$13:M185)/M$317)," ")</f>
        <v>-0.1162345627724141</v>
      </c>
      <c r="O185" s="46">
        <f t="shared" si="63"/>
        <v>2.3361758344799828</v>
      </c>
      <c r="P185" s="46">
        <f>IF(ISNUMBER(NORMSINV(SUM(O$13:O185)/O$317)),NORMSINV(SUM(O$13:O185)/O$317)," ")</f>
        <v>0.62055557583296428</v>
      </c>
      <c r="Q185" s="46">
        <f t="shared" si="64"/>
        <v>2.5209078417140776E-2</v>
      </c>
      <c r="R185" s="46">
        <f>IF(ISNUMBER(NORMSINV(SUM(Q$13:Q185)/Q$317)),NORMSINV(SUM(Q$13:Q185)/Q$317)," ")</f>
        <v>2.316461880619423</v>
      </c>
      <c r="S185" s="46">
        <f t="shared" si="65"/>
        <v>0</v>
      </c>
      <c r="T185" s="46" t="str">
        <f>IF(ISNUMBER(NORMSINV(SUM(S$13:S185)/S$317)),NORMSINV(SUM(S$13:S185)/S$317)," ")</f>
        <v xml:space="preserve"> </v>
      </c>
      <c r="U185" s="46">
        <f t="shared" si="66"/>
        <v>0.1912732688656969</v>
      </c>
      <c r="V185" s="46">
        <f>IF(ISNUMBER(NORMSINV(SUM(U$13:U185)/U$317)),NORMSINV(SUM(U$13:U185)/U$317)," ")</f>
        <v>0.83157074051393431</v>
      </c>
      <c r="W185" s="46">
        <f t="shared" si="67"/>
        <v>5.4115400788073047E-3</v>
      </c>
      <c r="X185" s="46">
        <f>IF(ISNUMBER(NORMSINV(SUM(W$13:W185)/W$317)),NORMSINV(SUM(W$13:W185)/W$317)," ")</f>
        <v>2.0682043457099883</v>
      </c>
      <c r="Y185" s="46">
        <f t="shared" si="68"/>
        <v>0</v>
      </c>
      <c r="Z185" s="46" t="str">
        <f>IF(ISNUMBER(NORMSINV(SUM(Y$13:Y185)/Y$317)),NORMSINV(SUM(Y$13:Y185)/Y$317)," ")</f>
        <v xml:space="preserve"> </v>
      </c>
      <c r="AA185" s="46">
        <f t="shared" si="69"/>
        <v>0.68202483290517102</v>
      </c>
      <c r="AB185" s="46">
        <f>IF(ISNUMBER(NORMSINV(SUM(AA$13:AA185)/AA$317)),NORMSINV(SUM(AA$13:AA185)/AA$317)," ")</f>
        <v>0.6208625685603133</v>
      </c>
      <c r="AC185" s="46">
        <f t="shared" si="70"/>
        <v>8.4053341319242966E-3</v>
      </c>
      <c r="AD185" s="46">
        <f>IF(ISNUMBER(NORMSINV(SUM(AC$13:AC185)/AC$317)),NORMSINV(SUM(AC$13:AC185)/AC$317)," ")</f>
        <v>2.2380327825439776</v>
      </c>
      <c r="AE185" s="46">
        <f t="shared" si="71"/>
        <v>0</v>
      </c>
      <c r="AF185" s="46" t="str">
        <f>IF(ISNUMBER(NORMSINV(SUM(AE$13:AE185)/AE$317)),NORMSINV(SUM(AE$13:AE185)/AE$317)," ")</f>
        <v xml:space="preserve"> </v>
      </c>
      <c r="AG185" s="46">
        <f t="shared" si="72"/>
        <v>1.4628777327091147</v>
      </c>
      <c r="AH185" s="46">
        <f>IF(ISNUMBER(NORMSINV(SUM(AG$13:AG185)/AG$317)),NORMSINV(SUM(AG$13:AG185)/AG$317)," ")</f>
        <v>0.5917064970054059</v>
      </c>
      <c r="AI185" s="46">
        <f t="shared" si="73"/>
        <v>1.1392204206409176E-2</v>
      </c>
      <c r="AJ185" s="46">
        <f>IF(ISNUMBER(NORMSINV(SUM(AI$13:AI185)/AI$317)),NORMSINV(SUM(AI$13:AI185)/AI$317)," ")</f>
        <v>2.4374522166231705</v>
      </c>
      <c r="AK185" s="46">
        <f t="shared" si="74"/>
        <v>0</v>
      </c>
      <c r="AL185" s="46" t="str">
        <f>IF(ISNUMBER(NORMSINV(SUM(AK$13:AK185)/AK$317)),NORMSINV(SUM(AK$13:AK185)/AK$317)," ")</f>
        <v xml:space="preserve"> </v>
      </c>
      <c r="AM185" s="6">
        <v>0.42829915909695976</v>
      </c>
      <c r="AN185" s="6">
        <v>1.2117522113349172E-2</v>
      </c>
      <c r="AO185" s="6">
        <v>0</v>
      </c>
      <c r="AP185" s="6">
        <v>0.54978847328524949</v>
      </c>
      <c r="AQ185" s="6">
        <v>6.7756415850118825E-3</v>
      </c>
      <c r="AR185" s="6">
        <v>0</v>
      </c>
      <c r="AS185" s="6">
        <v>0.58964530958688854</v>
      </c>
      <c r="AT185" s="6">
        <v>4.5918805283372936E-3</v>
      </c>
      <c r="AU185" s="6">
        <v>0</v>
      </c>
    </row>
    <row r="186" spans="1:47" x14ac:dyDescent="0.4">
      <c r="A186" s="6">
        <f t="shared" si="59"/>
        <v>3.0522811130139473</v>
      </c>
      <c r="B186" s="6">
        <f>'Aerosol 1'!A190</f>
        <v>21.163565887892997</v>
      </c>
      <c r="C186" t="b">
        <f t="shared" si="60"/>
        <v>0</v>
      </c>
      <c r="E186" s="46">
        <f>'Aerosol 1'!$P190</f>
        <v>0.82912683091712625</v>
      </c>
      <c r="F186" s="46">
        <f>'Aerosol 2'!$P190</f>
        <v>0.82912683091712625</v>
      </c>
      <c r="G186" s="46">
        <f>'Aerosol 3'!$P190</f>
        <v>0.82912683091712625</v>
      </c>
      <c r="H186" s="46">
        <f t="shared" si="61"/>
        <v>2.4873804927513787</v>
      </c>
      <c r="I186" s="46">
        <f>NORMSINV(SUM(H$13:H186)/H$317)</f>
        <v>-9.5229534799302198E-2</v>
      </c>
      <c r="J186" s="46">
        <f t="shared" si="56"/>
        <v>0.44772848869524823</v>
      </c>
      <c r="K186" s="46">
        <f t="shared" si="57"/>
        <v>1.2436902463756894</v>
      </c>
      <c r="L186" s="46">
        <f t="shared" si="58"/>
        <v>2.487280997531669</v>
      </c>
      <c r="M186" s="46">
        <f t="shared" si="62"/>
        <v>4.1786997326026061</v>
      </c>
      <c r="N186" s="46">
        <f>IF(ISNUMBER(NORMSINV(SUM(M$13:M186)/M$317)),NORMSINV(SUM(M$13:M186)/M$317)," ")</f>
        <v>-9.5229534799302309E-2</v>
      </c>
      <c r="O186" s="46">
        <f t="shared" si="63"/>
        <v>2.2857438177641791</v>
      </c>
      <c r="P186" s="46">
        <f>IF(ISNUMBER(NORMSINV(SUM(O$13:O186)/O$317)),NORMSINV(SUM(O$13:O186)/O$317)," ")</f>
        <v>0.65647556321707046</v>
      </c>
      <c r="Q186" s="46">
        <f t="shared" si="64"/>
        <v>2.2967047325544637E-2</v>
      </c>
      <c r="R186" s="46">
        <f>IF(ISNUMBER(NORMSINV(SUM(Q$13:Q186)/Q$317)),NORMSINV(SUM(Q$13:Q186)/Q$317)," ")</f>
        <v>2.3617891873478341</v>
      </c>
      <c r="S186" s="46">
        <f t="shared" si="65"/>
        <v>0</v>
      </c>
      <c r="T186" s="46" t="str">
        <f>IF(ISNUMBER(NORMSINV(SUM(S$13:S186)/S$317)),NORMSINV(SUM(S$13:S186)/S$317)," ")</f>
        <v xml:space="preserve"> </v>
      </c>
      <c r="U186" s="46">
        <f t="shared" si="66"/>
        <v>0.18456021154192598</v>
      </c>
      <c r="V186" s="46">
        <f>IF(ISNUMBER(NORMSINV(SUM(U$13:U186)/U$317)),NORMSINV(SUM(U$13:U186)/U$317)," ")</f>
        <v>0.86876083133791504</v>
      </c>
      <c r="W186" s="46">
        <f t="shared" si="67"/>
        <v>4.8450750978570488E-3</v>
      </c>
      <c r="X186" s="46">
        <f>IF(ISNUMBER(NORMSINV(SUM(W$13:W186)/W$317)),NORMSINV(SUM(W$13:W186)/W$317)," ")</f>
        <v>2.115300822895652</v>
      </c>
      <c r="Y186" s="46">
        <f t="shared" si="68"/>
        <v>0</v>
      </c>
      <c r="Z186" s="46" t="str">
        <f>IF(ISNUMBER(NORMSINV(SUM(Y$13:Y186)/Y$317)),NORMSINV(SUM(Y$13:Y186)/Y$317)," ")</f>
        <v xml:space="preserve"> </v>
      </c>
      <c r="AA186" s="46">
        <f t="shared" si="69"/>
        <v>0.66683402418138504</v>
      </c>
      <c r="AB186" s="46">
        <f>IF(ISNUMBER(NORMSINV(SUM(AA$13:AA186)/AA$317)),NORMSINV(SUM(AA$13:AA186)/AA$317)," ")</f>
        <v>0.6570451007155047</v>
      </c>
      <c r="AC186" s="46">
        <f t="shared" si="70"/>
        <v>7.9190125362387596E-3</v>
      </c>
      <c r="AD186" s="46">
        <f>IF(ISNUMBER(NORMSINV(SUM(AC$13:AC186)/AC$317)),NORMSINV(SUM(AC$13:AC186)/AC$317)," ")</f>
        <v>2.2842904545177909</v>
      </c>
      <c r="AE186" s="46">
        <f t="shared" si="71"/>
        <v>0</v>
      </c>
      <c r="AF186" s="46" t="str">
        <f>IF(ISNUMBER(NORMSINV(SUM(AE$13:AE186)/AE$317)),NORMSINV(SUM(AE$13:AE186)/AE$317)," ")</f>
        <v xml:space="preserve"> </v>
      </c>
      <c r="AG186" s="46">
        <f t="shared" si="72"/>
        <v>1.434349582040868</v>
      </c>
      <c r="AH186" s="46">
        <f>IF(ISNUMBER(NORMSINV(SUM(AG$13:AG186)/AG$317)),NORMSINV(SUM(AG$13:AG186)/AG$317)," ")</f>
        <v>0.62746901687302692</v>
      </c>
      <c r="AI186" s="46">
        <f t="shared" si="73"/>
        <v>1.020295969144883E-2</v>
      </c>
      <c r="AJ186" s="46">
        <f>IF(ISNUMBER(NORMSINV(SUM(AI$13:AI186)/AI$317)),NORMSINV(SUM(AI$13:AI186)/AI$317)," ")</f>
        <v>2.4822721528608409</v>
      </c>
      <c r="AK186" s="46">
        <f t="shared" si="74"/>
        <v>0</v>
      </c>
      <c r="AL186" s="46" t="str">
        <f>IF(ISNUMBER(NORMSINV(SUM(AK$13:AK186)/AK$317)),NORMSINV(SUM(AK$13:AK186)/AK$317)," ")</f>
        <v xml:space="preserve"> </v>
      </c>
      <c r="AM186" s="6">
        <v>0.4122145813856154</v>
      </c>
      <c r="AN186" s="6">
        <v>1.0821458138561531E-2</v>
      </c>
      <c r="AO186" s="6">
        <v>0</v>
      </c>
      <c r="AP186" s="6">
        <v>0.53617371859644725</v>
      </c>
      <c r="AQ186" s="6">
        <v>6.3673511626516476E-3</v>
      </c>
      <c r="AR186" s="6">
        <v>0</v>
      </c>
      <c r="AS186" s="6">
        <v>0.57667371859644712</v>
      </c>
      <c r="AT186" s="6">
        <v>4.1020534879549417E-3</v>
      </c>
      <c r="AU186" s="6">
        <v>0</v>
      </c>
    </row>
    <row r="187" spans="1:47" x14ac:dyDescent="0.4">
      <c r="A187" s="6">
        <f t="shared" si="59"/>
        <v>3.0867596904451262</v>
      </c>
      <c r="B187" s="6">
        <f>'Aerosol 1'!A191</f>
        <v>21.905980690823984</v>
      </c>
      <c r="C187" t="b">
        <f t="shared" si="60"/>
        <v>0</v>
      </c>
      <c r="E187" s="46">
        <f>'Aerosol 1'!$P191</f>
        <v>0.83088076457213389</v>
      </c>
      <c r="F187" s="46">
        <f>'Aerosol 2'!$P191</f>
        <v>0.83088076457213389</v>
      </c>
      <c r="G187" s="46">
        <f>'Aerosol 3'!$P191</f>
        <v>0.83088076457213389</v>
      </c>
      <c r="H187" s="46">
        <f t="shared" si="61"/>
        <v>2.4926422937164014</v>
      </c>
      <c r="I187" s="46">
        <f>NORMSINV(SUM(H$13:H187)/H$317)</f>
        <v>-7.4222136434593036E-2</v>
      </c>
      <c r="J187" s="46">
        <f t="shared" si="56"/>
        <v>0.44867561286895236</v>
      </c>
      <c r="K187" s="46">
        <f t="shared" si="57"/>
        <v>1.2463211468582007</v>
      </c>
      <c r="L187" s="46">
        <f t="shared" si="58"/>
        <v>2.4925425880246532</v>
      </c>
      <c r="M187" s="46">
        <f t="shared" si="62"/>
        <v>4.1875393477518061</v>
      </c>
      <c r="N187" s="46">
        <f>IF(ISNUMBER(NORMSINV(SUM(M$13:M187)/M$317)),NORMSINV(SUM(M$13:M187)/M$317)," ")</f>
        <v>-7.4222136434593314E-2</v>
      </c>
      <c r="O187" s="46">
        <f t="shared" si="63"/>
        <v>2.235043329641818</v>
      </c>
      <c r="P187" s="46">
        <f>IF(ISNUMBER(NORMSINV(SUM(O$13:O187)/O$317)),NORMSINV(SUM(O$13:O187)/O$317)," ")</f>
        <v>0.69243728950435179</v>
      </c>
      <c r="Q187" s="46">
        <f t="shared" si="64"/>
        <v>2.0762304815096055E-2</v>
      </c>
      <c r="R187" s="46">
        <f>IF(ISNUMBER(NORMSINV(SUM(Q$13:Q187)/Q$317)),NORMSINV(SUM(Q$13:Q187)/Q$317)," ")</f>
        <v>2.4074101982789236</v>
      </c>
      <c r="S187" s="46">
        <f t="shared" si="65"/>
        <v>0</v>
      </c>
      <c r="T187" s="46" t="str">
        <f>IF(ISNUMBER(NORMSINV(SUM(S$13:S187)/S$317)),NORMSINV(SUM(S$13:S187)/S$317)," ")</f>
        <v xml:space="preserve"> </v>
      </c>
      <c r="U187" s="46">
        <f t="shared" si="66"/>
        <v>0.1778958019728609</v>
      </c>
      <c r="V187" s="46">
        <f>IF(ISNUMBER(NORMSINV(SUM(U$13:U187)/U$317)),NORMSINV(SUM(U$13:U187)/U$317)," ")</f>
        <v>0.90578219709447316</v>
      </c>
      <c r="W187" s="46">
        <f t="shared" si="67"/>
        <v>4.2942335214783264E-3</v>
      </c>
      <c r="X187" s="46">
        <f>IF(ISNUMBER(NORMSINV(SUM(W$13:W187)/W$317)),NORMSINV(SUM(W$13:W187)/W$317)," ")</f>
        <v>2.1613644406845869</v>
      </c>
      <c r="Y187" s="46">
        <f t="shared" si="68"/>
        <v>0</v>
      </c>
      <c r="Z187" s="46" t="str">
        <f>IF(ISNUMBER(NORMSINV(SUM(Y$13:Y187)/Y$317)),NORMSINV(SUM(Y$13:Y187)/Y$317)," ")</f>
        <v xml:space="preserve"> </v>
      </c>
      <c r="AA187" s="46">
        <f t="shared" si="69"/>
        <v>0.65172738792924412</v>
      </c>
      <c r="AB187" s="46">
        <f>IF(ISNUMBER(NORMSINV(SUM(AA$13:AA187)/AA$317)),NORMSINV(SUM(AA$13:AA187)/AA$317)," ")</f>
        <v>0.69325900898654225</v>
      </c>
      <c r="AC187" s="46">
        <f t="shared" si="70"/>
        <v>7.3884184028404293E-3</v>
      </c>
      <c r="AD187" s="46">
        <f>IF(ISNUMBER(NORMSINV(SUM(AC$13:AC187)/AC$317)),NORMSINV(SUM(AC$13:AC187)/AC$317)," ")</f>
        <v>2.3323565630313658</v>
      </c>
      <c r="AE187" s="46">
        <f t="shared" si="71"/>
        <v>0</v>
      </c>
      <c r="AF187" s="46" t="str">
        <f>IF(ISNUMBER(NORMSINV(SUM(AE$13:AE187)/AE$317)),NORMSINV(SUM(AE$13:AE187)/AE$317)," ")</f>
        <v xml:space="preserve"> </v>
      </c>
      <c r="AG187" s="46">
        <f t="shared" si="72"/>
        <v>1.405420139739713</v>
      </c>
      <c r="AH187" s="46">
        <f>IF(ISNUMBER(NORMSINV(SUM(AG$13:AG187)/AG$317)),NORMSINV(SUM(AG$13:AG187)/AG$317)," ")</f>
        <v>0.66330623346054052</v>
      </c>
      <c r="AI187" s="46">
        <f t="shared" si="73"/>
        <v>9.0796528907772997E-3</v>
      </c>
      <c r="AJ187" s="46">
        <f>IF(ISNUMBER(NORMSINV(SUM(AI$13:AI187)/AI$317)),NORMSINV(SUM(AI$13:AI187)/AI$317)," ")</f>
        <v>2.5268364373979182</v>
      </c>
      <c r="AK187" s="46">
        <f t="shared" si="74"/>
        <v>0</v>
      </c>
      <c r="AL187" s="46" t="str">
        <f>IF(ISNUMBER(NORMSINV(SUM(AK$13:AK187)/AK$317)),NORMSINV(SUM(AK$13:AK187)/AK$317)," ")</f>
        <v xml:space="preserve"> </v>
      </c>
      <c r="AM187" s="6">
        <v>0.39649090984764551</v>
      </c>
      <c r="AN187" s="6">
        <v>9.5709091341511614E-3</v>
      </c>
      <c r="AO187" s="6">
        <v>0</v>
      </c>
      <c r="AP187" s="6">
        <v>0.52292090972872973</v>
      </c>
      <c r="AQ187" s="6">
        <v>5.9281818506133725E-3</v>
      </c>
      <c r="AR187" s="6">
        <v>0</v>
      </c>
      <c r="AS187" s="6">
        <v>0.56385000059457857</v>
      </c>
      <c r="AT187" s="6">
        <v>3.6427272835377906E-3</v>
      </c>
      <c r="AU187" s="6">
        <v>0</v>
      </c>
    </row>
    <row r="188" spans="1:47" x14ac:dyDescent="0.4">
      <c r="A188" s="6">
        <f t="shared" si="59"/>
        <v>3.1212382678763051</v>
      </c>
      <c r="B188" s="6">
        <f>'Aerosol 1'!A192</f>
        <v>22.674439296700601</v>
      </c>
      <c r="C188" t="b">
        <f t="shared" si="60"/>
        <v>0</v>
      </c>
      <c r="E188" s="46">
        <f>'Aerosol 1'!$P192</f>
        <v>0.83227434021160285</v>
      </c>
      <c r="F188" s="46">
        <f>'Aerosol 2'!$P192</f>
        <v>0.83227434021160285</v>
      </c>
      <c r="G188" s="46">
        <f>'Aerosol 3'!$P192</f>
        <v>0.83227434021160285</v>
      </c>
      <c r="H188" s="46">
        <f t="shared" si="61"/>
        <v>2.4968230206348085</v>
      </c>
      <c r="I188" s="46">
        <f>NORMSINV(SUM(H$13:H188)/H$317)</f>
        <v>-5.3212288640888089E-2</v>
      </c>
      <c r="J188" s="46">
        <f t="shared" si="56"/>
        <v>0.44942814371426559</v>
      </c>
      <c r="K188" s="46">
        <f t="shared" si="57"/>
        <v>1.2484115103174043</v>
      </c>
      <c r="L188" s="46">
        <f t="shared" si="58"/>
        <v>2.4967231477139831</v>
      </c>
      <c r="M188" s="46">
        <f t="shared" si="62"/>
        <v>4.1945628017456524</v>
      </c>
      <c r="N188" s="46">
        <f>IF(ISNUMBER(NORMSINV(SUM(M$13:M188)/M$317)),NORMSINV(SUM(M$13:M188)/M$317)," ")</f>
        <v>-5.3212288640888367E-2</v>
      </c>
      <c r="O188" s="46">
        <f t="shared" si="63"/>
        <v>2.1842565764905588</v>
      </c>
      <c r="P188" s="46">
        <f>IF(ISNUMBER(NORMSINV(SUM(O$13:O188)/O$317)),NORMSINV(SUM(O$13:O188)/O$317)," ")</f>
        <v>0.7284687901365805</v>
      </c>
      <c r="Q188" s="46">
        <f t="shared" si="64"/>
        <v>1.8515636128522438E-2</v>
      </c>
      <c r="R188" s="46">
        <f>IF(ISNUMBER(NORMSINV(SUM(Q$13:Q188)/Q$317)),NORMSINV(SUM(Q$13:Q188)/Q$317)," ")</f>
        <v>2.4528043332421476</v>
      </c>
      <c r="S188" s="46">
        <f t="shared" si="65"/>
        <v>0</v>
      </c>
      <c r="T188" s="46" t="str">
        <f>IF(ISNUMBER(NORMSINV(SUM(S$13:S188)/S$317)),NORMSINV(SUM(S$13:S188)/S$317)," ")</f>
        <v xml:space="preserve"> </v>
      </c>
      <c r="U188" s="46">
        <f t="shared" si="66"/>
        <v>0.17127214572155861</v>
      </c>
      <c r="V188" s="46">
        <f>IF(ISNUMBER(NORMSINV(SUM(U$13:U188)/U$317)),NORMSINV(SUM(U$13:U188)/U$317)," ")</f>
        <v>0.94263765493082319</v>
      </c>
      <c r="W188" s="46">
        <f t="shared" si="67"/>
        <v>3.9343154832463395E-3</v>
      </c>
      <c r="X188" s="46">
        <f>IF(ISNUMBER(NORMSINV(SUM(W$13:W188)/W$317)),NORMSINV(SUM(W$13:W188)/W$317)," ")</f>
        <v>2.2080138923293826</v>
      </c>
      <c r="Y188" s="46">
        <f t="shared" si="68"/>
        <v>0</v>
      </c>
      <c r="Z188" s="46" t="str">
        <f>IF(ISNUMBER(NORMSINV(SUM(Y$13:Y188)/Y$317)),NORMSINV(SUM(Y$13:Y188)/Y$317)," ")</f>
        <v xml:space="preserve"> </v>
      </c>
      <c r="AA188" s="46">
        <f t="shared" si="69"/>
        <v>0.63626908242798874</v>
      </c>
      <c r="AB188" s="46">
        <f>IF(ISNUMBER(NORMSINV(SUM(AA$13:AA188)/AA$317)),NORMSINV(SUM(AA$13:AA188)/AA$317)," ")</f>
        <v>0.729513226645783</v>
      </c>
      <c r="AC188" s="46">
        <f t="shared" si="70"/>
        <v>6.456864009775169E-3</v>
      </c>
      <c r="AD188" s="46">
        <f>IF(ISNUMBER(NORMSINV(SUM(AC$13:AC188)/AC$317)),NORMSINV(SUM(AC$13:AC188)/AC$317)," ")</f>
        <v>2.3792825079528073</v>
      </c>
      <c r="AE188" s="46">
        <f t="shared" si="71"/>
        <v>0</v>
      </c>
      <c r="AF188" s="46" t="str">
        <f>IF(ISNUMBER(NORMSINV(SUM(AE$13:AE188)/AE$317)),NORMSINV(SUM(AE$13:AE188)/AE$317)," ")</f>
        <v xml:space="preserve"> </v>
      </c>
      <c r="AG188" s="46">
        <f t="shared" si="72"/>
        <v>1.3767153483410117</v>
      </c>
      <c r="AH188" s="46">
        <f>IF(ISNUMBER(NORMSINV(SUM(AG$13:AG188)/AG$317)),NORMSINV(SUM(AG$13:AG188)/AG$317)," ")</f>
        <v>0.69925729364713196</v>
      </c>
      <c r="AI188" s="46">
        <f t="shared" si="73"/>
        <v>8.1244566355009266E-3</v>
      </c>
      <c r="AJ188" s="46">
        <f>IF(ISNUMBER(NORMSINV(SUM(AI$13:AI188)/AI$317)),NORMSINV(SUM(AI$13:AI188)/AI$317)," ")</f>
        <v>2.5714683180869615</v>
      </c>
      <c r="AK188" s="46">
        <f t="shared" si="74"/>
        <v>0</v>
      </c>
      <c r="AL188" s="46" t="str">
        <f>IF(ISNUMBER(NORMSINV(SUM(AK$13:AK188)/AK$317)),NORMSINV(SUM(AK$13:AK188)/AK$317)," ")</f>
        <v xml:space="preserve"> </v>
      </c>
      <c r="AM188" s="6">
        <v>0.38108905309332131</v>
      </c>
      <c r="AN188" s="6">
        <v>8.7540478678782355E-3</v>
      </c>
      <c r="AO188" s="6">
        <v>0</v>
      </c>
      <c r="AP188" s="6">
        <v>0.50966294140160529</v>
      </c>
      <c r="AQ188" s="6">
        <v>5.1720638238376493E-3</v>
      </c>
      <c r="AR188" s="6">
        <v>0</v>
      </c>
      <c r="AS188" s="6">
        <v>0.55140889353372713</v>
      </c>
      <c r="AT188" s="6">
        <v>3.2540478678782367E-3</v>
      </c>
      <c r="AU188" s="6">
        <v>0</v>
      </c>
    </row>
    <row r="189" spans="1:47" x14ac:dyDescent="0.4">
      <c r="A189" s="6">
        <f t="shared" si="59"/>
        <v>3.155716845307484</v>
      </c>
      <c r="B189" s="6">
        <f>'Aerosol 1'!A193</f>
        <v>23.469855318329582</v>
      </c>
      <c r="C189" t="b">
        <f t="shared" si="60"/>
        <v>0</v>
      </c>
      <c r="E189" s="46">
        <f>'Aerosol 1'!$P193</f>
        <v>0.83330573373905925</v>
      </c>
      <c r="F189" s="46">
        <f>'Aerosol 2'!$P193</f>
        <v>0.83330573373905925</v>
      </c>
      <c r="G189" s="46">
        <f>'Aerosol 3'!$P193</f>
        <v>0.83330573373905925</v>
      </c>
      <c r="H189" s="46">
        <f t="shared" si="61"/>
        <v>2.499917201217178</v>
      </c>
      <c r="I189" s="46">
        <f>NORMSINV(SUM(H$13:H189)/H$317)</f>
        <v>-3.2199909234249841E-2</v>
      </c>
      <c r="J189" s="46">
        <f t="shared" si="56"/>
        <v>0.44998509621909205</v>
      </c>
      <c r="K189" s="46">
        <f t="shared" si="57"/>
        <v>1.249958600608589</v>
      </c>
      <c r="L189" s="46">
        <f t="shared" si="58"/>
        <v>2.4998172045291294</v>
      </c>
      <c r="M189" s="46">
        <f t="shared" si="62"/>
        <v>4.1997609013568109</v>
      </c>
      <c r="N189" s="46">
        <f>IF(ISNUMBER(NORMSINV(SUM(M$13:M189)/M$317)),NORMSINV(SUM(M$13:M189)/M$317)," ")</f>
        <v>-3.2199909234250264E-2</v>
      </c>
      <c r="O189" s="46">
        <f t="shared" si="63"/>
        <v>2.1324748642749958</v>
      </c>
      <c r="P189" s="46">
        <f>IF(ISNUMBER(NORMSINV(SUM(O$13:O189)/O$317)),NORMSINV(SUM(O$13:O189)/O$317)," ")</f>
        <v>0.76458266337965064</v>
      </c>
      <c r="Q189" s="46">
        <f t="shared" si="64"/>
        <v>1.6109461038000997E-2</v>
      </c>
      <c r="R189" s="46">
        <f>IF(ISNUMBER(NORMSINV(SUM(Q$13:Q189)/Q$317)),NORMSINV(SUM(Q$13:Q189)/Q$317)," ")</f>
        <v>2.4968792446953274</v>
      </c>
      <c r="S189" s="46">
        <f t="shared" si="65"/>
        <v>0</v>
      </c>
      <c r="T189" s="46" t="str">
        <f>IF(ISNUMBER(NORMSINV(SUM(S$13:S189)/S$317)),NORMSINV(SUM(S$13:S189)/S$317)," ")</f>
        <v xml:space="preserve"> </v>
      </c>
      <c r="U189" s="46">
        <f t="shared" si="66"/>
        <v>0.16483329650980963</v>
      </c>
      <c r="V189" s="46">
        <f>IF(ISNUMBER(NORMSINV(SUM(U$13:U189)/U$317)),NORMSINV(SUM(U$13:U189)/U$317)," ")</f>
        <v>0.97935897444755715</v>
      </c>
      <c r="W189" s="46">
        <f t="shared" si="67"/>
        <v>3.6101500228072408E-3</v>
      </c>
      <c r="X189" s="46">
        <f>IF(ISNUMBER(NORMSINV(SUM(W$13:W189)/W$317)),NORMSINV(SUM(W$13:W189)/W$317)," ")</f>
        <v>2.2555070473898651</v>
      </c>
      <c r="Y189" s="46">
        <f t="shared" si="68"/>
        <v>0</v>
      </c>
      <c r="Z189" s="46" t="str">
        <f>IF(ISNUMBER(NORMSINV(SUM(Y$13:Y189)/Y$317)),NORMSINV(SUM(Y$13:Y189)/Y$317)," ")</f>
        <v xml:space="preserve"> </v>
      </c>
      <c r="AA189" s="46">
        <f t="shared" si="69"/>
        <v>0.62069131539302058</v>
      </c>
      <c r="AB189" s="46">
        <f>IF(ISNUMBER(NORMSINV(SUM(AA$13:AA189)/AA$317)),NORMSINV(SUM(AA$13:AA189)/AA$317)," ")</f>
        <v>0.76582841081120145</v>
      </c>
      <c r="AC189" s="46">
        <f t="shared" si="70"/>
        <v>5.6248137027386487E-3</v>
      </c>
      <c r="AD189" s="46">
        <f>IF(ISNUMBER(NORMSINV(SUM(AC$13:AC189)/AC$317)),NORMSINV(SUM(AC$13:AC189)/AC$317)," ")</f>
        <v>2.4249195703216184</v>
      </c>
      <c r="AE189" s="46">
        <f t="shared" si="71"/>
        <v>0</v>
      </c>
      <c r="AF189" s="46" t="str">
        <f>IF(ISNUMBER(NORMSINV(SUM(AE$13:AE189)/AE$317)),NORMSINV(SUM(AE$13:AE189)/AE$317)," ")</f>
        <v xml:space="preserve"> </v>
      </c>
      <c r="AG189" s="46">
        <f t="shared" si="72"/>
        <v>1.3469502523721657</v>
      </c>
      <c r="AH189" s="46">
        <f>IF(ISNUMBER(NORMSINV(SUM(AG$13:AG189)/AG$317)),NORMSINV(SUM(AG$13:AG189)/AG$317)," ")</f>
        <v>0.73532797784578707</v>
      </c>
      <c r="AI189" s="46">
        <f t="shared" si="73"/>
        <v>6.8744973124551054E-3</v>
      </c>
      <c r="AJ189" s="46">
        <f>IF(ISNUMBER(NORMSINV(SUM(AI$13:AI189)/AI$317)),NORMSINV(SUM(AI$13:AI189)/AI$317)," ")</f>
        <v>2.6136958015060654</v>
      </c>
      <c r="AK189" s="46">
        <f t="shared" si="74"/>
        <v>0</v>
      </c>
      <c r="AL189" s="46" t="str">
        <f>IF(ISNUMBER(NORMSINV(SUM(AK$13:AK189)/AK$317)),NORMSINV(SUM(AK$13:AK189)/AK$317)," ")</f>
        <v xml:space="preserve"> </v>
      </c>
      <c r="AM189" s="6">
        <v>0.36630834642033205</v>
      </c>
      <c r="AN189" s="6">
        <v>8.0228213181742902E-3</v>
      </c>
      <c r="AO189" s="6">
        <v>0</v>
      </c>
      <c r="AP189" s="6">
        <v>0.49656949845443993</v>
      </c>
      <c r="AQ189" s="6">
        <v>4.4999999999999988E-3</v>
      </c>
      <c r="AR189" s="6">
        <v>0</v>
      </c>
      <c r="AS189" s="6">
        <v>0.53881949845443999</v>
      </c>
      <c r="AT189" s="6">
        <v>2.7499999999999998E-3</v>
      </c>
      <c r="AU189" s="6">
        <v>0</v>
      </c>
    </row>
    <row r="190" spans="1:47" x14ac:dyDescent="0.4">
      <c r="A190" s="6">
        <f t="shared" si="59"/>
        <v>3.1901954227386629</v>
      </c>
      <c r="B190" s="6">
        <f>'Aerosol 1'!A194</f>
        <v>24.293174417921602</v>
      </c>
      <c r="C190" t="b">
        <f t="shared" si="60"/>
        <v>0</v>
      </c>
      <c r="E190" s="46">
        <f>'Aerosol 1'!$P194</f>
        <v>0.83397359381594538</v>
      </c>
      <c r="F190" s="46">
        <f>'Aerosol 2'!$P194</f>
        <v>0.83397359381594538</v>
      </c>
      <c r="G190" s="46">
        <f>'Aerosol 3'!$P194</f>
        <v>0.83397359381594538</v>
      </c>
      <c r="H190" s="46">
        <f t="shared" si="61"/>
        <v>2.5019207814478364</v>
      </c>
      <c r="I190" s="46">
        <f>NORMSINV(SUM(H$13:H190)/H$317)</f>
        <v>-1.1184912740485052E-2</v>
      </c>
      <c r="J190" s="46">
        <f t="shared" si="56"/>
        <v>0.45034574066061056</v>
      </c>
      <c r="K190" s="46">
        <f t="shared" si="57"/>
        <v>1.2509603907239182</v>
      </c>
      <c r="L190" s="46">
        <f t="shared" si="58"/>
        <v>2.5018207046165784</v>
      </c>
      <c r="M190" s="46">
        <f t="shared" si="62"/>
        <v>4.2031268360011076</v>
      </c>
      <c r="N190" s="46">
        <f>IF(ISNUMBER(NORMSINV(SUM(M$13:M190)/M$317)),NORMSINV(SUM(M$13:M190)/M$317)," ")</f>
        <v>-1.118491274048547E-2</v>
      </c>
      <c r="O190" s="46">
        <f t="shared" si="63"/>
        <v>2.080388626283221</v>
      </c>
      <c r="P190" s="46">
        <f>IF(ISNUMBER(NORMSINV(SUM(O$13:O190)/O$317)),NORMSINV(SUM(O$13:O190)/O$317)," ")</f>
        <v>0.80080221633057647</v>
      </c>
      <c r="Q190" s="46">
        <f t="shared" si="64"/>
        <v>1.5598177547275598E-2</v>
      </c>
      <c r="R190" s="46">
        <f>IF(ISNUMBER(NORMSINV(SUM(Q$13:Q190)/Q$317)),NORMSINV(SUM(Q$13:Q190)/Q$317)," ")</f>
        <v>2.5447433392745253</v>
      </c>
      <c r="S190" s="46">
        <f t="shared" si="65"/>
        <v>0</v>
      </c>
      <c r="T190" s="46" t="str">
        <f>IF(ISNUMBER(NORMSINV(SUM(S$13:S190)/S$317)),NORMSINV(SUM(S$13:S190)/S$317)," ")</f>
        <v xml:space="preserve"> </v>
      </c>
      <c r="U190" s="46">
        <f t="shared" si="66"/>
        <v>0.15843853895789448</v>
      </c>
      <c r="V190" s="46">
        <f>IF(ISNUMBER(NORMSINV(SUM(U$13:U190)/U$317)),NORMSINV(SUM(U$13:U190)/U$317)," ")</f>
        <v>1.0159455622745217</v>
      </c>
      <c r="W190" s="46">
        <f t="shared" si="67"/>
        <v>3.2078743705568715E-3</v>
      </c>
      <c r="X190" s="46">
        <f>IF(ISNUMBER(NORMSINV(SUM(W$13:W190)/W$317)),NORMSINV(SUM(W$13:W190)/W$317)," ")</f>
        <v>2.3024497486186846</v>
      </c>
      <c r="Y190" s="46">
        <f t="shared" si="68"/>
        <v>0</v>
      </c>
      <c r="Z190" s="46" t="str">
        <f>IF(ISNUMBER(NORMSINV(SUM(Y$13:Y190)/Y$317)),NORMSINV(SUM(Y$13:Y190)/Y$317)," ")</f>
        <v xml:space="preserve"> </v>
      </c>
      <c r="AA190" s="46">
        <f t="shared" si="69"/>
        <v>0.60535284975560977</v>
      </c>
      <c r="AB190" s="46">
        <f>IF(ISNUMBER(NORMSINV(SUM(AA$13:AA190)/AA$317)),NORMSINV(SUM(AA$13:AA190)/AA$317)," ")</f>
        <v>0.80224637331343795</v>
      </c>
      <c r="AC190" s="46">
        <f t="shared" si="70"/>
        <v>5.5102962390231377E-3</v>
      </c>
      <c r="AD190" s="46">
        <f>IF(ISNUMBER(NORMSINV(SUM(AC$13:AC190)/AC$317)),NORMSINV(SUM(AC$13:AC190)/AC$317)," ")</f>
        <v>2.4751344073143504</v>
      </c>
      <c r="AE190" s="46">
        <f t="shared" si="71"/>
        <v>0</v>
      </c>
      <c r="AF190" s="46" t="str">
        <f>IF(ISNUMBER(NORMSINV(SUM(AE$13:AE190)/AE$317)),NORMSINV(SUM(AE$13:AE190)/AE$317)," ")</f>
        <v xml:space="preserve"> </v>
      </c>
      <c r="AG190" s="46">
        <f t="shared" si="72"/>
        <v>1.3165972375697168</v>
      </c>
      <c r="AH190" s="46">
        <f>IF(ISNUMBER(NORMSINV(SUM(AG$13:AG190)/AG$317)),NORMSINV(SUM(AG$13:AG190)/AG$317)," ")</f>
        <v>0.77153527210548123</v>
      </c>
      <c r="AI190" s="46">
        <f t="shared" si="73"/>
        <v>6.8800069376955897E-3</v>
      </c>
      <c r="AJ190" s="46">
        <f>IF(ISNUMBER(NORMSINV(SUM(AI$13:AI190)/AI$317)),NORMSINV(SUM(AI$13:AI190)/AI$317)," ")</f>
        <v>2.6612123664173875</v>
      </c>
      <c r="AK190" s="46">
        <f t="shared" si="74"/>
        <v>0</v>
      </c>
      <c r="AL190" s="46" t="str">
        <f>IF(ISNUMBER(NORMSINV(SUM(AK$13:AK190)/AK$317)),NORMSINV(SUM(AK$13:AK190)/AK$317)," ")</f>
        <v xml:space="preserve"> </v>
      </c>
      <c r="AM190" s="6">
        <v>0.3518153379789527</v>
      </c>
      <c r="AN190" s="6">
        <v>7.1231369166526413E-3</v>
      </c>
      <c r="AO190" s="6">
        <v>0</v>
      </c>
      <c r="AP190" s="6">
        <v>0.4839104852914633</v>
      </c>
      <c r="AQ190" s="6">
        <v>4.4048526874894776E-3</v>
      </c>
      <c r="AR190" s="6">
        <v>0</v>
      </c>
      <c r="AS190" s="6">
        <v>0.52625563260397379</v>
      </c>
      <c r="AT190" s="6">
        <v>2.7499999999999998E-3</v>
      </c>
      <c r="AU190" s="6">
        <v>0</v>
      </c>
    </row>
    <row r="191" spans="1:47" x14ac:dyDescent="0.4">
      <c r="A191" s="6">
        <f t="shared" si="59"/>
        <v>3.2246740001698417</v>
      </c>
      <c r="B191" s="6">
        <f>'Aerosol 1'!A195</f>
        <v>25.145375431379691</v>
      </c>
      <c r="C191" t="b">
        <f t="shared" si="60"/>
        <v>0</v>
      </c>
      <c r="E191" s="46">
        <f>'Aerosol 1'!$P195</f>
        <v>0.83427704481215392</v>
      </c>
      <c r="F191" s="46">
        <f>'Aerosol 2'!$P195</f>
        <v>0.83427704481215392</v>
      </c>
      <c r="G191" s="46">
        <f>'Aerosol 3'!$P195</f>
        <v>0.83427704481215392</v>
      </c>
      <c r="H191" s="46">
        <f t="shared" si="61"/>
        <v>2.5028311344364615</v>
      </c>
      <c r="I191" s="46">
        <f>NORMSINV(SUM(H$13:H191)/H$317)</f>
        <v>9.8327897559391982E-3</v>
      </c>
      <c r="J191" s="46">
        <f t="shared" si="56"/>
        <v>0.45050960419856317</v>
      </c>
      <c r="K191" s="46">
        <f t="shared" si="57"/>
        <v>1.2514155672182308</v>
      </c>
      <c r="L191" s="46">
        <f t="shared" si="58"/>
        <v>2.5027310211910843</v>
      </c>
      <c r="M191" s="46">
        <f t="shared" si="62"/>
        <v>4.204656192607878</v>
      </c>
      <c r="N191" s="46">
        <f>IF(ISNUMBER(NORMSINV(SUM(M$13:M191)/M$317)),NORMSINV(SUM(M$13:M191)/M$317)," ")</f>
        <v>9.832789755938643E-3</v>
      </c>
      <c r="O191" s="46">
        <f t="shared" si="63"/>
        <v>2.027680710971894</v>
      </c>
      <c r="P191" s="46">
        <f>IF(ISNUMBER(NORMSINV(SUM(O$13:O191)/O$317)),NORMSINV(SUM(O$13:O191)/O$317)," ")</f>
        <v>0.83714475910611152</v>
      </c>
      <c r="Q191" s="46">
        <f t="shared" si="64"/>
        <v>1.4306044515246613E-2</v>
      </c>
      <c r="R191" s="46">
        <f>IF(ISNUMBER(NORMSINV(SUM(Q$13:Q191)/Q$317)),NORMSINV(SUM(Q$13:Q191)/Q$317)," ")</f>
        <v>2.5944424614739896</v>
      </c>
      <c r="S191" s="46">
        <f t="shared" si="65"/>
        <v>0</v>
      </c>
      <c r="T191" s="46" t="str">
        <f>IF(ISNUMBER(NORMSINV(SUM(S$13:S191)/S$317)),NORMSINV(SUM(S$13:S191)/S$317)," ")</f>
        <v xml:space="preserve"> </v>
      </c>
      <c r="U191" s="46">
        <f t="shared" si="66"/>
        <v>0.15231240546742736</v>
      </c>
      <c r="V191" s="46">
        <f>IF(ISNUMBER(NORMSINV(SUM(U$13:U191)/U$317)),NORMSINV(SUM(U$13:U191)/U$317)," ")</f>
        <v>1.0524477015479352</v>
      </c>
      <c r="W191" s="46">
        <f t="shared" si="67"/>
        <v>2.8065819662187476E-3</v>
      </c>
      <c r="X191" s="46">
        <f>IF(ISNUMBER(NORMSINV(SUM(W$13:W191)/W$317)),NORMSINV(SUM(W$13:W191)/W$317)," ")</f>
        <v>2.3481414555008464</v>
      </c>
      <c r="Y191" s="46">
        <f t="shared" si="68"/>
        <v>0</v>
      </c>
      <c r="Z191" s="46" t="str">
        <f>IF(ISNUMBER(NORMSINV(SUM(Y$13:Y191)/Y$317)),NORMSINV(SUM(Y$13:Y191)/Y$317)," ")</f>
        <v xml:space="preserve"> </v>
      </c>
      <c r="AA191" s="46">
        <f t="shared" si="69"/>
        <v>0.58926600429119769</v>
      </c>
      <c r="AB191" s="46">
        <f>IF(ISNUMBER(NORMSINV(SUM(AA$13:AA191)/AA$317)),NORMSINV(SUM(AA$13:AA191)/AA$317)," ")</f>
        <v>0.83874869832662557</v>
      </c>
      <c r="AC191" s="46">
        <f t="shared" si="70"/>
        <v>4.6843796177884816E-3</v>
      </c>
      <c r="AD191" s="46">
        <f>IF(ISNUMBER(NORMSINV(SUM(AC$13:AC191)/AC$317)),NORMSINV(SUM(AC$13:AC191)/AC$317)," ")</f>
        <v>2.5233525759837656</v>
      </c>
      <c r="AE191" s="46">
        <f t="shared" si="71"/>
        <v>0</v>
      </c>
      <c r="AF191" s="46" t="str">
        <f>IF(ISNUMBER(NORMSINV(SUM(AE$13:AE191)/AE$317)),NORMSINV(SUM(AE$13:AE191)/AE$317)," ")</f>
        <v xml:space="preserve"> </v>
      </c>
      <c r="AG191" s="46">
        <f t="shared" si="72"/>
        <v>1.2861023012132689</v>
      </c>
      <c r="AH191" s="46">
        <f>IF(ISNUMBER(NORMSINV(SUM(AG$13:AG191)/AG$317)),NORMSINV(SUM(AG$13:AG191)/AG$317)," ")</f>
        <v>0.8079081699775833</v>
      </c>
      <c r="AI191" s="46">
        <f t="shared" si="73"/>
        <v>6.8150829312393843E-3</v>
      </c>
      <c r="AJ191" s="46">
        <f>IF(ISNUMBER(NORMSINV(SUM(AI$13:AI191)/AI$317)),NORMSINV(SUM(AI$13:AI191)/AI$317)," ")</f>
        <v>2.715071752943071</v>
      </c>
      <c r="AK191" s="46">
        <f t="shared" si="74"/>
        <v>0</v>
      </c>
      <c r="AL191" s="46" t="str">
        <f>IF(ISNUMBER(NORMSINV(SUM(AK$13:AK191)/AK$317)),NORMSINV(SUM(AK$13:AK191)/AK$317)," ")</f>
        <v xml:space="preserve"> </v>
      </c>
      <c r="AM191" s="6">
        <v>0.33808914182503269</v>
      </c>
      <c r="AN191" s="6">
        <v>6.2297938602475164E-3</v>
      </c>
      <c r="AO191" s="6">
        <v>0</v>
      </c>
      <c r="AP191" s="6">
        <v>0.47087955410453775</v>
      </c>
      <c r="AQ191" s="6">
        <v>3.7432646200825041E-3</v>
      </c>
      <c r="AR191" s="6">
        <v>0</v>
      </c>
      <c r="AS191" s="6">
        <v>0.51387955410453778</v>
      </c>
      <c r="AT191" s="6">
        <v>2.7230584803300166E-3</v>
      </c>
      <c r="AU191" s="6">
        <v>0</v>
      </c>
    </row>
    <row r="192" spans="1:47" x14ac:dyDescent="0.4">
      <c r="A192" s="6">
        <f t="shared" si="59"/>
        <v>3.2591525776010211</v>
      </c>
      <c r="B192" s="6">
        <f>'Aerosol 1'!A196</f>
        <v>26.027471532027516</v>
      </c>
      <c r="C192" t="b">
        <f t="shared" si="60"/>
        <v>0</v>
      </c>
      <c r="E192" s="46">
        <f>'Aerosol 1'!$P196</f>
        <v>0.83421568871913099</v>
      </c>
      <c r="F192" s="46">
        <f>'Aerosol 2'!$P196</f>
        <v>0.83421568871913099</v>
      </c>
      <c r="G192" s="46">
        <f>'Aerosol 3'!$P196</f>
        <v>0.83421568871913099</v>
      </c>
      <c r="H192" s="46">
        <f t="shared" si="61"/>
        <v>2.502647066157393</v>
      </c>
      <c r="I192" s="46">
        <f>NORMSINV(SUM(H$13:H192)/H$317)</f>
        <v>3.0853290770758247E-2</v>
      </c>
      <c r="J192" s="46">
        <f t="shared" si="56"/>
        <v>0.45047647190833079</v>
      </c>
      <c r="K192" s="46">
        <f t="shared" si="57"/>
        <v>1.2513235330786965</v>
      </c>
      <c r="L192" s="46">
        <f t="shared" si="58"/>
        <v>2.5025469602747465</v>
      </c>
      <c r="M192" s="46">
        <f t="shared" si="62"/>
        <v>4.2043469652617738</v>
      </c>
      <c r="N192" s="46">
        <f>IF(ISNUMBER(NORMSINV(SUM(M$13:M192)/M$317)),NORMSINV(SUM(M$13:M192)/M$317)," ")</f>
        <v>3.0853290770757692E-2</v>
      </c>
      <c r="O192" s="46">
        <f t="shared" si="63"/>
        <v>1.9750335524814517</v>
      </c>
      <c r="P192" s="46">
        <f>IF(ISNUMBER(NORMSINV(SUM(O$13:O192)/O$317)),NORMSINV(SUM(O$13:O192)/O$317)," ")</f>
        <v>0.8736394796189364</v>
      </c>
      <c r="Q192" s="46">
        <f t="shared" si="64"/>
        <v>1.1474569604808735E-2</v>
      </c>
      <c r="R192" s="46">
        <f>IF(ISNUMBER(NORMSINV(SUM(Q$13:Q192)/Q$317)),NORMSINV(SUM(Q$13:Q192)/Q$317)," ")</f>
        <v>2.639521303616768</v>
      </c>
      <c r="S192" s="46">
        <f t="shared" si="65"/>
        <v>0</v>
      </c>
      <c r="T192" s="46" t="str">
        <f>IF(ISNUMBER(NORMSINV(SUM(S$13:S192)/S$317)),NORMSINV(SUM(S$13:S192)/S$317)," ")</f>
        <v xml:space="preserve"> </v>
      </c>
      <c r="U192" s="46">
        <f t="shared" si="66"/>
        <v>0.1461347298257186</v>
      </c>
      <c r="V192" s="46">
        <f>IF(ISNUMBER(NORMSINV(SUM(U$13:U192)/U$317)),NORMSINV(SUM(U$13:U192)/U$317)," ")</f>
        <v>1.0888386108704848</v>
      </c>
      <c r="W192" s="46">
        <f t="shared" si="67"/>
        <v>2.5031063470376549E-3</v>
      </c>
      <c r="X192" s="46">
        <f>IF(ISNUMBER(NORMSINV(SUM(W$13:W192)/W$317)),NORMSINV(SUM(W$13:W192)/W$317)," ")</f>
        <v>2.3934888067994438</v>
      </c>
      <c r="Y192" s="46">
        <f t="shared" si="68"/>
        <v>0</v>
      </c>
      <c r="Z192" s="46" t="str">
        <f>IF(ISNUMBER(NORMSINV(SUM(Y$13:Y192)/Y$317)),NORMSINV(SUM(Y$13:Y192)/Y$317)," ")</f>
        <v xml:space="preserve"> </v>
      </c>
      <c r="AA192" s="46">
        <f t="shared" si="69"/>
        <v>0.57377840187868967</v>
      </c>
      <c r="AB192" s="46">
        <f>IF(ISNUMBER(NORMSINV(SUM(AA$13:AA192)/AA$317)),NORMSINV(SUM(AA$13:AA192)/AA$317)," ")</f>
        <v>0.87539886074564188</v>
      </c>
      <c r="AC192" s="46">
        <f t="shared" si="70"/>
        <v>4.4032302838697291E-3</v>
      </c>
      <c r="AD192" s="46">
        <f>IF(ISNUMBER(NORMSINV(SUM(AC$13:AC192)/AC$317)),NORMSINV(SUM(AC$13:AC192)/AC$317)," ")</f>
        <v>2.5747433066183674</v>
      </c>
      <c r="AE192" s="46">
        <f t="shared" si="71"/>
        <v>0</v>
      </c>
      <c r="AF192" s="46" t="str">
        <f>IF(ISNUMBER(NORMSINV(SUM(AE$13:AE192)/AE$317)),NORMSINV(SUM(AE$13:AE192)/AE$317)," ")</f>
        <v xml:space="preserve"> </v>
      </c>
      <c r="AG192" s="46">
        <f t="shared" si="72"/>
        <v>1.2551204207770434</v>
      </c>
      <c r="AH192" s="46">
        <f>IF(ISNUMBER(NORMSINV(SUM(AG$13:AG192)/AG$317)),NORMSINV(SUM(AG$13:AG192)/AG$317)," ")</f>
        <v>0.8444661177573155</v>
      </c>
      <c r="AI192" s="46">
        <f t="shared" si="73"/>
        <v>4.5682329739013504E-3</v>
      </c>
      <c r="AJ192" s="46">
        <f>IF(ISNUMBER(NORMSINV(SUM(AI$13:AI192)/AI$317)),NORMSINV(SUM(AI$13:AI192)/AI$317)," ")</f>
        <v>2.7561461879436377</v>
      </c>
      <c r="AK192" s="46">
        <f t="shared" si="74"/>
        <v>0</v>
      </c>
      <c r="AL192" s="46" t="str">
        <f>IF(ISNUMBER(NORMSINV(SUM(AK$13:AK192)/AK$317)),NORMSINV(SUM(AK$13:AK192)/AK$317)," ")</f>
        <v xml:space="preserve"> </v>
      </c>
      <c r="AM192" s="6">
        <v>0.32440036037099873</v>
      </c>
      <c r="AN192" s="6">
        <v>5.5565751002130508E-3</v>
      </c>
      <c r="AO192" s="6">
        <v>0</v>
      </c>
      <c r="AP192" s="6">
        <v>0.45853721017057258</v>
      </c>
      <c r="AQ192" s="6">
        <v>3.5188583667376833E-3</v>
      </c>
      <c r="AR192" s="6">
        <v>0</v>
      </c>
      <c r="AS192" s="6">
        <v>0.50153721017057273</v>
      </c>
      <c r="AT192" s="6">
        <v>1.8254334669507337E-3</v>
      </c>
      <c r="AU192" s="6">
        <v>0</v>
      </c>
    </row>
    <row r="193" spans="1:47" x14ac:dyDescent="0.4">
      <c r="A193" s="6">
        <f t="shared" si="59"/>
        <v>3.2936311550322004</v>
      </c>
      <c r="B193" s="6">
        <f>'Aerosol 1'!A197</f>
        <v>26.940511435161067</v>
      </c>
      <c r="C193" t="b">
        <f t="shared" si="60"/>
        <v>0</v>
      </c>
      <c r="E193" s="46">
        <f>'Aerosol 1'!$P197</f>
        <v>0.83378960601971919</v>
      </c>
      <c r="F193" s="46">
        <f>'Aerosol 2'!$P197</f>
        <v>0.83378960601971919</v>
      </c>
      <c r="G193" s="46">
        <f>'Aerosol 3'!$P197</f>
        <v>0.83378960601971919</v>
      </c>
      <c r="H193" s="46">
        <f t="shared" si="61"/>
        <v>2.5013688180591576</v>
      </c>
      <c r="I193" s="46">
        <f>NORMSINV(SUM(H$13:H193)/H$317)</f>
        <v>5.1876686586998615E-2</v>
      </c>
      <c r="J193" s="46">
        <f t="shared" si="56"/>
        <v>0.45024638725064842</v>
      </c>
      <c r="K193" s="46">
        <f t="shared" si="57"/>
        <v>1.2506844090295788</v>
      </c>
      <c r="L193" s="46">
        <f t="shared" si="58"/>
        <v>2.5012687633064354</v>
      </c>
      <c r="M193" s="46">
        <f t="shared" si="62"/>
        <v>4.2021995595866626</v>
      </c>
      <c r="N193" s="46">
        <f>IF(ISNUMBER(NORMSINV(SUM(M$13:M193)/M$317)),NORMSINV(SUM(M$13:M193)/M$317)," ")</f>
        <v>5.1876686586998337E-2</v>
      </c>
      <c r="O193" s="46">
        <f t="shared" si="63"/>
        <v>1.924548770308478</v>
      </c>
      <c r="P193" s="46">
        <f>IF(ISNUMBER(NORMSINV(SUM(O$13:O193)/O$317)),NORMSINV(SUM(O$13:O193)/O$317)," ")</f>
        <v>0.91035695892759272</v>
      </c>
      <c r="Q193" s="46">
        <f t="shared" si="64"/>
        <v>1.0367843583478751E-2</v>
      </c>
      <c r="R193" s="46">
        <f>IF(ISNUMBER(NORMSINV(SUM(Q$13:Q193)/Q$317)),NORMSINV(SUM(Q$13:Q193)/Q$317)," ")</f>
        <v>2.685448855729577</v>
      </c>
      <c r="S193" s="46">
        <f t="shared" si="65"/>
        <v>0</v>
      </c>
      <c r="T193" s="46" t="str">
        <f>IF(ISNUMBER(NORMSINV(SUM(S$13:S193)/S$317)),NORMSINV(SUM(S$13:S193)/S$317)," ")</f>
        <v xml:space="preserve"> </v>
      </c>
      <c r="U193" s="46">
        <f t="shared" si="66"/>
        <v>0.14054833664898941</v>
      </c>
      <c r="V193" s="46">
        <f>IF(ISNUMBER(NORMSINV(SUM(U$13:U193)/U$317)),NORMSINV(SUM(U$13:U193)/U$317)," ")</f>
        <v>1.1252533675556626</v>
      </c>
      <c r="W193" s="46">
        <f t="shared" si="67"/>
        <v>2.3838772034011093E-3</v>
      </c>
      <c r="X193" s="46">
        <f>IF(ISNUMBER(NORMSINV(SUM(W$13:W193)/W$317)),NORMSINV(SUM(W$13:W193)/W$317)," ")</f>
        <v>2.4417963633633066</v>
      </c>
      <c r="Y193" s="46">
        <f t="shared" si="68"/>
        <v>0</v>
      </c>
      <c r="Z193" s="46" t="str">
        <f>IF(ISNUMBER(NORMSINV(SUM(Y$13:Y193)/Y$317)),NORMSINV(SUM(Y$13:Y193)/Y$317)," ")</f>
        <v xml:space="preserve"> </v>
      </c>
      <c r="AA193" s="46">
        <f t="shared" si="69"/>
        <v>0.55883019441762183</v>
      </c>
      <c r="AB193" s="46">
        <f>IF(ISNUMBER(NORMSINV(SUM(AA$13:AA193)/AA$317)),NORMSINV(SUM(AA$13:AA193)/AA$317)," ")</f>
        <v>0.91226137628268611</v>
      </c>
      <c r="AC193" s="46">
        <f t="shared" si="70"/>
        <v>3.6067460442913801E-3</v>
      </c>
      <c r="AD193" s="46">
        <f>IF(ISNUMBER(NORMSINV(SUM(AC$13:AC193)/AC$317)),NORMSINV(SUM(AC$13:AC193)/AC$317)," ")</f>
        <v>2.6225742579165252</v>
      </c>
      <c r="AE193" s="46">
        <f t="shared" si="71"/>
        <v>0</v>
      </c>
      <c r="AF193" s="46" t="str">
        <f>IF(ISNUMBER(NORMSINV(SUM(AE$13:AE193)/AE$317)),NORMSINV(SUM(AE$13:AE193)/AE$317)," ")</f>
        <v xml:space="preserve"> </v>
      </c>
      <c r="AG193" s="46">
        <f t="shared" si="72"/>
        <v>1.2251702392418669</v>
      </c>
      <c r="AH193" s="46">
        <f>IF(ISNUMBER(NORMSINV(SUM(AG$13:AG193)/AG$317)),NORMSINV(SUM(AG$13:AG193)/AG$317)," ")</f>
        <v>0.88127442635033504</v>
      </c>
      <c r="AI193" s="46">
        <f t="shared" si="73"/>
        <v>4.3772203357862619E-3</v>
      </c>
      <c r="AJ193" s="46">
        <f>IF(ISNUMBER(NORMSINV(SUM(AI$13:AI193)/AI$317)),NORMSINV(SUM(AI$13:AI193)/AI$317)," ")</f>
        <v>2.8004123336827211</v>
      </c>
      <c r="AK193" s="46">
        <f t="shared" si="74"/>
        <v>0</v>
      </c>
      <c r="AL193" s="46" t="str">
        <f>IF(ISNUMBER(NORMSINV(SUM(AK$13:AK193)/AK$317)),NORMSINV(SUM(AK$13:AK193)/AK$317)," ")</f>
        <v xml:space="preserve"> </v>
      </c>
      <c r="AM193" s="6">
        <v>0.31215872159957458</v>
      </c>
      <c r="AN193" s="6">
        <v>5.2946059555476783E-3</v>
      </c>
      <c r="AO193" s="6">
        <v>0</v>
      </c>
      <c r="AP193" s="6">
        <v>0.44681950968847928</v>
      </c>
      <c r="AQ193" s="6">
        <v>2.8838178666430311E-3</v>
      </c>
      <c r="AR193" s="6">
        <v>0</v>
      </c>
      <c r="AS193" s="6">
        <v>0.4898195096884792</v>
      </c>
      <c r="AT193" s="6">
        <v>1.7499999999999998E-3</v>
      </c>
      <c r="AU193" s="6">
        <v>0</v>
      </c>
    </row>
    <row r="194" spans="1:47" x14ac:dyDescent="0.4">
      <c r="A194" s="6">
        <f t="shared" si="59"/>
        <v>3.3281097324633797</v>
      </c>
      <c r="B194" s="6">
        <f>'Aerosol 1'!A198</f>
        <v>27.885580644855892</v>
      </c>
      <c r="C194" t="b">
        <f t="shared" si="60"/>
        <v>0</v>
      </c>
      <c r="E194" s="46">
        <f>'Aerosol 1'!$P198</f>
        <v>0.83299935551239823</v>
      </c>
      <c r="F194" s="46">
        <f>'Aerosol 2'!$P198</f>
        <v>0.83299935551239823</v>
      </c>
      <c r="G194" s="46">
        <f>'Aerosol 3'!$P198</f>
        <v>0.83299935551239823</v>
      </c>
      <c r="H194" s="46">
        <f t="shared" si="61"/>
        <v>2.4989980665371947</v>
      </c>
      <c r="I194" s="46">
        <f>NORMSINV(SUM(H$13:H194)/H$317)</f>
        <v>7.2903077430766086E-2</v>
      </c>
      <c r="J194" s="46">
        <f t="shared" si="56"/>
        <v>0.4498196519766951</v>
      </c>
      <c r="K194" s="46">
        <f t="shared" si="57"/>
        <v>1.2494990332685973</v>
      </c>
      <c r="L194" s="46">
        <f t="shared" si="58"/>
        <v>2.4988981066145333</v>
      </c>
      <c r="M194" s="46">
        <f t="shared" si="62"/>
        <v>4.1982167918598261</v>
      </c>
      <c r="N194" s="46">
        <f>IF(ISNUMBER(NORMSINV(SUM(M$13:M194)/M$317)),NORMSINV(SUM(M$13:M194)/M$317)," ")</f>
        <v>7.2903077430765822E-2</v>
      </c>
      <c r="O194" s="46">
        <f t="shared" si="63"/>
        <v>1.8710766000708547</v>
      </c>
      <c r="P194" s="46">
        <f>IF(ISNUMBER(NORMSINV(SUM(O$13:O194)/O$317)),NORMSINV(SUM(O$13:O194)/O$317)," ")</f>
        <v>0.94727088670995263</v>
      </c>
      <c r="Q194" s="46">
        <f t="shared" si="64"/>
        <v>9.9281979316677409E-3</v>
      </c>
      <c r="R194" s="46">
        <f>IF(ISNUMBER(NORMSINV(SUM(Q$13:Q194)/Q$317)),NORMSINV(SUM(Q$13:Q194)/Q$317)," ")</f>
        <v>2.7354723911033378</v>
      </c>
      <c r="S194" s="46">
        <f t="shared" si="65"/>
        <v>0</v>
      </c>
      <c r="T194" s="46" t="str">
        <f>IF(ISNUMBER(NORMSINV(SUM(S$13:S194)/S$317)),NORMSINV(SUM(S$13:S194)/S$317)," ")</f>
        <v xml:space="preserve"> </v>
      </c>
      <c r="U194" s="46">
        <f t="shared" si="66"/>
        <v>0.13496575035284958</v>
      </c>
      <c r="V194" s="46">
        <f>IF(ISNUMBER(NORMSINV(SUM(U$13:U194)/U$317)),NORMSINV(SUM(U$13:U194)/U$317)," ")</f>
        <v>1.1616845233858959</v>
      </c>
      <c r="W194" s="46">
        <f t="shared" si="67"/>
        <v>2.1190039036036654E-3</v>
      </c>
      <c r="X194" s="46">
        <f>IF(ISNUMBER(NORMSINV(SUM(W$13:W194)/W$317)),NORMSINV(SUM(W$13:W194)/W$317)," ")</f>
        <v>2.4901117286422068</v>
      </c>
      <c r="Y194" s="46">
        <f t="shared" si="68"/>
        <v>0</v>
      </c>
      <c r="Z194" s="46" t="str">
        <f>IF(ISNUMBER(NORMSINV(SUM(Y$13:Y194)/Y$317)),NORMSINV(SUM(Y$13:Y194)/Y$317)," ")</f>
        <v xml:space="preserve"> </v>
      </c>
      <c r="AA194" s="46">
        <f t="shared" si="69"/>
        <v>0.5430502741674571</v>
      </c>
      <c r="AB194" s="46">
        <f>IF(ISNUMBER(NORMSINV(SUM(AA$13:AA194)/AA$317)),NORMSINV(SUM(AA$13:AA194)/AA$317)," ")</f>
        <v>0.94931118188057251</v>
      </c>
      <c r="AC194" s="46">
        <f t="shared" si="70"/>
        <v>3.4361223414886427E-3</v>
      </c>
      <c r="AD194" s="46">
        <f>IF(ISNUMBER(NORMSINV(SUM(AC$13:AC194)/AC$317)),NORMSINV(SUM(AC$13:AC194)/AC$317)," ")</f>
        <v>2.6745072037195592</v>
      </c>
      <c r="AE194" s="46">
        <f t="shared" si="71"/>
        <v>0</v>
      </c>
      <c r="AF194" s="46" t="str">
        <f>IF(ISNUMBER(NORMSINV(SUM(AE$13:AE194)/AE$317)),NORMSINV(SUM(AE$13:AE194)/AE$317)," ")</f>
        <v xml:space="preserve"> </v>
      </c>
      <c r="AG194" s="46">
        <f t="shared" si="72"/>
        <v>1.1930605755505481</v>
      </c>
      <c r="AH194" s="46">
        <f>IF(ISNUMBER(NORMSINV(SUM(AG$13:AG194)/AG$317)),NORMSINV(SUM(AG$13:AG194)/AG$317)," ")</f>
        <v>0.91830336152112779</v>
      </c>
      <c r="AI194" s="46">
        <f t="shared" si="73"/>
        <v>4.3730716865754329E-3</v>
      </c>
      <c r="AJ194" s="46">
        <f>IF(ISNUMBER(NORMSINV(SUM(AI$13:AI194)/AI$317)),NORMSINV(SUM(AI$13:AI194)/AI$317)," ")</f>
        <v>2.8509053355933842</v>
      </c>
      <c r="AK194" s="46">
        <f t="shared" si="74"/>
        <v>0</v>
      </c>
      <c r="AL194" s="46" t="str">
        <f>IF(ISNUMBER(NORMSINV(SUM(AK$13:AK194)/AK$317)),NORMSINV(SUM(AK$13:AK194)/AK$317)," ")</f>
        <v xml:space="preserve"> </v>
      </c>
      <c r="AM194" s="6">
        <v>0.30004413937842378</v>
      </c>
      <c r="AN194" s="6">
        <v>4.7107855210235449E-3</v>
      </c>
      <c r="AO194" s="6">
        <v>0</v>
      </c>
      <c r="AP194" s="6">
        <v>0.43461440121876499</v>
      </c>
      <c r="AQ194" s="6">
        <v>2.7499999999999998E-3</v>
      </c>
      <c r="AR194" s="6">
        <v>0</v>
      </c>
      <c r="AS194" s="6">
        <v>0.4774346630591062</v>
      </c>
      <c r="AT194" s="6">
        <v>1.7499999999999998E-3</v>
      </c>
      <c r="AU194" s="6">
        <v>0</v>
      </c>
    </row>
    <row r="195" spans="1:47" x14ac:dyDescent="0.4">
      <c r="A195" s="6">
        <f t="shared" si="59"/>
        <v>3.362588309894559</v>
      </c>
      <c r="B195" s="6">
        <f>'Aerosol 1'!A199</f>
        <v>28.8638027445121</v>
      </c>
      <c r="C195" t="b">
        <f t="shared" si="60"/>
        <v>0</v>
      </c>
      <c r="E195" s="46">
        <f>'Aerosol 1'!$P199</f>
        <v>0.83184597308983976</v>
      </c>
      <c r="F195" s="46">
        <f>'Aerosol 2'!$P199</f>
        <v>0.83184597308983976</v>
      </c>
      <c r="G195" s="46">
        <f>'Aerosol 3'!$P199</f>
        <v>0.83184597308983976</v>
      </c>
      <c r="H195" s="46">
        <f t="shared" si="61"/>
        <v>2.4955379192695193</v>
      </c>
      <c r="I195" s="46">
        <f>NORMSINV(SUM(H$13:H195)/H$317)</f>
        <v>9.3932567656228455E-2</v>
      </c>
      <c r="J195" s="46">
        <f t="shared" si="56"/>
        <v>0.44919682546851353</v>
      </c>
      <c r="K195" s="46">
        <f t="shared" si="57"/>
        <v>1.2477689596347596</v>
      </c>
      <c r="L195" s="46">
        <f t="shared" si="58"/>
        <v>2.4954380977527486</v>
      </c>
      <c r="M195" s="46">
        <f t="shared" si="62"/>
        <v>4.1924038828560217</v>
      </c>
      <c r="N195" s="46">
        <f>IF(ISNUMBER(NORMSINV(SUM(M$13:M195)/M$317)),NORMSINV(SUM(M$13:M195)/M$317)," ")</f>
        <v>9.3932567656228191E-2</v>
      </c>
      <c r="O195" s="46">
        <f t="shared" si="63"/>
        <v>1.8186671233353875</v>
      </c>
      <c r="P195" s="46">
        <f>IF(ISNUMBER(NORMSINV(SUM(O$13:O195)/O$317)),NORMSINV(SUM(O$13:O195)/O$317)," ")</f>
        <v>0.9844319572576895</v>
      </c>
      <c r="Q195" s="46">
        <f t="shared" si="64"/>
        <v>9.0348440758139525E-3</v>
      </c>
      <c r="R195" s="46">
        <f>IF(ISNUMBER(NORMSINV(SUM(Q$13:Q195)/Q$317)),NORMSINV(SUM(Q$13:Q195)/Q$317)," ")</f>
        <v>2.7878340084888031</v>
      </c>
      <c r="S195" s="46">
        <f t="shared" si="65"/>
        <v>0</v>
      </c>
      <c r="T195" s="46" t="str">
        <f>IF(ISNUMBER(NORMSINV(SUM(S$13:S195)/S$317)),NORMSINV(SUM(S$13:S195)/S$317)," ")</f>
        <v xml:space="preserve"> </v>
      </c>
      <c r="U195" s="46">
        <f t="shared" si="66"/>
        <v>0.12961166418244158</v>
      </c>
      <c r="V195" s="46">
        <f>IF(ISNUMBER(NORMSINV(SUM(U$13:U195)/U$317)),NORMSINV(SUM(U$13:U195)/U$317)," ")</f>
        <v>1.1981841940724689</v>
      </c>
      <c r="W195" s="46">
        <f t="shared" si="67"/>
        <v>1.8136119928519781E-3</v>
      </c>
      <c r="X195" s="46">
        <f>IF(ISNUMBER(NORMSINV(SUM(W$13:W195)/W$317)),NORMSINV(SUM(W$13:W195)/W$317)," ")</f>
        <v>2.5366470522576168</v>
      </c>
      <c r="Y195" s="46">
        <f t="shared" si="68"/>
        <v>0</v>
      </c>
      <c r="Z195" s="46" t="str">
        <f>IF(ISNUMBER(NORMSINV(SUM(Y$13:Y195)/Y$317)),NORMSINV(SUM(Y$13:Y195)/Y$317)," ")</f>
        <v xml:space="preserve"> </v>
      </c>
      <c r="AA195" s="46">
        <f t="shared" si="69"/>
        <v>0.5274725594262567</v>
      </c>
      <c r="AB195" s="46">
        <f>IF(ISNUMBER(NORMSINV(SUM(AA$13:AA195)/AA$317)),NORMSINV(SUM(AA$13:AA195)/AA$317)," ")</f>
        <v>0.98659043257106716</v>
      </c>
      <c r="AC195" s="46">
        <f t="shared" si="70"/>
        <v>2.8542154118946636E-3</v>
      </c>
      <c r="AD195" s="46">
        <f>IF(ISNUMBER(NORMSINV(SUM(AC$13:AC195)/AC$317)),NORMSINV(SUM(AC$13:AC195)/AC$317)," ")</f>
        <v>2.7239055576202116</v>
      </c>
      <c r="AE195" s="46">
        <f t="shared" si="71"/>
        <v>0</v>
      </c>
      <c r="AF195" s="46" t="str">
        <f>IF(ISNUMBER(NORMSINV(SUM(AE$13:AE195)/AE$317)),NORMSINV(SUM(AE$13:AE195)/AE$317)," ")</f>
        <v xml:space="preserve"> </v>
      </c>
      <c r="AG195" s="46">
        <f t="shared" si="72"/>
        <v>1.1615828997266893</v>
      </c>
      <c r="AH195" s="46">
        <f>IF(ISNUMBER(NORMSINV(SUM(AG$13:AG195)/AG$317)),NORMSINV(SUM(AG$13:AG195)/AG$317)," ")</f>
        <v>0.95560696883428575</v>
      </c>
      <c r="AI195" s="46">
        <f t="shared" si="73"/>
        <v>4.3670166710673098E-3</v>
      </c>
      <c r="AJ195" s="46">
        <f>IF(ISNUMBER(NORMSINV(SUM(AI$13:AI195)/AI$317)),NORMSINV(SUM(AI$13:AI195)/AI$317)," ")</f>
        <v>2.9098274955493717</v>
      </c>
      <c r="AK195" s="46">
        <f t="shared" si="74"/>
        <v>0</v>
      </c>
      <c r="AL195" s="46" t="str">
        <f>IF(ISNUMBER(NORMSINV(SUM(AK$13:AK195)/AK$317)),NORMSINV(SUM(AK$13:AK195)/AK$317)," ")</f>
        <v xml:space="preserve"> </v>
      </c>
      <c r="AM195" s="6">
        <v>0.28854091755269251</v>
      </c>
      <c r="AN195" s="6">
        <v>4.037455053161553E-3</v>
      </c>
      <c r="AO195" s="6">
        <v>0</v>
      </c>
      <c r="AP195" s="6">
        <v>0.42273255425480027</v>
      </c>
      <c r="AQ195" s="6">
        <v>2.2874550531615519E-3</v>
      </c>
      <c r="AR195" s="6">
        <v>0</v>
      </c>
      <c r="AS195" s="6">
        <v>0.46548255425480023</v>
      </c>
      <c r="AT195" s="6">
        <v>1.7499999999999998E-3</v>
      </c>
      <c r="AU195" s="6">
        <v>0</v>
      </c>
    </row>
    <row r="196" spans="1:47" x14ac:dyDescent="0.4">
      <c r="A196" s="6">
        <f t="shared" si="59"/>
        <v>3.3970668873257379</v>
      </c>
      <c r="B196" s="6">
        <f>'Aerosol 1'!A200</f>
        <v>29.87634073267149</v>
      </c>
      <c r="C196" t="b">
        <f t="shared" si="60"/>
        <v>0</v>
      </c>
      <c r="E196" s="46">
        <f>'Aerosol 1'!$P200</f>
        <v>0.83033096947627838</v>
      </c>
      <c r="F196" s="46">
        <f>'Aerosol 2'!$P200</f>
        <v>0.83033096947627838</v>
      </c>
      <c r="G196" s="46">
        <f>'Aerosol 3'!$P200</f>
        <v>0.83033096947627838</v>
      </c>
      <c r="H196" s="46">
        <f t="shared" si="61"/>
        <v>2.4909929084288351</v>
      </c>
      <c r="I196" s="46">
        <f>NORMSINV(SUM(H$13:H196)/H$317)</f>
        <v>0.11496526594033457</v>
      </c>
      <c r="J196" s="46">
        <f t="shared" si="56"/>
        <v>0.44837872351719038</v>
      </c>
      <c r="K196" s="46">
        <f t="shared" si="57"/>
        <v>1.2454964542144176</v>
      </c>
      <c r="L196" s="46">
        <f t="shared" si="58"/>
        <v>2.4908932687124983</v>
      </c>
      <c r="M196" s="46">
        <f t="shared" si="62"/>
        <v>4.1847684464441066</v>
      </c>
      <c r="N196" s="46">
        <f>IF(ISNUMBER(NORMSINV(SUM(M$13:M196)/M$317)),NORMSINV(SUM(M$13:M196)/M$317)," ")</f>
        <v>0.11496526594033431</v>
      </c>
      <c r="O196" s="46">
        <f t="shared" si="63"/>
        <v>1.7658937545150355</v>
      </c>
      <c r="P196" s="46">
        <f>IF(ISNUMBER(NORMSINV(SUM(O$13:O196)/O$317)),NORMSINV(SUM(O$13:O196)/O$317)," ")</f>
        <v>1.0218640725330506</v>
      </c>
      <c r="Q196" s="46">
        <f t="shared" si="64"/>
        <v>7.3515749272951717E-3</v>
      </c>
      <c r="R196" s="46">
        <f>IF(ISNUMBER(NORMSINV(SUM(Q$13:Q196)/Q$317)),NORMSINV(SUM(Q$13:Q196)/Q$317)," ")</f>
        <v>2.8369124921823818</v>
      </c>
      <c r="S196" s="46">
        <f t="shared" si="65"/>
        <v>0</v>
      </c>
      <c r="T196" s="46" t="str">
        <f>IF(ISNUMBER(NORMSINV(SUM(S$13:S196)/S$317)),NORMSINV(SUM(S$13:S196)/S$317)," ")</f>
        <v xml:space="preserve"> </v>
      </c>
      <c r="U196" s="46">
        <f t="shared" si="66"/>
        <v>0.12434174023880792</v>
      </c>
      <c r="V196" s="46">
        <f>IF(ISNUMBER(NORMSINV(SUM(U$13:U196)/U$317)),NORMSINV(SUM(U$13:U196)/U$317)," ")</f>
        <v>1.2347668042042992</v>
      </c>
      <c r="W196" s="46">
        <f t="shared" si="67"/>
        <v>1.6237057620055672E-3</v>
      </c>
      <c r="X196" s="46">
        <f>IF(ISNUMBER(NORMSINV(SUM(W$13:W196)/W$317)),NORMSINV(SUM(W$13:W196)/W$317)," ")</f>
        <v>2.5835503331142111</v>
      </c>
      <c r="Y196" s="46">
        <f t="shared" si="68"/>
        <v>0</v>
      </c>
      <c r="Z196" s="46" t="str">
        <f>IF(ISNUMBER(NORMSINV(SUM(Y$13:Y196)/Y$317)),NORMSINV(SUM(Y$13:Y196)/Y$317)," ")</f>
        <v xml:space="preserve"> </v>
      </c>
      <c r="AA196" s="46">
        <f t="shared" si="69"/>
        <v>0.51212992983035421</v>
      </c>
      <c r="AB196" s="46">
        <f>IF(ISNUMBER(NORMSINV(SUM(AA$13:AA196)/AA$317)),NORMSINV(SUM(AA$13:AA196)/AA$317)," ")</f>
        <v>1.0241464108012757</v>
      </c>
      <c r="AC196" s="46">
        <f t="shared" si="70"/>
        <v>2.3306749884735647E-3</v>
      </c>
      <c r="AD196" s="46">
        <f>IF(ISNUMBER(NORMSINV(SUM(AC$13:AC196)/AC$317)),NORMSINV(SUM(AC$13:AC196)/AC$317)," ")</f>
        <v>2.7698362754392143</v>
      </c>
      <c r="AE196" s="46">
        <f t="shared" si="71"/>
        <v>0</v>
      </c>
      <c r="AF196" s="46" t="str">
        <f>IF(ISNUMBER(NORMSINV(SUM(AE$13:AE196)/AE$317)),NORMSINV(SUM(AE$13:AE196)/AE$317)," ")</f>
        <v xml:space="preserve"> </v>
      </c>
      <c r="AG196" s="46">
        <f t="shared" si="72"/>
        <v>1.1294220844458733</v>
      </c>
      <c r="AH196" s="46">
        <f>IF(ISNUMBER(NORMSINV(SUM(AG$13:AG196)/AG$317)),NORMSINV(SUM(AG$13:AG196)/AG$317)," ")</f>
        <v>0.99319916709148381</v>
      </c>
      <c r="AI196" s="46">
        <f t="shared" si="73"/>
        <v>3.3971941768160393E-3</v>
      </c>
      <c r="AJ196" s="46">
        <f>IF(ISNUMBER(NORMSINV(SUM(AI$13:AI196)/AI$317)),NORMSINV(SUM(AI$13:AI196)/AI$317)," ")</f>
        <v>2.9638541028572054</v>
      </c>
      <c r="AK196" s="46">
        <f t="shared" si="74"/>
        <v>0</v>
      </c>
      <c r="AL196" s="46" t="str">
        <f>IF(ISNUMBER(NORMSINV(SUM(AK$13:AK196)/AK$317)),NORMSINV(SUM(AK$13:AK196)/AK$317)," ")</f>
        <v xml:space="preserve"> </v>
      </c>
      <c r="AM196" s="6">
        <v>0.27731409569000387</v>
      </c>
      <c r="AN196" s="6">
        <v>3.6212819138000778E-3</v>
      </c>
      <c r="AO196" s="6">
        <v>0</v>
      </c>
      <c r="AP196" s="6">
        <v>0.41118537760380397</v>
      </c>
      <c r="AQ196" s="6">
        <v>1.8712819138000767E-3</v>
      </c>
      <c r="AR196" s="6">
        <v>0</v>
      </c>
      <c r="AS196" s="6">
        <v>0.45342050525900418</v>
      </c>
      <c r="AT196" s="6">
        <v>1.3638457414002299E-3</v>
      </c>
      <c r="AU196" s="6">
        <v>0</v>
      </c>
    </row>
    <row r="197" spans="1:47" x14ac:dyDescent="0.4">
      <c r="A197" s="6">
        <f t="shared" si="59"/>
        <v>3.4315454647569168</v>
      </c>
      <c r="B197" s="6">
        <f>'Aerosol 1'!A201</f>
        <v>30.924398405695026</v>
      </c>
      <c r="C197" t="b">
        <f t="shared" si="60"/>
        <v>0</v>
      </c>
      <c r="E197" s="46">
        <f>'Aerosol 1'!$P201</f>
        <v>0.8284563269298939</v>
      </c>
      <c r="F197" s="46">
        <f>'Aerosol 2'!$P201</f>
        <v>0.8284563269298939</v>
      </c>
      <c r="G197" s="46">
        <f>'Aerosol 3'!$P201</f>
        <v>0.8284563269298939</v>
      </c>
      <c r="H197" s="46">
        <f t="shared" si="61"/>
        <v>2.4853689807896817</v>
      </c>
      <c r="I197" s="46">
        <f>NORMSINV(SUM(H$13:H197)/H$317)</f>
        <v>0.13600128548783019</v>
      </c>
      <c r="J197" s="46">
        <f t="shared" si="56"/>
        <v>0.44736641654214276</v>
      </c>
      <c r="K197" s="46">
        <f t="shared" si="57"/>
        <v>1.2426844903948409</v>
      </c>
      <c r="L197" s="46">
        <f t="shared" si="58"/>
        <v>2.4852695660304502</v>
      </c>
      <c r="M197" s="46">
        <f t="shared" si="62"/>
        <v>4.1753204729674334</v>
      </c>
      <c r="N197" s="46">
        <f>IF(ISNUMBER(NORMSINV(SUM(M$13:M197)/M$317)),NORMSINV(SUM(M$13:M197)/M$317)," ")</f>
        <v>0.13600128548782989</v>
      </c>
      <c r="O197" s="46">
        <f t="shared" si="63"/>
        <v>1.7127677457797725</v>
      </c>
      <c r="P197" s="46">
        <f>IF(ISNUMBER(NORMSINV(SUM(O$13:O197)/O$317)),NORMSINV(SUM(O$13:O197)/O$317)," ")</f>
        <v>1.0595913077533989</v>
      </c>
      <c r="Q197" s="46">
        <f t="shared" si="64"/>
        <v>6.0870426943668184E-3</v>
      </c>
      <c r="R197" s="46">
        <f>IF(ISNUMBER(NORMSINV(SUM(Q$13:Q197)/Q$317)),NORMSINV(SUM(Q$13:Q197)/Q$317)," ")</f>
        <v>2.8834525935543334</v>
      </c>
      <c r="S197" s="46">
        <f t="shared" si="65"/>
        <v>0</v>
      </c>
      <c r="T197" s="46" t="str">
        <f>IF(ISNUMBER(NORMSINV(SUM(S$13:S197)/S$317)),NORMSINV(SUM(S$13:S197)/S$317)," ")</f>
        <v xml:space="preserve"> </v>
      </c>
      <c r="U197" s="46">
        <f t="shared" si="66"/>
        <v>0.11922129694152396</v>
      </c>
      <c r="V197" s="46">
        <f>IF(ISNUMBER(NORMSINV(SUM(U$13:U197)/U$317)),NORMSINV(SUM(U$13:U197)/U$317)," ")</f>
        <v>1.2714661728747136</v>
      </c>
      <c r="W197" s="46">
        <f t="shared" si="67"/>
        <v>1.427075270145397E-3</v>
      </c>
      <c r="X197" s="46">
        <f>IF(ISNUMBER(NORMSINV(SUM(W$13:W197)/W$317)),NORMSINV(SUM(W$13:W197)/W$317)," ")</f>
        <v>2.6300597120316898</v>
      </c>
      <c r="Y197" s="46">
        <f t="shared" si="68"/>
        <v>0</v>
      </c>
      <c r="Z197" s="46" t="str">
        <f>IF(ISNUMBER(NORMSINV(SUM(Y$13:Y197)/Y$317)),NORMSINV(SUM(Y$13:Y197)/Y$317)," ")</f>
        <v xml:space="preserve"> </v>
      </c>
      <c r="AA197" s="46">
        <f t="shared" si="69"/>
        <v>0.49660872438480919</v>
      </c>
      <c r="AB197" s="46">
        <f>IF(ISNUMBER(NORMSINV(SUM(AA$13:AA197)/AA$317)),NORMSINV(SUM(AA$13:AA197)/AA$317)," ")</f>
        <v>1.0619978473610086</v>
      </c>
      <c r="AC197" s="46">
        <f t="shared" si="70"/>
        <v>2.1746978581909712E-3</v>
      </c>
      <c r="AD197" s="46">
        <f>IF(ISNUMBER(NORMSINV(SUM(AC$13:AC197)/AC$317)),NORMSINV(SUM(AC$13:AC197)/AC$317)," ")</f>
        <v>2.8187024112251722</v>
      </c>
      <c r="AE197" s="46">
        <f t="shared" si="71"/>
        <v>0</v>
      </c>
      <c r="AF197" s="46" t="str">
        <f>IF(ISNUMBER(NORMSINV(SUM(AE$13:AE197)/AE$317)),NORMSINV(SUM(AE$13:AE197)/AE$317)," ")</f>
        <v xml:space="preserve"> </v>
      </c>
      <c r="AG197" s="46">
        <f t="shared" si="72"/>
        <v>1.0969377244534393</v>
      </c>
      <c r="AH197" s="46">
        <f>IF(ISNUMBER(NORMSINV(SUM(AG$13:AG197)/AG$317)),NORMSINV(SUM(AG$13:AG197)/AG$317)," ")</f>
        <v>1.0311049490909774</v>
      </c>
      <c r="AI197" s="46">
        <f t="shared" si="73"/>
        <v>2.4852695660304504E-3</v>
      </c>
      <c r="AJ197" s="46">
        <f>IF(ISNUMBER(NORMSINV(SUM(AI$13:AI197)/AI$317)),NORMSINV(SUM(AI$13:AI197)/AI$317)," ")</f>
        <v>3.0096880795078702</v>
      </c>
      <c r="AK197" s="46">
        <f t="shared" si="74"/>
        <v>0</v>
      </c>
      <c r="AL197" s="46" t="str">
        <f>IF(ISNUMBER(NORMSINV(SUM(AK$13:AK197)/AK$317)),NORMSINV(SUM(AK$13:AK197)/AK$317)," ")</f>
        <v xml:space="preserve"> </v>
      </c>
      <c r="AM197" s="6">
        <v>0.26649585783177154</v>
      </c>
      <c r="AN197" s="6">
        <v>3.1899472498981467E-3</v>
      </c>
      <c r="AO197" s="6">
        <v>0</v>
      </c>
      <c r="AP197" s="6">
        <v>0.39962575233156777</v>
      </c>
      <c r="AQ197" s="6">
        <v>1.7499999999999998E-3</v>
      </c>
      <c r="AR197" s="6">
        <v>0</v>
      </c>
      <c r="AS197" s="6">
        <v>0.44137575233156789</v>
      </c>
      <c r="AT197" s="6">
        <v>1E-3</v>
      </c>
      <c r="AU197" s="6">
        <v>0</v>
      </c>
    </row>
    <row r="198" spans="1:47" x14ac:dyDescent="0.4">
      <c r="A198" s="6">
        <f t="shared" si="59"/>
        <v>3.4660240421880957</v>
      </c>
      <c r="B198" s="6">
        <f>'Aerosol 1'!A202</f>
        <v>32.009221788944323</v>
      </c>
      <c r="C198" t="b">
        <f t="shared" si="60"/>
        <v>0</v>
      </c>
      <c r="E198" s="46">
        <f>'Aerosol 1'!$P202</f>
        <v>0.82622449492080197</v>
      </c>
      <c r="F198" s="46">
        <f>'Aerosol 2'!$P202</f>
        <v>0.82622449492080197</v>
      </c>
      <c r="G198" s="46">
        <f>'Aerosol 3'!$P202</f>
        <v>0.82622449492080197</v>
      </c>
      <c r="H198" s="46">
        <f t="shared" si="61"/>
        <v>2.4786734847624059</v>
      </c>
      <c r="I198" s="46">
        <f>NORMSINV(SUM(H$13:H198)/H$317)</f>
        <v>0.15704074424717823</v>
      </c>
      <c r="J198" s="46">
        <f t="shared" si="56"/>
        <v>0.44616122725723312</v>
      </c>
      <c r="K198" s="46">
        <f t="shared" si="57"/>
        <v>1.2393367423812029</v>
      </c>
      <c r="L198" s="46">
        <f t="shared" si="58"/>
        <v>2.4785743378230154</v>
      </c>
      <c r="M198" s="46">
        <f t="shared" si="62"/>
        <v>4.164072307461451</v>
      </c>
      <c r="N198" s="46">
        <f>IF(ISNUMBER(NORMSINV(SUM(M$13:M198)/M$317)),NORMSINV(SUM(M$13:M198)/M$317)," ")</f>
        <v>0.15704074424717798</v>
      </c>
      <c r="O198" s="46">
        <f t="shared" si="63"/>
        <v>1.6602933294232975</v>
      </c>
      <c r="P198" s="46">
        <f>IF(ISNUMBER(NORMSINV(SUM(O$13:O198)/O$317)),NORMSINV(SUM(O$13:O198)/O$317)," ")</f>
        <v>1.0976611017848599</v>
      </c>
      <c r="Q198" s="46">
        <f t="shared" si="64"/>
        <v>5.8743570119475109E-3</v>
      </c>
      <c r="R198" s="46">
        <f>IF(ISNUMBER(NORMSINV(SUM(Q$13:Q198)/Q$317)),NORMSINV(SUM(Q$13:Q198)/Q$317)," ")</f>
        <v>2.9351976127484121</v>
      </c>
      <c r="S198" s="46">
        <f t="shared" si="65"/>
        <v>0</v>
      </c>
      <c r="T198" s="46" t="str">
        <f>IF(ISNUMBER(NORMSINV(SUM(S$13:S198)/S$317)),NORMSINV(SUM(S$13:S198)/S$317)," ")</f>
        <v xml:space="preserve"> </v>
      </c>
      <c r="U198" s="46">
        <f t="shared" si="66"/>
        <v>0.11439222259977444</v>
      </c>
      <c r="V198" s="46">
        <f>IF(ISNUMBER(NORMSINV(SUM(U$13:U198)/U$317)),NORMSINV(SUM(U$13:U198)/U$317)," ")</f>
        <v>1.3083656221617499</v>
      </c>
      <c r="W198" s="46">
        <f t="shared" si="67"/>
        <v>1.226943374957391E-3</v>
      </c>
      <c r="X198" s="46">
        <f>IF(ISNUMBER(NORMSINV(SUM(W$13:W198)/W$317)),NORMSINV(SUM(W$13:W198)/W$317)," ")</f>
        <v>2.6751661504618491</v>
      </c>
      <c r="Y198" s="46">
        <f t="shared" si="68"/>
        <v>0</v>
      </c>
      <c r="Z198" s="46" t="str">
        <f>IF(ISNUMBER(NORMSINV(SUM(Y$13:Y198)/Y$317)),NORMSINV(SUM(Y$13:Y198)/Y$317)," ")</f>
        <v xml:space="preserve"> </v>
      </c>
      <c r="AA198" s="46">
        <f t="shared" si="69"/>
        <v>0.48088421714812896</v>
      </c>
      <c r="AB198" s="46">
        <f>IF(ISNUMBER(NORMSINV(SUM(AA$13:AA198)/AA$317)),NORMSINV(SUM(AA$13:AA198)/AA$317)," ")</f>
        <v>1.100160384423748</v>
      </c>
      <c r="AC198" s="46">
        <f t="shared" si="70"/>
        <v>2.1688392991671048E-3</v>
      </c>
      <c r="AD198" s="46">
        <f>IF(ISNUMBER(NORMSINV(SUM(AC$13:AC198)/AC$317)),NORMSINV(SUM(AC$13:AC198)/AC$317)," ")</f>
        <v>2.8752316846172512</v>
      </c>
      <c r="AE198" s="46">
        <f t="shared" si="71"/>
        <v>0</v>
      </c>
      <c r="AF198" s="46" t="str">
        <f>IF(ISNUMBER(NORMSINV(SUM(AE$13:AE198)/AE$317)),NORMSINV(SUM(AE$13:AE198)/AE$317)," ")</f>
        <v xml:space="preserve"> </v>
      </c>
      <c r="AG198" s="46">
        <f t="shared" si="72"/>
        <v>1.0650168896753942</v>
      </c>
      <c r="AH198" s="46">
        <f>IF(ISNUMBER(NORMSINV(SUM(AG$13:AG198)/AG$317)),NORMSINV(SUM(AG$13:AG198)/AG$317)," ")</f>
        <v>1.0693818571402163</v>
      </c>
      <c r="AI198" s="46">
        <f t="shared" si="73"/>
        <v>2.4785743378230155E-3</v>
      </c>
      <c r="AJ198" s="46">
        <f>IF(ISNUMBER(NORMSINV(SUM(AI$13:AI198)/AI$317)),NORMSINV(SUM(AI$13:AI198)/AI$317)," ")</f>
        <v>3.0627217941510509</v>
      </c>
      <c r="AK198" s="46">
        <f t="shared" si="74"/>
        <v>0</v>
      </c>
      <c r="AL198" s="46" t="str">
        <f>IF(ISNUMBER(NORMSINV(SUM(AK$13:AK198)/AK$317)),NORMSINV(SUM(AK$13:AK198)/AK$317)," ")</f>
        <v xml:space="preserve"> </v>
      </c>
      <c r="AM198" s="6">
        <v>0.25639211928611155</v>
      </c>
      <c r="AN198" s="6">
        <v>2.7499999999999998E-3</v>
      </c>
      <c r="AO198" s="6">
        <v>0</v>
      </c>
      <c r="AP198" s="6">
        <v>0.38801739729283002</v>
      </c>
      <c r="AQ198" s="6">
        <v>1.7499999999999998E-3</v>
      </c>
      <c r="AR198" s="6">
        <v>0</v>
      </c>
      <c r="AS198" s="6">
        <v>0.42968930704366981</v>
      </c>
      <c r="AT198" s="6">
        <v>1E-3</v>
      </c>
      <c r="AU198" s="6">
        <v>0</v>
      </c>
    </row>
    <row r="199" spans="1:47" x14ac:dyDescent="0.4">
      <c r="A199" s="6">
        <f t="shared" si="59"/>
        <v>3.5005026196192746</v>
      </c>
      <c r="B199" s="6">
        <f>'Aerosol 1'!A203</f>
        <v>33.132100618168849</v>
      </c>
      <c r="C199" t="b">
        <f t="shared" si="60"/>
        <v>0</v>
      </c>
      <c r="E199" s="46">
        <f>'Aerosol 1'!$P203</f>
        <v>0.8236383847975981</v>
      </c>
      <c r="F199" s="46">
        <f>'Aerosol 2'!$P203</f>
        <v>0.8236383847975981</v>
      </c>
      <c r="G199" s="46">
        <f>'Aerosol 3'!$P203</f>
        <v>0.8236383847975981</v>
      </c>
      <c r="H199" s="46">
        <f t="shared" si="61"/>
        <v>2.4709151543927943</v>
      </c>
      <c r="I199" s="46">
        <f>NORMSINV(SUM(H$13:H199)/H$317)</f>
        <v>0.17808376513802623</v>
      </c>
      <c r="J199" s="46">
        <f t="shared" si="56"/>
        <v>0.44476472779070303</v>
      </c>
      <c r="K199" s="46">
        <f t="shared" si="57"/>
        <v>1.2354575771963971</v>
      </c>
      <c r="L199" s="46">
        <f t="shared" si="58"/>
        <v>2.4708163177866185</v>
      </c>
      <c r="M199" s="46">
        <f t="shared" si="62"/>
        <v>4.1510386227737186</v>
      </c>
      <c r="N199" s="46">
        <f>IF(ISNUMBER(NORMSINV(SUM(M$13:M199)/M$317)),NORMSINV(SUM(M$13:M199)/M$317)," ")</f>
        <v>0.17808376513802598</v>
      </c>
      <c r="O199" s="46">
        <f t="shared" si="63"/>
        <v>1.6074744231168916</v>
      </c>
      <c r="P199" s="46">
        <f>IF(ISNUMBER(NORMSINV(SUM(O$13:O199)/O$317)),NORMSINV(SUM(O$13:O199)/O$317)," ")</f>
        <v>1.1361003805903787</v>
      </c>
      <c r="Q199" s="46">
        <f t="shared" si="64"/>
        <v>5.6597821225719547E-3</v>
      </c>
      <c r="R199" s="46">
        <f>IF(ISNUMBER(NORMSINV(SUM(Q$13:Q199)/Q$317)),NORMSINV(SUM(Q$13:Q199)/Q$317)," ")</f>
        <v>2.9938064231907857</v>
      </c>
      <c r="S199" s="46">
        <f t="shared" si="65"/>
        <v>0</v>
      </c>
      <c r="T199" s="46" t="str">
        <f>IF(ISNUMBER(NORMSINV(SUM(S$13:S199)/S$317)),NORMSINV(SUM(S$13:S199)/S$317)," ")</f>
        <v xml:space="preserve"> </v>
      </c>
      <c r="U199" s="46">
        <f t="shared" si="66"/>
        <v>0.10966345969872002</v>
      </c>
      <c r="V199" s="46">
        <f>IF(ISNUMBER(NORMSINV(SUM(U$13:U199)/U$317)),NORMSINV(SUM(U$13:U199)/U$317)," ")</f>
        <v>1.3454948371257709</v>
      </c>
      <c r="W199" s="46">
        <f t="shared" si="67"/>
        <v>1.2231030014244332E-3</v>
      </c>
      <c r="X199" s="46">
        <f>IF(ISNUMBER(NORMSINV(SUM(W$13:W199)/W$317)),NORMSINV(SUM(W$13:W199)/W$317)," ")</f>
        <v>2.7263039142694705</v>
      </c>
      <c r="Y199" s="46">
        <f t="shared" si="68"/>
        <v>0</v>
      </c>
      <c r="Z199" s="46" t="str">
        <f>IF(ISNUMBER(NORMSINV(SUM(Y$13:Y199)/Y$317)),NORMSINV(SUM(Y$13:Y199)/Y$317)," ")</f>
        <v xml:space="preserve"> </v>
      </c>
      <c r="AA199" s="46">
        <f t="shared" si="69"/>
        <v>0.46514669490169852</v>
      </c>
      <c r="AB199" s="46">
        <f>IF(ISNUMBER(NORMSINV(SUM(AA$13:AA199)/AA$317)),NORMSINV(SUM(AA$13:AA199)/AA$317)," ")</f>
        <v>1.1386639562593108</v>
      </c>
      <c r="AC199" s="46">
        <f t="shared" si="70"/>
        <v>1.9658628033609026E-3</v>
      </c>
      <c r="AD199" s="46">
        <f>IF(ISNUMBER(NORMSINV(SUM(AC$13:AC199)/AC$317)),NORMSINV(SUM(AC$13:AC199)/AC$317)," ")</f>
        <v>2.935861967730534</v>
      </c>
      <c r="AE199" s="46">
        <f t="shared" si="71"/>
        <v>0</v>
      </c>
      <c r="AF199" s="46" t="str">
        <f>IF(ISNUMBER(NORMSINV(SUM(AE$13:AE199)/AE$317)),NORMSINV(SUM(AE$13:AE199)/AE$317)," ")</f>
        <v xml:space="preserve"> </v>
      </c>
      <c r="AG199" s="46">
        <f t="shared" si="72"/>
        <v>1.0326642685164731</v>
      </c>
      <c r="AH199" s="46">
        <f>IF(ISNUMBER(NORMSINV(SUM(AG$13:AG199)/AG$317)),NORMSINV(SUM(AG$13:AG199)/AG$317)," ")</f>
        <v>1.1080548394158596</v>
      </c>
      <c r="AI199" s="46">
        <f t="shared" si="73"/>
        <v>2.4708163177866184E-3</v>
      </c>
      <c r="AJ199" s="46">
        <f>IF(ISNUMBER(NORMSINV(SUM(AI$13:AI199)/AI$317)),NORMSINV(SUM(AI$13:AI199)/AI$317)," ")</f>
        <v>3.1258637631597299</v>
      </c>
      <c r="AK199" s="46">
        <f t="shared" si="74"/>
        <v>0</v>
      </c>
      <c r="AL199" s="46" t="str">
        <f>IF(ISNUMBER(NORMSINV(SUM(AK$13:AK199)/AK$317)),NORMSINV(SUM(AK$13:AK199)/AK$317)," ")</f>
        <v xml:space="preserve"> </v>
      </c>
      <c r="AM199" s="6">
        <v>0.24656510025751266</v>
      </c>
      <c r="AN199" s="6">
        <v>2.7499999999999998E-3</v>
      </c>
      <c r="AO199" s="6">
        <v>0</v>
      </c>
      <c r="AP199" s="6">
        <v>0.37649750463892739</v>
      </c>
      <c r="AQ199" s="6">
        <v>1.5912021907073504E-3</v>
      </c>
      <c r="AR199" s="6">
        <v>0</v>
      </c>
      <c r="AS199" s="6">
        <v>0.4179445720358298</v>
      </c>
      <c r="AT199" s="6">
        <v>1E-3</v>
      </c>
      <c r="AU199" s="6">
        <v>0</v>
      </c>
    </row>
    <row r="200" spans="1:47" x14ac:dyDescent="0.4">
      <c r="A200" s="6">
        <f t="shared" si="59"/>
        <v>3.5349811970504534</v>
      </c>
      <c r="B200" s="6">
        <f>'Aerosol 1'!A204</f>
        <v>34.294369872859953</v>
      </c>
      <c r="C200" t="b">
        <f t="shared" si="60"/>
        <v>0</v>
      </c>
      <c r="E200" s="46">
        <f>'Aerosol 1'!$P204</f>
        <v>0.82070136345870903</v>
      </c>
      <c r="F200" s="46">
        <f>'Aerosol 2'!$P204</f>
        <v>0.82070136345870903</v>
      </c>
      <c r="G200" s="46">
        <f>'Aerosol 3'!$P204</f>
        <v>0.82070136345870903</v>
      </c>
      <c r="H200" s="46">
        <f t="shared" si="61"/>
        <v>2.4621040903761271</v>
      </c>
      <c r="I200" s="46">
        <f>NORMSINV(SUM(H$13:H200)/H$317)</f>
        <v>0.19913047629090164</v>
      </c>
      <c r="J200" s="46">
        <f t="shared" si="56"/>
        <v>0.44317873626770293</v>
      </c>
      <c r="K200" s="46">
        <f t="shared" si="57"/>
        <v>1.2310520451880635</v>
      </c>
      <c r="L200" s="46">
        <f t="shared" si="58"/>
        <v>2.4620056062125122</v>
      </c>
      <c r="M200" s="46">
        <f t="shared" si="62"/>
        <v>4.1362363876682782</v>
      </c>
      <c r="N200" s="46">
        <f>IF(ISNUMBER(NORMSINV(SUM(M$13:M200)/M$317)),NORMSINV(SUM(M$13:M200)/M$317)," ")</f>
        <v>0.19913047629090164</v>
      </c>
      <c r="O200" s="46">
        <f t="shared" si="63"/>
        <v>1.5537001781742239</v>
      </c>
      <c r="P200" s="46">
        <f>IF(ISNUMBER(NORMSINV(SUM(O$13:O200)/O$317)),NORMSINV(SUM(O$13:O200)/O$317)," ")</f>
        <v>1.1749205508072493</v>
      </c>
      <c r="Q200" s="46">
        <f t="shared" si="64"/>
        <v>4.7938132669312307E-3</v>
      </c>
      <c r="R200" s="46">
        <f>IF(ISNUMBER(NORMSINV(SUM(Q$13:Q200)/Q$317)),NORMSINV(SUM(Q$13:Q200)/Q$317)," ")</f>
        <v>3.0530185715514806</v>
      </c>
      <c r="S200" s="46">
        <f t="shared" si="65"/>
        <v>0</v>
      </c>
      <c r="T200" s="46" t="str">
        <f>IF(ISNUMBER(NORMSINV(SUM(S$13:S200)/S$317)),NORMSINV(SUM(S$13:S200)/S$317)," ")</f>
        <v xml:space="preserve"> </v>
      </c>
      <c r="U200" s="46">
        <f t="shared" si="66"/>
        <v>0.10477339152348851</v>
      </c>
      <c r="V200" s="46">
        <f>IF(ISNUMBER(NORMSINV(SUM(U$13:U200)/U$317)),NORMSINV(SUM(U$13:U200)/U$317)," ")</f>
        <v>1.3827895511196426</v>
      </c>
      <c r="W200" s="46">
        <f t="shared" si="67"/>
        <v>1.1693509257524968E-3</v>
      </c>
      <c r="X200" s="46">
        <f>IF(ISNUMBER(NORMSINV(SUM(W$13:W200)/W$317)),NORMSINV(SUM(W$13:W200)/W$317)," ")</f>
        <v>2.7829232216822937</v>
      </c>
      <c r="Y200" s="46">
        <f t="shared" si="68"/>
        <v>0</v>
      </c>
      <c r="Z200" s="46" t="str">
        <f>IF(ISNUMBER(NORMSINV(SUM(Y$13:Y200)/Y$317)),NORMSINV(SUM(Y$13:Y200)/Y$317)," ")</f>
        <v xml:space="preserve"> </v>
      </c>
      <c r="AA200" s="46">
        <f t="shared" si="69"/>
        <v>0.4492264582506722</v>
      </c>
      <c r="AB200" s="46">
        <f>IF(ISNUMBER(NORMSINV(SUM(AA$13:AA200)/AA$317)),NORMSINV(SUM(AA$13:AA200)/AA$317)," ")</f>
        <v>1.1775240767111523</v>
      </c>
      <c r="AC200" s="46">
        <f t="shared" si="70"/>
        <v>1.2310520451880636E-3</v>
      </c>
      <c r="AD200" s="46">
        <f>IF(ISNUMBER(NORMSINV(SUM(AC$13:AC200)/AC$317)),NORMSINV(SUM(AC$13:AC200)/AC$317)," ")</f>
        <v>2.9801652716783802</v>
      </c>
      <c r="AE200" s="46">
        <f t="shared" si="71"/>
        <v>0</v>
      </c>
      <c r="AF200" s="46" t="str">
        <f>IF(ISNUMBER(NORMSINV(SUM(AE$13:AE200)/AE$317)),NORMSINV(SUM(AE$13:AE200)/AE$317)," ")</f>
        <v xml:space="preserve"> </v>
      </c>
      <c r="AG200" s="46">
        <f t="shared" si="72"/>
        <v>0.99970032840006318</v>
      </c>
      <c r="AH200" s="46">
        <f>IF(ISNUMBER(NORMSINV(SUM(AG$13:AG200)/AG$317)),NORMSINV(SUM(AG$13:AG200)/AG$317)," ")</f>
        <v>1.147141395734927</v>
      </c>
      <c r="AI200" s="46">
        <f t="shared" si="73"/>
        <v>2.3934102959906702E-3</v>
      </c>
      <c r="AJ200" s="46">
        <f>IF(ISNUMBER(NORMSINV(SUM(AI$13:AI200)/AI$317)),NORMSINV(SUM(AI$13:AI200)/AI$317)," ")</f>
        <v>3.2018442498063711</v>
      </c>
      <c r="AK200" s="46">
        <f t="shared" si="74"/>
        <v>0</v>
      </c>
      <c r="AL200" s="46" t="str">
        <f>IF(ISNUMBER(NORMSINV(SUM(AK$13:AK200)/AK$317)),NORMSINV(SUM(AK$13:AK200)/AK$317)," ")</f>
        <v xml:space="preserve"> </v>
      </c>
      <c r="AM200" s="6">
        <v>0.23641339926606936</v>
      </c>
      <c r="AN200" s="6">
        <v>2.6385537708789085E-3</v>
      </c>
      <c r="AO200" s="6">
        <v>0</v>
      </c>
      <c r="AP200" s="6">
        <v>0.36491264525054701</v>
      </c>
      <c r="AQ200" s="6">
        <v>1E-3</v>
      </c>
      <c r="AR200" s="6">
        <v>0</v>
      </c>
      <c r="AS200" s="6">
        <v>0.40605119902142595</v>
      </c>
      <c r="AT200" s="6">
        <v>9.7213844271972741E-4</v>
      </c>
      <c r="AU200" s="6">
        <v>0</v>
      </c>
    </row>
    <row r="201" spans="1:47" x14ac:dyDescent="0.4">
      <c r="A201" s="6">
        <f t="shared" si="59"/>
        <v>3.5694597744816323</v>
      </c>
      <c r="B201" s="6">
        <f>'Aerosol 1'!A205</f>
        <v>35.497411363394733</v>
      </c>
      <c r="C201" t="b">
        <f t="shared" si="60"/>
        <v>0</v>
      </c>
      <c r="E201" s="46">
        <f>'Aerosol 1'!$P205</f>
        <v>0.81741724604806887</v>
      </c>
      <c r="F201" s="46">
        <f>'Aerosol 2'!$P205</f>
        <v>0.81741724604806887</v>
      </c>
      <c r="G201" s="46">
        <f>'Aerosol 3'!$P205</f>
        <v>0.81741724604806887</v>
      </c>
      <c r="H201" s="46">
        <f t="shared" si="61"/>
        <v>2.4522517381442066</v>
      </c>
      <c r="I201" s="46">
        <f>NORMSINV(SUM(H$13:H201)/H$317)</f>
        <v>0.22018101129987555</v>
      </c>
      <c r="J201" s="46">
        <f t="shared" si="56"/>
        <v>0.44140531286595724</v>
      </c>
      <c r="K201" s="46">
        <f t="shared" si="57"/>
        <v>1.2261258690721033</v>
      </c>
      <c r="L201" s="46">
        <f t="shared" si="58"/>
        <v>2.4521536480746811</v>
      </c>
      <c r="M201" s="46">
        <f t="shared" si="62"/>
        <v>4.1196848300127415</v>
      </c>
      <c r="N201" s="46">
        <f>IF(ISNUMBER(NORMSINV(SUM(M$13:M201)/M$317)),NORMSINV(SUM(M$13:M201)/M$317)," ")</f>
        <v>0.22018101129987527</v>
      </c>
      <c r="O201" s="46">
        <f t="shared" si="63"/>
        <v>1.5016299443326262</v>
      </c>
      <c r="P201" s="46">
        <f>IF(ISNUMBER(NORMSINV(SUM(O$13:O201)/O$317)),NORMSINV(SUM(O$13:O201)/O$317)," ")</f>
        <v>1.214201160763861</v>
      </c>
      <c r="Q201" s="46">
        <f t="shared" si="64"/>
        <v>3.8377004026435386E-3</v>
      </c>
      <c r="R201" s="46">
        <f>IF(ISNUMBER(NORMSINV(SUM(Q$13:Q201)/Q$317)),NORMSINV(SUM(Q$13:Q201)/Q$317)," ")</f>
        <v>3.109585848315477</v>
      </c>
      <c r="S201" s="46">
        <f t="shared" si="65"/>
        <v>0</v>
      </c>
      <c r="T201" s="46" t="str">
        <f>IF(ISNUMBER(NORMSINV(SUM(S$13:S201)/S$317)),NORMSINV(SUM(S$13:S201)/S$317)," ")</f>
        <v xml:space="preserve"> </v>
      </c>
      <c r="U201" s="46">
        <f t="shared" si="66"/>
        <v>0.10048011150813951</v>
      </c>
      <c r="V201" s="46">
        <f>IF(ISNUMBER(NORMSINV(SUM(U$13:U201)/U$317)),NORMSINV(SUM(U$13:U201)/U$317)," ")</f>
        <v>1.4204585506886487</v>
      </c>
      <c r="W201" s="46">
        <f t="shared" si="67"/>
        <v>7.7245929751542514E-4</v>
      </c>
      <c r="X201" s="46">
        <f>IF(ISNUMBER(NORMSINV(SUM(W$13:W201)/W$317)),NORMSINV(SUM(W$13:W201)/W$317)," ")</f>
        <v>2.8258922842465286</v>
      </c>
      <c r="Y201" s="46">
        <f t="shared" si="68"/>
        <v>0</v>
      </c>
      <c r="Z201" s="46" t="str">
        <f>IF(ISNUMBER(NORMSINV(SUM(Y$13:Y201)/Y$317)),NORMSINV(SUM(Y$13:Y201)/Y$317)," ")</f>
        <v xml:space="preserve"> </v>
      </c>
      <c r="AA201" s="46">
        <f t="shared" si="69"/>
        <v>0.4341736522704171</v>
      </c>
      <c r="AB201" s="46">
        <f>IF(ISNUMBER(NORMSINV(SUM(AA$13:AA201)/AA$317)),NORMSINV(SUM(AA$13:AA201)/AA$317)," ")</f>
        <v>1.2168513348534316</v>
      </c>
      <c r="AC201" s="46">
        <f t="shared" si="70"/>
        <v>1.2261258690721033E-3</v>
      </c>
      <c r="AD201" s="46">
        <f>IF(ISNUMBER(NORMSINV(SUM(AC$13:AC201)/AC$317)),NORMSINV(SUM(AC$13:AC201)/AC$317)," ")</f>
        <v>3.0310043954585471</v>
      </c>
      <c r="AE201" s="46">
        <f t="shared" si="71"/>
        <v>0</v>
      </c>
      <c r="AF201" s="46" t="str">
        <f>IF(ISNUMBER(NORMSINV(SUM(AE$13:AE201)/AE$317)),NORMSINV(SUM(AE$13:AE201)/AE$317)," ")</f>
        <v xml:space="preserve"> </v>
      </c>
      <c r="AG201" s="46">
        <f t="shared" si="72"/>
        <v>0.96697618055406953</v>
      </c>
      <c r="AH201" s="46">
        <f>IF(ISNUMBER(NORMSINV(SUM(AG$13:AG201)/AG$317)),NORMSINV(SUM(AG$13:AG201)/AG$317)," ")</f>
        <v>1.1866927346801619</v>
      </c>
      <c r="AI201" s="46">
        <f t="shared" si="73"/>
        <v>1.8391152360560103E-3</v>
      </c>
      <c r="AJ201" s="46">
        <f>IF(ISNUMBER(NORMSINV(SUM(AI$13:AI201)/AI$317)),NORMSINV(SUM(AI$13:AI201)/AI$317)," ")</f>
        <v>3.2760997963583409</v>
      </c>
      <c r="AK201" s="46">
        <f t="shared" si="74"/>
        <v>0</v>
      </c>
      <c r="AL201" s="46" t="str">
        <f>IF(ISNUMBER(NORMSINV(SUM(AK$13:AK201)/AK$317)),NORMSINV(SUM(AK$13:AK201)/AK$317)," ")</f>
        <v xml:space="preserve"> </v>
      </c>
      <c r="AM201" s="6">
        <v>0.22763684210265178</v>
      </c>
      <c r="AN201" s="6">
        <v>1.7499999999999998E-3</v>
      </c>
      <c r="AO201" s="6">
        <v>0</v>
      </c>
      <c r="AP201" s="6">
        <v>0.35410202428808324</v>
      </c>
      <c r="AQ201" s="6">
        <v>1E-3</v>
      </c>
      <c r="AR201" s="6">
        <v>0</v>
      </c>
      <c r="AS201" s="6">
        <v>0.39433751686534613</v>
      </c>
      <c r="AT201" s="6">
        <v>7.499999999999998E-4</v>
      </c>
      <c r="AU201" s="6">
        <v>0</v>
      </c>
    </row>
    <row r="202" spans="1:47" x14ac:dyDescent="0.4">
      <c r="A202" s="6">
        <f t="shared" si="59"/>
        <v>3.6039383519128112</v>
      </c>
      <c r="B202" s="6">
        <f>'Aerosol 1'!A206</f>
        <v>36.742655373856657</v>
      </c>
      <c r="C202" t="b">
        <f t="shared" si="60"/>
        <v>0</v>
      </c>
      <c r="E202" s="46">
        <f>'Aerosol 1'!$P206</f>
        <v>0.81379028769670292</v>
      </c>
      <c r="F202" s="46">
        <f>'Aerosol 2'!$P206</f>
        <v>0.81379028769670292</v>
      </c>
      <c r="G202" s="46">
        <f>'Aerosol 3'!$P206</f>
        <v>0.81379028769670292</v>
      </c>
      <c r="H202" s="46">
        <f t="shared" si="61"/>
        <v>2.4413708630901088</v>
      </c>
      <c r="I202" s="46">
        <f>NORMSINV(SUM(H$13:H202)/H$317)</f>
        <v>0.24123550948895597</v>
      </c>
      <c r="J202" s="46">
        <f t="shared" si="56"/>
        <v>0.43944675535621963</v>
      </c>
      <c r="K202" s="46">
        <f t="shared" si="57"/>
        <v>1.2206854315450544</v>
      </c>
      <c r="L202" s="46">
        <f t="shared" si="58"/>
        <v>2.441273208255585</v>
      </c>
      <c r="M202" s="46">
        <f t="shared" si="62"/>
        <v>4.101405395156859</v>
      </c>
      <c r="N202" s="46">
        <f>IF(ISNUMBER(NORMSINV(SUM(M$13:M202)/M$317)),NORMSINV(SUM(M$13:M202)/M$317)," ")</f>
        <v>0.2412355094889557</v>
      </c>
      <c r="O202" s="46">
        <f t="shared" si="63"/>
        <v>1.4465044809387448</v>
      </c>
      <c r="P202" s="46">
        <f>IF(ISNUMBER(NORMSINV(SUM(O$13:O202)/O$317)),NORMSINV(SUM(O$13:O202)/O$317)," ")</f>
        <v>1.253898110772274</v>
      </c>
      <c r="Q202" s="46">
        <f t="shared" si="64"/>
        <v>3.820672159610127E-3</v>
      </c>
      <c r="R202" s="46">
        <f>IF(ISNUMBER(NORMSINV(SUM(Q$13:Q202)/Q$317)),NORMSINV(SUM(Q$13:Q202)/Q$317)," ")</f>
        <v>3.1779473343953231</v>
      </c>
      <c r="S202" s="46">
        <f t="shared" si="65"/>
        <v>0</v>
      </c>
      <c r="T202" s="46" t="str">
        <f>IF(ISNUMBER(NORMSINV(SUM(S$13:S202)/S$317)),NORMSINV(SUM(S$13:S202)/S$317)," ")</f>
        <v xml:space="preserve"> </v>
      </c>
      <c r="U202" s="46">
        <f t="shared" si="66"/>
        <v>9.6190891896212549E-2</v>
      </c>
      <c r="V202" s="46">
        <f>IF(ISNUMBER(NORMSINV(SUM(U$13:U202)/U$317)),NORMSINV(SUM(U$13:U202)/U$317)," ")</f>
        <v>1.4585118776666546</v>
      </c>
      <c r="W202" s="46">
        <f t="shared" si="67"/>
        <v>7.6903182187338423E-4</v>
      </c>
      <c r="X202" s="46">
        <f>IF(ISNUMBER(NORMSINV(SUM(W$13:W202)/W$317)),NORMSINV(SUM(W$13:W202)/W$317)," ")</f>
        <v>2.8745801478135893</v>
      </c>
      <c r="Y202" s="46">
        <f t="shared" si="68"/>
        <v>0</v>
      </c>
      <c r="Z202" s="46" t="str">
        <f>IF(ISNUMBER(NORMSINV(SUM(Y$13:Y202)/Y$317)),NORMSINV(SUM(Y$13:Y202)/Y$317)," ")</f>
        <v xml:space="preserve"> </v>
      </c>
      <c r="AA202" s="46">
        <f t="shared" si="69"/>
        <v>0.41828618745500018</v>
      </c>
      <c r="AB202" s="46">
        <f>IF(ISNUMBER(NORMSINV(SUM(AA$13:AA202)/AA$317)),NORMSINV(SUM(AA$13:AA202)/AA$317)," ")</f>
        <v>1.2566070068816195</v>
      </c>
      <c r="AC202" s="46">
        <f t="shared" si="70"/>
        <v>1.2206854315450545E-3</v>
      </c>
      <c r="AD202" s="46">
        <f>IF(ISNUMBER(NORMSINV(SUM(AC$13:AC202)/AC$317)),NORMSINV(SUM(AC$13:AC202)/AC$317)," ")</f>
        <v>3.0908457499617978</v>
      </c>
      <c r="AE202" s="46">
        <f t="shared" si="71"/>
        <v>0</v>
      </c>
      <c r="AF202" s="46" t="str">
        <f>IF(ISNUMBER(NORMSINV(SUM(AE$13:AE202)/AE$317)),NORMSINV(SUM(AE$13:AE202)/AE$317)," ")</f>
        <v xml:space="preserve"> </v>
      </c>
      <c r="AG202" s="46">
        <f t="shared" si="72"/>
        <v>0.93202740158753217</v>
      </c>
      <c r="AH202" s="46">
        <f>IF(ISNUMBER(NORMSINV(SUM(AG$13:AG202)/AG$317)),NORMSINV(SUM(AG$13:AG202)/AG$317)," ")</f>
        <v>1.2266561743819966</v>
      </c>
      <c r="AI202" s="46">
        <f t="shared" si="73"/>
        <v>1.8309549061916882E-3</v>
      </c>
      <c r="AJ202" s="46">
        <f>IF(ISNUMBER(NORMSINV(SUM(AI$13:AI202)/AI$317)),NORMSINV(SUM(AI$13:AI202)/AI$317)," ")</f>
        <v>3.3739761116334437</v>
      </c>
      <c r="AK202" s="46">
        <f t="shared" si="74"/>
        <v>0</v>
      </c>
      <c r="AL202" s="46" t="str">
        <f>IF(ISNUMBER(NORMSINV(SUM(AK$13:AK202)/AK$317)),NORMSINV(SUM(AK$13:AK202)/AK$317)," ")</f>
        <v xml:space="preserve"> </v>
      </c>
      <c r="AM202" s="6">
        <v>0.2188908911575404</v>
      </c>
      <c r="AN202" s="6">
        <v>1.7499999999999998E-3</v>
      </c>
      <c r="AO202" s="6">
        <v>0</v>
      </c>
      <c r="AP202" s="6">
        <v>0.34266501151370676</v>
      </c>
      <c r="AQ202" s="6">
        <v>1E-3</v>
      </c>
      <c r="AR202" s="6">
        <v>0</v>
      </c>
      <c r="AS202" s="6">
        <v>0.38177922832877587</v>
      </c>
      <c r="AT202" s="6">
        <v>7.499999999999998E-4</v>
      </c>
      <c r="AU202" s="6">
        <v>0</v>
      </c>
    </row>
    <row r="203" spans="1:47" x14ac:dyDescent="0.4">
      <c r="A203" s="6">
        <f t="shared" si="59"/>
        <v>3.6384169293439901</v>
      </c>
      <c r="B203" s="6">
        <f>'Aerosol 1'!A207</f>
        <v>38.031582362486112</v>
      </c>
      <c r="C203" t="b">
        <f t="shared" si="60"/>
        <v>0</v>
      </c>
      <c r="E203" s="46">
        <f>'Aerosol 1'!$P207</f>
        <v>0.80982517433610957</v>
      </c>
      <c r="F203" s="46">
        <f>'Aerosol 2'!$P207</f>
        <v>0.80982517433610957</v>
      </c>
      <c r="G203" s="46">
        <f>'Aerosol 3'!$P207</f>
        <v>0.80982517433610957</v>
      </c>
      <c r="H203" s="46">
        <f t="shared" si="61"/>
        <v>2.4294755230083287</v>
      </c>
      <c r="I203" s="46">
        <f>NORMSINV(SUM(H$13:H203)/H$317)</f>
        <v>0.26229411619305609</v>
      </c>
      <c r="J203" s="46">
        <f t="shared" si="56"/>
        <v>0.43730559414149922</v>
      </c>
      <c r="K203" s="46">
        <f t="shared" si="57"/>
        <v>1.2147377615041643</v>
      </c>
      <c r="L203" s="46">
        <f t="shared" si="58"/>
        <v>2.4293783439874086</v>
      </c>
      <c r="M203" s="46">
        <f t="shared" si="62"/>
        <v>4.0814216996330721</v>
      </c>
      <c r="N203" s="46">
        <f>IF(ISNUMBER(NORMSINV(SUM(M$13:M203)/M$317)),NORMSINV(SUM(M$13:M203)/M$317)," ")</f>
        <v>0.26229411619305609</v>
      </c>
      <c r="O203" s="46">
        <f t="shared" si="63"/>
        <v>1.3936760233040026</v>
      </c>
      <c r="P203" s="46">
        <f>IF(ISNUMBER(NORMSINV(SUM(O$13:O203)/O$317)),NORMSINV(SUM(O$13:O203)/O$317)," ")</f>
        <v>1.2941101178893808</v>
      </c>
      <c r="Q203" s="46">
        <f t="shared" si="64"/>
        <v>3.8020563092423438E-3</v>
      </c>
      <c r="R203" s="46">
        <f>IF(ISNUMBER(NORMSINV(SUM(Q$13:Q203)/Q$317)),NORMSINV(SUM(Q$13:Q203)/Q$317)," ")</f>
        <v>3.264949202937276</v>
      </c>
      <c r="S203" s="46">
        <f t="shared" si="65"/>
        <v>0</v>
      </c>
      <c r="T203" s="46" t="str">
        <f>IF(ISNUMBER(NORMSINV(SUM(S$13:S203)/S$317)),NORMSINV(SUM(S$13:S203)/S$317)," ")</f>
        <v xml:space="preserve"> </v>
      </c>
      <c r="U203" s="46">
        <f t="shared" si="66"/>
        <v>9.1897507972519984E-2</v>
      </c>
      <c r="V203" s="46">
        <f>IF(ISNUMBER(NORMSINV(SUM(U$13:U203)/U$317)),NORMSINV(SUM(U$13:U203)/U$317)," ")</f>
        <v>1.4969521898508613</v>
      </c>
      <c r="W203" s="46">
        <f t="shared" si="67"/>
        <v>7.6528478974762361E-4</v>
      </c>
      <c r="X203" s="46">
        <f>IF(ISNUMBER(NORMSINV(SUM(W$13:W203)/W$317)),NORMSINV(SUM(W$13:W203)/W$317)," ")</f>
        <v>2.9309151485833045</v>
      </c>
      <c r="Y203" s="46">
        <f t="shared" si="68"/>
        <v>0</v>
      </c>
      <c r="Z203" s="46" t="str">
        <f>IF(ISNUMBER(NORMSINV(SUM(Y$13:Y203)/Y$317)),NORMSINV(SUM(Y$13:Y203)/Y$317)," ")</f>
        <v xml:space="preserve"> </v>
      </c>
      <c r="AA203" s="46">
        <f t="shared" si="69"/>
        <v>0.40284430837660568</v>
      </c>
      <c r="AB203" s="46">
        <f>IF(ISNUMBER(NORMSINV(SUM(AA$13:AA203)/AA$317)),NORMSINV(SUM(AA$13:AA203)/AA$317)," ")</f>
        <v>1.2968690684016457</v>
      </c>
      <c r="AC203" s="46">
        <f t="shared" si="70"/>
        <v>1.2147377615041644E-3</v>
      </c>
      <c r="AD203" s="46">
        <f>IF(ISNUMBER(NORMSINV(SUM(AC$13:AC203)/AC$317)),NORMSINV(SUM(AC$13:AC203)/AC$317)," ")</f>
        <v>3.1639416212149754</v>
      </c>
      <c r="AE203" s="46">
        <f t="shared" si="71"/>
        <v>0</v>
      </c>
      <c r="AF203" s="46" t="str">
        <f>IF(ISNUMBER(NORMSINV(SUM(AE$13:AE203)/AE$317)),NORMSINV(SUM(AE$13:AE203)/AE$317)," ")</f>
        <v xml:space="preserve"> </v>
      </c>
      <c r="AG203" s="46">
        <f t="shared" si="72"/>
        <v>0.89893420695487691</v>
      </c>
      <c r="AH203" s="46">
        <f>IF(ISNUMBER(NORMSINV(SUM(AG$13:AG203)/AG$317)),NORMSINV(SUM(AG$13:AG203)/AG$317)," ")</f>
        <v>1.2671503170773091</v>
      </c>
      <c r="AI203" s="46">
        <f t="shared" si="73"/>
        <v>1.822033757990556E-3</v>
      </c>
      <c r="AJ203" s="46">
        <f>IF(ISNUMBER(NORMSINV(SUM(AI$13:AI203)/AI$317)),NORMSINV(SUM(AI$13:AI203)/AI$317)," ")</f>
        <v>3.5204466924116962</v>
      </c>
      <c r="AK203" s="46">
        <f t="shared" si="74"/>
        <v>0</v>
      </c>
      <c r="AL203" s="46" t="str">
        <f>IF(ISNUMBER(NORMSINV(SUM(AK$13:AK203)/AK$317)),NORMSINV(SUM(AK$13:AK203)/AK$317)," ")</f>
        <v xml:space="preserve"> </v>
      </c>
      <c r="AM203" s="6">
        <v>0.21014482596073231</v>
      </c>
      <c r="AN203" s="6">
        <v>1.7499999999999998E-3</v>
      </c>
      <c r="AO203" s="6">
        <v>0</v>
      </c>
      <c r="AP203" s="6">
        <v>0.33163067877117663</v>
      </c>
      <c r="AQ203" s="6">
        <v>1E-3</v>
      </c>
      <c r="AR203" s="6">
        <v>0</v>
      </c>
      <c r="AS203" s="6">
        <v>0.37002643461430973</v>
      </c>
      <c r="AT203" s="6">
        <v>7.499999999999998E-4</v>
      </c>
      <c r="AU203" s="6">
        <v>0</v>
      </c>
    </row>
    <row r="204" spans="1:47" x14ac:dyDescent="0.4">
      <c r="A204" s="6">
        <f t="shared" si="59"/>
        <v>3.6728955067751694</v>
      </c>
      <c r="B204" s="6">
        <f>'Aerosol 1'!A208</f>
        <v>39.365724721782549</v>
      </c>
      <c r="C204" t="b">
        <f t="shared" si="60"/>
        <v>0</v>
      </c>
      <c r="E204" s="46">
        <f>'Aerosol 1'!$P208</f>
        <v>0.80552701261034088</v>
      </c>
      <c r="F204" s="46">
        <f>'Aerosol 2'!$P208</f>
        <v>0.80552701261034088</v>
      </c>
      <c r="G204" s="46">
        <f>'Aerosol 3'!$P208</f>
        <v>0.80552701261034088</v>
      </c>
      <c r="H204" s="46">
        <f t="shared" si="61"/>
        <v>2.4165810378310226</v>
      </c>
      <c r="I204" s="46">
        <f>NORMSINV(SUM(H$13:H204)/H$317)</f>
        <v>0.28335698305441254</v>
      </c>
      <c r="J204" s="46">
        <f t="shared" si="56"/>
        <v>0.43498458680958413</v>
      </c>
      <c r="K204" s="46">
        <f t="shared" si="57"/>
        <v>1.2082905189155113</v>
      </c>
      <c r="L204" s="46">
        <f t="shared" si="58"/>
        <v>2.4164843745895093</v>
      </c>
      <c r="M204" s="46">
        <f t="shared" si="62"/>
        <v>4.0597594803146047</v>
      </c>
      <c r="N204" s="46">
        <f>IF(ISNUMBER(NORMSINV(SUM(M$13:M204)/M$317)),NORMSINV(SUM(M$13:M204)/M$317)," ")</f>
        <v>0.2833569830544122</v>
      </c>
      <c r="O204" s="46">
        <f t="shared" si="63"/>
        <v>1.3401467480617193</v>
      </c>
      <c r="P204" s="46">
        <f>IF(ISNUMBER(NORMSINV(SUM(O$13:O204)/O$317)),NORMSINV(SUM(O$13:O204)/O$317)," ")</f>
        <v>1.3348571027908762</v>
      </c>
      <c r="Q204" s="46">
        <f t="shared" si="64"/>
        <v>3.569485844000091E-3</v>
      </c>
      <c r="R204" s="46">
        <f>IF(ISNUMBER(NORMSINV(SUM(Q$13:Q204)/Q$317)),NORMSINV(SUM(Q$13:Q204)/Q$317)," ")</f>
        <v>3.3779760735001862</v>
      </c>
      <c r="S204" s="46">
        <f t="shared" si="65"/>
        <v>0</v>
      </c>
      <c r="T204" s="46" t="str">
        <f>IF(ISNUMBER(NORMSINV(SUM(S$13:S204)/S$317)),NORMSINV(SUM(S$13:S204)/S$317)," ")</f>
        <v xml:space="preserve"> </v>
      </c>
      <c r="U204" s="46">
        <f t="shared" si="66"/>
        <v>8.7603570804944367E-2</v>
      </c>
      <c r="V204" s="46">
        <f>IF(ISNUMBER(NORMSINV(SUM(U$13:U204)/U$317)),NORMSINV(SUM(U$13:U204)/U$317)," ")</f>
        <v>1.5357778461285103</v>
      </c>
      <c r="W204" s="46">
        <f t="shared" si="67"/>
        <v>7.612230269167722E-4</v>
      </c>
      <c r="X204" s="46">
        <f>IF(ISNUMBER(NORMSINV(SUM(W$13:W204)/W$317)),NORMSINV(SUM(W$13:W204)/W$317)," ")</f>
        <v>2.9980438613660216</v>
      </c>
      <c r="Y204" s="46">
        <f t="shared" si="68"/>
        <v>0</v>
      </c>
      <c r="Z204" s="46" t="str">
        <f>IF(ISNUMBER(NORMSINV(SUM(Y$13:Y204)/Y$317)),NORMSINV(SUM(Y$13:Y204)/Y$317)," ")</f>
        <v xml:space="preserve"> </v>
      </c>
      <c r="AA204" s="46">
        <f t="shared" si="69"/>
        <v>0.38699771323144161</v>
      </c>
      <c r="AB204" s="46">
        <f>IF(ISNUMBER(NORMSINV(SUM(AA$13:AA204)/AA$317)),NORMSINV(SUM(AA$13:AA204)/AA$317)," ")</f>
        <v>1.3376337281158168</v>
      </c>
      <c r="AC204" s="46">
        <f t="shared" si="70"/>
        <v>9.958995361411874E-4</v>
      </c>
      <c r="AD204" s="46">
        <f>IF(ISNUMBER(NORMSINV(SUM(AC$13:AC204)/AC$317)),NORMSINV(SUM(AC$13:AC204)/AC$317)," ")</f>
        <v>3.2397738973333223</v>
      </c>
      <c r="AE204" s="46">
        <f t="shared" si="71"/>
        <v>0</v>
      </c>
      <c r="AF204" s="46" t="str">
        <f>IF(ISNUMBER(NORMSINV(SUM(AE$13:AE204)/AE$317)),NORMSINV(SUM(AE$13:AE204)/AE$317)," ")</f>
        <v xml:space="preserve"> </v>
      </c>
      <c r="AG204" s="46">
        <f t="shared" si="72"/>
        <v>0.86554546402533328</v>
      </c>
      <c r="AH204" s="46">
        <f>IF(ISNUMBER(NORMSINV(SUM(AG$13:AG204)/AG$317)),NORMSINV(SUM(AG$13:AG204)/AG$317)," ")</f>
        <v>1.3082078334704703</v>
      </c>
      <c r="AI204" s="46">
        <f t="shared" si="73"/>
        <v>1.8123632809421315E-3</v>
      </c>
      <c r="AJ204" s="46">
        <f>IF(ISNUMBER(NORMSINV(SUM(AI$13:AI204)/AI$317)),NORMSINV(SUM(AI$13:AI204)/AI$317)," ")</f>
        <v>3.841310913363202</v>
      </c>
      <c r="AK204" s="46">
        <f t="shared" si="74"/>
        <v>0</v>
      </c>
      <c r="AL204" s="46" t="str">
        <f>IF(ISNUMBER(NORMSINV(SUM(AK$13:AK204)/AK$317)),NORMSINV(SUM(AK$13:AK204)/AK$317)," ")</f>
        <v xml:space="preserve"> </v>
      </c>
      <c r="AM204" s="6">
        <v>0.20139465503243936</v>
      </c>
      <c r="AN204" s="6">
        <v>1.7499999999999998E-3</v>
      </c>
      <c r="AO204" s="6">
        <v>0</v>
      </c>
      <c r="AP204" s="6">
        <v>0.32028531811934385</v>
      </c>
      <c r="AQ204" s="6">
        <v>8.2422192390870256E-4</v>
      </c>
      <c r="AR204" s="6">
        <v>0</v>
      </c>
      <c r="AS204" s="6">
        <v>0.35818376196716123</v>
      </c>
      <c r="AT204" s="6">
        <v>7.499999999999998E-4</v>
      </c>
      <c r="AU204" s="6">
        <v>0</v>
      </c>
    </row>
    <row r="205" spans="1:47" x14ac:dyDescent="0.4">
      <c r="A205" s="6">
        <f t="shared" si="59"/>
        <v>3.7073740842063487</v>
      </c>
      <c r="B205" s="6">
        <f>'Aerosol 1'!A209</f>
        <v>40.746668600350631</v>
      </c>
      <c r="C205" t="b">
        <f t="shared" si="60"/>
        <v>0</v>
      </c>
      <c r="E205" s="46">
        <f>'Aerosol 1'!$P209</f>
        <v>0.80090131891777938</v>
      </c>
      <c r="F205" s="46">
        <f>'Aerosol 2'!$P209</f>
        <v>0.80090131891777938</v>
      </c>
      <c r="G205" s="46">
        <f>'Aerosol 3'!$P209</f>
        <v>0.80090131891777938</v>
      </c>
      <c r="H205" s="46">
        <f t="shared" si="61"/>
        <v>2.4027039567533381</v>
      </c>
      <c r="I205" s="46">
        <f>NORMSINV(SUM(H$13:H205)/H$317)</f>
        <v>0.30442426833539993</v>
      </c>
      <c r="J205" s="46">
        <f t="shared" ref="J205:J268" si="75">F$5*G$5*E205</f>
        <v>0.43248671221560092</v>
      </c>
      <c r="K205" s="46">
        <f t="shared" ref="K205:K268" si="76">F$6*G$6*F205</f>
        <v>1.2013519783766691</v>
      </c>
      <c r="L205" s="46">
        <f t="shared" ref="L205:L268" si="77">F$7*G$7*G205</f>
        <v>2.4026078485950682</v>
      </c>
      <c r="M205" s="46">
        <f t="shared" si="62"/>
        <v>4.0364465391873381</v>
      </c>
      <c r="N205" s="46">
        <f>IF(ISNUMBER(NORMSINV(SUM(M$13:M205)/M$317)),NORMSINV(SUM(M$13:M205)/M$317)," ")</f>
        <v>0.30442426833539993</v>
      </c>
      <c r="O205" s="46">
        <f t="shared" si="63"/>
        <v>1.2872476394966852</v>
      </c>
      <c r="P205" s="46">
        <f>IF(ISNUMBER(NORMSINV(SUM(O$13:O205)/O$317)),NORMSINV(SUM(O$13:O205)/O$317)," ")</f>
        <v>1.3761997608178369</v>
      </c>
      <c r="Q205" s="46">
        <f t="shared" si="64"/>
        <v>2.1820241103732091E-3</v>
      </c>
      <c r="R205" s="46">
        <f>IF(ISNUMBER(NORMSINV(SUM(Q$13:Q205)/Q$317)),NORMSINV(SUM(Q$13:Q205)/Q$317)," ")</f>
        <v>3.4768610210357411</v>
      </c>
      <c r="S205" s="46">
        <f t="shared" si="65"/>
        <v>0</v>
      </c>
      <c r="T205" s="46" t="str">
        <f>IF(ISNUMBER(NORMSINV(SUM(S$13:S205)/S$317)),NORMSINV(SUM(S$13:S205)/S$317)," ")</f>
        <v xml:space="preserve"> </v>
      </c>
      <c r="U205" s="46">
        <f t="shared" si="66"/>
        <v>8.3509513919371975E-2</v>
      </c>
      <c r="V205" s="46">
        <f>IF(ISNUMBER(NORMSINV(SUM(U$13:U205)/U$317)),NORMSINV(SUM(U$13:U205)/U$317)," ")</f>
        <v>1.5750771283137346</v>
      </c>
      <c r="W205" s="46">
        <f t="shared" si="67"/>
        <v>5.6192687509190153E-4</v>
      </c>
      <c r="X205" s="46">
        <f>IF(ISNUMBER(NORMSINV(SUM(W$13:W205)/W$317)),NORMSINV(SUM(W$13:W205)/W$317)," ")</f>
        <v>3.0580047013644025</v>
      </c>
      <c r="Y205" s="46">
        <f t="shared" si="68"/>
        <v>0</v>
      </c>
      <c r="Z205" s="46" t="str">
        <f>IF(ISNUMBER(NORMSINV(SUM(Y$13:Y205)/Y$317)),NORMSINV(SUM(Y$13:Y205)/Y$317)," ")</f>
        <v xml:space="preserve"> </v>
      </c>
      <c r="AA205" s="46">
        <f t="shared" si="69"/>
        <v>0.37138408755160029</v>
      </c>
      <c r="AB205" s="46">
        <f>IF(ISNUMBER(NORMSINV(SUM(AA$13:AA205)/AA$317)),NORMSINV(SUM(AA$13:AA205)/AA$317)," ")</f>
        <v>1.3789615074887331</v>
      </c>
      <c r="AC205" s="46">
        <f t="shared" si="70"/>
        <v>9.0101398378250152E-4</v>
      </c>
      <c r="AD205" s="46">
        <f>IF(ISNUMBER(NORMSINV(SUM(AC$13:AC205)/AC$317)),NORMSINV(SUM(AC$13:AC205)/AC$317)," ")</f>
        <v>3.3294003547265492</v>
      </c>
      <c r="AE205" s="46">
        <f t="shared" si="71"/>
        <v>0</v>
      </c>
      <c r="AF205" s="46" t="str">
        <f>IF(ISNUMBER(NORMSINV(SUM(AE$13:AE205)/AE$317)),NORMSINV(SUM(AE$13:AE205)/AE$317)," ")</f>
        <v xml:space="preserve"> </v>
      </c>
      <c r="AG205" s="46">
        <f t="shared" si="72"/>
        <v>0.83235403802571284</v>
      </c>
      <c r="AH205" s="46">
        <f>IF(ISNUMBER(NORMSINV(SUM(AG$13:AG205)/AG$317)),NORMSINV(SUM(AG$13:AG205)/AG$317)," ")</f>
        <v>1.3498864029312727</v>
      </c>
      <c r="AI205" s="46">
        <f t="shared" si="73"/>
        <v>7.1908325149880597E-4</v>
      </c>
      <c r="AJ205" s="46" t="str">
        <f>IF(ISNUMBER(NORMSINV(SUM(AI$13:AI205)/AI$317)),NORMSINV(SUM(AI$13:AI205)/AI$317)," ")</f>
        <v xml:space="preserve"> </v>
      </c>
      <c r="AK205" s="46">
        <f t="shared" si="74"/>
        <v>0</v>
      </c>
      <c r="AL205" s="46" t="str">
        <f>IF(ISNUMBER(NORMSINV(SUM(AK$13:AK205)/AK$317)),NORMSINV(SUM(AK$13:AK205)/AK$317)," ")</f>
        <v xml:space="preserve"> </v>
      </c>
      <c r="AM205" s="6">
        <v>0.19309151370583905</v>
      </c>
      <c r="AN205" s="6">
        <v>1.2992928088199223E-3</v>
      </c>
      <c r="AO205" s="6">
        <v>0</v>
      </c>
      <c r="AP205" s="6">
        <v>0.30913844921072531</v>
      </c>
      <c r="AQ205" s="6">
        <v>7.499999999999998E-4</v>
      </c>
      <c r="AR205" s="6">
        <v>0</v>
      </c>
      <c r="AS205" s="6">
        <v>0.34643774201954525</v>
      </c>
      <c r="AT205" s="6">
        <v>2.9929280881992124E-4</v>
      </c>
      <c r="AU205" s="6">
        <v>0</v>
      </c>
    </row>
    <row r="206" spans="1:47" x14ac:dyDescent="0.4">
      <c r="A206" s="6">
        <f t="shared" ref="A206:A269" si="78">LN(B206)</f>
        <v>3.7418526616375281</v>
      </c>
      <c r="B206" s="6">
        <f>'Aerosol 1'!A210</f>
        <v>42.176055788656626</v>
      </c>
      <c r="C206" t="b">
        <f t="shared" ref="C206:C269" si="79">OR(B206&lt;0.001,B206&gt;100)</f>
        <v>0</v>
      </c>
      <c r="E206" s="46">
        <f>'Aerosol 1'!$P210</f>
        <v>0.79595400761525159</v>
      </c>
      <c r="F206" s="46">
        <f>'Aerosol 2'!$P210</f>
        <v>0.79595400761525159</v>
      </c>
      <c r="G206" s="46">
        <f>'Aerosol 3'!$P210</f>
        <v>0.79595400761525159</v>
      </c>
      <c r="H206" s="46">
        <f t="shared" ref="H206:H269" si="80">SUM(E206,F206,G206)</f>
        <v>2.3878620228457548</v>
      </c>
      <c r="I206" s="46">
        <f>NORMSINV(SUM(H$13:H206)/H$317)</f>
        <v>0.32549613724875276</v>
      </c>
      <c r="J206" s="46">
        <f t="shared" si="75"/>
        <v>0.42981516411223591</v>
      </c>
      <c r="K206" s="46">
        <f t="shared" si="76"/>
        <v>1.1939310114228774</v>
      </c>
      <c r="L206" s="46">
        <f t="shared" si="77"/>
        <v>2.3877665083648409</v>
      </c>
      <c r="M206" s="46">
        <f t="shared" ref="M206:M269" si="81">SUM(J206,K206,L206)</f>
        <v>4.0115126838999542</v>
      </c>
      <c r="N206" s="46">
        <f>IF(ISNUMBER(NORMSINV(SUM(M$13:M206)/M$317)),NORMSINV(SUM(M$13:M206)/M$317)," ")</f>
        <v>0.32549613724875276</v>
      </c>
      <c r="O206" s="46">
        <f t="shared" ref="O206:O269" si="82">SUM(U206,AA206,AG206)</f>
        <v>1.2336522877280374</v>
      </c>
      <c r="P206" s="46">
        <f>IF(ISNUMBER(NORMSINV(SUM(O$13:O206)/O$317)),NORMSINV(SUM(O$13:O206)/O$317)," ")</f>
        <v>1.4181583614308573</v>
      </c>
      <c r="Q206" s="46">
        <f t="shared" ref="Q206:Q269" si="83">SUM(W206,AC206,AI206)</f>
        <v>1.3252634226793938E-3</v>
      </c>
      <c r="R206" s="46">
        <f>IF(ISNUMBER(NORMSINV(SUM(Q$13:Q206)/Q$317)),NORMSINV(SUM(Q$13:Q206)/Q$317)," ")</f>
        <v>3.5592289797763095</v>
      </c>
      <c r="S206" s="46">
        <f t="shared" ref="S206:S269" si="84">SUM(Y206,AE206,AK206)</f>
        <v>0</v>
      </c>
      <c r="T206" s="46" t="str">
        <f>IF(ISNUMBER(NORMSINV(SUM(S$13:S206)/S$317)),NORMSINV(SUM(S$13:S206)/S$317)," ")</f>
        <v xml:space="preserve"> </v>
      </c>
      <c r="U206" s="46">
        <f t="shared" ref="U206:U269" si="85">IF(C206,0,$J206*AM206)</f>
        <v>7.9411743032280047E-2</v>
      </c>
      <c r="V206" s="46">
        <f>IF(ISNUMBER(NORMSINV(SUM(U$13:U206)/U$317)),NORMSINV(SUM(U$13:U206)/U$317)," ")</f>
        <v>1.6148489120894514</v>
      </c>
      <c r="W206" s="46">
        <f t="shared" ref="W206:W269" si="86">IF(C206,0,$J206*AN206)</f>
        <v>4.298151641122359E-4</v>
      </c>
      <c r="X206" s="46">
        <f>IF(ISNUMBER(NORMSINV(SUM(W$13:W206)/W$317)),NORMSINV(SUM(W$13:W206)/W$317)," ")</f>
        <v>3.1126578933857729</v>
      </c>
      <c r="Y206" s="46">
        <f t="shared" ref="Y206:Y269" si="87">IF(C206,0,$J206*AO206)</f>
        <v>0</v>
      </c>
      <c r="Z206" s="46" t="str">
        <f>IF(ISNUMBER(NORMSINV(SUM(Y$13:Y206)/Y$317)),NORMSINV(SUM(Y$13:Y206)/Y$317)," ")</f>
        <v xml:space="preserve"> </v>
      </c>
      <c r="AA206" s="46">
        <f t="shared" ref="AA206:AA269" si="88">IF(C206,0,$K206*AP206)</f>
        <v>0.35610182402545038</v>
      </c>
      <c r="AB206" s="46">
        <f>IF(ISNUMBER(NORMSINV(SUM(AA$13:AA206)/AA$317)),NORMSINV(SUM(AA$13:AA206)/AA$317)," ")</f>
        <v>1.4209310024707957</v>
      </c>
      <c r="AC206" s="46">
        <f t="shared" ref="AC206:AC269" si="89">IF(C206,0,$K206*AQ206)</f>
        <v>8.9544825856715778E-4</v>
      </c>
      <c r="AD206" s="46">
        <f>IF(ISNUMBER(NORMSINV(SUM(AC$13:AC206)/AC$317)),NORMSINV(SUM(AC$13:AC206)/AC$317)," ")</f>
        <v>3.456897779481706</v>
      </c>
      <c r="AE206" s="46">
        <f t="shared" ref="AE206:AE269" si="90">IF(C206,0,$K206*AR206)</f>
        <v>0</v>
      </c>
      <c r="AF206" s="46" t="str">
        <f>IF(ISNUMBER(NORMSINV(SUM(AE$13:AE206)/AE$317)),NORMSINV(SUM(AE$13:AE206)/AE$317)," ")</f>
        <v xml:space="preserve"> </v>
      </c>
      <c r="AG206" s="46">
        <f t="shared" ref="AG206:AG269" si="91">IF(C206,0,$L206*AS206)</f>
        <v>0.79813872067030689</v>
      </c>
      <c r="AH206" s="46">
        <f>IF(ISNUMBER(NORMSINV(SUM(AG$13:AG206)/AG$317)),NORMSINV(SUM(AG$13:AG206)/AG$317)," ")</f>
        <v>1.3921821214990724</v>
      </c>
      <c r="AI206" s="46">
        <f t="shared" ref="AI206:AI269" si="92">IF(C206,0,$L206*AT206)</f>
        <v>0</v>
      </c>
      <c r="AJ206" s="46" t="str">
        <f>IF(ISNUMBER(NORMSINV(SUM(AI$13:AI206)/AI$317)),NORMSINV(SUM(AI$13:AI206)/AI$317)," ")</f>
        <v xml:space="preserve"> </v>
      </c>
      <c r="AK206" s="46">
        <f t="shared" ref="AK206:AK269" si="93">IF(C206,0,$L206*AU206)</f>
        <v>0</v>
      </c>
      <c r="AL206" s="46" t="str">
        <f>IF(ISNUMBER(NORMSINV(SUM(AK$13:AK206)/AK$317)),NORMSINV(SUM(AK$13:AK206)/AK$317)," ")</f>
        <v xml:space="preserve"> </v>
      </c>
      <c r="AM206" s="6">
        <v>0.18475789051394095</v>
      </c>
      <c r="AN206" s="6">
        <v>1E-3</v>
      </c>
      <c r="AO206" s="6">
        <v>0</v>
      </c>
      <c r="AP206" s="6">
        <v>0.29825996696497814</v>
      </c>
      <c r="AQ206" s="6">
        <v>7.499999999999998E-4</v>
      </c>
      <c r="AR206" s="6">
        <v>0</v>
      </c>
      <c r="AS206" s="6">
        <v>0.33426162812580773</v>
      </c>
      <c r="AT206" s="6">
        <v>0</v>
      </c>
      <c r="AU206" s="6">
        <v>0</v>
      </c>
    </row>
    <row r="207" spans="1:47" x14ac:dyDescent="0.4">
      <c r="A207" s="6">
        <f t="shared" si="78"/>
        <v>3.7763312390687074</v>
      </c>
      <c r="B207" s="6">
        <f>'Aerosol 1'!A211</f>
        <v>43.655585670936766</v>
      </c>
      <c r="C207" t="b">
        <f t="shared" si="79"/>
        <v>0</v>
      </c>
      <c r="E207" s="46">
        <f>'Aerosol 1'!$P211</f>
        <v>0.79069137841981663</v>
      </c>
      <c r="F207" s="46">
        <f>'Aerosol 2'!$P211</f>
        <v>0.79069137841981663</v>
      </c>
      <c r="G207" s="46">
        <f>'Aerosol 3'!$P211</f>
        <v>0.79069137841981663</v>
      </c>
      <c r="H207" s="46">
        <f t="shared" si="80"/>
        <v>2.3720741352594499</v>
      </c>
      <c r="I207" s="46">
        <f>NORMSINV(SUM(H$13:H207)/H$317)</f>
        <v>0.3465727623062671</v>
      </c>
      <c r="J207" s="46">
        <f t="shared" si="75"/>
        <v>0.42697334434670103</v>
      </c>
      <c r="K207" s="46">
        <f t="shared" si="76"/>
        <v>1.1860370676297249</v>
      </c>
      <c r="L207" s="46">
        <f t="shared" si="77"/>
        <v>2.3719792522940395</v>
      </c>
      <c r="M207" s="46">
        <f t="shared" si="81"/>
        <v>3.9849896642704654</v>
      </c>
      <c r="N207" s="46">
        <f>IF(ISNUMBER(NORMSINV(SUM(M$13:M207)/M$317)),NORMSINV(SUM(M$13:M207)/M$317)," ")</f>
        <v>0.34657276230626677</v>
      </c>
      <c r="O207" s="46">
        <f t="shared" si="82"/>
        <v>1.1798290989013378</v>
      </c>
      <c r="P207" s="46">
        <f>IF(ISNUMBER(NORMSINV(SUM(O$13:O207)/O$317)),NORMSINV(SUM(O$13:O207)/O$317)," ")</f>
        <v>1.460766006397181</v>
      </c>
      <c r="Q207" s="46">
        <f t="shared" si="83"/>
        <v>1.3165011450689944E-3</v>
      </c>
      <c r="R207" s="46">
        <f>IF(ISNUMBER(NORMSINV(SUM(Q$13:Q207)/Q$317)),NORMSINV(SUM(Q$13:Q207)/Q$317)," ")</f>
        <v>3.675413346055552</v>
      </c>
      <c r="S207" s="46">
        <f t="shared" si="84"/>
        <v>0</v>
      </c>
      <c r="T207" s="46" t="str">
        <f>IF(ISNUMBER(NORMSINV(SUM(S$13:S207)/S$317)),NORMSINV(SUM(S$13:S207)/S$317)," ")</f>
        <v xml:space="preserve"> </v>
      </c>
      <c r="U207" s="46">
        <f t="shared" si="85"/>
        <v>7.5496471815965985E-2</v>
      </c>
      <c r="V207" s="46">
        <f>IF(ISNUMBER(NORMSINV(SUM(U$13:U207)/U$317)),NORMSINV(SUM(U$13:U207)/U$317)," ")</f>
        <v>1.6551860783815637</v>
      </c>
      <c r="W207" s="46">
        <f t="shared" si="86"/>
        <v>4.2697334434670103E-4</v>
      </c>
      <c r="X207" s="46">
        <f>IF(ISNUMBER(NORMSINV(SUM(W$13:W207)/W$317)),NORMSINV(SUM(W$13:W207)/W$317)," ")</f>
        <v>3.1780819453077078</v>
      </c>
      <c r="Y207" s="46">
        <f t="shared" si="87"/>
        <v>0</v>
      </c>
      <c r="Z207" s="46" t="str">
        <f>IF(ISNUMBER(NORMSINV(SUM(Y$13:Y207)/Y$317)),NORMSINV(SUM(Y$13:Y207)/Y$317)," ")</f>
        <v xml:space="preserve"> </v>
      </c>
      <c r="AA207" s="46">
        <f t="shared" si="88"/>
        <v>0.34060412134044243</v>
      </c>
      <c r="AB207" s="46">
        <f>IF(ISNUMBER(NORMSINV(SUM(AA$13:AA207)/AA$317)),NORMSINV(SUM(AA$13:AA207)/AA$317)," ")</f>
        <v>1.4635605469161326</v>
      </c>
      <c r="AC207" s="46">
        <f t="shared" si="89"/>
        <v>8.8952780072229347E-4</v>
      </c>
      <c r="AD207" s="46">
        <f>IF(ISNUMBER(NORMSINV(SUM(AC$13:AC207)/AC$317)),NORMSINV(SUM(AC$13:AC207)/AC$317)," ")</f>
        <v>3.6895243798334123</v>
      </c>
      <c r="AE207" s="46">
        <f t="shared" si="90"/>
        <v>0</v>
      </c>
      <c r="AF207" s="46" t="str">
        <f>IF(ISNUMBER(NORMSINV(SUM(AE$13:AE207)/AE$317)),NORMSINV(SUM(AE$13:AE207)/AE$317)," ")</f>
        <v xml:space="preserve"> </v>
      </c>
      <c r="AG207" s="46">
        <f t="shared" si="91"/>
        <v>0.76372850574492934</v>
      </c>
      <c r="AH207" s="46">
        <f>IF(ISNUMBER(NORMSINV(SUM(AG$13:AG207)/AG$317)),NORMSINV(SUM(AG$13:AG207)/AG$317)," ")</f>
        <v>1.4351283020874137</v>
      </c>
      <c r="AI207" s="46">
        <f t="shared" si="92"/>
        <v>0</v>
      </c>
      <c r="AJ207" s="46" t="str">
        <f>IF(ISNUMBER(NORMSINV(SUM(AI$13:AI207)/AI$317)),NORMSINV(SUM(AI$13:AI207)/AI$317)," ")</f>
        <v xml:space="preserve"> </v>
      </c>
      <c r="AK207" s="46">
        <f t="shared" si="93"/>
        <v>0</v>
      </c>
      <c r="AL207" s="46" t="str">
        <f>IF(ISNUMBER(NORMSINV(SUM(AK$13:AK207)/AK$317)),NORMSINV(SUM(AK$13:AK207)/AK$317)," ")</f>
        <v xml:space="preserve"> </v>
      </c>
      <c r="AM207" s="6">
        <v>0.1768177634870412</v>
      </c>
      <c r="AN207" s="6">
        <v>1E-3</v>
      </c>
      <c r="AO207" s="6">
        <v>0</v>
      </c>
      <c r="AP207" s="6">
        <v>0.28717831055747189</v>
      </c>
      <c r="AQ207" s="6">
        <v>7.499999999999998E-4</v>
      </c>
      <c r="AR207" s="6">
        <v>0</v>
      </c>
      <c r="AS207" s="6">
        <v>0.32197942077541186</v>
      </c>
      <c r="AT207" s="6">
        <v>0</v>
      </c>
      <c r="AU207" s="6">
        <v>0</v>
      </c>
    </row>
    <row r="208" spans="1:47" x14ac:dyDescent="0.4">
      <c r="A208" s="6">
        <f t="shared" si="78"/>
        <v>3.8108098164998863</v>
      </c>
      <c r="B208" s="6">
        <f>'Aerosol 1'!A212</f>
        <v>45.187017245578282</v>
      </c>
      <c r="C208" t="b">
        <f t="shared" si="79"/>
        <v>0</v>
      </c>
      <c r="E208" s="46">
        <f>'Aerosol 1'!$P212</f>
        <v>0.78512010304575552</v>
      </c>
      <c r="F208" s="46">
        <f>'Aerosol 2'!$P212</f>
        <v>0.78512010304575552</v>
      </c>
      <c r="G208" s="46">
        <f>'Aerosol 3'!$P212</f>
        <v>0.78512010304575552</v>
      </c>
      <c r="H208" s="46">
        <f t="shared" si="80"/>
        <v>2.3553603091372666</v>
      </c>
      <c r="I208" s="46">
        <f>NORMSINV(SUM(H$13:H208)/H$317)</f>
        <v>0.36765432368713247</v>
      </c>
      <c r="J208" s="46">
        <f t="shared" si="75"/>
        <v>0.42396485564470804</v>
      </c>
      <c r="K208" s="46">
        <f t="shared" si="76"/>
        <v>1.1776801545686333</v>
      </c>
      <c r="L208" s="46">
        <f t="shared" si="77"/>
        <v>2.3552660947249011</v>
      </c>
      <c r="M208" s="46">
        <f t="shared" si="81"/>
        <v>3.9569111049382424</v>
      </c>
      <c r="N208" s="46">
        <f>IF(ISNUMBER(NORMSINV(SUM(M$13:M208)/M$317)),NORMSINV(SUM(M$13:M208)/M$317)," ")</f>
        <v>0.36765432368713247</v>
      </c>
      <c r="O208" s="46">
        <f t="shared" si="82"/>
        <v>1.1266436031804579</v>
      </c>
      <c r="P208" s="46">
        <f>IF(ISNUMBER(NORMSINV(SUM(O$13:O208)/O$317)),NORMSINV(SUM(O$13:O208)/O$317)," ")</f>
        <v>1.5040881464267584</v>
      </c>
      <c r="Q208" s="46">
        <f t="shared" si="83"/>
        <v>1.0136382477571306E-3</v>
      </c>
      <c r="R208" s="46">
        <f>IF(ISNUMBER(NORMSINV(SUM(Q$13:Q208)/Q$317)),NORMSINV(SUM(Q$13:Q208)/Q$317)," ")</f>
        <v>3.8191329915844383</v>
      </c>
      <c r="S208" s="46">
        <f t="shared" si="84"/>
        <v>0</v>
      </c>
      <c r="T208" s="46" t="str">
        <f>IF(ISNUMBER(NORMSINV(SUM(S$13:S208)/S$317)),NORMSINV(SUM(S$13:S208)/S$317)," ")</f>
        <v xml:space="preserve"> </v>
      </c>
      <c r="U208" s="46">
        <f t="shared" si="85"/>
        <v>7.1821004956587067E-2</v>
      </c>
      <c r="V208" s="46">
        <f>IF(ISNUMBER(NORMSINV(SUM(U$13:U208)/U$317)),NORMSINV(SUM(U$13:U208)/U$317)," ")</f>
        <v>1.6962327935477126</v>
      </c>
      <c r="W208" s="46">
        <f t="shared" si="86"/>
        <v>3.9250913523605958E-4</v>
      </c>
      <c r="X208" s="46">
        <f>IF(ISNUMBER(NORMSINV(SUM(W$13:W208)/W$317)),NORMSINV(SUM(W$13:W208)/W$317)," ")</f>
        <v>3.2532472400255052</v>
      </c>
      <c r="Y208" s="46">
        <f t="shared" si="87"/>
        <v>0</v>
      </c>
      <c r="Z208" s="46" t="str">
        <f>IF(ISNUMBER(NORMSINV(SUM(Y$13:Y208)/Y$317)),NORMSINV(SUM(Y$13:Y208)/Y$317)," ")</f>
        <v xml:space="preserve"> </v>
      </c>
      <c r="AA208" s="46">
        <f t="shared" si="88"/>
        <v>0.32488013014631151</v>
      </c>
      <c r="AB208" s="46">
        <f>IF(ISNUMBER(NORMSINV(SUM(AA$13:AA208)/AA$317)),NORMSINV(SUM(AA$13:AA208)/AA$317)," ")</f>
        <v>1.5068608446210383</v>
      </c>
      <c r="AC208" s="46">
        <f t="shared" si="89"/>
        <v>6.2112911252107102E-4</v>
      </c>
      <c r="AD208" s="46" t="str">
        <f>IF(ISNUMBER(NORMSINV(SUM(AC$13:AC208)/AC$317)),NORMSINV(SUM(AC$13:AC208)/AC$317)," ")</f>
        <v xml:space="preserve"> </v>
      </c>
      <c r="AE208" s="46">
        <f t="shared" si="90"/>
        <v>0</v>
      </c>
      <c r="AF208" s="46" t="str">
        <f>IF(ISNUMBER(NORMSINV(SUM(AE$13:AE208)/AE$317)),NORMSINV(SUM(AE$13:AE208)/AE$317)," ")</f>
        <v xml:space="preserve"> </v>
      </c>
      <c r="AG208" s="46">
        <f t="shared" si="91"/>
        <v>0.72994246807755936</v>
      </c>
      <c r="AH208" s="46">
        <f>IF(ISNUMBER(NORMSINV(SUM(AG$13:AG208)/AG$317)),NORMSINV(SUM(AG$13:AG208)/AG$317)," ")</f>
        <v>1.4788067684860262</v>
      </c>
      <c r="AI208" s="46">
        <f t="shared" si="92"/>
        <v>0</v>
      </c>
      <c r="AJ208" s="46" t="str">
        <f>IF(ISNUMBER(NORMSINV(SUM(AI$13:AI208)/AI$317)),NORMSINV(SUM(AI$13:AI208)/AI$317)," ")</f>
        <v xml:space="preserve"> </v>
      </c>
      <c r="AK208" s="46">
        <f t="shared" si="93"/>
        <v>0</v>
      </c>
      <c r="AL208" s="46" t="str">
        <f>IF(ISNUMBER(NORMSINV(SUM(AK$13:AK208)/AK$317)),NORMSINV(SUM(AK$13:AK208)/AK$317)," ")</f>
        <v xml:space="preserve"> </v>
      </c>
      <c r="AM208" s="6">
        <v>0.16940320406362799</v>
      </c>
      <c r="AN208" s="6">
        <v>9.2580583038937296E-4</v>
      </c>
      <c r="AO208" s="6">
        <v>0</v>
      </c>
      <c r="AP208" s="6">
        <v>0.27586448568907934</v>
      </c>
      <c r="AQ208" s="6">
        <v>5.2741749116811884E-4</v>
      </c>
      <c r="AR208" s="6">
        <v>0</v>
      </c>
      <c r="AS208" s="6">
        <v>0.30991932067141559</v>
      </c>
      <c r="AT208" s="6">
        <v>0</v>
      </c>
      <c r="AU208" s="6">
        <v>0</v>
      </c>
    </row>
    <row r="209" spans="1:47" x14ac:dyDescent="0.4">
      <c r="A209" s="6">
        <f t="shared" si="78"/>
        <v>3.8452883939310651</v>
      </c>
      <c r="B209" s="6">
        <f>'Aerosol 1'!A213</f>
        <v>46.772171216375177</v>
      </c>
      <c r="C209" t="b">
        <f t="shared" si="79"/>
        <v>0</v>
      </c>
      <c r="E209" s="46">
        <f>'Aerosol 1'!$P213</f>
        <v>0.77924721111669593</v>
      </c>
      <c r="F209" s="46">
        <f>'Aerosol 2'!$P213</f>
        <v>0.77924721111669593</v>
      </c>
      <c r="G209" s="46">
        <f>'Aerosol 3'!$P213</f>
        <v>0.77924721111669593</v>
      </c>
      <c r="H209" s="46">
        <f t="shared" si="80"/>
        <v>2.3377416333500878</v>
      </c>
      <c r="I209" s="46">
        <f>NORMSINV(SUM(H$13:H209)/H$317)</f>
        <v>0.38874100962713265</v>
      </c>
      <c r="J209" s="46">
        <f t="shared" si="75"/>
        <v>0.4207934940030158</v>
      </c>
      <c r="K209" s="46">
        <f t="shared" si="76"/>
        <v>1.1688708166750439</v>
      </c>
      <c r="L209" s="46">
        <f t="shared" si="77"/>
        <v>2.3376481236847537</v>
      </c>
      <c r="M209" s="46">
        <f t="shared" si="81"/>
        <v>3.9273124343628134</v>
      </c>
      <c r="N209" s="46">
        <f>IF(ISNUMBER(NORMSINV(SUM(M$13:M209)/M$317)),NORMSINV(SUM(M$13:M209)/M$317)," ")</f>
        <v>0.38874100962713265</v>
      </c>
      <c r="O209" s="46">
        <f t="shared" si="82"/>
        <v>1.0728869112323463</v>
      </c>
      <c r="P209" s="46">
        <f>IF(ISNUMBER(NORMSINV(SUM(O$13:O209)/O$317)),NORMSINV(SUM(O$13:O209)/O$317)," ")</f>
        <v>1.5481450025369721</v>
      </c>
      <c r="Q209" s="46">
        <f t="shared" si="83"/>
        <v>3.1559512050226176E-4</v>
      </c>
      <c r="R209" s="46">
        <f>IF(ISNUMBER(NORMSINV(SUM(Q$13:Q209)/Q$317)),NORMSINV(SUM(Q$13:Q209)/Q$317)," ")</f>
        <v>3.8865391622082037</v>
      </c>
      <c r="S209" s="46">
        <f t="shared" si="84"/>
        <v>0</v>
      </c>
      <c r="T209" s="46" t="str">
        <f>IF(ISNUMBER(NORMSINV(SUM(S$13:S209)/S$317)),NORMSINV(SUM(S$13:S209)/S$317)," ")</f>
        <v xml:space="preserve"> </v>
      </c>
      <c r="U209" s="46">
        <f t="shared" si="85"/>
        <v>6.7972157623359925E-2</v>
      </c>
      <c r="V209" s="46">
        <f>IF(ISNUMBER(NORMSINV(SUM(U$13:U209)/U$317)),NORMSINV(SUM(U$13:U209)/U$317)," ")</f>
        <v>1.7379026368759909</v>
      </c>
      <c r="W209" s="46">
        <f t="shared" si="86"/>
        <v>3.1559512050226176E-4</v>
      </c>
      <c r="X209" s="46">
        <f>IF(ISNUMBER(NORMSINV(SUM(W$13:W209)/W$317)),NORMSINV(SUM(W$13:W209)/W$317)," ")</f>
        <v>3.3306962815700132</v>
      </c>
      <c r="Y209" s="46">
        <f t="shared" si="87"/>
        <v>0</v>
      </c>
      <c r="Z209" s="46" t="str">
        <f>IF(ISNUMBER(NORMSINV(SUM(Y$13:Y209)/Y$317)),NORMSINV(SUM(Y$13:Y209)/Y$317)," ")</f>
        <v xml:space="preserve"> </v>
      </c>
      <c r="AA209" s="46">
        <f t="shared" si="88"/>
        <v>0.30945680560527444</v>
      </c>
      <c r="AB209" s="46">
        <f>IF(ISNUMBER(NORMSINV(SUM(AA$13:AA209)/AA$317)),NORMSINV(SUM(AA$13:AA209)/AA$317)," ")</f>
        <v>1.5509109823052407</v>
      </c>
      <c r="AC209" s="46">
        <f t="shared" si="89"/>
        <v>0</v>
      </c>
      <c r="AD209" s="46" t="str">
        <f>IF(ISNUMBER(NORMSINV(SUM(AC$13:AC209)/AC$317)),NORMSINV(SUM(AC$13:AC209)/AC$317)," ")</f>
        <v xml:space="preserve"> </v>
      </c>
      <c r="AE209" s="46">
        <f t="shared" si="90"/>
        <v>0</v>
      </c>
      <c r="AF209" s="46" t="str">
        <f>IF(ISNUMBER(NORMSINV(SUM(AE$13:AE209)/AE$317)),NORMSINV(SUM(AE$13:AE209)/AE$317)," ")</f>
        <v xml:space="preserve"> </v>
      </c>
      <c r="AG209" s="46">
        <f t="shared" si="91"/>
        <v>0.69545794800371186</v>
      </c>
      <c r="AH209" s="46">
        <f>IF(ISNUMBER(NORMSINV(SUM(AG$13:AG209)/AG$317)),NORMSINV(SUM(AG$13:AG209)/AG$317)," ")</f>
        <v>1.5232224011555828</v>
      </c>
      <c r="AI209" s="46">
        <f t="shared" si="92"/>
        <v>0</v>
      </c>
      <c r="AJ209" s="46" t="str">
        <f>IF(ISNUMBER(NORMSINV(SUM(AI$13:AI209)/AI$317)),NORMSINV(SUM(AI$13:AI209)/AI$317)," ")</f>
        <v xml:space="preserve"> </v>
      </c>
      <c r="AK209" s="46">
        <f t="shared" si="93"/>
        <v>0</v>
      </c>
      <c r="AL209" s="46" t="str">
        <f>IF(ISNUMBER(NORMSINV(SUM(AK$13:AK209)/AK$317)),NORMSINV(SUM(AK$13:AK209)/AK$317)," ")</f>
        <v xml:space="preserve"> </v>
      </c>
      <c r="AM209" s="6">
        <v>0.16153329030052155</v>
      </c>
      <c r="AN209" s="6">
        <v>7.499999999999998E-4</v>
      </c>
      <c r="AO209" s="6">
        <v>0</v>
      </c>
      <c r="AP209" s="6">
        <v>0.26474850872361722</v>
      </c>
      <c r="AQ209" s="6">
        <v>0</v>
      </c>
      <c r="AR209" s="6">
        <v>0</v>
      </c>
      <c r="AS209" s="6">
        <v>0.29750326448083453</v>
      </c>
      <c r="AT209" s="6">
        <v>0</v>
      </c>
      <c r="AU209" s="6">
        <v>0</v>
      </c>
    </row>
    <row r="210" spans="1:47" x14ac:dyDescent="0.4">
      <c r="A210" s="6">
        <f t="shared" si="78"/>
        <v>3.8797669713622445</v>
      </c>
      <c r="B210" s="6">
        <f>'Aerosol 1'!A214</f>
        <v>48.412932157144837</v>
      </c>
      <c r="C210" t="b">
        <f t="shared" si="79"/>
        <v>0</v>
      </c>
      <c r="E210" s="46">
        <f>'Aerosol 1'!$P214</f>
        <v>0.77308007539388379</v>
      </c>
      <c r="F210" s="46">
        <f>'Aerosol 2'!$P214</f>
        <v>0.77308007539388379</v>
      </c>
      <c r="G210" s="46">
        <f>'Aerosol 3'!$P214</f>
        <v>0.77308007539388379</v>
      </c>
      <c r="H210" s="46">
        <f t="shared" si="80"/>
        <v>2.3192402261816514</v>
      </c>
      <c r="I210" s="46">
        <f>NORMSINV(SUM(H$13:H210)/H$317)</f>
        <v>0.40983301683001461</v>
      </c>
      <c r="J210" s="46">
        <f t="shared" si="75"/>
        <v>0.41746324071269725</v>
      </c>
      <c r="K210" s="46">
        <f t="shared" si="76"/>
        <v>1.1596201130908257</v>
      </c>
      <c r="L210" s="46">
        <f t="shared" si="77"/>
        <v>2.3191474565726042</v>
      </c>
      <c r="M210" s="46">
        <f t="shared" si="81"/>
        <v>3.8962308103761272</v>
      </c>
      <c r="N210" s="46">
        <f>IF(ISNUMBER(NORMSINV(SUM(M$13:M210)/M$317)),NORMSINV(SUM(M$13:M210)/M$317)," ")</f>
        <v>0.40983301683001461</v>
      </c>
      <c r="O210" s="46">
        <f t="shared" si="82"/>
        <v>1.0188711596874469</v>
      </c>
      <c r="P210" s="46">
        <f>IF(ISNUMBER(NORMSINV(SUM(O$13:O210)/O$317)),NORMSINV(SUM(O$13:O210)/O$317)," ")</f>
        <v>1.5929631029718818</v>
      </c>
      <c r="Q210" s="46">
        <f t="shared" si="83"/>
        <v>3.1309743053452283E-4</v>
      </c>
      <c r="R210" s="46">
        <f>IF(ISNUMBER(NORMSINV(SUM(Q$13:Q210)/Q$317)),NORMSINV(SUM(Q$13:Q210)/Q$317)," ")</f>
        <v>3.9773053193792323</v>
      </c>
      <c r="S210" s="46">
        <f t="shared" si="84"/>
        <v>0</v>
      </c>
      <c r="T210" s="46" t="str">
        <f>IF(ISNUMBER(NORMSINV(SUM(S$13:S210)/S$317)),NORMSINV(SUM(S$13:S210)/S$317)," ")</f>
        <v xml:space="preserve"> </v>
      </c>
      <c r="U210" s="46">
        <f t="shared" si="85"/>
        <v>6.4177477050516782E-2</v>
      </c>
      <c r="V210" s="46">
        <f>IF(ISNUMBER(NORMSINV(SUM(U$13:U210)/U$317)),NORMSINV(SUM(U$13:U210)/U$317)," ")</f>
        <v>1.780224686144859</v>
      </c>
      <c r="W210" s="46">
        <f t="shared" si="86"/>
        <v>3.1309743053452283E-4</v>
      </c>
      <c r="X210" s="46">
        <f>IF(ISNUMBER(NORMSINV(SUM(W$13:W210)/W$317)),NORMSINV(SUM(W$13:W210)/W$317)," ")</f>
        <v>3.4344246370731137</v>
      </c>
      <c r="Y210" s="46">
        <f t="shared" si="87"/>
        <v>0</v>
      </c>
      <c r="Z210" s="46" t="str">
        <f>IF(ISNUMBER(NORMSINV(SUM(Y$13:Y210)/Y$317)),NORMSINV(SUM(Y$13:Y210)/Y$317)," ")</f>
        <v xml:space="preserve"> </v>
      </c>
      <c r="AA210" s="46">
        <f t="shared" si="88"/>
        <v>0.29378751194996955</v>
      </c>
      <c r="AB210" s="46">
        <f>IF(ISNUMBER(NORMSINV(SUM(AA$13:AA210)/AA$317)),NORMSINV(SUM(AA$13:AA210)/AA$317)," ")</f>
        <v>1.5957133498193901</v>
      </c>
      <c r="AC210" s="46">
        <f t="shared" si="89"/>
        <v>0</v>
      </c>
      <c r="AD210" s="46" t="str">
        <f>IF(ISNUMBER(NORMSINV(SUM(AC$13:AC210)/AC$317)),NORMSINV(SUM(AC$13:AC210)/AC$317)," ")</f>
        <v xml:space="preserve"> </v>
      </c>
      <c r="AE210" s="46">
        <f t="shared" si="90"/>
        <v>0</v>
      </c>
      <c r="AF210" s="46" t="str">
        <f>IF(ISNUMBER(NORMSINV(SUM(AE$13:AE210)/AE$317)),NORMSINV(SUM(AE$13:AE210)/AE$317)," ")</f>
        <v xml:space="preserve"> </v>
      </c>
      <c r="AG210" s="46">
        <f t="shared" si="91"/>
        <v>0.66090617068696056</v>
      </c>
      <c r="AH210" s="46">
        <f>IF(ISNUMBER(NORMSINV(SUM(AG$13:AG210)/AG$317)),NORMSINV(SUM(AG$13:AG210)/AG$317)," ")</f>
        <v>1.5684121715681418</v>
      </c>
      <c r="AI210" s="46">
        <f t="shared" si="92"/>
        <v>0</v>
      </c>
      <c r="AJ210" s="46" t="str">
        <f>IF(ISNUMBER(NORMSINV(SUM(AI$13:AI210)/AI$317)),NORMSINV(SUM(AI$13:AI210)/AI$317)," ")</f>
        <v xml:space="preserve"> </v>
      </c>
      <c r="AK210" s="46">
        <f t="shared" si="93"/>
        <v>0</v>
      </c>
      <c r="AL210" s="46" t="str">
        <f>IF(ISNUMBER(NORMSINV(SUM(AK$13:AK210)/AK$317)),NORMSINV(SUM(AK$13:AK210)/AK$317)," ")</f>
        <v xml:space="preserve"> </v>
      </c>
      <c r="AM210" s="6">
        <v>0.15373204342723057</v>
      </c>
      <c r="AN210" s="6">
        <v>7.499999999999998E-4</v>
      </c>
      <c r="AO210" s="6">
        <v>0</v>
      </c>
      <c r="AP210" s="6">
        <v>0.25334806514084585</v>
      </c>
      <c r="AQ210" s="6">
        <v>0</v>
      </c>
      <c r="AR210" s="6">
        <v>0</v>
      </c>
      <c r="AS210" s="6">
        <v>0.28497807192635055</v>
      </c>
      <c r="AT210" s="6">
        <v>0</v>
      </c>
      <c r="AU210" s="6">
        <v>0</v>
      </c>
    </row>
    <row r="211" spans="1:47" x14ac:dyDescent="0.4">
      <c r="A211" s="6">
        <f t="shared" si="78"/>
        <v>3.9142455487934233</v>
      </c>
      <c r="B211" s="6">
        <f>'Aerosol 1'!A215</f>
        <v>50.111250752279112</v>
      </c>
      <c r="C211" t="b">
        <f t="shared" si="79"/>
        <v>0</v>
      </c>
      <c r="E211" s="46">
        <f>'Aerosol 1'!$P215</f>
        <v>0.76662639636482233</v>
      </c>
      <c r="F211" s="46">
        <f>'Aerosol 2'!$P215</f>
        <v>0.76662639636482233</v>
      </c>
      <c r="G211" s="46">
        <f>'Aerosol 3'!$P215</f>
        <v>0.76662639636482233</v>
      </c>
      <c r="H211" s="46">
        <f t="shared" si="80"/>
        <v>2.299879189094467</v>
      </c>
      <c r="I211" s="46">
        <f>NORMSINV(SUM(H$13:H211)/H$317)</f>
        <v>0.43093055090245008</v>
      </c>
      <c r="J211" s="46">
        <f t="shared" si="75"/>
        <v>0.41397825403700406</v>
      </c>
      <c r="K211" s="46">
        <f t="shared" si="76"/>
        <v>1.1499395945472335</v>
      </c>
      <c r="L211" s="46">
        <f t="shared" si="77"/>
        <v>2.2997871939269032</v>
      </c>
      <c r="M211" s="46">
        <f t="shared" si="81"/>
        <v>3.8637050425111408</v>
      </c>
      <c r="N211" s="46">
        <f>IF(ISNUMBER(NORMSINV(SUM(M$13:M211)/M$317)),NORMSINV(SUM(M$13:M211)/M$317)," ")</f>
        <v>0.4309305509024503</v>
      </c>
      <c r="O211" s="46">
        <f t="shared" si="82"/>
        <v>0.96753792274367145</v>
      </c>
      <c r="P211" s="46">
        <f>IF(ISNUMBER(NORMSINV(SUM(O$13:O211)/O$317)),NORMSINV(SUM(O$13:O211)/O$317)," ")</f>
        <v>1.6387061203585063</v>
      </c>
      <c r="Q211" s="46">
        <f t="shared" si="83"/>
        <v>3.1048369052775294E-4</v>
      </c>
      <c r="R211" s="46">
        <f>IF(ISNUMBER(NORMSINV(SUM(Q$13:Q211)/Q$317)),NORMSINV(SUM(Q$13:Q211)/Q$317)," ")</f>
        <v>4.1194076832262185</v>
      </c>
      <c r="S211" s="46">
        <f t="shared" si="84"/>
        <v>0</v>
      </c>
      <c r="T211" s="46" t="str">
        <f>IF(ISNUMBER(NORMSINV(SUM(S$13:S211)/S$317)),NORMSINV(SUM(S$13:S211)/S$317)," ")</f>
        <v xml:space="preserve"> </v>
      </c>
      <c r="U211" s="46">
        <f t="shared" si="85"/>
        <v>6.0660888895801596E-2</v>
      </c>
      <c r="V211" s="46">
        <f>IF(ISNUMBER(NORMSINV(SUM(U$13:U211)/U$317)),NORMSINV(SUM(U$13:U211)/U$317)," ")</f>
        <v>1.8233900921764543</v>
      </c>
      <c r="W211" s="46">
        <f t="shared" si="86"/>
        <v>3.1048369052775294E-4</v>
      </c>
      <c r="X211" s="46">
        <f>IF(ISNUMBER(NORMSINV(SUM(W$13:W211)/W$317)),NORMSINV(SUM(W$13:W211)/W$317)," ")</f>
        <v>3.5956277077470928</v>
      </c>
      <c r="Y211" s="46">
        <f t="shared" si="87"/>
        <v>0</v>
      </c>
      <c r="Z211" s="46" t="str">
        <f>IF(ISNUMBER(NORMSINV(SUM(Y$13:Y211)/Y$317)),NORMSINV(SUM(Y$13:Y211)/Y$317)," ")</f>
        <v xml:space="preserve"> </v>
      </c>
      <c r="AA211" s="46">
        <f t="shared" si="88"/>
        <v>0.2789148295084562</v>
      </c>
      <c r="AB211" s="46">
        <f>IF(ISNUMBER(NORMSINV(SUM(AA$13:AA211)/AA$317)),NORMSINV(SUM(AA$13:AA211)/AA$317)," ")</f>
        <v>1.6414329428616057</v>
      </c>
      <c r="AC211" s="46">
        <f t="shared" si="89"/>
        <v>0</v>
      </c>
      <c r="AD211" s="46" t="str">
        <f>IF(ISNUMBER(NORMSINV(SUM(AC$13:AC211)/AC$317)),NORMSINV(SUM(AC$13:AC211)/AC$317)," ")</f>
        <v xml:space="preserve"> </v>
      </c>
      <c r="AE211" s="46">
        <f t="shared" si="90"/>
        <v>0</v>
      </c>
      <c r="AF211" s="46" t="str">
        <f>IF(ISNUMBER(NORMSINV(SUM(AE$13:AE211)/AE$317)),NORMSINV(SUM(AE$13:AE211)/AE$317)," ")</f>
        <v xml:space="preserve"> </v>
      </c>
      <c r="AG211" s="46">
        <f t="shared" si="91"/>
        <v>0.62796220433941363</v>
      </c>
      <c r="AH211" s="46">
        <f>IF(ISNUMBER(NORMSINV(SUM(AG$13:AG211)/AG$317)),NORMSINV(SUM(AG$13:AG211)/AG$317)," ")</f>
        <v>1.6145365194540773</v>
      </c>
      <c r="AI211" s="46">
        <f t="shared" si="92"/>
        <v>0</v>
      </c>
      <c r="AJ211" s="46" t="str">
        <f>IF(ISNUMBER(NORMSINV(SUM(AI$13:AI211)/AI$317)),NORMSINV(SUM(AI$13:AI211)/AI$317)," ")</f>
        <v xml:space="preserve"> </v>
      </c>
      <c r="AK211" s="46">
        <f t="shared" si="93"/>
        <v>0</v>
      </c>
      <c r="AL211" s="46" t="str">
        <f>IF(ISNUMBER(NORMSINV(SUM(AK$13:AK211)/AK$317)),NORMSINV(SUM(AK$13:AK211)/AK$317)," ")</f>
        <v xml:space="preserve"> </v>
      </c>
      <c r="AM211" s="6">
        <v>0.14653158301010499</v>
      </c>
      <c r="AN211" s="6">
        <v>7.499999999999998E-4</v>
      </c>
      <c r="AO211" s="6">
        <v>0</v>
      </c>
      <c r="AP211" s="6">
        <v>0.24254737451515748</v>
      </c>
      <c r="AQ211" s="6">
        <v>0</v>
      </c>
      <c r="AR211" s="6">
        <v>0</v>
      </c>
      <c r="AS211" s="6">
        <v>0.27305230936048636</v>
      </c>
      <c r="AT211" s="6">
        <v>0</v>
      </c>
      <c r="AU211" s="6">
        <v>0</v>
      </c>
    </row>
    <row r="212" spans="1:47" x14ac:dyDescent="0.4">
      <c r="A212" s="6">
        <f t="shared" si="78"/>
        <v>3.9487241262246027</v>
      </c>
      <c r="B212" s="6">
        <f>'Aerosol 1'!A216</f>
        <v>51.869146115893713</v>
      </c>
      <c r="C212" t="b">
        <f t="shared" si="79"/>
        <v>0</v>
      </c>
      <c r="E212" s="46">
        <f>'Aerosol 1'!$P216</f>
        <v>0.75989418623658711</v>
      </c>
      <c r="F212" s="46">
        <f>'Aerosol 2'!$P216</f>
        <v>0.75989418623658711</v>
      </c>
      <c r="G212" s="46">
        <f>'Aerosol 3'!$P216</f>
        <v>0.75989418623658711</v>
      </c>
      <c r="H212" s="46">
        <f t="shared" si="80"/>
        <v>2.2796825587097613</v>
      </c>
      <c r="I212" s="46">
        <f>NORMSINV(SUM(H$13:H212)/H$317)</f>
        <v>0.45203382681408583</v>
      </c>
      <c r="J212" s="46">
        <f t="shared" si="75"/>
        <v>0.41034286056775704</v>
      </c>
      <c r="K212" s="46">
        <f t="shared" si="76"/>
        <v>1.1398412793548807</v>
      </c>
      <c r="L212" s="46">
        <f t="shared" si="77"/>
        <v>2.2795913714074132</v>
      </c>
      <c r="M212" s="46">
        <f t="shared" si="81"/>
        <v>3.8297755113300509</v>
      </c>
      <c r="N212" s="46">
        <f>IF(ISNUMBER(NORMSINV(SUM(M$13:M212)/M$317)),NORMSINV(SUM(M$13:M212)/M$317)," ")</f>
        <v>0.45203382681408621</v>
      </c>
      <c r="O212" s="46">
        <f t="shared" si="82"/>
        <v>0.91547773996343351</v>
      </c>
      <c r="P212" s="46">
        <f>IF(ISNUMBER(NORMSINV(SUM(O$13:O212)/O$317)),NORMSINV(SUM(O$13:O212)/O$317)," ")</f>
        <v>1.6853925835188788</v>
      </c>
      <c r="Q212" s="46">
        <f t="shared" si="83"/>
        <v>3.0775714542581768E-4</v>
      </c>
      <c r="R212" s="46">
        <f>IF(ISNUMBER(NORMSINV(SUM(Q$13:Q212)/Q$317)),NORMSINV(SUM(Q$13:Q212)/Q$317)," ")</f>
        <v>4.5078953946043354</v>
      </c>
      <c r="S212" s="46">
        <f t="shared" si="84"/>
        <v>0</v>
      </c>
      <c r="T212" s="46" t="str">
        <f>IF(ISNUMBER(NORMSINV(SUM(S$13:S212)/S$317)),NORMSINV(SUM(S$13:S212)/S$317)," ")</f>
        <v xml:space="preserve"> </v>
      </c>
      <c r="U212" s="46">
        <f t="shared" si="85"/>
        <v>5.7184657606568719E-2</v>
      </c>
      <c r="V212" s="46">
        <f>IF(ISNUMBER(NORMSINV(SUM(U$13:U212)/U$317)),NORMSINV(SUM(U$13:U212)/U$317)," ")</f>
        <v>1.8674494535134503</v>
      </c>
      <c r="W212" s="46">
        <f t="shared" si="86"/>
        <v>3.0775714542581768E-4</v>
      </c>
      <c r="X212" s="46">
        <f>IF(ISNUMBER(NORMSINV(SUM(W$13:W212)/W$317)),NORMSINV(SUM(W$13:W212)/W$317)," ")</f>
        <v>4.0299854806184019</v>
      </c>
      <c r="Y212" s="46">
        <f t="shared" si="87"/>
        <v>0</v>
      </c>
      <c r="Z212" s="46" t="str">
        <f>IF(ISNUMBER(NORMSINV(SUM(Y$13:Y212)/Y$317)),NORMSINV(SUM(Y$13:Y212)/Y$317)," ")</f>
        <v xml:space="preserve"> </v>
      </c>
      <c r="AA212" s="46">
        <f t="shared" si="88"/>
        <v>0.26394640591510571</v>
      </c>
      <c r="AB212" s="46">
        <f>IF(ISNUMBER(NORMSINV(SUM(AA$13:AA212)/AA$317)),NORMSINV(SUM(AA$13:AA212)/AA$317)," ")</f>
        <v>1.6881069202746939</v>
      </c>
      <c r="AC212" s="46">
        <f t="shared" si="89"/>
        <v>0</v>
      </c>
      <c r="AD212" s="46" t="str">
        <f>IF(ISNUMBER(NORMSINV(SUM(AC$13:AC212)/AC$317)),NORMSINV(SUM(AC$13:AC212)/AC$317)," ")</f>
        <v xml:space="preserve"> </v>
      </c>
      <c r="AE212" s="46">
        <f t="shared" si="90"/>
        <v>0</v>
      </c>
      <c r="AF212" s="46" t="str">
        <f>IF(ISNUMBER(NORMSINV(SUM(AE$13:AE212)/AE$317)),NORMSINV(SUM(AE$13:AE212)/AE$317)," ")</f>
        <v xml:space="preserve"> </v>
      </c>
      <c r="AG212" s="46">
        <f t="shared" si="91"/>
        <v>0.59434667644175909</v>
      </c>
      <c r="AH212" s="46">
        <f>IF(ISNUMBER(NORMSINV(SUM(AG$13:AG212)/AG$317)),NORMSINV(SUM(AG$13:AG212)/AG$317)," ")</f>
        <v>1.6616022248917359</v>
      </c>
      <c r="AI212" s="46">
        <f t="shared" si="92"/>
        <v>0</v>
      </c>
      <c r="AJ212" s="46" t="str">
        <f>IF(ISNUMBER(NORMSINV(SUM(AI$13:AI212)/AI$317)),NORMSINV(SUM(AI$13:AI212)/AI$317)," ")</f>
        <v xml:space="preserve"> </v>
      </c>
      <c r="AK212" s="46">
        <f t="shared" si="93"/>
        <v>0</v>
      </c>
      <c r="AL212" s="46" t="str">
        <f>IF(ISNUMBER(NORMSINV(SUM(AK$13:AK212)/AK$317)),NORMSINV(SUM(AK$13:AK212)/AK$317)," ")</f>
        <v xml:space="preserve"> </v>
      </c>
      <c r="AM212" s="6">
        <v>0.13935823698125782</v>
      </c>
      <c r="AN212" s="6">
        <v>7.499999999999998E-4</v>
      </c>
      <c r="AO212" s="6">
        <v>0</v>
      </c>
      <c r="AP212" s="6">
        <v>0.23156417537755103</v>
      </c>
      <c r="AQ212" s="6">
        <v>0</v>
      </c>
      <c r="AR212" s="6">
        <v>0</v>
      </c>
      <c r="AS212" s="6">
        <v>0.26072509481153683</v>
      </c>
      <c r="AT212" s="6">
        <v>0</v>
      </c>
      <c r="AU212" s="6">
        <v>0</v>
      </c>
    </row>
    <row r="213" spans="1:47" x14ac:dyDescent="0.4">
      <c r="A213" s="6">
        <f t="shared" si="78"/>
        <v>3.983202703655782</v>
      </c>
      <c r="B213" s="6">
        <f>'Aerosol 1'!A217</f>
        <v>53.688708192332818</v>
      </c>
      <c r="C213" t="b">
        <f t="shared" si="79"/>
        <v>0</v>
      </c>
      <c r="E213" s="46">
        <f>'Aerosol 1'!$P217</f>
        <v>0.7528917523809131</v>
      </c>
      <c r="F213" s="46">
        <f>'Aerosol 2'!$P217</f>
        <v>0.7528917523809131</v>
      </c>
      <c r="G213" s="46">
        <f>'Aerosol 3'!$P217</f>
        <v>0.7528917523809131</v>
      </c>
      <c r="H213" s="46">
        <f t="shared" si="80"/>
        <v>2.2586752571427393</v>
      </c>
      <c r="I213" s="46">
        <f>NORMSINV(SUM(H$13:H213)/H$317)</f>
        <v>0.47314306938430223</v>
      </c>
      <c r="J213" s="46">
        <f t="shared" si="75"/>
        <v>0.40656154628569308</v>
      </c>
      <c r="K213" s="46">
        <f t="shared" si="76"/>
        <v>1.1293376285713697</v>
      </c>
      <c r="L213" s="46">
        <f t="shared" si="77"/>
        <v>2.2585849101324538</v>
      </c>
      <c r="M213" s="46">
        <f t="shared" si="81"/>
        <v>3.7944840849895165</v>
      </c>
      <c r="N213" s="46">
        <f>IF(ISNUMBER(NORMSINV(SUM(M$13:M213)/M$317)),NORMSINV(SUM(M$13:M213)/M$317)," ")</f>
        <v>0.47314306938430223</v>
      </c>
      <c r="O213" s="46">
        <f t="shared" si="82"/>
        <v>0.86304258429093572</v>
      </c>
      <c r="P213" s="46">
        <f>IF(ISNUMBER(NORMSINV(SUM(O$13:O213)/O$317)),NORMSINV(SUM(O$13:O213)/O$317)," ")</f>
        <v>1.7330463695528171</v>
      </c>
      <c r="Q213" s="46">
        <f t="shared" si="83"/>
        <v>6.4095820706747925E-5</v>
      </c>
      <c r="R213" s="46" t="str">
        <f>IF(ISNUMBER(NORMSINV(SUM(Q$13:Q213)/Q$317)),NORMSINV(SUM(Q$13:Q213)/Q$317)," ")</f>
        <v xml:space="preserve"> </v>
      </c>
      <c r="S213" s="46">
        <f t="shared" si="84"/>
        <v>0</v>
      </c>
      <c r="T213" s="46" t="str">
        <f>IF(ISNUMBER(NORMSINV(SUM(S$13:S213)/S$317)),NORMSINV(SUM(S$13:S213)/S$317)," ")</f>
        <v xml:space="preserve"> </v>
      </c>
      <c r="U213" s="46">
        <f t="shared" si="85"/>
        <v>5.3820245657490766E-2</v>
      </c>
      <c r="V213" s="46">
        <f>IF(ISNUMBER(NORMSINV(SUM(U$13:U213)/U$317)),NORMSINV(SUM(U$13:U213)/U$317)," ")</f>
        <v>1.912514537481574</v>
      </c>
      <c r="W213" s="46">
        <f t="shared" si="86"/>
        <v>6.4095820706747925E-5</v>
      </c>
      <c r="X213" s="46" t="str">
        <f>IF(ISNUMBER(NORMSINV(SUM(W$13:W213)/W$317)),NORMSINV(SUM(W$13:W213)/W$317)," ")</f>
        <v xml:space="preserve"> </v>
      </c>
      <c r="Y213" s="46">
        <f t="shared" si="87"/>
        <v>0</v>
      </c>
      <c r="Z213" s="46" t="str">
        <f>IF(ISNUMBER(NORMSINV(SUM(Y$13:Y213)/Y$317)),NORMSINV(SUM(Y$13:Y213)/Y$317)," ")</f>
        <v xml:space="preserve"> </v>
      </c>
      <c r="AA213" s="46">
        <f t="shared" si="88"/>
        <v>0.24865768130320257</v>
      </c>
      <c r="AB213" s="46">
        <f>IF(ISNUMBER(NORMSINV(SUM(AA$13:AA213)/AA$317)),NORMSINV(SUM(AA$13:AA213)/AA$317)," ")</f>
        <v>1.7357191660818643</v>
      </c>
      <c r="AC213" s="46">
        <f t="shared" si="89"/>
        <v>0</v>
      </c>
      <c r="AD213" s="46" t="str">
        <f>IF(ISNUMBER(NORMSINV(SUM(AC$13:AC213)/AC$317)),NORMSINV(SUM(AC$13:AC213)/AC$317)," ")</f>
        <v xml:space="preserve"> </v>
      </c>
      <c r="AE213" s="46">
        <f t="shared" si="90"/>
        <v>0</v>
      </c>
      <c r="AF213" s="46" t="str">
        <f>IF(ISNUMBER(NORMSINV(SUM(AE$13:AE213)/AE$317)),NORMSINV(SUM(AE$13:AE213)/AE$317)," ")</f>
        <v xml:space="preserve"> </v>
      </c>
      <c r="AG213" s="46">
        <f t="shared" si="91"/>
        <v>0.56056465733024241</v>
      </c>
      <c r="AH213" s="46">
        <f>IF(ISNUMBER(NORMSINV(SUM(AG$13:AG213)/AG$317)),NORMSINV(SUM(AG$13:AG213)/AG$317)," ")</f>
        <v>1.7096420369935945</v>
      </c>
      <c r="AI213" s="46">
        <f t="shared" si="92"/>
        <v>0</v>
      </c>
      <c r="AJ213" s="46" t="str">
        <f>IF(ISNUMBER(NORMSINV(SUM(AI$13:AI213)/AI$317)),NORMSINV(SUM(AI$13:AI213)/AI$317)," ")</f>
        <v xml:space="preserve"> </v>
      </c>
      <c r="AK213" s="46">
        <f t="shared" si="93"/>
        <v>0</v>
      </c>
      <c r="AL213" s="46" t="str">
        <f>IF(ISNUMBER(NORMSINV(SUM(AK$13:AK213)/AK$317)),NORMSINV(SUM(AK$13:AK213)/AK$317)," ")</f>
        <v xml:space="preserve"> </v>
      </c>
      <c r="AM213" s="6">
        <v>0.13237908540339666</v>
      </c>
      <c r="AN213" s="6">
        <v>1.5765342613515993E-4</v>
      </c>
      <c r="AO213" s="6">
        <v>0</v>
      </c>
      <c r="AP213" s="6">
        <v>0.22018010824429762</v>
      </c>
      <c r="AQ213" s="6">
        <v>0</v>
      </c>
      <c r="AR213" s="6">
        <v>0</v>
      </c>
      <c r="AS213" s="6">
        <v>0.24819286395452289</v>
      </c>
      <c r="AT213" s="6">
        <v>0</v>
      </c>
      <c r="AU213" s="6">
        <v>0</v>
      </c>
    </row>
    <row r="214" spans="1:47" x14ac:dyDescent="0.4">
      <c r="A214" s="6">
        <f t="shared" si="78"/>
        <v>4.0176812810869613</v>
      </c>
      <c r="B214" s="6">
        <f>'Aerosol 1'!A218</f>
        <v>55.572100240883238</v>
      </c>
      <c r="C214" t="b">
        <f t="shared" si="79"/>
        <v>0</v>
      </c>
      <c r="E214" s="46">
        <f>'Aerosol 1'!$P218</f>
        <v>0.74562768027852666</v>
      </c>
      <c r="F214" s="46">
        <f>'Aerosol 2'!$P218</f>
        <v>0.74562768027852666</v>
      </c>
      <c r="G214" s="46">
        <f>'Aerosol 3'!$P218</f>
        <v>0.74562768027852666</v>
      </c>
      <c r="H214" s="46">
        <f t="shared" si="80"/>
        <v>2.23688304083558</v>
      </c>
      <c r="I214" s="46">
        <f>NORMSINV(SUM(H$13:H214)/H$317)</f>
        <v>0.49425851379740726</v>
      </c>
      <c r="J214" s="46">
        <f t="shared" si="75"/>
        <v>0.4026389473504044</v>
      </c>
      <c r="K214" s="46">
        <f t="shared" si="76"/>
        <v>1.11844152041779</v>
      </c>
      <c r="L214" s="46">
        <f t="shared" si="77"/>
        <v>2.2367935655139468</v>
      </c>
      <c r="M214" s="46">
        <f t="shared" si="81"/>
        <v>3.7578740332821412</v>
      </c>
      <c r="N214" s="46">
        <f>IF(ISNUMBER(NORMSINV(SUM(M$13:M214)/M$317)),NORMSINV(SUM(M$13:M214)/M$317)," ")</f>
        <v>0.49425851379740748</v>
      </c>
      <c r="O214" s="46">
        <f t="shared" si="82"/>
        <v>0.8121638017138163</v>
      </c>
      <c r="P214" s="46">
        <f>IF(ISNUMBER(NORMSINV(SUM(O$13:O214)/O$317)),NORMSINV(SUM(O$13:O214)/O$317)," ")</f>
        <v>1.7817973480884446</v>
      </c>
      <c r="Q214" s="46">
        <f t="shared" si="83"/>
        <v>0</v>
      </c>
      <c r="R214" s="46" t="str">
        <f>IF(ISNUMBER(NORMSINV(SUM(Q$13:Q214)/Q$317)),NORMSINV(SUM(Q$13:Q214)/Q$317)," ")</f>
        <v xml:space="preserve"> </v>
      </c>
      <c r="S214" s="46">
        <f t="shared" si="84"/>
        <v>0</v>
      </c>
      <c r="T214" s="46" t="str">
        <f>IF(ISNUMBER(NORMSINV(SUM(S$13:S214)/S$317)),NORMSINV(SUM(S$13:S214)/S$317)," ")</f>
        <v xml:space="preserve"> </v>
      </c>
      <c r="U214" s="46">
        <f t="shared" si="85"/>
        <v>5.050033015270336E-2</v>
      </c>
      <c r="V214" s="46">
        <f>IF(ISNUMBER(NORMSINV(SUM(U$13:U214)/U$317)),NORMSINV(SUM(U$13:U214)/U$317)," ")</f>
        <v>1.9586525811325812</v>
      </c>
      <c r="W214" s="46">
        <f t="shared" si="86"/>
        <v>0</v>
      </c>
      <c r="X214" s="46" t="str">
        <f>IF(ISNUMBER(NORMSINV(SUM(W$13:W214)/W$317)),NORMSINV(SUM(W$13:W214)/W$317)," ")</f>
        <v xml:space="preserve"> </v>
      </c>
      <c r="Y214" s="46">
        <f t="shared" si="87"/>
        <v>0</v>
      </c>
      <c r="Z214" s="46" t="str">
        <f>IF(ISNUMBER(NORMSINV(SUM(Y$13:Y214)/Y$317)),NORMSINV(SUM(Y$13:Y214)/Y$317)," ")</f>
        <v xml:space="preserve"> </v>
      </c>
      <c r="AA214" s="46">
        <f t="shared" si="88"/>
        <v>0.23422864054498982</v>
      </c>
      <c r="AB214" s="46">
        <f>IF(ISNUMBER(NORMSINV(SUM(AA$13:AA214)/AA$317)),NORMSINV(SUM(AA$13:AA214)/AA$317)," ")</f>
        <v>1.7844804995210746</v>
      </c>
      <c r="AC214" s="46">
        <f t="shared" si="89"/>
        <v>0</v>
      </c>
      <c r="AD214" s="46" t="str">
        <f>IF(ISNUMBER(NORMSINV(SUM(AC$13:AC214)/AC$317)),NORMSINV(SUM(AC$13:AC214)/AC$317)," ")</f>
        <v xml:space="preserve"> </v>
      </c>
      <c r="AE214" s="46">
        <f t="shared" si="90"/>
        <v>0</v>
      </c>
      <c r="AF214" s="46" t="str">
        <f>IF(ISNUMBER(NORMSINV(SUM(AE$13:AE214)/AE$317)),NORMSINV(SUM(AE$13:AE214)/AE$317)," ")</f>
        <v xml:space="preserve"> </v>
      </c>
      <c r="AG214" s="46">
        <f t="shared" si="91"/>
        <v>0.5274348310161231</v>
      </c>
      <c r="AH214" s="46">
        <f>IF(ISNUMBER(NORMSINV(SUM(AG$13:AG214)/AG$317)),NORMSINV(SUM(AG$13:AG214)/AG$317)," ")</f>
        <v>1.7587562497984939</v>
      </c>
      <c r="AI214" s="46">
        <f t="shared" si="92"/>
        <v>0</v>
      </c>
      <c r="AJ214" s="46" t="str">
        <f>IF(ISNUMBER(NORMSINV(SUM(AI$13:AI214)/AI$317)),NORMSINV(SUM(AI$13:AI214)/AI$317)," ")</f>
        <v xml:space="preserve"> </v>
      </c>
      <c r="AK214" s="46">
        <f t="shared" si="93"/>
        <v>0</v>
      </c>
      <c r="AL214" s="46" t="str">
        <f>IF(ISNUMBER(NORMSINV(SUM(AK$13:AK214)/AK$317)),NORMSINV(SUM(AK$13:AK214)/AK$317)," ")</f>
        <v xml:space="preserve"> </v>
      </c>
      <c r="AM214" s="6">
        <v>0.12542336126453874</v>
      </c>
      <c r="AN214" s="6">
        <v>0</v>
      </c>
      <c r="AO214" s="6">
        <v>0</v>
      </c>
      <c r="AP214" s="6">
        <v>0.20942412836881674</v>
      </c>
      <c r="AQ214" s="6">
        <v>0</v>
      </c>
      <c r="AR214" s="6">
        <v>0</v>
      </c>
      <c r="AS214" s="6">
        <v>0.23579951192095577</v>
      </c>
      <c r="AT214" s="6">
        <v>0</v>
      </c>
      <c r="AU214" s="6">
        <v>0</v>
      </c>
    </row>
    <row r="215" spans="1:47" x14ac:dyDescent="0.4">
      <c r="A215" s="6">
        <f t="shared" si="78"/>
        <v>4.0521598585181406</v>
      </c>
      <c r="B215" s="6">
        <f>'Aerosol 1'!A219</f>
        <v>57.521561407651888</v>
      </c>
      <c r="C215" t="b">
        <f t="shared" si="79"/>
        <v>0</v>
      </c>
      <c r="E215" s="46">
        <f>'Aerosol 1'!$P219</f>
        <v>0.73811081601165007</v>
      </c>
      <c r="F215" s="46">
        <f>'Aerosol 2'!$P219</f>
        <v>0.73811081601165007</v>
      </c>
      <c r="G215" s="46">
        <f>'Aerosol 3'!$P219</f>
        <v>0.73811081601165007</v>
      </c>
      <c r="H215" s="46">
        <f t="shared" si="80"/>
        <v>2.2143324480349502</v>
      </c>
      <c r="I215" s="46">
        <f>NORMSINV(SUM(H$13:H215)/H$317)</f>
        <v>0.51538040614812375</v>
      </c>
      <c r="J215" s="46">
        <f t="shared" si="75"/>
        <v>0.39857984064629104</v>
      </c>
      <c r="K215" s="46">
        <f t="shared" si="76"/>
        <v>1.1071662240174751</v>
      </c>
      <c r="L215" s="46">
        <f t="shared" si="77"/>
        <v>2.2142438747370288</v>
      </c>
      <c r="M215" s="46">
        <f t="shared" si="81"/>
        <v>3.7199899394007949</v>
      </c>
      <c r="N215" s="46">
        <f>IF(ISNUMBER(NORMSINV(SUM(M$13:M215)/M$317)),NORMSINV(SUM(M$13:M215)/M$317)," ")</f>
        <v>0.51538040614812397</v>
      </c>
      <c r="O215" s="46">
        <f t="shared" si="82"/>
        <v>0.76293575040587769</v>
      </c>
      <c r="P215" s="46">
        <f>IF(ISNUMBER(NORMSINV(SUM(O$13:O215)/O$317)),NORMSINV(SUM(O$13:O215)/O$317)," ")</f>
        <v>1.8318045460718788</v>
      </c>
      <c r="Q215" s="46">
        <f t="shared" si="83"/>
        <v>0</v>
      </c>
      <c r="R215" s="46" t="str">
        <f>IF(ISNUMBER(NORMSINV(SUM(Q$13:Q215)/Q$317)),NORMSINV(SUM(Q$13:Q215)/Q$317)," ")</f>
        <v xml:space="preserve"> </v>
      </c>
      <c r="S215" s="46">
        <f t="shared" si="84"/>
        <v>0</v>
      </c>
      <c r="T215" s="46" t="str">
        <f>IF(ISNUMBER(NORMSINV(SUM(S$13:S215)/S$317)),NORMSINV(SUM(S$13:S215)/S$317)," ")</f>
        <v xml:space="preserve"> </v>
      </c>
      <c r="U215" s="46">
        <f t="shared" si="85"/>
        <v>4.7159297989675115E-2</v>
      </c>
      <c r="V215" s="46">
        <f>IF(ISNUMBER(NORMSINV(SUM(U$13:U215)/U$317)),NORMSINV(SUM(U$13:U215)/U$317)," ")</f>
        <v>2.0058618737713227</v>
      </c>
      <c r="W215" s="46">
        <f t="shared" si="86"/>
        <v>0</v>
      </c>
      <c r="X215" s="46" t="str">
        <f>IF(ISNUMBER(NORMSINV(SUM(W$13:W215)/W$317)),NORMSINV(SUM(W$13:W215)/W$317)," ")</f>
        <v xml:space="preserve"> </v>
      </c>
      <c r="Y215" s="46">
        <f t="shared" si="87"/>
        <v>0</v>
      </c>
      <c r="Z215" s="46" t="str">
        <f>IF(ISNUMBER(NORMSINV(SUM(Y$13:Y215)/Y$317)),NORMSINV(SUM(Y$13:Y215)/Y$317)," ")</f>
        <v xml:space="preserve"> </v>
      </c>
      <c r="AA215" s="46">
        <f t="shared" si="88"/>
        <v>0.22002435721735095</v>
      </c>
      <c r="AB215" s="46">
        <f>IF(ISNUMBER(NORMSINV(SUM(AA$13:AA215)/AA$317)),NORMSINV(SUM(AA$13:AA215)/AA$317)," ")</f>
        <v>1.8345045961223885</v>
      </c>
      <c r="AC215" s="46">
        <f t="shared" si="89"/>
        <v>0</v>
      </c>
      <c r="AD215" s="46" t="str">
        <f>IF(ISNUMBER(NORMSINV(SUM(AC$13:AC215)/AC$317)),NORMSINV(SUM(AC$13:AC215)/AC$317)," ")</f>
        <v xml:space="preserve"> </v>
      </c>
      <c r="AE215" s="46">
        <f t="shared" si="90"/>
        <v>0</v>
      </c>
      <c r="AF215" s="46" t="str">
        <f>IF(ISNUMBER(NORMSINV(SUM(AE$13:AE215)/AE$317)),NORMSINV(SUM(AE$13:AE215)/AE$317)," ")</f>
        <v xml:space="preserve"> </v>
      </c>
      <c r="AG215" s="46">
        <f t="shared" si="91"/>
        <v>0.49575209519885161</v>
      </c>
      <c r="AH215" s="46">
        <f>IF(ISNUMBER(NORMSINV(SUM(AG$13:AG215)/AG$317)),NORMSINV(SUM(AG$13:AG215)/AG$317)," ")</f>
        <v>1.8091407109808766</v>
      </c>
      <c r="AI215" s="46">
        <f t="shared" si="92"/>
        <v>0</v>
      </c>
      <c r="AJ215" s="46" t="str">
        <f>IF(ISNUMBER(NORMSINV(SUM(AI$13:AI215)/AI$317)),NORMSINV(SUM(AI$13:AI215)/AI$317)," ")</f>
        <v xml:space="preserve"> </v>
      </c>
      <c r="AK215" s="46">
        <f t="shared" si="93"/>
        <v>0</v>
      </c>
      <c r="AL215" s="46" t="str">
        <f>IF(ISNUMBER(NORMSINV(SUM(AK$13:AK215)/AK$317)),NORMSINV(SUM(AK$13:AK215)/AK$317)," ")</f>
        <v xml:space="preserve"> </v>
      </c>
      <c r="AM215" s="6">
        <v>0.11831832215399316</v>
      </c>
      <c r="AN215" s="6">
        <v>0</v>
      </c>
      <c r="AO215" s="6">
        <v>0</v>
      </c>
      <c r="AP215" s="6">
        <v>0.19872748323098968</v>
      </c>
      <c r="AQ215" s="6">
        <v>0</v>
      </c>
      <c r="AR215" s="6">
        <v>0</v>
      </c>
      <c r="AS215" s="6">
        <v>0.22389227350023891</v>
      </c>
      <c r="AT215" s="6">
        <v>0</v>
      </c>
      <c r="AU215" s="6">
        <v>0</v>
      </c>
    </row>
    <row r="216" spans="1:47" x14ac:dyDescent="0.4">
      <c r="A216" s="6">
        <f t="shared" si="78"/>
        <v>4.08663843594932</v>
      </c>
      <c r="B216" s="6">
        <f>'Aerosol 1'!A220</f>
        <v>59.539409387664335</v>
      </c>
      <c r="C216" t="b">
        <f t="shared" si="79"/>
        <v>0</v>
      </c>
      <c r="E216" s="46">
        <f>'Aerosol 1'!$P220</f>
        <v>0.73035024835493845</v>
      </c>
      <c r="F216" s="46">
        <f>'Aerosol 2'!$P220</f>
        <v>0.73035024835493845</v>
      </c>
      <c r="G216" s="46">
        <f>'Aerosol 3'!$P220</f>
        <v>0.73035024835493845</v>
      </c>
      <c r="H216" s="46">
        <f t="shared" si="80"/>
        <v>2.1910507450648153</v>
      </c>
      <c r="I216" s="46">
        <f>NORMSINV(SUM(H$13:H216)/H$317)</f>
        <v>0.53650900401935486</v>
      </c>
      <c r="J216" s="46">
        <f t="shared" si="75"/>
        <v>0.39438913411166676</v>
      </c>
      <c r="K216" s="46">
        <f t="shared" si="76"/>
        <v>1.0955253725324077</v>
      </c>
      <c r="L216" s="46">
        <f t="shared" si="77"/>
        <v>2.190963103035013</v>
      </c>
      <c r="M216" s="46">
        <f t="shared" si="81"/>
        <v>3.6808776096790874</v>
      </c>
      <c r="N216" s="46">
        <f>IF(ISNUMBER(NORMSINV(SUM(M$13:M216)/M$317)),NORMSINV(SUM(M$13:M216)/M$317)," ")</f>
        <v>0.5365090040193552</v>
      </c>
      <c r="O216" s="46">
        <f t="shared" si="82"/>
        <v>0.71358918694449081</v>
      </c>
      <c r="P216" s="46">
        <f>IF(ISNUMBER(NORMSINV(SUM(O$13:O216)/O$317)),NORMSINV(SUM(O$13:O216)/O$317)," ")</f>
        <v>1.883125060246583</v>
      </c>
      <c r="Q216" s="46">
        <f t="shared" si="83"/>
        <v>0</v>
      </c>
      <c r="R216" s="46" t="str">
        <f>IF(ISNUMBER(NORMSINV(SUM(Q$13:Q216)/Q$317)),NORMSINV(SUM(Q$13:Q216)/Q$317)," ")</f>
        <v xml:space="preserve"> </v>
      </c>
      <c r="S216" s="46">
        <f t="shared" si="84"/>
        <v>0</v>
      </c>
      <c r="T216" s="46" t="str">
        <f>IF(ISNUMBER(NORMSINV(SUM(S$13:S216)/S$317)),NORMSINV(SUM(S$13:S216)/S$317)," ")</f>
        <v xml:space="preserve"> </v>
      </c>
      <c r="U216" s="46">
        <f t="shared" si="85"/>
        <v>4.3924622653956545E-2</v>
      </c>
      <c r="V216" s="46">
        <f>IF(ISNUMBER(NORMSINV(SUM(U$13:U216)/U$317)),NORMSINV(SUM(U$13:U216)/U$317)," ")</f>
        <v>2.0542570889884959</v>
      </c>
      <c r="W216" s="46">
        <f t="shared" si="86"/>
        <v>0</v>
      </c>
      <c r="X216" s="46" t="str">
        <f>IF(ISNUMBER(NORMSINV(SUM(W$13:W216)/W$317)),NORMSINV(SUM(W$13:W216)/W$317)," ")</f>
        <v xml:space="preserve"> </v>
      </c>
      <c r="Y216" s="46">
        <f t="shared" si="87"/>
        <v>0</v>
      </c>
      <c r="Z216" s="46" t="str">
        <f>IF(ISNUMBER(NORMSINV(SUM(Y$13:Y216)/Y$317)),NORMSINV(SUM(Y$13:Y216)/Y$317)," ")</f>
        <v xml:space="preserve"> </v>
      </c>
      <c r="AA216" s="46">
        <f t="shared" si="88"/>
        <v>0.2055046597973077</v>
      </c>
      <c r="AB216" s="46">
        <f>IF(ISNUMBER(NORMSINV(SUM(AA$13:AA216)/AA$317)),NORMSINV(SUM(AA$13:AA216)/AA$317)," ")</f>
        <v>1.8857759521997171</v>
      </c>
      <c r="AC216" s="46">
        <f t="shared" si="89"/>
        <v>0</v>
      </c>
      <c r="AD216" s="46" t="str">
        <f>IF(ISNUMBER(NORMSINV(SUM(AC$13:AC216)/AC$317)),NORMSINV(SUM(AC$13:AC216)/AC$317)," ")</f>
        <v xml:space="preserve"> </v>
      </c>
      <c r="AE216" s="46">
        <f t="shared" si="90"/>
        <v>0</v>
      </c>
      <c r="AF216" s="46" t="str">
        <f>IF(ISNUMBER(NORMSINV(SUM(AE$13:AE216)/AE$317)),NORMSINV(SUM(AE$13:AE216)/AE$317)," ")</f>
        <v xml:space="preserve"> </v>
      </c>
      <c r="AG216" s="46">
        <f t="shared" si="91"/>
        <v>0.46415990449322653</v>
      </c>
      <c r="AH216" s="46">
        <f>IF(ISNUMBER(NORMSINV(SUM(AG$13:AG216)/AG$317)),NORMSINV(SUM(AG$13:AG216)/AG$317)," ")</f>
        <v>1.8608789540037163</v>
      </c>
      <c r="AI216" s="46">
        <f t="shared" si="92"/>
        <v>0</v>
      </c>
      <c r="AJ216" s="46" t="str">
        <f>IF(ISNUMBER(NORMSINV(SUM(AI$13:AI216)/AI$317)),NORMSINV(SUM(AI$13:AI216)/AI$317)," ")</f>
        <v xml:space="preserve"> </v>
      </c>
      <c r="AK216" s="46">
        <f t="shared" si="93"/>
        <v>0</v>
      </c>
      <c r="AL216" s="46" t="str">
        <f>IF(ISNUMBER(NORMSINV(SUM(AK$13:AK216)/AK$317)),NORMSINV(SUM(AK$13:AK216)/AK$317)," ")</f>
        <v xml:space="preserve"> </v>
      </c>
      <c r="AM216" s="6">
        <v>0.11137381549036235</v>
      </c>
      <c r="AN216" s="6">
        <v>0</v>
      </c>
      <c r="AO216" s="6">
        <v>0</v>
      </c>
      <c r="AP216" s="6">
        <v>0.18758548633361616</v>
      </c>
      <c r="AQ216" s="6">
        <v>0</v>
      </c>
      <c r="AR216" s="6">
        <v>0</v>
      </c>
      <c r="AS216" s="6">
        <v>0.21185199506566449</v>
      </c>
      <c r="AT216" s="6">
        <v>0</v>
      </c>
      <c r="AU216" s="6">
        <v>0</v>
      </c>
    </row>
    <row r="217" spans="1:47" x14ac:dyDescent="0.4">
      <c r="A217" s="6">
        <f t="shared" si="78"/>
        <v>4.1211170133804993</v>
      </c>
      <c r="B217" s="6">
        <f>'Aerosol 1'!A221</f>
        <v>61.628043180349437</v>
      </c>
      <c r="C217" t="b">
        <f t="shared" si="79"/>
        <v>0</v>
      </c>
      <c r="E217" s="46">
        <f>'Aerosol 1'!$P221</f>
        <v>0.72235529051495329</v>
      </c>
      <c r="F217" s="46">
        <f>'Aerosol 2'!$P221</f>
        <v>0.72235529051495329</v>
      </c>
      <c r="G217" s="46">
        <f>'Aerosol 3'!$P221</f>
        <v>0.72235529051495329</v>
      </c>
      <c r="H217" s="46">
        <f t="shared" si="80"/>
        <v>2.1670658715448599</v>
      </c>
      <c r="I217" s="46">
        <f>NORMSINV(SUM(H$13:H217)/H$317)</f>
        <v>0.55764457709437143</v>
      </c>
      <c r="J217" s="46">
        <f t="shared" si="75"/>
        <v>0.39007185687807477</v>
      </c>
      <c r="K217" s="46">
        <f t="shared" si="76"/>
        <v>1.0835329357724299</v>
      </c>
      <c r="L217" s="46">
        <f t="shared" si="77"/>
        <v>2.1669791889099983</v>
      </c>
      <c r="M217" s="46">
        <f t="shared" si="81"/>
        <v>3.640583981560503</v>
      </c>
      <c r="N217" s="46">
        <f>IF(ISNUMBER(NORMSINV(SUM(M$13:M217)/M$317)),NORMSINV(SUM(M$13:M217)/M$317)," ")</f>
        <v>0.55764457709437187</v>
      </c>
      <c r="O217" s="46">
        <f t="shared" si="82"/>
        <v>0.66506607936465056</v>
      </c>
      <c r="P217" s="46">
        <f>IF(ISNUMBER(NORMSINV(SUM(O$13:O217)/O$317)),NORMSINV(SUM(O$13:O217)/O$317)," ")</f>
        <v>1.9358792433129013</v>
      </c>
      <c r="Q217" s="46">
        <f t="shared" si="83"/>
        <v>0</v>
      </c>
      <c r="R217" s="46" t="str">
        <f>IF(ISNUMBER(NORMSINV(SUM(Q$13:Q217)/Q$317)),NORMSINV(SUM(Q$13:Q217)/Q$317)," ")</f>
        <v xml:space="preserve"> </v>
      </c>
      <c r="S217" s="46">
        <f t="shared" si="84"/>
        <v>0</v>
      </c>
      <c r="T217" s="46" t="str">
        <f>IF(ISNUMBER(NORMSINV(SUM(S$13:S217)/S$317)),NORMSINV(SUM(S$13:S217)/S$317)," ")</f>
        <v xml:space="preserve"> </v>
      </c>
      <c r="U217" s="46">
        <f t="shared" si="85"/>
        <v>4.0889210185518686E-2</v>
      </c>
      <c r="V217" s="46">
        <f>IF(ISNUMBER(NORMSINV(SUM(U$13:U217)/U$317)),NORMSINV(SUM(U$13:U217)/U$317)," ")</f>
        <v>2.1040893606134938</v>
      </c>
      <c r="W217" s="46">
        <f t="shared" si="86"/>
        <v>0</v>
      </c>
      <c r="X217" s="46" t="str">
        <f>IF(ISNUMBER(NORMSINV(SUM(W$13:W217)/W$317)),NORMSINV(SUM(W$13:W217)/W$317)," ")</f>
        <v xml:space="preserve"> </v>
      </c>
      <c r="Y217" s="46">
        <f t="shared" si="87"/>
        <v>0</v>
      </c>
      <c r="Z217" s="46" t="str">
        <f>IF(ISNUMBER(NORMSINV(SUM(Y$13:Y217)/Y$317)),NORMSINV(SUM(Y$13:Y217)/Y$317)," ")</f>
        <v xml:space="preserve"> </v>
      </c>
      <c r="AA217" s="46">
        <f t="shared" si="88"/>
        <v>0.19125386830366953</v>
      </c>
      <c r="AB217" s="46">
        <f>IF(ISNUMBER(NORMSINV(SUM(AA$13:AA217)/AA$317)),NORMSINV(SUM(AA$13:AA217)/AA$317)," ")</f>
        <v>1.9384019003387161</v>
      </c>
      <c r="AC217" s="46">
        <f t="shared" si="89"/>
        <v>0</v>
      </c>
      <c r="AD217" s="46" t="str">
        <f>IF(ISNUMBER(NORMSINV(SUM(AC$13:AC217)/AC$317)),NORMSINV(SUM(AC$13:AC217)/AC$317)," ")</f>
        <v xml:space="preserve"> </v>
      </c>
      <c r="AE217" s="46">
        <f t="shared" si="90"/>
        <v>0</v>
      </c>
      <c r="AF217" s="46" t="str">
        <f>IF(ISNUMBER(NORMSINV(SUM(AE$13:AE217)/AE$317)),NORMSINV(SUM(AE$13:AE217)/AE$317)," ")</f>
        <v xml:space="preserve"> </v>
      </c>
      <c r="AG217" s="46">
        <f t="shared" si="91"/>
        <v>0.43292300087546232</v>
      </c>
      <c r="AH217" s="46">
        <f>IF(ISNUMBER(NORMSINV(SUM(AG$13:AG217)/AG$317)),NORMSINV(SUM(AG$13:AG217)/AG$317)," ")</f>
        <v>1.9140839529140943</v>
      </c>
      <c r="AI217" s="46">
        <f t="shared" si="92"/>
        <v>0</v>
      </c>
      <c r="AJ217" s="46" t="str">
        <f>IF(ISNUMBER(NORMSINV(SUM(AI$13:AI217)/AI$317)),NORMSINV(SUM(AI$13:AI217)/AI$317)," ")</f>
        <v xml:space="preserve"> </v>
      </c>
      <c r="AK217" s="46">
        <f t="shared" si="93"/>
        <v>0</v>
      </c>
      <c r="AL217" s="46" t="str">
        <f>IF(ISNUMBER(NORMSINV(SUM(AK$13:AK217)/AK$317)),NORMSINV(SUM(AK$13:AK217)/AK$317)," ")</f>
        <v xml:space="preserve"> </v>
      </c>
      <c r="AM217" s="6">
        <v>0.10482481487583832</v>
      </c>
      <c r="AN217" s="6">
        <v>0</v>
      </c>
      <c r="AO217" s="6">
        <v>0</v>
      </c>
      <c r="AP217" s="6">
        <v>0.17650951068444293</v>
      </c>
      <c r="AQ217" s="6">
        <v>0</v>
      </c>
      <c r="AR217" s="6">
        <v>0</v>
      </c>
      <c r="AS217" s="6">
        <v>0.19978179905512836</v>
      </c>
      <c r="AT217" s="6">
        <v>0</v>
      </c>
      <c r="AU217" s="6">
        <v>0</v>
      </c>
    </row>
    <row r="218" spans="1:47" x14ac:dyDescent="0.4">
      <c r="A218" s="6">
        <f t="shared" si="78"/>
        <v>4.1555955908116786</v>
      </c>
      <c r="B218" s="6">
        <f>'Aerosol 1'!A222</f>
        <v>63.789945941685907</v>
      </c>
      <c r="C218" t="b">
        <f t="shared" si="79"/>
        <v>0</v>
      </c>
      <c r="E218" s="46">
        <f>'Aerosol 1'!$P222</f>
        <v>0.71413546156963159</v>
      </c>
      <c r="F218" s="46">
        <f>'Aerosol 2'!$P222</f>
        <v>0.71413546156963159</v>
      </c>
      <c r="G218" s="46">
        <f>'Aerosol 3'!$P222</f>
        <v>0.71413546156963159</v>
      </c>
      <c r="H218" s="46">
        <f t="shared" si="80"/>
        <v>2.1424063847088948</v>
      </c>
      <c r="I218" s="46">
        <f>NORMSINV(SUM(H$13:H218)/H$317)</f>
        <v>0.57878740780570859</v>
      </c>
      <c r="J218" s="46">
        <f t="shared" si="75"/>
        <v>0.38563314924760106</v>
      </c>
      <c r="K218" s="46">
        <f t="shared" si="76"/>
        <v>1.0712031923544474</v>
      </c>
      <c r="L218" s="46">
        <f t="shared" si="77"/>
        <v>2.1423206884535064</v>
      </c>
      <c r="M218" s="46">
        <f t="shared" si="81"/>
        <v>3.5991570300555549</v>
      </c>
      <c r="N218" s="46">
        <f>IF(ISNUMBER(NORMSINV(SUM(M$13:M218)/M$317)),NORMSINV(SUM(M$13:M218)/M$317)," ")</f>
        <v>0.57878740780570881</v>
      </c>
      <c r="O218" s="46">
        <f t="shared" si="82"/>
        <v>0.61871555274709789</v>
      </c>
      <c r="P218" s="46">
        <f>IF(ISNUMBER(NORMSINV(SUM(O$13:O218)/O$317)),NORMSINV(SUM(O$13:O218)/O$317)," ")</f>
        <v>1.9903214084976375</v>
      </c>
      <c r="Q218" s="46">
        <f t="shared" si="83"/>
        <v>0</v>
      </c>
      <c r="R218" s="46" t="str">
        <f>IF(ISNUMBER(NORMSINV(SUM(Q$13:Q218)/Q$317)),NORMSINV(SUM(Q$13:Q218)/Q$317)," ")</f>
        <v xml:space="preserve"> </v>
      </c>
      <c r="S218" s="46">
        <f t="shared" si="84"/>
        <v>0</v>
      </c>
      <c r="T218" s="46" t="str">
        <f>IF(ISNUMBER(NORMSINV(SUM(S$13:S218)/S$317)),NORMSINV(SUM(S$13:S218)/S$317)," ")</f>
        <v xml:space="preserve"> </v>
      </c>
      <c r="U218" s="46">
        <f t="shared" si="85"/>
        <v>3.7996937761521667E-2</v>
      </c>
      <c r="V218" s="46">
        <f>IF(ISNUMBER(NORMSINV(SUM(U$13:U218)/U$317)),NORMSINV(SUM(U$13:U218)/U$317)," ")</f>
        <v>2.1556057286535899</v>
      </c>
      <c r="W218" s="46">
        <f t="shared" si="86"/>
        <v>0</v>
      </c>
      <c r="X218" s="46" t="str">
        <f>IF(ISNUMBER(NORMSINV(SUM(W$13:W218)/W$317)),NORMSINV(SUM(W$13:W218)/W$317)," ")</f>
        <v xml:space="preserve"> </v>
      </c>
      <c r="Y218" s="46">
        <f t="shared" si="87"/>
        <v>0</v>
      </c>
      <c r="Z218" s="46" t="str">
        <f>IF(ISNUMBER(NORMSINV(SUM(Y$13:Y218)/Y$317)),NORMSINV(SUM(Y$13:Y218)/Y$317)," ")</f>
        <v xml:space="preserve"> </v>
      </c>
      <c r="AA218" s="46">
        <f t="shared" si="88"/>
        <v>0.17806251622582397</v>
      </c>
      <c r="AB218" s="46">
        <f>IF(ISNUMBER(NORMSINV(SUM(AA$13:AA218)/AA$317)),NORMSINV(SUM(AA$13:AA218)/AA$317)," ")</f>
        <v>1.9927493772323341</v>
      </c>
      <c r="AC218" s="46">
        <f t="shared" si="89"/>
        <v>0</v>
      </c>
      <c r="AD218" s="46" t="str">
        <f>IF(ISNUMBER(NORMSINV(SUM(AC$13:AC218)/AC$317)),NORMSINV(SUM(AC$13:AC218)/AC$317)," ")</f>
        <v xml:space="preserve"> </v>
      </c>
      <c r="AE218" s="46">
        <f t="shared" si="90"/>
        <v>0</v>
      </c>
      <c r="AF218" s="46" t="str">
        <f>IF(ISNUMBER(NORMSINV(SUM(AE$13:AE218)/AE$317)),NORMSINV(SUM(AE$13:AE218)/AE$317)," ")</f>
        <v xml:space="preserve"> </v>
      </c>
      <c r="AG218" s="46">
        <f t="shared" si="91"/>
        <v>0.40265609875975228</v>
      </c>
      <c r="AH218" s="46">
        <f>IF(ISNUMBER(NORMSINV(SUM(AG$13:AG218)/AG$317)),NORMSINV(SUM(AG$13:AG218)/AG$317)," ")</f>
        <v>1.9689607996734078</v>
      </c>
      <c r="AI218" s="46">
        <f t="shared" si="92"/>
        <v>0</v>
      </c>
      <c r="AJ218" s="46" t="str">
        <f>IF(ISNUMBER(NORMSINV(SUM(AI$13:AI218)/AI$317)),NORMSINV(SUM(AI$13:AI218)/AI$317)," ")</f>
        <v xml:space="preserve"> </v>
      </c>
      <c r="AK218" s="46">
        <f t="shared" si="93"/>
        <v>0</v>
      </c>
      <c r="AL218" s="46" t="str">
        <f>IF(ISNUMBER(NORMSINV(SUM(AK$13:AK218)/AK$317)),NORMSINV(SUM(AK$13:AK218)/AK$317)," ")</f>
        <v xml:space="preserve"> </v>
      </c>
      <c r="AM218" s="6">
        <v>9.8531305816568202E-2</v>
      </c>
      <c r="AN218" s="6">
        <v>0</v>
      </c>
      <c r="AO218" s="6">
        <v>0</v>
      </c>
      <c r="AP218" s="6">
        <v>0.16622664821830122</v>
      </c>
      <c r="AQ218" s="6">
        <v>0</v>
      </c>
      <c r="AR218" s="6">
        <v>0</v>
      </c>
      <c r="AS218" s="6">
        <v>0.18795323264623875</v>
      </c>
      <c r="AT218" s="6">
        <v>0</v>
      </c>
      <c r="AU218" s="6">
        <v>0</v>
      </c>
    </row>
    <row r="219" spans="1:47" x14ac:dyDescent="0.4">
      <c r="A219" s="6">
        <f t="shared" si="78"/>
        <v>4.1900741682428579</v>
      </c>
      <c r="B219" s="6">
        <f>'Aerosol 1'!A223</f>
        <v>66.027687936401847</v>
      </c>
      <c r="C219" t="b">
        <f t="shared" si="79"/>
        <v>0</v>
      </c>
      <c r="E219" s="46">
        <f>'Aerosol 1'!$P223</f>
        <v>0.7057004676594425</v>
      </c>
      <c r="F219" s="46">
        <f>'Aerosol 2'!$P223</f>
        <v>0.7057004676594425</v>
      </c>
      <c r="G219" s="46">
        <f>'Aerosol 3'!$P223</f>
        <v>0.7057004676594425</v>
      </c>
      <c r="H219" s="46">
        <f t="shared" si="80"/>
        <v>2.1171014029783275</v>
      </c>
      <c r="I219" s="46">
        <f>NORMSINV(SUM(H$13:H219)/H$317)</f>
        <v>0.59993779202323805</v>
      </c>
      <c r="J219" s="46">
        <f t="shared" si="75"/>
        <v>0.38107825253609895</v>
      </c>
      <c r="K219" s="46">
        <f t="shared" si="76"/>
        <v>1.0585507014891637</v>
      </c>
      <c r="L219" s="46">
        <f t="shared" si="77"/>
        <v>2.1170167189222084</v>
      </c>
      <c r="M219" s="46">
        <f t="shared" si="81"/>
        <v>3.5566456729474711</v>
      </c>
      <c r="N219" s="46">
        <f>IF(ISNUMBER(NORMSINV(SUM(M$13:M219)/M$317)),NORMSINV(SUM(M$13:M219)/M$317)," ")</f>
        <v>0.59993779202323827</v>
      </c>
      <c r="O219" s="46">
        <f t="shared" si="82"/>
        <v>0.57317965707206842</v>
      </c>
      <c r="P219" s="46">
        <f>IF(ISNUMBER(NORMSINV(SUM(O$13:O219)/O$317)),NORMSINV(SUM(O$13:O219)/O$317)," ")</f>
        <v>2.0466319292457107</v>
      </c>
      <c r="Q219" s="46">
        <f t="shared" si="83"/>
        <v>0</v>
      </c>
      <c r="R219" s="46" t="str">
        <f>IF(ISNUMBER(NORMSINV(SUM(Q$13:Q219)/Q$317)),NORMSINV(SUM(Q$13:Q219)/Q$317)," ")</f>
        <v xml:space="preserve"> </v>
      </c>
      <c r="S219" s="46">
        <f t="shared" si="84"/>
        <v>0</v>
      </c>
      <c r="T219" s="46" t="str">
        <f>IF(ISNUMBER(NORMSINV(SUM(S$13:S219)/S$317)),NORMSINV(SUM(S$13:S219)/S$317)," ")</f>
        <v xml:space="preserve"> </v>
      </c>
      <c r="U219" s="46">
        <f t="shared" si="85"/>
        <v>3.5166013525610579E-2</v>
      </c>
      <c r="V219" s="46">
        <f>IF(ISNUMBER(NORMSINV(SUM(U$13:U219)/U$317)),NORMSINV(SUM(U$13:U219)/U$317)," ")</f>
        <v>2.208989373742237</v>
      </c>
      <c r="W219" s="46">
        <f t="shared" si="86"/>
        <v>0</v>
      </c>
      <c r="X219" s="46" t="str">
        <f>IF(ISNUMBER(NORMSINV(SUM(W$13:W219)/W$317)),NORMSINV(SUM(W$13:W219)/W$317)," ")</f>
        <v xml:space="preserve"> </v>
      </c>
      <c r="Y219" s="46">
        <f t="shared" si="87"/>
        <v>0</v>
      </c>
      <c r="Z219" s="46" t="str">
        <f>IF(ISNUMBER(NORMSINV(SUM(Y$13:Y219)/Y$317)),NORMSINV(SUM(Y$13:Y219)/Y$317)," ")</f>
        <v xml:space="preserve"> </v>
      </c>
      <c r="AA219" s="46">
        <f t="shared" si="88"/>
        <v>0.16553278154959314</v>
      </c>
      <c r="AB219" s="46">
        <f>IF(ISNUMBER(NORMSINV(SUM(AA$13:AA219)/AA$317)),NORMSINV(SUM(AA$13:AA219)/AA$317)," ")</f>
        <v>2.0491662082632165</v>
      </c>
      <c r="AC219" s="46">
        <f t="shared" si="89"/>
        <v>0</v>
      </c>
      <c r="AD219" s="46" t="str">
        <f>IF(ISNUMBER(NORMSINV(SUM(AC$13:AC219)/AC$317)),NORMSINV(SUM(AC$13:AC219)/AC$317)," ")</f>
        <v xml:space="preserve"> </v>
      </c>
      <c r="AE219" s="46">
        <f t="shared" si="90"/>
        <v>0</v>
      </c>
      <c r="AF219" s="46" t="str">
        <f>IF(ISNUMBER(NORMSINV(SUM(AE$13:AE219)/AE$317)),NORMSINV(SUM(AE$13:AE219)/AE$317)," ")</f>
        <v xml:space="preserve"> </v>
      </c>
      <c r="AG219" s="46">
        <f t="shared" si="91"/>
        <v>0.37248086199686464</v>
      </c>
      <c r="AH219" s="46">
        <f>IF(ISNUMBER(NORMSINV(SUM(AG$13:AG219)/AG$317)),NORMSINV(SUM(AG$13:AG219)/AG$317)," ")</f>
        <v>2.0256150533127015</v>
      </c>
      <c r="AI219" s="46">
        <f t="shared" si="92"/>
        <v>0</v>
      </c>
      <c r="AJ219" s="46" t="str">
        <f>IF(ISNUMBER(NORMSINV(SUM(AI$13:AI219)/AI$317)),NORMSINV(SUM(AI$13:AI219)/AI$317)," ")</f>
        <v xml:space="preserve"> </v>
      </c>
      <c r="AK219" s="46">
        <f t="shared" si="93"/>
        <v>0</v>
      </c>
      <c r="AL219" s="46" t="str">
        <f>IF(ISNUMBER(NORMSINV(SUM(AK$13:AK219)/AK$317)),NORMSINV(SUM(AK$13:AK219)/AK$317)," ")</f>
        <v xml:space="preserve"> </v>
      </c>
      <c r="AM219" s="6">
        <v>9.2280294904205681E-2</v>
      </c>
      <c r="AN219" s="6">
        <v>0</v>
      </c>
      <c r="AO219" s="6">
        <v>0</v>
      </c>
      <c r="AP219" s="6">
        <v>0.15637680964806169</v>
      </c>
      <c r="AQ219" s="6">
        <v>0</v>
      </c>
      <c r="AR219" s="6">
        <v>0</v>
      </c>
      <c r="AS219" s="6">
        <v>0.1759461125968329</v>
      </c>
      <c r="AT219" s="6">
        <v>0</v>
      </c>
      <c r="AU219" s="6">
        <v>0</v>
      </c>
    </row>
    <row r="220" spans="1:47" x14ac:dyDescent="0.4">
      <c r="A220" s="6">
        <f t="shared" si="78"/>
        <v>4.2245527456740373</v>
      </c>
      <c r="B220" s="6">
        <f>'Aerosol 1'!A224</f>
        <v>68.343929593736917</v>
      </c>
      <c r="C220" t="b">
        <f t="shared" si="79"/>
        <v>0</v>
      </c>
      <c r="E220" s="46">
        <f>'Aerosol 1'!$P224</f>
        <v>0.69706018298165695</v>
      </c>
      <c r="F220" s="46">
        <f>'Aerosol 2'!$P224</f>
        <v>0.69706018298165695</v>
      </c>
      <c r="G220" s="46">
        <f>'Aerosol 3'!$P224</f>
        <v>0.69706018298165695</v>
      </c>
      <c r="H220" s="46">
        <f t="shared" si="80"/>
        <v>2.0911805489449709</v>
      </c>
      <c r="I220" s="46">
        <f>NORMSINV(SUM(H$13:H220)/H$317)</f>
        <v>0.62109603978407024</v>
      </c>
      <c r="J220" s="46">
        <f t="shared" si="75"/>
        <v>0.37641249881009475</v>
      </c>
      <c r="K220" s="46">
        <f t="shared" si="76"/>
        <v>1.0455902744724854</v>
      </c>
      <c r="L220" s="46">
        <f t="shared" si="77"/>
        <v>2.091096901723013</v>
      </c>
      <c r="M220" s="46">
        <f t="shared" si="81"/>
        <v>3.5130996750055932</v>
      </c>
      <c r="N220" s="46">
        <f>IF(ISNUMBER(NORMSINV(SUM(M$13:M220)/M$317)),NORMSINV(SUM(M$13:M220)/M$317)," ")</f>
        <v>0.62109603978407057</v>
      </c>
      <c r="O220" s="46">
        <f t="shared" si="82"/>
        <v>0.5290810445950781</v>
      </c>
      <c r="P220" s="46">
        <f>IF(ISNUMBER(NORMSINV(SUM(O$13:O220)/O$317)),NORMSINV(SUM(O$13:O220)/O$317)," ")</f>
        <v>2.1050852995708813</v>
      </c>
      <c r="Q220" s="46">
        <f t="shared" si="83"/>
        <v>0</v>
      </c>
      <c r="R220" s="46" t="str">
        <f>IF(ISNUMBER(NORMSINV(SUM(Q$13:Q220)/Q$317)),NORMSINV(SUM(Q$13:Q220)/Q$317)," ")</f>
        <v xml:space="preserve"> </v>
      </c>
      <c r="S220" s="46">
        <f t="shared" si="84"/>
        <v>0</v>
      </c>
      <c r="T220" s="46" t="str">
        <f>IF(ISNUMBER(NORMSINV(SUM(S$13:S220)/S$317)),NORMSINV(SUM(S$13:S220)/S$317)," ")</f>
        <v xml:space="preserve"> </v>
      </c>
      <c r="U220" s="46">
        <f t="shared" si="85"/>
        <v>3.2449093945786309E-2</v>
      </c>
      <c r="V220" s="46">
        <f>IF(ISNUMBER(NORMSINV(SUM(U$13:U220)/U$317)),NORMSINV(SUM(U$13:U220)/U$317)," ")</f>
        <v>2.2645447910459264</v>
      </c>
      <c r="W220" s="46">
        <f t="shared" si="86"/>
        <v>0</v>
      </c>
      <c r="X220" s="46" t="str">
        <f>IF(ISNUMBER(NORMSINV(SUM(W$13:W220)/W$317)),NORMSINV(SUM(W$13:W220)/W$317)," ")</f>
        <v xml:space="preserve"> </v>
      </c>
      <c r="Y220" s="46">
        <f t="shared" si="87"/>
        <v>0</v>
      </c>
      <c r="Z220" s="46" t="str">
        <f>IF(ISNUMBER(NORMSINV(SUM(Y$13:Y220)/Y$317)),NORMSINV(SUM(Y$13:Y220)/Y$317)," ")</f>
        <v xml:space="preserve"> </v>
      </c>
      <c r="AA220" s="46">
        <f t="shared" si="88"/>
        <v>0.15253484973176482</v>
      </c>
      <c r="AB220" s="46">
        <f>IF(ISNUMBER(NORMSINV(SUM(AA$13:AA220)/AA$317)),NORMSINV(SUM(AA$13:AA220)/AA$317)," ")</f>
        <v>2.1076458072486188</v>
      </c>
      <c r="AC220" s="46">
        <f t="shared" si="89"/>
        <v>0</v>
      </c>
      <c r="AD220" s="46" t="str">
        <f>IF(ISNUMBER(NORMSINV(SUM(AC$13:AC220)/AC$317)),NORMSINV(SUM(AC$13:AC220)/AC$317)," ")</f>
        <v xml:space="preserve"> </v>
      </c>
      <c r="AE220" s="46">
        <f t="shared" si="90"/>
        <v>0</v>
      </c>
      <c r="AF220" s="46" t="str">
        <f>IF(ISNUMBER(NORMSINV(SUM(AE$13:AE220)/AE$317)),NORMSINV(SUM(AE$13:AE220)/AE$317)," ")</f>
        <v xml:space="preserve"> </v>
      </c>
      <c r="AG220" s="46">
        <f t="shared" si="91"/>
        <v>0.34409710091752699</v>
      </c>
      <c r="AH220" s="46">
        <f>IF(ISNUMBER(NORMSINV(SUM(AG$13:AG220)/AG$317)),NORMSINV(SUM(AG$13:AG220)/AG$317)," ")</f>
        <v>2.0844439956657435</v>
      </c>
      <c r="AI220" s="46">
        <f t="shared" si="92"/>
        <v>0</v>
      </c>
      <c r="AJ220" s="46" t="str">
        <f>IF(ISNUMBER(NORMSINV(SUM(AI$13:AI220)/AI$317)),NORMSINV(SUM(AI$13:AI220)/AI$317)," ")</f>
        <v xml:space="preserve"> </v>
      </c>
      <c r="AK220" s="46">
        <f t="shared" si="93"/>
        <v>0</v>
      </c>
      <c r="AL220" s="46" t="str">
        <f>IF(ISNUMBER(NORMSINV(SUM(AK$13:AK220)/AK$317)),NORMSINV(SUM(AK$13:AK220)/AK$317)," ")</f>
        <v xml:space="preserve"> </v>
      </c>
      <c r="AM220" s="6">
        <v>8.6206207414375263E-2</v>
      </c>
      <c r="AN220" s="6">
        <v>0</v>
      </c>
      <c r="AO220" s="6">
        <v>0</v>
      </c>
      <c r="AP220" s="6">
        <v>0.14588395995622733</v>
      </c>
      <c r="AQ220" s="6">
        <v>0</v>
      </c>
      <c r="AR220" s="6">
        <v>0</v>
      </c>
      <c r="AS220" s="6">
        <v>0.16455339809169023</v>
      </c>
      <c r="AT220" s="6">
        <v>0</v>
      </c>
      <c r="AU220" s="6">
        <v>0</v>
      </c>
    </row>
    <row r="221" spans="1:47" x14ac:dyDescent="0.4">
      <c r="A221" s="6">
        <f t="shared" si="78"/>
        <v>4.2590313231052166</v>
      </c>
      <c r="B221" s="6">
        <f>'Aerosol 1'!A225</f>
        <v>70.741424670400278</v>
      </c>
      <c r="C221" t="b">
        <f t="shared" si="79"/>
        <v>0</v>
      </c>
      <c r="E221" s="46">
        <f>'Aerosol 1'!$P225</f>
        <v>0.68822463063995531</v>
      </c>
      <c r="F221" s="46">
        <f>'Aerosol 2'!$P225</f>
        <v>0.68822463063995531</v>
      </c>
      <c r="G221" s="46">
        <f>'Aerosol 3'!$P225</f>
        <v>0.68822463063995531</v>
      </c>
      <c r="H221" s="46">
        <f t="shared" si="80"/>
        <v>2.0646738919198659</v>
      </c>
      <c r="I221" s="46">
        <f>NORMSINV(SUM(H$13:H221)/H$317)</f>
        <v>0.64226247606713593</v>
      </c>
      <c r="J221" s="46">
        <f t="shared" si="75"/>
        <v>0.37164130054557587</v>
      </c>
      <c r="K221" s="46">
        <f t="shared" si="76"/>
        <v>1.032336945959933</v>
      </c>
      <c r="L221" s="46">
        <f t="shared" si="77"/>
        <v>2.0645913049641891</v>
      </c>
      <c r="M221" s="46">
        <f t="shared" si="81"/>
        <v>3.4685695514696979</v>
      </c>
      <c r="N221" s="46">
        <f>IF(ISNUMBER(NORMSINV(SUM(M$13:M221)/M$317)),NORMSINV(SUM(M$13:M221)/M$317)," ")</f>
        <v>0.64226247606713616</v>
      </c>
      <c r="O221" s="46">
        <f t="shared" si="82"/>
        <v>0.48831546006864446</v>
      </c>
      <c r="P221" s="46">
        <f>IF(ISNUMBER(NORMSINV(SUM(O$13:O221)/O$317)),NORMSINV(SUM(O$13:O221)/O$317)," ")</f>
        <v>2.1662721511038003</v>
      </c>
      <c r="Q221" s="46">
        <f t="shared" si="83"/>
        <v>0</v>
      </c>
      <c r="R221" s="46" t="str">
        <f>IF(ISNUMBER(NORMSINV(SUM(Q$13:Q221)/Q$317)),NORMSINV(SUM(Q$13:Q221)/Q$317)," ")</f>
        <v xml:space="preserve"> </v>
      </c>
      <c r="S221" s="46">
        <f t="shared" si="84"/>
        <v>0</v>
      </c>
      <c r="T221" s="46" t="str">
        <f>IF(ISNUMBER(NORMSINV(SUM(S$13:S221)/S$317)),NORMSINV(SUM(S$13:S221)/S$317)," ")</f>
        <v xml:space="preserve"> </v>
      </c>
      <c r="U221" s="46">
        <f t="shared" si="85"/>
        <v>2.9781350754602531E-2</v>
      </c>
      <c r="V221" s="46">
        <f>IF(ISNUMBER(NORMSINV(SUM(U$13:U221)/U$317)),NORMSINV(SUM(U$13:U221)/U$317)," ")</f>
        <v>2.3225246858129167</v>
      </c>
      <c r="W221" s="46">
        <f t="shared" si="86"/>
        <v>0</v>
      </c>
      <c r="X221" s="46" t="str">
        <f>IF(ISNUMBER(NORMSINV(SUM(W$13:W221)/W$317)),NORMSINV(SUM(W$13:W221)/W$317)," ")</f>
        <v xml:space="preserve"> </v>
      </c>
      <c r="Y221" s="46">
        <f t="shared" si="87"/>
        <v>0</v>
      </c>
      <c r="Z221" s="46" t="str">
        <f>IF(ISNUMBER(NORMSINV(SUM(Y$13:Y221)/Y$317)),NORMSINV(SUM(Y$13:Y221)/Y$317)," ")</f>
        <v xml:space="preserve"> </v>
      </c>
      <c r="AA221" s="46">
        <f t="shared" si="88"/>
        <v>0.14061922470930888</v>
      </c>
      <c r="AB221" s="46">
        <f>IF(ISNUMBER(NORMSINV(SUM(AA$13:AA221)/AA$317)),NORMSINV(SUM(AA$13:AA221)/AA$317)," ")</f>
        <v>2.1687981341893443</v>
      </c>
      <c r="AC221" s="46">
        <f t="shared" si="89"/>
        <v>0</v>
      </c>
      <c r="AD221" s="46" t="str">
        <f>IF(ISNUMBER(NORMSINV(SUM(AC$13:AC221)/AC$317)),NORMSINV(SUM(AC$13:AC221)/AC$317)," ")</f>
        <v xml:space="preserve"> </v>
      </c>
      <c r="AE221" s="46">
        <f t="shared" si="90"/>
        <v>0</v>
      </c>
      <c r="AF221" s="46" t="str">
        <f>IF(ISNUMBER(NORMSINV(SUM(AE$13:AE221)/AE$317)),NORMSINV(SUM(AE$13:AE221)/AE$317)," ")</f>
        <v xml:space="preserve"> </v>
      </c>
      <c r="AG221" s="46">
        <f t="shared" si="91"/>
        <v>0.31791488460473305</v>
      </c>
      <c r="AH221" s="46">
        <f>IF(ISNUMBER(NORMSINV(SUM(AG$13:AG221)/AG$317)),NORMSINV(SUM(AG$13:AG221)/AG$317)," ")</f>
        <v>2.1460639284371639</v>
      </c>
      <c r="AI221" s="46">
        <f t="shared" si="92"/>
        <v>0</v>
      </c>
      <c r="AJ221" s="46" t="str">
        <f>IF(ISNUMBER(NORMSINV(SUM(AI$13:AI221)/AI$317)),NORMSINV(SUM(AI$13:AI221)/AI$317)," ")</f>
        <v xml:space="preserve"> </v>
      </c>
      <c r="AK221" s="46">
        <f t="shared" si="93"/>
        <v>0</v>
      </c>
      <c r="AL221" s="46" t="str">
        <f>IF(ISNUMBER(NORMSINV(SUM(AK$13:AK221)/AK$317)),NORMSINV(SUM(AK$13:AK221)/AK$317)," ")</f>
        <v xml:space="preserve"> </v>
      </c>
      <c r="AM221" s="6">
        <v>8.0134664018458104E-2</v>
      </c>
      <c r="AN221" s="6">
        <v>0</v>
      </c>
      <c r="AO221" s="6">
        <v>0</v>
      </c>
      <c r="AP221" s="6">
        <v>0.13621446491828509</v>
      </c>
      <c r="AQ221" s="6">
        <v>0</v>
      </c>
      <c r="AR221" s="6">
        <v>0</v>
      </c>
      <c r="AS221" s="6">
        <v>0.15398441514324182</v>
      </c>
      <c r="AT221" s="6">
        <v>0</v>
      </c>
      <c r="AU221" s="6">
        <v>0</v>
      </c>
    </row>
    <row r="222" spans="1:47" x14ac:dyDescent="0.4">
      <c r="A222" s="6">
        <f t="shared" si="78"/>
        <v>4.2935099005363959</v>
      </c>
      <c r="B222" s="6">
        <f>'Aerosol 1'!A226</f>
        <v>73.223023524484603</v>
      </c>
      <c r="C222" t="b">
        <f t="shared" si="79"/>
        <v>0</v>
      </c>
      <c r="E222" s="46">
        <f>'Aerosol 1'!$P226</f>
        <v>0.67920396340066524</v>
      </c>
      <c r="F222" s="46">
        <f>'Aerosol 2'!$P226</f>
        <v>0.67920396340066524</v>
      </c>
      <c r="G222" s="46">
        <f>'Aerosol 3'!$P226</f>
        <v>0.67920396340066524</v>
      </c>
      <c r="H222" s="46">
        <f t="shared" si="80"/>
        <v>2.0376118902019957</v>
      </c>
      <c r="I222" s="46">
        <f>NORMSINV(SUM(H$13:H222)/H$317)</f>
        <v>0.66343744161551776</v>
      </c>
      <c r="J222" s="46">
        <f t="shared" si="75"/>
        <v>0.36677014023635923</v>
      </c>
      <c r="K222" s="46">
        <f t="shared" si="76"/>
        <v>1.0188059451009979</v>
      </c>
      <c r="L222" s="46">
        <f t="shared" si="77"/>
        <v>2.0375303857263876</v>
      </c>
      <c r="M222" s="46">
        <f t="shared" si="81"/>
        <v>3.4231064710637447</v>
      </c>
      <c r="N222" s="46">
        <f>IF(ISNUMBER(NORMSINV(SUM(M$13:M222)/M$317)),NORMSINV(SUM(M$13:M222)/M$317)," ")</f>
        <v>0.66343744161551799</v>
      </c>
      <c r="O222" s="46">
        <f t="shared" si="82"/>
        <v>0.44706409670077751</v>
      </c>
      <c r="P222" s="46">
        <f>IF(ISNUMBER(NORMSINV(SUM(O$13:O222)/O$317)),NORMSINV(SUM(O$13:O222)/O$317)," ")</f>
        <v>2.2304325065824129</v>
      </c>
      <c r="Q222" s="46">
        <f t="shared" si="83"/>
        <v>0</v>
      </c>
      <c r="R222" s="46" t="str">
        <f>IF(ISNUMBER(NORMSINV(SUM(Q$13:Q222)/Q$317)),NORMSINV(SUM(Q$13:Q222)/Q$317)," ")</f>
        <v xml:space="preserve"> </v>
      </c>
      <c r="S222" s="46">
        <f t="shared" si="84"/>
        <v>0</v>
      </c>
      <c r="T222" s="46" t="str">
        <f>IF(ISNUMBER(NORMSINV(SUM(S$13:S222)/S$317)),NORMSINV(SUM(S$13:S222)/S$317)," ")</f>
        <v xml:space="preserve"> </v>
      </c>
      <c r="U222" s="46">
        <f t="shared" si="85"/>
        <v>2.7170884634838001E-2</v>
      </c>
      <c r="V222" s="46">
        <f>IF(ISNUMBER(NORMSINV(SUM(U$13:U222)/U$317)),NORMSINV(SUM(U$13:U222)/U$317)," ")</f>
        <v>2.3832361400912689</v>
      </c>
      <c r="W222" s="46">
        <f t="shared" si="86"/>
        <v>0</v>
      </c>
      <c r="X222" s="46" t="str">
        <f>IF(ISNUMBER(NORMSINV(SUM(W$13:W222)/W$317)),NORMSINV(SUM(W$13:W222)/W$317)," ")</f>
        <v xml:space="preserve"> </v>
      </c>
      <c r="Y222" s="46">
        <f t="shared" si="87"/>
        <v>0</v>
      </c>
      <c r="Z222" s="46" t="str">
        <f>IF(ISNUMBER(NORMSINV(SUM(Y$13:Y222)/Y$317)),NORMSINV(SUM(Y$13:Y222)/Y$317)," ")</f>
        <v xml:space="preserve"> </v>
      </c>
      <c r="AA222" s="46">
        <f t="shared" si="88"/>
        <v>0.12895459998280548</v>
      </c>
      <c r="AB222" s="46">
        <f>IF(ISNUMBER(NORMSINV(SUM(AA$13:AA222)/AA$317)),NORMSINV(SUM(AA$13:AA222)/AA$317)," ")</f>
        <v>2.2330426848331233</v>
      </c>
      <c r="AC222" s="46">
        <f t="shared" si="89"/>
        <v>0</v>
      </c>
      <c r="AD222" s="46" t="str">
        <f>IF(ISNUMBER(NORMSINV(SUM(AC$13:AC222)/AC$317)),NORMSINV(SUM(AC$13:AC222)/AC$317)," ")</f>
        <v xml:space="preserve"> </v>
      </c>
      <c r="AE222" s="46">
        <f t="shared" si="90"/>
        <v>0</v>
      </c>
      <c r="AF222" s="46" t="str">
        <f>IF(ISNUMBER(NORMSINV(SUM(AE$13:AE222)/AE$317)),NORMSINV(SUM(AE$13:AE222)/AE$317)," ")</f>
        <v xml:space="preserve"> </v>
      </c>
      <c r="AG222" s="46">
        <f t="shared" si="91"/>
        <v>0.29093861208313404</v>
      </c>
      <c r="AH222" s="46">
        <f>IF(ISNUMBER(NORMSINV(SUM(AG$13:AG222)/AG$317)),NORMSINV(SUM(AG$13:AG222)/AG$317)," ")</f>
        <v>2.2106280728978098</v>
      </c>
      <c r="AI222" s="46">
        <f t="shared" si="92"/>
        <v>0</v>
      </c>
      <c r="AJ222" s="46" t="str">
        <f>IF(ISNUMBER(NORMSINV(SUM(AI$13:AI222)/AI$317)),NORMSINV(SUM(AI$13:AI222)/AI$317)," ")</f>
        <v xml:space="preserve"> </v>
      </c>
      <c r="AK222" s="46">
        <f t="shared" si="93"/>
        <v>0</v>
      </c>
      <c r="AL222" s="46" t="str">
        <f>IF(ISNUMBER(NORMSINV(SUM(AK$13:AK222)/AK$317)),NORMSINV(SUM(AK$13:AK222)/AK$317)," ")</f>
        <v xml:space="preserve"> </v>
      </c>
      <c r="AM222" s="6">
        <v>7.4081506791496582E-2</v>
      </c>
      <c r="AN222" s="6">
        <v>0</v>
      </c>
      <c r="AO222" s="6">
        <v>0</v>
      </c>
      <c r="AP222" s="6">
        <v>0.12657425155682789</v>
      </c>
      <c r="AQ222" s="6">
        <v>0</v>
      </c>
      <c r="AR222" s="6">
        <v>0</v>
      </c>
      <c r="AS222" s="6">
        <v>0.14278982739166035</v>
      </c>
      <c r="AT222" s="6">
        <v>0</v>
      </c>
      <c r="AU222" s="6">
        <v>0</v>
      </c>
    </row>
    <row r="223" spans="1:47" x14ac:dyDescent="0.4">
      <c r="A223" s="6">
        <f t="shared" si="78"/>
        <v>4.3279884779675752</v>
      </c>
      <c r="B223" s="6">
        <f>'Aerosol 1'!A227</f>
        <v>75.791676504228477</v>
      </c>
      <c r="C223" t="b">
        <f t="shared" si="79"/>
        <v>0</v>
      </c>
      <c r="E223" s="46">
        <f>'Aerosol 1'!$P227</f>
        <v>0.67000844440704421</v>
      </c>
      <c r="F223" s="46">
        <f>'Aerosol 2'!$P227</f>
        <v>0.67000844440704421</v>
      </c>
      <c r="G223" s="46">
        <f>'Aerosol 3'!$P227</f>
        <v>0.67000844440704421</v>
      </c>
      <c r="H223" s="46">
        <f t="shared" si="80"/>
        <v>2.0100253332211326</v>
      </c>
      <c r="I223" s="46">
        <f>NORMSINV(SUM(H$13:H223)/H$317)</f>
        <v>0.68462129380983738</v>
      </c>
      <c r="J223" s="46">
        <f t="shared" si="75"/>
        <v>0.36180455997980387</v>
      </c>
      <c r="K223" s="46">
        <f t="shared" si="76"/>
        <v>1.0050126666105663</v>
      </c>
      <c r="L223" s="46">
        <f t="shared" si="77"/>
        <v>2.0099449322078038</v>
      </c>
      <c r="M223" s="46">
        <f t="shared" si="81"/>
        <v>3.376762158798174</v>
      </c>
      <c r="N223" s="46">
        <f>IF(ISNUMBER(NORMSINV(SUM(M$13:M223)/M$317)),NORMSINV(SUM(M$13:M223)/M$317)," ")</f>
        <v>0.68462129380983794</v>
      </c>
      <c r="O223" s="46">
        <f t="shared" si="82"/>
        <v>0.40861745935281313</v>
      </c>
      <c r="P223" s="46">
        <f>IF(ISNUMBER(NORMSINV(SUM(O$13:O223)/O$317)),NORMSINV(SUM(O$13:O223)/O$317)," ")</f>
        <v>2.2983787164342218</v>
      </c>
      <c r="Q223" s="46">
        <f t="shared" si="83"/>
        <v>0</v>
      </c>
      <c r="R223" s="46" t="str">
        <f>IF(ISNUMBER(NORMSINV(SUM(Q$13:Q223)/Q$317)),NORMSINV(SUM(Q$13:Q223)/Q$317)," ")</f>
        <v xml:space="preserve"> </v>
      </c>
      <c r="S223" s="46">
        <f t="shared" si="84"/>
        <v>0</v>
      </c>
      <c r="T223" s="46" t="str">
        <f>IF(ISNUMBER(NORMSINV(SUM(S$13:S223)/S$317)),NORMSINV(SUM(S$13:S223)/S$317)," ")</f>
        <v xml:space="preserve"> </v>
      </c>
      <c r="U223" s="46">
        <f t="shared" si="85"/>
        <v>2.4892041853910835E-2</v>
      </c>
      <c r="V223" s="46">
        <f>IF(ISNUMBER(NORMSINV(SUM(U$13:U223)/U$317)),NORMSINV(SUM(U$13:U223)/U$317)," ")</f>
        <v>2.4478054098782711</v>
      </c>
      <c r="W223" s="46">
        <f t="shared" si="86"/>
        <v>0</v>
      </c>
      <c r="X223" s="46" t="str">
        <f>IF(ISNUMBER(NORMSINV(SUM(W$13:W223)/W$317)),NORMSINV(SUM(W$13:W223)/W$317)," ")</f>
        <v xml:space="preserve"> </v>
      </c>
      <c r="Y223" s="46">
        <f t="shared" si="87"/>
        <v>0</v>
      </c>
      <c r="Z223" s="46" t="str">
        <f>IF(ISNUMBER(NORMSINV(SUM(Y$13:Y223)/Y$317)),NORMSINV(SUM(Y$13:Y223)/Y$317)," ")</f>
        <v xml:space="preserve"> </v>
      </c>
      <c r="AA223" s="46">
        <f t="shared" si="88"/>
        <v>0.11771044870147451</v>
      </c>
      <c r="AB223" s="46">
        <f>IF(ISNUMBER(NORMSINV(SUM(AA$13:AA223)/AA$317)),NORMSINV(SUM(AA$13:AA223)/AA$317)," ")</f>
        <v>2.301008577990598</v>
      </c>
      <c r="AC223" s="46">
        <f t="shared" si="89"/>
        <v>0</v>
      </c>
      <c r="AD223" s="46" t="str">
        <f>IF(ISNUMBER(NORMSINV(SUM(AC$13:AC223)/AC$317)),NORMSINV(SUM(AC$13:AC223)/AC$317)," ")</f>
        <v xml:space="preserve"> </v>
      </c>
      <c r="AE223" s="46">
        <f t="shared" si="90"/>
        <v>0</v>
      </c>
      <c r="AF223" s="46" t="str">
        <f>IF(ISNUMBER(NORMSINV(SUM(AE$13:AE223)/AE$317)),NORMSINV(SUM(AE$13:AE223)/AE$317)," ")</f>
        <v xml:space="preserve"> </v>
      </c>
      <c r="AG223" s="46">
        <f t="shared" si="91"/>
        <v>0.26601496879742775</v>
      </c>
      <c r="AH223" s="46">
        <f>IF(ISNUMBER(NORMSINV(SUM(AG$13:AG223)/AG$317)),NORMSINV(SUM(AG$13:AG223)/AG$317)," ")</f>
        <v>2.2790000300335</v>
      </c>
      <c r="AI223" s="46">
        <f t="shared" si="92"/>
        <v>0</v>
      </c>
      <c r="AJ223" s="46" t="str">
        <f>IF(ISNUMBER(NORMSINV(SUM(AI$13:AI223)/AI$317)),NORMSINV(SUM(AI$13:AI223)/AI$317)," ")</f>
        <v xml:space="preserve"> </v>
      </c>
      <c r="AK223" s="46">
        <f t="shared" si="93"/>
        <v>0</v>
      </c>
      <c r="AL223" s="46" t="str">
        <f>IF(ISNUMBER(NORMSINV(SUM(AK$13:AK223)/AK$317)),NORMSINV(SUM(AK$13:AK223)/AK$317)," ")</f>
        <v xml:space="preserve"> </v>
      </c>
      <c r="AM223" s="6">
        <v>6.8799690792455251E-2</v>
      </c>
      <c r="AN223" s="6">
        <v>0</v>
      </c>
      <c r="AO223" s="6">
        <v>0</v>
      </c>
      <c r="AP223" s="6">
        <v>0.11712334840361399</v>
      </c>
      <c r="AQ223" s="6">
        <v>0</v>
      </c>
      <c r="AR223" s="6">
        <v>0</v>
      </c>
      <c r="AS223" s="6">
        <v>0.13234938158491052</v>
      </c>
      <c r="AT223" s="6">
        <v>0</v>
      </c>
      <c r="AU223" s="6">
        <v>0</v>
      </c>
    </row>
    <row r="224" spans="1:47" x14ac:dyDescent="0.4">
      <c r="A224" s="6">
        <f t="shared" si="78"/>
        <v>4.3624670553987546</v>
      </c>
      <c r="B224" s="6">
        <f>'Aerosol 1'!A228</f>
        <v>78.450437455656157</v>
      </c>
      <c r="C224" t="b">
        <f t="shared" si="79"/>
        <v>0</v>
      </c>
      <c r="E224" s="46">
        <f>'Aerosol 1'!$P228</f>
        <v>0.66064842790264366</v>
      </c>
      <c r="F224" s="46">
        <f>'Aerosol 2'!$P228</f>
        <v>0.66064842790264366</v>
      </c>
      <c r="G224" s="46">
        <f>'Aerosol 3'!$P228</f>
        <v>0.66064842790264366</v>
      </c>
      <c r="H224" s="46">
        <f t="shared" si="80"/>
        <v>1.981945283707931</v>
      </c>
      <c r="I224" s="46">
        <f>NORMSINV(SUM(H$13:H224)/H$317)</f>
        <v>0.7058144075962729</v>
      </c>
      <c r="J224" s="46">
        <f t="shared" si="75"/>
        <v>0.35675015106742758</v>
      </c>
      <c r="K224" s="46">
        <f t="shared" si="76"/>
        <v>0.9909726418539655</v>
      </c>
      <c r="L224" s="46">
        <f t="shared" si="77"/>
        <v>1.9818660058965827</v>
      </c>
      <c r="M224" s="46">
        <f t="shared" si="81"/>
        <v>3.3295887988179755</v>
      </c>
      <c r="N224" s="46">
        <f>IF(ISNUMBER(NORMSINV(SUM(M$13:M224)/M$317)),NORMSINV(SUM(M$13:M224)/M$317)," ")</f>
        <v>0.7058144075962729</v>
      </c>
      <c r="O224" s="46">
        <f t="shared" si="82"/>
        <v>0.37127225399346653</v>
      </c>
      <c r="P224" s="46">
        <f>IF(ISNUMBER(NORMSINV(SUM(O$13:O224)/O$317)),NORMSINV(SUM(O$13:O224)/O$317)," ")</f>
        <v>2.3709249402189387</v>
      </c>
      <c r="Q224" s="46">
        <f t="shared" si="83"/>
        <v>0</v>
      </c>
      <c r="R224" s="46" t="str">
        <f>IF(ISNUMBER(NORMSINV(SUM(Q$13:Q224)/Q$317)),NORMSINV(SUM(Q$13:Q224)/Q$317)," ")</f>
        <v xml:space="preserve"> </v>
      </c>
      <c r="S224" s="46">
        <f t="shared" si="84"/>
        <v>0</v>
      </c>
      <c r="T224" s="46" t="str">
        <f>IF(ISNUMBER(NORMSINV(SUM(S$13:S224)/S$317)),NORMSINV(SUM(S$13:S224)/S$317)," ")</f>
        <v xml:space="preserve"> </v>
      </c>
      <c r="U224" s="46">
        <f t="shared" si="85"/>
        <v>2.2703144278778627E-2</v>
      </c>
      <c r="V224" s="46">
        <f>IF(ISNUMBER(NORMSINV(SUM(U$13:U224)/U$317)),NORMSINV(SUM(U$13:U224)/U$317)," ")</f>
        <v>2.5171794421654892</v>
      </c>
      <c r="W224" s="46">
        <f t="shared" si="86"/>
        <v>0</v>
      </c>
      <c r="X224" s="46" t="str">
        <f>IF(ISNUMBER(NORMSINV(SUM(W$13:W224)/W$317)),NORMSINV(SUM(W$13:W224)/W$317)," ")</f>
        <v xml:space="preserve"> </v>
      </c>
      <c r="Y224" s="46">
        <f t="shared" si="87"/>
        <v>0</v>
      </c>
      <c r="Z224" s="46" t="str">
        <f>IF(ISNUMBER(NORMSINV(SUM(Y$13:Y224)/Y$317)),NORMSINV(SUM(Y$13:Y224)/Y$317)," ")</f>
        <v xml:space="preserve"> </v>
      </c>
      <c r="AA224" s="46">
        <f t="shared" si="88"/>
        <v>0.10672683787889535</v>
      </c>
      <c r="AB224" s="46">
        <f>IF(ISNUMBER(NORMSINV(SUM(AA$13:AA224)/AA$317)),NORMSINV(SUM(AA$13:AA224)/AA$317)," ")</f>
        <v>2.373427218210268</v>
      </c>
      <c r="AC224" s="46">
        <f t="shared" si="89"/>
        <v>0</v>
      </c>
      <c r="AD224" s="46" t="str">
        <f>IF(ISNUMBER(NORMSINV(SUM(AC$13:AC224)/AC$317)),NORMSINV(SUM(AC$13:AC224)/AC$317)," ")</f>
        <v xml:space="preserve"> </v>
      </c>
      <c r="AE224" s="46">
        <f t="shared" si="90"/>
        <v>0</v>
      </c>
      <c r="AF224" s="46" t="str">
        <f>IF(ISNUMBER(NORMSINV(SUM(AE$13:AE224)/AE$317)),NORMSINV(SUM(AE$13:AE224)/AE$317)," ")</f>
        <v xml:space="preserve"> </v>
      </c>
      <c r="AG224" s="46">
        <f t="shared" si="91"/>
        <v>0.24184227183579254</v>
      </c>
      <c r="AH224" s="46">
        <f>IF(ISNUMBER(NORMSINV(SUM(AG$13:AG224)/AG$317)),NORMSINV(SUM(AG$13:AG224)/AG$317)," ")</f>
        <v>2.3520183384065971</v>
      </c>
      <c r="AI224" s="46">
        <f t="shared" si="92"/>
        <v>0</v>
      </c>
      <c r="AJ224" s="46" t="str">
        <f>IF(ISNUMBER(NORMSINV(SUM(AI$13:AI224)/AI$317)),NORMSINV(SUM(AI$13:AI224)/AI$317)," ")</f>
        <v xml:space="preserve"> </v>
      </c>
      <c r="AK224" s="46">
        <f t="shared" si="93"/>
        <v>0</v>
      </c>
      <c r="AL224" s="46" t="str">
        <f>IF(ISNUMBER(NORMSINV(SUM(AK$13:AK224)/AK$317)),NORMSINV(SUM(AK$13:AK224)/AK$317)," ")</f>
        <v xml:space="preserve"> </v>
      </c>
      <c r="AM224" s="6">
        <v>6.3638779719781019E-2</v>
      </c>
      <c r="AN224" s="6">
        <v>0</v>
      </c>
      <c r="AO224" s="6">
        <v>0</v>
      </c>
      <c r="AP224" s="6">
        <v>0.10769907601003492</v>
      </c>
      <c r="AQ224" s="6">
        <v>0</v>
      </c>
      <c r="AR224" s="6">
        <v>0</v>
      </c>
      <c r="AS224" s="6">
        <v>0.12202755943956198</v>
      </c>
      <c r="AT224" s="6">
        <v>0</v>
      </c>
      <c r="AU224" s="6">
        <v>0</v>
      </c>
    </row>
    <row r="225" spans="1:47" x14ac:dyDescent="0.4">
      <c r="A225" s="6">
        <f t="shared" si="78"/>
        <v>4.3969456328299339</v>
      </c>
      <c r="B225" s="6">
        <f>'Aerosol 1'!A229</f>
        <v>81.20246735326478</v>
      </c>
      <c r="C225" t="b">
        <f t="shared" si="79"/>
        <v>0</v>
      </c>
      <c r="E225" s="46">
        <f>'Aerosol 1'!$P229</f>
        <v>0.65113434001331516</v>
      </c>
      <c r="F225" s="46">
        <f>'Aerosol 2'!$P229</f>
        <v>0.65113434001331516</v>
      </c>
      <c r="G225" s="46">
        <f>'Aerosol 3'!$P229</f>
        <v>0.65113434001331516</v>
      </c>
      <c r="H225" s="46">
        <f t="shared" si="80"/>
        <v>1.9534030200399455</v>
      </c>
      <c r="I225" s="46">
        <f>NORMSINV(SUM(H$13:H225)/H$317)</f>
        <v>0.72701717647303377</v>
      </c>
      <c r="J225" s="46">
        <f t="shared" si="75"/>
        <v>0.35161254360719019</v>
      </c>
      <c r="K225" s="46">
        <f t="shared" si="76"/>
        <v>0.97670151001997274</v>
      </c>
      <c r="L225" s="46">
        <f t="shared" si="77"/>
        <v>1.9533248839191439</v>
      </c>
      <c r="M225" s="46">
        <f t="shared" si="81"/>
        <v>3.2816389375463069</v>
      </c>
      <c r="N225" s="46">
        <f>IF(ISNUMBER(NORMSINV(SUM(M$13:M225)/M$317)),NORMSINV(SUM(M$13:M225)/M$317)," ")</f>
        <v>0.7270171764730331</v>
      </c>
      <c r="O225" s="46">
        <f t="shared" si="82"/>
        <v>0.33612092891538364</v>
      </c>
      <c r="P225" s="46">
        <f>IF(ISNUMBER(NORMSINV(SUM(O$13:O225)/O$317)),NORMSINV(SUM(O$13:O225)/O$317)," ")</f>
        <v>2.4494746028802594</v>
      </c>
      <c r="Q225" s="46">
        <f t="shared" si="83"/>
        <v>0</v>
      </c>
      <c r="R225" s="46" t="str">
        <f>IF(ISNUMBER(NORMSINV(SUM(Q$13:Q225)/Q$317)),NORMSINV(SUM(Q$13:Q225)/Q$317)," ")</f>
        <v xml:space="preserve"> </v>
      </c>
      <c r="S225" s="46">
        <f t="shared" si="84"/>
        <v>0</v>
      </c>
      <c r="T225" s="46" t="str">
        <f>IF(ISNUMBER(NORMSINV(SUM(S$13:S225)/S$317)),NORMSINV(SUM(S$13:S225)/S$317)," ")</f>
        <v xml:space="preserve"> </v>
      </c>
      <c r="U225" s="46">
        <f t="shared" si="85"/>
        <v>2.0560747457863324E-2</v>
      </c>
      <c r="V225" s="46">
        <f>IF(ISNUMBER(NORMSINV(SUM(U$13:U225)/U$317)),NORMSINV(SUM(U$13:U225)/U$317)," ")</f>
        <v>2.5925488419842857</v>
      </c>
      <c r="W225" s="46">
        <f t="shared" si="86"/>
        <v>0</v>
      </c>
      <c r="X225" s="46" t="str">
        <f>IF(ISNUMBER(NORMSINV(SUM(W$13:W225)/W$317)),NORMSINV(SUM(W$13:W225)/W$317)," ")</f>
        <v xml:space="preserve"> </v>
      </c>
      <c r="Y225" s="46">
        <f t="shared" si="87"/>
        <v>0</v>
      </c>
      <c r="Z225" s="46" t="str">
        <f>IF(ISNUMBER(NORMSINV(SUM(Y$13:Y225)/Y$317)),NORMSINV(SUM(Y$13:Y225)/Y$317)," ")</f>
        <v xml:space="preserve"> </v>
      </c>
      <c r="AA225" s="46">
        <f t="shared" si="88"/>
        <v>9.6537264040902751E-2</v>
      </c>
      <c r="AB225" s="46">
        <f>IF(ISNUMBER(NORMSINV(SUM(AA$13:AA225)/AA$317)),NORMSINV(SUM(AA$13:AA225)/AA$317)," ")</f>
        <v>2.4517519881503862</v>
      </c>
      <c r="AC225" s="46">
        <f t="shared" si="89"/>
        <v>0</v>
      </c>
      <c r="AD225" s="46" t="str">
        <f>IF(ISNUMBER(NORMSINV(SUM(AC$13:AC225)/AC$317)),NORMSINV(SUM(AC$13:AC225)/AC$317)," ")</f>
        <v xml:space="preserve"> </v>
      </c>
      <c r="AE225" s="46">
        <f t="shared" si="90"/>
        <v>0</v>
      </c>
      <c r="AF225" s="46" t="str">
        <f>IF(ISNUMBER(NORMSINV(SUM(AE$13:AE225)/AE$317)),NORMSINV(SUM(AE$13:AE225)/AE$317)," ")</f>
        <v xml:space="preserve"> </v>
      </c>
      <c r="AG225" s="46">
        <f t="shared" si="91"/>
        <v>0.21902291741661759</v>
      </c>
      <c r="AH225" s="46">
        <f>IF(ISNUMBER(NORMSINV(SUM(AG$13:AG225)/AG$317)),NORMSINV(SUM(AG$13:AG225)/AG$317)," ")</f>
        <v>2.4310865386953293</v>
      </c>
      <c r="AI225" s="46">
        <f t="shared" si="92"/>
        <v>0</v>
      </c>
      <c r="AJ225" s="46" t="str">
        <f>IF(ISNUMBER(NORMSINV(SUM(AI$13:AI225)/AI$317)),NORMSINV(SUM(AI$13:AI225)/AI$317)," ")</f>
        <v xml:space="preserve"> </v>
      </c>
      <c r="AK225" s="46">
        <f t="shared" si="93"/>
        <v>0</v>
      </c>
      <c r="AL225" s="46" t="str">
        <f>IF(ISNUMBER(NORMSINV(SUM(AK$13:AK225)/AK$317)),NORMSINV(SUM(AK$13:AK225)/AK$317)," ")</f>
        <v xml:space="preserve"> </v>
      </c>
      <c r="AM225" s="6">
        <v>5.8475580099989571E-2</v>
      </c>
      <c r="AN225" s="6">
        <v>0</v>
      </c>
      <c r="AO225" s="6">
        <v>0</v>
      </c>
      <c r="AP225" s="6">
        <v>9.8840088860852326E-2</v>
      </c>
      <c r="AQ225" s="6">
        <v>0</v>
      </c>
      <c r="AR225" s="6">
        <v>0</v>
      </c>
      <c r="AS225" s="6">
        <v>0.11212825844780659</v>
      </c>
      <c r="AT225" s="6">
        <v>0</v>
      </c>
      <c r="AU225" s="6">
        <v>0</v>
      </c>
    </row>
    <row r="226" spans="1:47" x14ac:dyDescent="0.4">
      <c r="A226" s="6">
        <f t="shared" si="78"/>
        <v>4.4314242102611132</v>
      </c>
      <c r="B226" s="6">
        <f>'Aerosol 1'!A230</f>
        <v>84.051038058075576</v>
      </c>
      <c r="C226" t="b">
        <f t="shared" si="79"/>
        <v>0</v>
      </c>
      <c r="E226" s="46">
        <f>'Aerosol 1'!$P230</f>
        <v>0.64147665963778522</v>
      </c>
      <c r="F226" s="46">
        <f>'Aerosol 2'!$P230</f>
        <v>0.64147665963778522</v>
      </c>
      <c r="G226" s="46">
        <f>'Aerosol 3'!$P230</f>
        <v>0.64147665963778522</v>
      </c>
      <c r="H226" s="46">
        <f t="shared" si="80"/>
        <v>1.9244299789133557</v>
      </c>
      <c r="I226" s="46">
        <f>NORMSINV(SUM(H$13:H226)/H$317)</f>
        <v>0.74823001353947161</v>
      </c>
      <c r="J226" s="46">
        <f t="shared" si="75"/>
        <v>0.34639739620440402</v>
      </c>
      <c r="K226" s="46">
        <f t="shared" si="76"/>
        <v>0.96221498945667783</v>
      </c>
      <c r="L226" s="46">
        <f t="shared" si="77"/>
        <v>1.9243530017141992</v>
      </c>
      <c r="M226" s="46">
        <f t="shared" si="81"/>
        <v>3.2329653873752813</v>
      </c>
      <c r="N226" s="46">
        <f>IF(ISNUMBER(NORMSINV(SUM(M$13:M226)/M$317)),NORMSINV(SUM(M$13:M226)/M$317)," ")</f>
        <v>0.74823001353947138</v>
      </c>
      <c r="O226" s="46">
        <f t="shared" si="82"/>
        <v>0.30337889305891153</v>
      </c>
      <c r="P226" s="46">
        <f>IF(ISNUMBER(NORMSINV(SUM(O$13:O226)/O$317)),NORMSINV(SUM(O$13:O226)/O$317)," ")</f>
        <v>2.5362664816202831</v>
      </c>
      <c r="Q226" s="46">
        <f t="shared" si="83"/>
        <v>0</v>
      </c>
      <c r="R226" s="46" t="str">
        <f>IF(ISNUMBER(NORMSINV(SUM(Q$13:Q226)/Q$317)),NORMSINV(SUM(Q$13:Q226)/Q$317)," ")</f>
        <v xml:space="preserve"> </v>
      </c>
      <c r="S226" s="46">
        <f t="shared" si="84"/>
        <v>0</v>
      </c>
      <c r="T226" s="46" t="str">
        <f>IF(ISNUMBER(NORMSINV(SUM(S$13:S226)/S$317)),NORMSINV(SUM(S$13:S226)/S$317)," ")</f>
        <v xml:space="preserve"> </v>
      </c>
      <c r="U226" s="46">
        <f t="shared" si="85"/>
        <v>1.8506997531127535E-2</v>
      </c>
      <c r="V226" s="46">
        <f>IF(ISNUMBER(NORMSINV(SUM(U$13:U226)/U$317)),NORMSINV(SUM(U$13:U226)/U$317)," ")</f>
        <v>2.6758624461640257</v>
      </c>
      <c r="W226" s="46">
        <f t="shared" si="86"/>
        <v>0</v>
      </c>
      <c r="X226" s="46" t="str">
        <f>IF(ISNUMBER(NORMSINV(SUM(W$13:W226)/W$317)),NORMSINV(SUM(W$13:W226)/W$317)," ")</f>
        <v xml:space="preserve"> </v>
      </c>
      <c r="Y226" s="46">
        <f t="shared" si="87"/>
        <v>0</v>
      </c>
      <c r="Z226" s="46" t="str">
        <f>IF(ISNUMBER(NORMSINV(SUM(Y$13:Y226)/Y$317)),NORMSINV(SUM(Y$13:Y226)/Y$317)," ")</f>
        <v xml:space="preserve"> </v>
      </c>
      <c r="AA226" s="46">
        <f t="shared" si="88"/>
        <v>8.7231236037488918E-2</v>
      </c>
      <c r="AB226" s="46">
        <f>IF(ISNUMBER(NORMSINV(SUM(AA$13:AA226)/AA$317)),NORMSINV(SUM(AA$13:AA226)/AA$317)," ")</f>
        <v>2.5383660422213756</v>
      </c>
      <c r="AC226" s="46">
        <f t="shared" si="89"/>
        <v>0</v>
      </c>
      <c r="AD226" s="46" t="str">
        <f>IF(ISNUMBER(NORMSINV(SUM(AC$13:AC226)/AC$317)),NORMSINV(SUM(AC$13:AC226)/AC$317)," ")</f>
        <v xml:space="preserve"> </v>
      </c>
      <c r="AE226" s="46">
        <f t="shared" si="90"/>
        <v>0</v>
      </c>
      <c r="AF226" s="46" t="str">
        <f>IF(ISNUMBER(NORMSINV(SUM(AE$13:AE226)/AE$317)),NORMSINV(SUM(AE$13:AE226)/AE$317)," ")</f>
        <v xml:space="preserve"> </v>
      </c>
      <c r="AG226" s="46">
        <f t="shared" si="91"/>
        <v>0.19764065949029505</v>
      </c>
      <c r="AH226" s="46">
        <f>IF(ISNUMBER(NORMSINV(SUM(AG$13:AG226)/AG$317)),NORMSINV(SUM(AG$13:AG226)/AG$317)," ")</f>
        <v>2.5184095577724159</v>
      </c>
      <c r="AI226" s="46">
        <f t="shared" si="92"/>
        <v>0</v>
      </c>
      <c r="AJ226" s="46" t="str">
        <f>IF(ISNUMBER(NORMSINV(SUM(AI$13:AI226)/AI$317)),NORMSINV(SUM(AI$13:AI226)/AI$317)," ")</f>
        <v xml:space="preserve"> </v>
      </c>
      <c r="AK226" s="46">
        <f t="shared" si="93"/>
        <v>0</v>
      </c>
      <c r="AL226" s="46" t="str">
        <f>IF(ISNUMBER(NORMSINV(SUM(AK$13:AK226)/AK$317)),NORMSINV(SUM(AK$13:AK226)/AK$317)," ")</f>
        <v xml:space="preserve"> </v>
      </c>
      <c r="AM226" s="6">
        <v>5.3427068834567187E-2</v>
      </c>
      <c r="AN226" s="6">
        <v>0</v>
      </c>
      <c r="AO226" s="6">
        <v>0</v>
      </c>
      <c r="AP226" s="6">
        <v>9.0656700418629638E-2</v>
      </c>
      <c r="AQ226" s="6">
        <v>0</v>
      </c>
      <c r="AR226" s="6">
        <v>0</v>
      </c>
      <c r="AS226" s="6">
        <v>0.10270499191896613</v>
      </c>
      <c r="AT226" s="6">
        <v>0</v>
      </c>
      <c r="AU226" s="6">
        <v>0</v>
      </c>
    </row>
    <row r="227" spans="1:47" x14ac:dyDescent="0.4">
      <c r="A227" s="6">
        <f t="shared" si="78"/>
        <v>4.4659027876922925</v>
      </c>
      <c r="B227" s="6">
        <f>'Aerosol 1'!A231</f>
        <v>86.999536207516897</v>
      </c>
      <c r="C227" t="b">
        <f t="shared" si="79"/>
        <v>0</v>
      </c>
      <c r="E227" s="46">
        <f>'Aerosol 1'!$P231</f>
        <v>0.63168589949452736</v>
      </c>
      <c r="F227" s="46">
        <f>'Aerosol 2'!$P231</f>
        <v>0.63168589949452736</v>
      </c>
      <c r="G227" s="46">
        <f>'Aerosol 3'!$P231</f>
        <v>0.63168589949452736</v>
      </c>
      <c r="H227" s="46">
        <f t="shared" si="80"/>
        <v>1.8950576984835821</v>
      </c>
      <c r="I227" s="46">
        <f>NORMSINV(SUM(H$13:H227)/H$317)</f>
        <v>0.76945335261229109</v>
      </c>
      <c r="J227" s="46">
        <f t="shared" si="75"/>
        <v>0.34111038572704477</v>
      </c>
      <c r="K227" s="46">
        <f t="shared" si="76"/>
        <v>0.94752884924179104</v>
      </c>
      <c r="L227" s="46">
        <f t="shared" si="77"/>
        <v>1.8949818961756428</v>
      </c>
      <c r="M227" s="46">
        <f t="shared" si="81"/>
        <v>3.1836211311444789</v>
      </c>
      <c r="N227" s="46">
        <f>IF(ISNUMBER(NORMSINV(SUM(M$13:M227)/M$317)),NORMSINV(SUM(M$13:M227)/M$317)," ")</f>
        <v>0.76945335261229086</v>
      </c>
      <c r="O227" s="46">
        <f t="shared" si="82"/>
        <v>0.27282461422154491</v>
      </c>
      <c r="P227" s="46">
        <f>IF(ISNUMBER(NORMSINV(SUM(O$13:O227)/O$317)),NORMSINV(SUM(O$13:O227)/O$317)," ")</f>
        <v>2.6349787779355571</v>
      </c>
      <c r="Q227" s="46">
        <f t="shared" si="83"/>
        <v>0</v>
      </c>
      <c r="R227" s="46" t="str">
        <f>IF(ISNUMBER(NORMSINV(SUM(Q$13:Q227)/Q$317)),NORMSINV(SUM(Q$13:Q227)/Q$317)," ")</f>
        <v xml:space="preserve"> </v>
      </c>
      <c r="S227" s="46">
        <f t="shared" si="84"/>
        <v>0</v>
      </c>
      <c r="T227" s="46" t="str">
        <f>IF(ISNUMBER(NORMSINV(SUM(S$13:S227)/S$317)),NORMSINV(SUM(S$13:S227)/S$317)," ")</f>
        <v xml:space="preserve"> </v>
      </c>
      <c r="U227" s="46">
        <f t="shared" si="85"/>
        <v>1.6600915763427128E-2</v>
      </c>
      <c r="V227" s="46">
        <f>IF(ISNUMBER(NORMSINV(SUM(U$13:U227)/U$317)),NORMSINV(SUM(U$13:U227)/U$317)," ")</f>
        <v>2.7706653718390561</v>
      </c>
      <c r="W227" s="46">
        <f t="shared" si="86"/>
        <v>0</v>
      </c>
      <c r="X227" s="46" t="str">
        <f>IF(ISNUMBER(NORMSINV(SUM(W$13:W227)/W$317)),NORMSINV(SUM(W$13:W227)/W$317)," ")</f>
        <v xml:space="preserve"> </v>
      </c>
      <c r="Y227" s="46">
        <f t="shared" si="87"/>
        <v>0</v>
      </c>
      <c r="Z227" s="46" t="str">
        <f>IF(ISNUMBER(NORMSINV(SUM(Y$13:Y227)/Y$317)),NORMSINV(SUM(Y$13:Y227)/Y$317)," ")</f>
        <v xml:space="preserve"> </v>
      </c>
      <c r="AA227" s="46">
        <f t="shared" si="88"/>
        <v>7.8535342654681053E-2</v>
      </c>
      <c r="AB227" s="46">
        <f>IF(ISNUMBER(NORMSINV(SUM(AA$13:AA227)/AA$317)),NORMSINV(SUM(AA$13:AA227)/AA$317)," ")</f>
        <v>2.6369719102582527</v>
      </c>
      <c r="AC227" s="46">
        <f t="shared" si="89"/>
        <v>0</v>
      </c>
      <c r="AD227" s="46" t="str">
        <f>IF(ISNUMBER(NORMSINV(SUM(AC$13:AC227)/AC$317)),NORMSINV(SUM(AC$13:AC227)/AC$317)," ")</f>
        <v xml:space="preserve"> </v>
      </c>
      <c r="AE227" s="46">
        <f t="shared" si="90"/>
        <v>0</v>
      </c>
      <c r="AF227" s="46" t="str">
        <f>IF(ISNUMBER(NORMSINV(SUM(AE$13:AE227)/AE$317)),NORMSINV(SUM(AE$13:AE227)/AE$317)," ")</f>
        <v xml:space="preserve"> </v>
      </c>
      <c r="AG227" s="46">
        <f t="shared" si="91"/>
        <v>0.17768835580343675</v>
      </c>
      <c r="AH227" s="46">
        <f>IF(ISNUMBER(NORMSINV(SUM(AG$13:AG227)/AG$317)),NORMSINV(SUM(AG$13:AG227)/AG$317)," ")</f>
        <v>2.6176705918141971</v>
      </c>
      <c r="AI227" s="46">
        <f t="shared" si="92"/>
        <v>0</v>
      </c>
      <c r="AJ227" s="46" t="str">
        <f>IF(ISNUMBER(NORMSINV(SUM(AI$13:AI227)/AI$317)),NORMSINV(SUM(AI$13:AI227)/AI$317)," ")</f>
        <v xml:space="preserve"> </v>
      </c>
      <c r="AK227" s="46">
        <f t="shared" si="93"/>
        <v>0</v>
      </c>
      <c r="AL227" s="46" t="str">
        <f>IF(ISNUMBER(NORMSINV(SUM(AK$13:AK227)/AK$317)),NORMSINV(SUM(AK$13:AK227)/AK$317)," ")</f>
        <v xml:space="preserve"> </v>
      </c>
      <c r="AM227" s="6">
        <v>4.866728325507836E-2</v>
      </c>
      <c r="AN227" s="6">
        <v>0</v>
      </c>
      <c r="AO227" s="6">
        <v>0</v>
      </c>
      <c r="AP227" s="6">
        <v>8.2884381533633228E-2</v>
      </c>
      <c r="AQ227" s="6">
        <v>0</v>
      </c>
      <c r="AR227" s="6">
        <v>0</v>
      </c>
      <c r="AS227" s="6">
        <v>9.3767838184648872E-2</v>
      </c>
      <c r="AT227" s="6">
        <v>0</v>
      </c>
      <c r="AU227" s="6">
        <v>0</v>
      </c>
    </row>
    <row r="228" spans="1:47" x14ac:dyDescent="0.4">
      <c r="A228" s="6">
        <f t="shared" si="78"/>
        <v>4.5003813651234719</v>
      </c>
      <c r="B228" s="6">
        <f>'Aerosol 1'!A232</f>
        <v>90.051467241763902</v>
      </c>
      <c r="C228" t="b">
        <f t="shared" si="79"/>
        <v>0</v>
      </c>
      <c r="E228" s="46">
        <f>'Aerosol 1'!$P232</f>
        <v>0.62177258737228236</v>
      </c>
      <c r="F228" s="46">
        <f>'Aerosol 2'!$P232</f>
        <v>0.62177258737228236</v>
      </c>
      <c r="G228" s="46">
        <f>'Aerosol 3'!$P232</f>
        <v>0.62177258737228236</v>
      </c>
      <c r="H228" s="46">
        <f t="shared" si="80"/>
        <v>1.8653177621168471</v>
      </c>
      <c r="I228" s="46">
        <f>NORMSINV(SUM(H$13:H228)/H$317)</f>
        <v>0.79068764941371295</v>
      </c>
      <c r="J228" s="46">
        <f t="shared" si="75"/>
        <v>0.33575719718103247</v>
      </c>
      <c r="K228" s="46">
        <f t="shared" si="76"/>
        <v>0.93265888105842354</v>
      </c>
      <c r="L228" s="46">
        <f t="shared" si="77"/>
        <v>1.8652431494063624</v>
      </c>
      <c r="M228" s="46">
        <f t="shared" si="81"/>
        <v>3.1336592276458184</v>
      </c>
      <c r="N228" s="46">
        <f>IF(ISNUMBER(NORMSINV(SUM(M$13:M228)/M$317)),NORMSINV(SUM(M$13:M228)/M$317)," ")</f>
        <v>0.79068764941371161</v>
      </c>
      <c r="O228" s="46">
        <f t="shared" si="82"/>
        <v>0.24405737124182619</v>
      </c>
      <c r="P228" s="46">
        <f>IF(ISNUMBER(NORMSINV(SUM(O$13:O228)/O$317)),NORMSINV(SUM(O$13:O228)/O$317)," ")</f>
        <v>2.7522607741199367</v>
      </c>
      <c r="Q228" s="46">
        <f t="shared" si="83"/>
        <v>0</v>
      </c>
      <c r="R228" s="46" t="str">
        <f>IF(ISNUMBER(NORMSINV(SUM(Q$13:Q228)/Q$317)),NORMSINV(SUM(Q$13:Q228)/Q$317)," ")</f>
        <v xml:space="preserve"> </v>
      </c>
      <c r="S228" s="46">
        <f t="shared" si="84"/>
        <v>0</v>
      </c>
      <c r="T228" s="46" t="str">
        <f>IF(ISNUMBER(NORMSINV(SUM(S$13:S228)/S$317)),NORMSINV(SUM(S$13:S228)/S$317)," ")</f>
        <v xml:space="preserve"> </v>
      </c>
      <c r="U228" s="46">
        <f t="shared" si="85"/>
        <v>1.4853236248807326E-2</v>
      </c>
      <c r="V228" s="46">
        <f>IF(ISNUMBER(NORMSINV(SUM(U$13:U228)/U$317)),NORMSINV(SUM(U$13:U228)/U$317)," ")</f>
        <v>2.8836928924429754</v>
      </c>
      <c r="W228" s="46">
        <f t="shared" si="86"/>
        <v>0</v>
      </c>
      <c r="X228" s="46" t="str">
        <f>IF(ISNUMBER(NORMSINV(SUM(W$13:W228)/W$317)),NORMSINV(SUM(W$13:W228)/W$317)," ")</f>
        <v xml:space="preserve"> </v>
      </c>
      <c r="Y228" s="46">
        <f t="shared" si="87"/>
        <v>0</v>
      </c>
      <c r="Z228" s="46" t="str">
        <f>IF(ISNUMBER(NORMSINV(SUM(Y$13:Y228)/Y$317)),NORMSINV(SUM(Y$13:Y228)/Y$317)," ")</f>
        <v xml:space="preserve"> </v>
      </c>
      <c r="AA228" s="46">
        <f t="shared" si="88"/>
        <v>7.0236818346840937E-2</v>
      </c>
      <c r="AB228" s="46">
        <f>IF(ISNUMBER(NORMSINV(SUM(AA$13:AA228)/AA$317)),NORMSINV(SUM(AA$13:AA228)/AA$317)," ")</f>
        <v>2.7540802901268311</v>
      </c>
      <c r="AC228" s="46">
        <f t="shared" si="89"/>
        <v>0</v>
      </c>
      <c r="AD228" s="46" t="str">
        <f>IF(ISNUMBER(NORMSINV(SUM(AC$13:AC228)/AC$317)),NORMSINV(SUM(AC$13:AC228)/AC$317)," ")</f>
        <v xml:space="preserve"> </v>
      </c>
      <c r="AE228" s="46">
        <f t="shared" si="90"/>
        <v>0</v>
      </c>
      <c r="AF228" s="46" t="str">
        <f>IF(ISNUMBER(NORMSINV(SUM(AE$13:AE228)/AE$317)),NORMSINV(SUM(AE$13:AE228)/AE$317)," ")</f>
        <v xml:space="preserve"> </v>
      </c>
      <c r="AG228" s="46">
        <f t="shared" si="91"/>
        <v>0.15896731664617791</v>
      </c>
      <c r="AH228" s="46">
        <f>IF(ISNUMBER(NORMSINV(SUM(AG$13:AG228)/AG$317)),NORMSINV(SUM(AG$13:AG228)/AG$317)," ")</f>
        <v>2.7355771443675141</v>
      </c>
      <c r="AI228" s="46">
        <f t="shared" si="92"/>
        <v>0</v>
      </c>
      <c r="AJ228" s="46" t="str">
        <f>IF(ISNUMBER(NORMSINV(SUM(AI$13:AI228)/AI$317)),NORMSINV(SUM(AI$13:AI228)/AI$317)," ")</f>
        <v xml:space="preserve"> </v>
      </c>
      <c r="AK228" s="46">
        <f t="shared" si="93"/>
        <v>0</v>
      </c>
      <c r="AL228" s="46" t="str">
        <f>IF(ISNUMBER(NORMSINV(SUM(AK$13:AK228)/AK$317)),NORMSINV(SUM(AK$13:AK228)/AK$317)," ")</f>
        <v xml:space="preserve"> </v>
      </c>
      <c r="AM228" s="6">
        <v>4.4238027877028074E-2</v>
      </c>
      <c r="AN228" s="6">
        <v>0</v>
      </c>
      <c r="AO228" s="6">
        <v>0</v>
      </c>
      <c r="AP228" s="6">
        <v>7.5308153681154053E-2</v>
      </c>
      <c r="AQ228" s="6">
        <v>0</v>
      </c>
      <c r="AR228" s="6">
        <v>0</v>
      </c>
      <c r="AS228" s="6">
        <v>8.5226055754056146E-2</v>
      </c>
      <c r="AT228" s="6">
        <v>0</v>
      </c>
      <c r="AU228" s="6">
        <v>0</v>
      </c>
    </row>
    <row r="229" spans="1:47" x14ac:dyDescent="0.4">
      <c r="A229" s="6">
        <f t="shared" si="78"/>
        <v>4.5348599425546512</v>
      </c>
      <c r="B229" s="6">
        <f>'Aerosol 1'!A233</f>
        <v>93.210459571321536</v>
      </c>
      <c r="C229" t="b">
        <f t="shared" si="79"/>
        <v>0</v>
      </c>
      <c r="E229" s="46">
        <f>'Aerosol 1'!$P233</f>
        <v>0.6117472476299457</v>
      </c>
      <c r="F229" s="46">
        <f>'Aerosol 2'!$P233</f>
        <v>0.6117472476299457</v>
      </c>
      <c r="G229" s="46">
        <f>'Aerosol 3'!$P233</f>
        <v>0.6117472476299457</v>
      </c>
      <c r="H229" s="46">
        <f t="shared" si="80"/>
        <v>1.8352417428898371</v>
      </c>
      <c r="I229" s="46">
        <f>NORMSINV(SUM(H$13:H229)/H$317)</f>
        <v>0.81193338283684313</v>
      </c>
      <c r="J229" s="46">
        <f t="shared" si="75"/>
        <v>0.33034351372017068</v>
      </c>
      <c r="K229" s="46">
        <f t="shared" si="76"/>
        <v>0.91762087144491855</v>
      </c>
      <c r="L229" s="46">
        <f t="shared" si="77"/>
        <v>1.8351683332201216</v>
      </c>
      <c r="M229" s="46">
        <f t="shared" si="81"/>
        <v>3.0831327183852109</v>
      </c>
      <c r="N229" s="46">
        <f>IF(ISNUMBER(NORMSINV(SUM(M$13:M229)/M$317)),NORMSINV(SUM(M$13:M229)/M$317)," ")</f>
        <v>0.8119333828368428</v>
      </c>
      <c r="O229" s="46">
        <f t="shared" si="82"/>
        <v>0.21664916675379653</v>
      </c>
      <c r="P229" s="46">
        <f>IF(ISNUMBER(NORMSINV(SUM(O$13:O229)/O$317)),NORMSINV(SUM(O$13:O229)/O$317)," ")</f>
        <v>2.9024049995753343</v>
      </c>
      <c r="Q229" s="46">
        <f t="shared" si="83"/>
        <v>0</v>
      </c>
      <c r="R229" s="46" t="str">
        <f>IF(ISNUMBER(NORMSINV(SUM(Q$13:Q229)/Q$317)),NORMSINV(SUM(Q$13:Q229)/Q$317)," ")</f>
        <v xml:space="preserve"> </v>
      </c>
      <c r="S229" s="46">
        <f t="shared" si="84"/>
        <v>0</v>
      </c>
      <c r="T229" s="46" t="str">
        <f>IF(ISNUMBER(NORMSINV(SUM(S$13:S229)/S$317)),NORMSINV(SUM(S$13:S229)/S$317)," ")</f>
        <v xml:space="preserve"> </v>
      </c>
      <c r="U229" s="46">
        <f t="shared" si="85"/>
        <v>1.3215917972177827E-2</v>
      </c>
      <c r="V229" s="46">
        <f>IF(ISNUMBER(NORMSINV(SUM(U$13:U229)/U$317)),NORMSINV(SUM(U$13:U229)/U$317)," ")</f>
        <v>3.0294430315716703</v>
      </c>
      <c r="W229" s="46">
        <f t="shared" si="86"/>
        <v>0</v>
      </c>
      <c r="X229" s="46" t="str">
        <f>IF(ISNUMBER(NORMSINV(SUM(W$13:W229)/W$317)),NORMSINV(SUM(W$13:W229)/W$317)," ")</f>
        <v xml:space="preserve"> </v>
      </c>
      <c r="Y229" s="46">
        <f t="shared" si="87"/>
        <v>0</v>
      </c>
      <c r="Z229" s="46" t="str">
        <f>IF(ISNUMBER(NORMSINV(SUM(Y$13:Y229)/Y$317)),NORMSINV(SUM(Y$13:Y229)/Y$317)," ")</f>
        <v xml:space="preserve"> </v>
      </c>
      <c r="AA229" s="46">
        <f t="shared" si="88"/>
        <v>6.2408299922009101E-2</v>
      </c>
      <c r="AB229" s="46">
        <f>IF(ISNUMBER(NORMSINV(SUM(AA$13:AA229)/AA$317)),NORMSINV(SUM(AA$13:AA229)/AA$317)," ")</f>
        <v>2.904123944099783</v>
      </c>
      <c r="AC229" s="46">
        <f t="shared" si="89"/>
        <v>0</v>
      </c>
      <c r="AD229" s="46" t="str">
        <f>IF(ISNUMBER(NORMSINV(SUM(AC$13:AC229)/AC$317)),NORMSINV(SUM(AC$13:AC229)/AC$317)," ")</f>
        <v xml:space="preserve"> </v>
      </c>
      <c r="AE229" s="46">
        <f t="shared" si="90"/>
        <v>0</v>
      </c>
      <c r="AF229" s="46" t="str">
        <f>IF(ISNUMBER(NORMSINV(SUM(AE$13:AE229)/AE$317)),NORMSINV(SUM(AE$13:AE229)/AE$317)," ")</f>
        <v xml:space="preserve"> </v>
      </c>
      <c r="AG229" s="46">
        <f t="shared" si="91"/>
        <v>0.14102494885960962</v>
      </c>
      <c r="AH229" s="46">
        <f>IF(ISNUMBER(NORMSINV(SUM(AG$13:AG229)/AG$317)),NORMSINV(SUM(AG$13:AG229)/AG$317)," ")</f>
        <v>2.886350274716865</v>
      </c>
      <c r="AI229" s="46">
        <f t="shared" si="92"/>
        <v>0</v>
      </c>
      <c r="AJ229" s="46" t="str">
        <f>IF(ISNUMBER(NORMSINV(SUM(AI$13:AI229)/AI$317)),NORMSINV(SUM(AI$13:AI229)/AI$317)," ")</f>
        <v xml:space="preserve"> </v>
      </c>
      <c r="AK229" s="46">
        <f t="shared" si="93"/>
        <v>0</v>
      </c>
      <c r="AL229" s="46" t="str">
        <f>IF(ISNUMBER(NORMSINV(SUM(AK$13:AK229)/AK$317)),NORMSINV(SUM(AK$13:AK229)/AK$317)," ")</f>
        <v xml:space="preserve"> </v>
      </c>
      <c r="AM229" s="6">
        <v>4.0006591391326195E-2</v>
      </c>
      <c r="AN229" s="6">
        <v>0</v>
      </c>
      <c r="AO229" s="6">
        <v>0</v>
      </c>
      <c r="AP229" s="6">
        <v>6.8010985652210337E-2</v>
      </c>
      <c r="AQ229" s="6">
        <v>0</v>
      </c>
      <c r="AR229" s="6">
        <v>0</v>
      </c>
      <c r="AS229" s="6">
        <v>7.6845783739171683E-2</v>
      </c>
      <c r="AT229" s="6">
        <v>0</v>
      </c>
      <c r="AU229" s="6">
        <v>0</v>
      </c>
    </row>
    <row r="230" spans="1:47" x14ac:dyDescent="0.4">
      <c r="A230" s="6">
        <f t="shared" si="78"/>
        <v>4.5693385199858305</v>
      </c>
      <c r="B230" s="6">
        <f>'Aerosol 1'!A234</f>
        <v>96.480268890805732</v>
      </c>
      <c r="C230" t="b">
        <f t="shared" si="79"/>
        <v>0</v>
      </c>
      <c r="E230" s="46">
        <f>'Aerosol 1'!$P234</f>
        <v>0.60162038299033105</v>
      </c>
      <c r="F230" s="46">
        <f>'Aerosol 2'!$P234</f>
        <v>0.60162038299033105</v>
      </c>
      <c r="G230" s="46">
        <f>'Aerosol 3'!$P234</f>
        <v>0.60162038299033105</v>
      </c>
      <c r="H230" s="46">
        <f t="shared" si="80"/>
        <v>1.8048611489709931</v>
      </c>
      <c r="I230" s="46">
        <f>NORMSINV(SUM(H$13:H230)/H$317)</f>
        <v>0.83319105629392665</v>
      </c>
      <c r="J230" s="46">
        <f t="shared" si="75"/>
        <v>0.32487500681477877</v>
      </c>
      <c r="K230" s="46">
        <f t="shared" si="76"/>
        <v>0.90243057448549657</v>
      </c>
      <c r="L230" s="46">
        <f t="shared" si="77"/>
        <v>1.8047889545250344</v>
      </c>
      <c r="M230" s="46">
        <f t="shared" si="81"/>
        <v>3.0320945358253097</v>
      </c>
      <c r="N230" s="46">
        <f>IF(ISNUMBER(NORMSINV(SUM(M$13:M230)/M$317)),NORMSINV(SUM(M$13:M230)/M$317)," ")</f>
        <v>0.83319105629392598</v>
      </c>
      <c r="O230" s="46">
        <f t="shared" si="82"/>
        <v>0.19201251169537648</v>
      </c>
      <c r="P230" s="46">
        <f>IF(ISNUMBER(NORMSINV(SUM(O$13:O230)/O$317)),NORMSINV(SUM(O$13:O230)/O$317)," ")</f>
        <v>3.1314278666931621</v>
      </c>
      <c r="Q230" s="46">
        <f t="shared" si="83"/>
        <v>0</v>
      </c>
      <c r="R230" s="46" t="str">
        <f>IF(ISNUMBER(NORMSINV(SUM(Q$13:Q230)/Q$317)),NORMSINV(SUM(Q$13:Q230)/Q$317)," ")</f>
        <v xml:space="preserve"> </v>
      </c>
      <c r="S230" s="46">
        <f t="shared" si="84"/>
        <v>0</v>
      </c>
      <c r="T230" s="46" t="str">
        <f>IF(ISNUMBER(NORMSINV(SUM(S$13:S230)/S$317)),NORMSINV(SUM(S$13:S230)/S$317)," ")</f>
        <v xml:space="preserve"> </v>
      </c>
      <c r="U230" s="46">
        <f t="shared" si="85"/>
        <v>1.1681518167579225E-2</v>
      </c>
      <c r="V230" s="46">
        <f>IF(ISNUMBER(NORMSINV(SUM(U$13:U230)/U$317)),NORMSINV(SUM(U$13:U230)/U$317)," ")</f>
        <v>3.2530938639290912</v>
      </c>
      <c r="W230" s="46">
        <f t="shared" si="86"/>
        <v>0</v>
      </c>
      <c r="X230" s="46" t="str">
        <f>IF(ISNUMBER(NORMSINV(SUM(W$13:W230)/W$317)),NORMSINV(SUM(W$13:W230)/W$317)," ")</f>
        <v xml:space="preserve"> </v>
      </c>
      <c r="Y230" s="46">
        <f t="shared" si="87"/>
        <v>0</v>
      </c>
      <c r="Z230" s="46" t="str">
        <f>IF(ISNUMBER(NORMSINV(SUM(Y$13:Y230)/Y$317)),NORMSINV(SUM(Y$13:Y230)/Y$317)," ")</f>
        <v xml:space="preserve"> </v>
      </c>
      <c r="AA230" s="46">
        <f t="shared" si="88"/>
        <v>5.5328417851743986E-2</v>
      </c>
      <c r="AB230" s="46">
        <f>IF(ISNUMBER(NORMSINV(SUM(AA$13:AA230)/AA$317)),NORMSINV(SUM(AA$13:AA230)/AA$317)," ")</f>
        <v>3.1330801436957421</v>
      </c>
      <c r="AC230" s="46">
        <f t="shared" si="89"/>
        <v>0</v>
      </c>
      <c r="AD230" s="46" t="str">
        <f>IF(ISNUMBER(NORMSINV(SUM(AC$13:AC230)/AC$317)),NORMSINV(SUM(AC$13:AC230)/AC$317)," ")</f>
        <v xml:space="preserve"> </v>
      </c>
      <c r="AE230" s="46">
        <f t="shared" si="90"/>
        <v>0</v>
      </c>
      <c r="AF230" s="46" t="str">
        <f>IF(ISNUMBER(NORMSINV(SUM(AE$13:AE230)/AE$317)),NORMSINV(SUM(AE$13:AE230)/AE$317)," ")</f>
        <v xml:space="preserve"> </v>
      </c>
      <c r="AG230" s="46">
        <f t="shared" si="91"/>
        <v>0.12500257567605325</v>
      </c>
      <c r="AH230" s="46">
        <f>IF(ISNUMBER(NORMSINV(SUM(AG$13:AG230)/AG$317)),NORMSINV(SUM(AG$13:AG230)/AG$317)," ")</f>
        <v>3.1161401205595651</v>
      </c>
      <c r="AI230" s="46">
        <f t="shared" si="92"/>
        <v>0</v>
      </c>
      <c r="AJ230" s="46" t="str">
        <f>IF(ISNUMBER(NORMSINV(SUM(AI$13:AI230)/AI$317)),NORMSINV(SUM(AI$13:AI230)/AI$317)," ")</f>
        <v xml:space="preserve"> </v>
      </c>
      <c r="AK230" s="46">
        <f t="shared" si="93"/>
        <v>0</v>
      </c>
      <c r="AL230" s="46" t="str">
        <f>IF(ISNUMBER(NORMSINV(SUM(AK$13:AK230)/AK$317)),NORMSINV(SUM(AK$13:AK230)/AK$317)," ")</f>
        <v xml:space="preserve"> </v>
      </c>
      <c r="AM230" s="6">
        <v>3.595696166999765E-2</v>
      </c>
      <c r="AN230" s="6">
        <v>0</v>
      </c>
      <c r="AO230" s="6">
        <v>0</v>
      </c>
      <c r="AP230" s="6">
        <v>6.1310442504996482E-2</v>
      </c>
      <c r="AQ230" s="6">
        <v>0</v>
      </c>
      <c r="AR230" s="6">
        <v>0</v>
      </c>
      <c r="AS230" s="6">
        <v>6.9261602783329379E-2</v>
      </c>
      <c r="AT230" s="6">
        <v>0</v>
      </c>
      <c r="AU230" s="6">
        <v>0</v>
      </c>
    </row>
    <row r="231" spans="1:47" x14ac:dyDescent="0.4">
      <c r="A231" s="6">
        <f t="shared" si="78"/>
        <v>4.6038170974170098</v>
      </c>
      <c r="B231" s="6">
        <f>'Aerosol 1'!A235</f>
        <v>99.86478264405153</v>
      </c>
      <c r="C231" t="b">
        <f t="shared" si="79"/>
        <v>0</v>
      </c>
      <c r="E231" s="46">
        <f>'Aerosol 1'!$P235</f>
        <v>0.59140245667014257</v>
      </c>
      <c r="F231" s="46">
        <f>'Aerosol 2'!$P235</f>
        <v>0.59140245667014257</v>
      </c>
      <c r="G231" s="46">
        <f>'Aerosol 3'!$P235</f>
        <v>0.59140245667014257</v>
      </c>
      <c r="H231" s="46">
        <f t="shared" si="80"/>
        <v>1.7742073700104277</v>
      </c>
      <c r="I231" s="46">
        <f>NORMSINV(SUM(H$13:H231)/H$317)</f>
        <v>0.85446119915362484</v>
      </c>
      <c r="J231" s="46">
        <f t="shared" si="75"/>
        <v>0.31935732660187699</v>
      </c>
      <c r="K231" s="46">
        <f t="shared" si="76"/>
        <v>0.88710368500521386</v>
      </c>
      <c r="L231" s="46">
        <f t="shared" si="77"/>
        <v>1.7741364017156274</v>
      </c>
      <c r="M231" s="46">
        <f t="shared" si="81"/>
        <v>2.9805974133227182</v>
      </c>
      <c r="N231" s="46">
        <f>IF(ISNUMBER(NORMSINV(SUM(M$13:M231)/M$317)),NORMSINV(SUM(M$13:M231)/M$317)," ")</f>
        <v>0.85446119915362417</v>
      </c>
      <c r="O231" s="46">
        <f t="shared" si="82"/>
        <v>0.17011485092534973</v>
      </c>
      <c r="P231" s="46" t="str">
        <f>IF(ISNUMBER(NORMSINV(SUM(O$13:O231)/O$317)),NORMSINV(SUM(O$13:O231)/O$317)," ")</f>
        <v xml:space="preserve"> </v>
      </c>
      <c r="Q231" s="46">
        <f t="shared" si="83"/>
        <v>0</v>
      </c>
      <c r="R231" s="46" t="str">
        <f>IF(ISNUMBER(NORMSINV(SUM(Q$13:Q231)/Q$317)),NORMSINV(SUM(Q$13:Q231)/Q$317)," ")</f>
        <v xml:space="preserve"> </v>
      </c>
      <c r="S231" s="46">
        <f t="shared" si="84"/>
        <v>0</v>
      </c>
      <c r="T231" s="46" t="str">
        <f>IF(ISNUMBER(NORMSINV(SUM(S$13:S231)/S$317)),NORMSINV(SUM(S$13:S231)/S$317)," ")</f>
        <v xml:space="preserve"> </v>
      </c>
      <c r="U231" s="46">
        <f t="shared" si="85"/>
        <v>1.0191209223537041E-2</v>
      </c>
      <c r="V231" s="46" t="str">
        <f>IF(ISNUMBER(NORMSINV(SUM(U$13:U231)/U$317)),NORMSINV(SUM(U$13:U231)/U$317)," ")</f>
        <v xml:space="preserve"> </v>
      </c>
      <c r="W231" s="46">
        <f t="shared" si="86"/>
        <v>0</v>
      </c>
      <c r="X231" s="46" t="str">
        <f>IF(ISNUMBER(NORMSINV(SUM(W$13:W231)/W$317)),NORMSINV(SUM(W$13:W231)/W$317)," ")</f>
        <v xml:space="preserve"> </v>
      </c>
      <c r="Y231" s="46">
        <f t="shared" si="87"/>
        <v>0</v>
      </c>
      <c r="Z231" s="46" t="str">
        <f>IF(ISNUMBER(NORMSINV(SUM(Y$13:Y231)/Y$317)),NORMSINV(SUM(Y$13:Y231)/Y$317)," ")</f>
        <v xml:space="preserve"> </v>
      </c>
      <c r="AA231" s="46">
        <f t="shared" si="88"/>
        <v>4.9005761441651106E-2</v>
      </c>
      <c r="AB231" s="46" t="str">
        <f>IF(ISNUMBER(NORMSINV(SUM(AA$13:AA231)/AA$317)),NORMSINV(SUM(AA$13:AA231)/AA$317)," ")</f>
        <v xml:space="preserve"> </v>
      </c>
      <c r="AC231" s="46">
        <f t="shared" si="89"/>
        <v>0</v>
      </c>
      <c r="AD231" s="46" t="str">
        <f>IF(ISNUMBER(NORMSINV(SUM(AC$13:AC231)/AC$317)),NORMSINV(SUM(AC$13:AC231)/AC$317)," ")</f>
        <v xml:space="preserve"> </v>
      </c>
      <c r="AE231" s="46">
        <f t="shared" si="90"/>
        <v>0</v>
      </c>
      <c r="AF231" s="46" t="str">
        <f>IF(ISNUMBER(NORMSINV(SUM(AE$13:AE231)/AE$317)),NORMSINV(SUM(AE$13:AE231)/AE$317)," ")</f>
        <v xml:space="preserve"> </v>
      </c>
      <c r="AG231" s="46">
        <f t="shared" si="91"/>
        <v>0.11091788026016158</v>
      </c>
      <c r="AH231" s="46" t="str">
        <f>IF(ISNUMBER(NORMSINV(SUM(AG$13:AG231)/AG$317)),NORMSINV(SUM(AG$13:AG231)/AG$317)," ")</f>
        <v xml:space="preserve"> </v>
      </c>
      <c r="AI231" s="46">
        <f t="shared" si="92"/>
        <v>0</v>
      </c>
      <c r="AJ231" s="46" t="str">
        <f>IF(ISNUMBER(NORMSINV(SUM(AI$13:AI231)/AI$317)),NORMSINV(SUM(AI$13:AI231)/AI$317)," ")</f>
        <v xml:space="preserve"> </v>
      </c>
      <c r="AK231" s="46">
        <f t="shared" si="93"/>
        <v>0</v>
      </c>
      <c r="AL231" s="46" t="str">
        <f>IF(ISNUMBER(NORMSINV(SUM(AK$13:AK231)/AK$317)),NORMSINV(SUM(AK$13:AK231)/AK$317)," ")</f>
        <v xml:space="preserve"> </v>
      </c>
      <c r="AM231" s="6">
        <v>3.1911618662319875E-2</v>
      </c>
      <c r="AN231" s="6">
        <v>0</v>
      </c>
      <c r="AO231" s="6">
        <v>0</v>
      </c>
      <c r="AP231" s="6">
        <v>5.5242427993479795E-2</v>
      </c>
      <c r="AQ231" s="6">
        <v>0</v>
      </c>
      <c r="AR231" s="6">
        <v>0</v>
      </c>
      <c r="AS231" s="6">
        <v>6.2519364437199784E-2</v>
      </c>
      <c r="AT231" s="6">
        <v>0</v>
      </c>
      <c r="AU231" s="6">
        <v>0</v>
      </c>
    </row>
    <row r="232" spans="1:47" x14ac:dyDescent="0.4">
      <c r="A232" s="6">
        <f t="shared" si="78"/>
        <v>4.6382956748481883</v>
      </c>
      <c r="B232" s="6">
        <f>'Aerosol 1'!A236</f>
        <v>103.36802464585627</v>
      </c>
      <c r="C232" t="b">
        <f t="shared" si="79"/>
        <v>1</v>
      </c>
      <c r="E232" s="46">
        <f>'Aerosol 1'!$P236</f>
        <v>0.58110387488785609</v>
      </c>
      <c r="F232" s="46">
        <f>'Aerosol 2'!$P236</f>
        <v>0.58110387488785609</v>
      </c>
      <c r="G232" s="46">
        <f>'Aerosol 3'!$P236</f>
        <v>0.58110387488785609</v>
      </c>
      <c r="H232" s="46">
        <f t="shared" si="80"/>
        <v>1.7433116246635683</v>
      </c>
      <c r="I232" s="46">
        <f>NORMSINV(SUM(H$13:H232)/H$317)</f>
        <v>0.87574436827401403</v>
      </c>
      <c r="J232" s="46">
        <f t="shared" si="75"/>
        <v>0.31379609243944229</v>
      </c>
      <c r="K232" s="46">
        <f t="shared" si="76"/>
        <v>0.87165581233178413</v>
      </c>
      <c r="L232" s="46">
        <f t="shared" si="77"/>
        <v>1.7432418921985817</v>
      </c>
      <c r="M232" s="46">
        <f t="shared" si="81"/>
        <v>2.9286937969698084</v>
      </c>
      <c r="N232" s="46">
        <f>IF(ISNUMBER(NORMSINV(SUM(M$13:M232)/M$317)),NORMSINV(SUM(M$13:M232)/M$317)," ")</f>
        <v>0.8757443682740127</v>
      </c>
      <c r="O232" s="46">
        <f t="shared" si="82"/>
        <v>0</v>
      </c>
      <c r="P232" s="46" t="str">
        <f>IF(ISNUMBER(NORMSINV(SUM(O$13:O232)/O$317)),NORMSINV(SUM(O$13:O232)/O$317)," ")</f>
        <v xml:space="preserve"> </v>
      </c>
      <c r="Q232" s="46">
        <f t="shared" si="83"/>
        <v>0</v>
      </c>
      <c r="R232" s="46" t="str">
        <f>IF(ISNUMBER(NORMSINV(SUM(Q$13:Q232)/Q$317)),NORMSINV(SUM(Q$13:Q232)/Q$317)," ")</f>
        <v xml:space="preserve"> </v>
      </c>
      <c r="S232" s="46">
        <f t="shared" si="84"/>
        <v>0</v>
      </c>
      <c r="T232" s="46" t="str">
        <f>IF(ISNUMBER(NORMSINV(SUM(S$13:S232)/S$317)),NORMSINV(SUM(S$13:S232)/S$317)," ")</f>
        <v xml:space="preserve"> </v>
      </c>
      <c r="U232" s="46">
        <f t="shared" si="85"/>
        <v>0</v>
      </c>
      <c r="V232" s="46" t="str">
        <f>IF(ISNUMBER(NORMSINV(SUM(U$13:U232)/U$317)),NORMSINV(SUM(U$13:U232)/U$317)," ")</f>
        <v xml:space="preserve"> </v>
      </c>
      <c r="W232" s="46">
        <f t="shared" si="86"/>
        <v>0</v>
      </c>
      <c r="X232" s="46" t="str">
        <f>IF(ISNUMBER(NORMSINV(SUM(W$13:W232)/W$317)),NORMSINV(SUM(W$13:W232)/W$317)," ")</f>
        <v xml:space="preserve"> </v>
      </c>
      <c r="Y232" s="46">
        <f t="shared" si="87"/>
        <v>0</v>
      </c>
      <c r="Z232" s="46" t="str">
        <f>IF(ISNUMBER(NORMSINV(SUM(Y$13:Y232)/Y$317)),NORMSINV(SUM(Y$13:Y232)/Y$317)," ")</f>
        <v xml:space="preserve"> </v>
      </c>
      <c r="AA232" s="46">
        <f t="shared" si="88"/>
        <v>0</v>
      </c>
      <c r="AB232" s="46" t="str">
        <f>IF(ISNUMBER(NORMSINV(SUM(AA$13:AA232)/AA$317)),NORMSINV(SUM(AA$13:AA232)/AA$317)," ")</f>
        <v xml:space="preserve"> </v>
      </c>
      <c r="AC232" s="46">
        <f t="shared" si="89"/>
        <v>0</v>
      </c>
      <c r="AD232" s="46" t="str">
        <f>IF(ISNUMBER(NORMSINV(SUM(AC$13:AC232)/AC$317)),NORMSINV(SUM(AC$13:AC232)/AC$317)," ")</f>
        <v xml:space="preserve"> </v>
      </c>
      <c r="AE232" s="46">
        <f t="shared" si="90"/>
        <v>0</v>
      </c>
      <c r="AF232" s="46" t="str">
        <f>IF(ISNUMBER(NORMSINV(SUM(AE$13:AE232)/AE$317)),NORMSINV(SUM(AE$13:AE232)/AE$317)," ")</f>
        <v xml:space="preserve"> </v>
      </c>
      <c r="AG232" s="46">
        <f t="shared" si="91"/>
        <v>0</v>
      </c>
      <c r="AH232" s="46" t="str">
        <f>IF(ISNUMBER(NORMSINV(SUM(AG$13:AG232)/AG$317)),NORMSINV(SUM(AG$13:AG232)/AG$317)," ")</f>
        <v xml:space="preserve"> </v>
      </c>
      <c r="AI232" s="46">
        <f t="shared" si="92"/>
        <v>0</v>
      </c>
      <c r="AJ232" s="46" t="str">
        <f>IF(ISNUMBER(NORMSINV(SUM(AI$13:AI232)/AI$317)),NORMSINV(SUM(AI$13:AI232)/AI$317)," ")</f>
        <v xml:space="preserve"> </v>
      </c>
      <c r="AK232" s="46">
        <f t="shared" si="93"/>
        <v>0</v>
      </c>
      <c r="AL232" s="46" t="str">
        <f>IF(ISNUMBER(NORMSINV(SUM(AK$13:AK232)/AK$317)),NORMSINV(SUM(AK$13:AK232)/AK$317)," ")</f>
        <v xml:space="preserve"> </v>
      </c>
      <c r="AM232" s="6">
        <v>0</v>
      </c>
      <c r="AN232" s="6">
        <v>0</v>
      </c>
      <c r="AO232" s="6">
        <v>0</v>
      </c>
      <c r="AP232" s="6">
        <v>0</v>
      </c>
      <c r="AQ232" s="6">
        <v>0</v>
      </c>
      <c r="AR232" s="6">
        <v>0</v>
      </c>
      <c r="AS232" s="6">
        <v>0</v>
      </c>
      <c r="AT232" s="6">
        <v>0</v>
      </c>
      <c r="AU232" s="6">
        <v>0</v>
      </c>
    </row>
    <row r="233" spans="1:47" x14ac:dyDescent="0.4">
      <c r="A233" s="6">
        <f t="shared" si="78"/>
        <v>4.6727742522793667</v>
      </c>
      <c r="B233" s="6">
        <f>'Aerosol 1'!A237</f>
        <v>106.99415986585336</v>
      </c>
      <c r="C233" t="b">
        <f t="shared" si="79"/>
        <v>1</v>
      </c>
      <c r="E233" s="46">
        <f>'Aerosol 1'!$P237</f>
        <v>0.57073496978817806</v>
      </c>
      <c r="F233" s="46">
        <f>'Aerosol 2'!$P237</f>
        <v>0.57073496978817806</v>
      </c>
      <c r="G233" s="46">
        <f>'Aerosol 3'!$P237</f>
        <v>0.57073496978817806</v>
      </c>
      <c r="H233" s="46">
        <f t="shared" si="80"/>
        <v>1.7122049093645342</v>
      </c>
      <c r="I233" s="46">
        <f>NORMSINV(SUM(H$13:H233)/H$317)</f>
        <v>0.89704114963852577</v>
      </c>
      <c r="J233" s="46">
        <f t="shared" si="75"/>
        <v>0.30819688368561615</v>
      </c>
      <c r="K233" s="46">
        <f t="shared" si="76"/>
        <v>0.85610245468226709</v>
      </c>
      <c r="L233" s="46">
        <f t="shared" si="77"/>
        <v>1.7121364211681596</v>
      </c>
      <c r="M233" s="46">
        <f t="shared" si="81"/>
        <v>2.8764357595360428</v>
      </c>
      <c r="N233" s="46">
        <f>IF(ISNUMBER(NORMSINV(SUM(M$13:M233)/M$317)),NORMSINV(SUM(M$13:M233)/M$317)," ")</f>
        <v>0.89704114963852577</v>
      </c>
      <c r="O233" s="46">
        <f t="shared" si="82"/>
        <v>0</v>
      </c>
      <c r="P233" s="46" t="str">
        <f>IF(ISNUMBER(NORMSINV(SUM(O$13:O233)/O$317)),NORMSINV(SUM(O$13:O233)/O$317)," ")</f>
        <v xml:space="preserve"> </v>
      </c>
      <c r="Q233" s="46">
        <f t="shared" si="83"/>
        <v>0</v>
      </c>
      <c r="R233" s="46" t="str">
        <f>IF(ISNUMBER(NORMSINV(SUM(Q$13:Q233)/Q$317)),NORMSINV(SUM(Q$13:Q233)/Q$317)," ")</f>
        <v xml:space="preserve"> </v>
      </c>
      <c r="S233" s="46">
        <f t="shared" si="84"/>
        <v>0</v>
      </c>
      <c r="T233" s="46" t="str">
        <f>IF(ISNUMBER(NORMSINV(SUM(S$13:S233)/S$317)),NORMSINV(SUM(S$13:S233)/S$317)," ")</f>
        <v xml:space="preserve"> </v>
      </c>
      <c r="U233" s="46">
        <f t="shared" si="85"/>
        <v>0</v>
      </c>
      <c r="V233" s="46" t="str">
        <f>IF(ISNUMBER(NORMSINV(SUM(U$13:U233)/U$317)),NORMSINV(SUM(U$13:U233)/U$317)," ")</f>
        <v xml:space="preserve"> </v>
      </c>
      <c r="W233" s="46">
        <f t="shared" si="86"/>
        <v>0</v>
      </c>
      <c r="X233" s="46" t="str">
        <f>IF(ISNUMBER(NORMSINV(SUM(W$13:W233)/W$317)),NORMSINV(SUM(W$13:W233)/W$317)," ")</f>
        <v xml:space="preserve"> </v>
      </c>
      <c r="Y233" s="46">
        <f t="shared" si="87"/>
        <v>0</v>
      </c>
      <c r="Z233" s="46" t="str">
        <f>IF(ISNUMBER(NORMSINV(SUM(Y$13:Y233)/Y$317)),NORMSINV(SUM(Y$13:Y233)/Y$317)," ")</f>
        <v xml:space="preserve"> </v>
      </c>
      <c r="AA233" s="46">
        <f t="shared" si="88"/>
        <v>0</v>
      </c>
      <c r="AB233" s="46" t="str">
        <f>IF(ISNUMBER(NORMSINV(SUM(AA$13:AA233)/AA$317)),NORMSINV(SUM(AA$13:AA233)/AA$317)," ")</f>
        <v xml:space="preserve"> </v>
      </c>
      <c r="AC233" s="46">
        <f t="shared" si="89"/>
        <v>0</v>
      </c>
      <c r="AD233" s="46" t="str">
        <f>IF(ISNUMBER(NORMSINV(SUM(AC$13:AC233)/AC$317)),NORMSINV(SUM(AC$13:AC233)/AC$317)," ")</f>
        <v xml:space="preserve"> </v>
      </c>
      <c r="AE233" s="46">
        <f t="shared" si="90"/>
        <v>0</v>
      </c>
      <c r="AF233" s="46" t="str">
        <f>IF(ISNUMBER(NORMSINV(SUM(AE$13:AE233)/AE$317)),NORMSINV(SUM(AE$13:AE233)/AE$317)," ")</f>
        <v xml:space="preserve"> </v>
      </c>
      <c r="AG233" s="46">
        <f t="shared" si="91"/>
        <v>0</v>
      </c>
      <c r="AH233" s="46" t="str">
        <f>IF(ISNUMBER(NORMSINV(SUM(AG$13:AG233)/AG$317)),NORMSINV(SUM(AG$13:AG233)/AG$317)," ")</f>
        <v xml:space="preserve"> </v>
      </c>
      <c r="AI233" s="46">
        <f t="shared" si="92"/>
        <v>0</v>
      </c>
      <c r="AJ233" s="46" t="str">
        <f>IF(ISNUMBER(NORMSINV(SUM(AI$13:AI233)/AI$317)),NORMSINV(SUM(AI$13:AI233)/AI$317)," ")</f>
        <v xml:space="preserve"> </v>
      </c>
      <c r="AK233" s="46">
        <f t="shared" si="93"/>
        <v>0</v>
      </c>
      <c r="AL233" s="46" t="str">
        <f>IF(ISNUMBER(NORMSINV(SUM(AK$13:AK233)/AK$317)),NORMSINV(SUM(AK$13:AK233)/AK$317)," ")</f>
        <v xml:space="preserve"> </v>
      </c>
      <c r="AM233" s="6">
        <v>0</v>
      </c>
      <c r="AN233" s="6">
        <v>0</v>
      </c>
      <c r="AO233" s="6">
        <v>0</v>
      </c>
      <c r="AP233" s="6">
        <v>0</v>
      </c>
      <c r="AQ233" s="6">
        <v>0</v>
      </c>
      <c r="AR233" s="6">
        <v>0</v>
      </c>
      <c r="AS233" s="6">
        <v>0</v>
      </c>
      <c r="AT233" s="6">
        <v>0</v>
      </c>
      <c r="AU233" s="6">
        <v>0</v>
      </c>
    </row>
    <row r="234" spans="1:47" x14ac:dyDescent="0.4">
      <c r="A234" s="6">
        <f t="shared" si="78"/>
        <v>4.7072528297105452</v>
      </c>
      <c r="B234" s="6">
        <f>'Aerosol 1'!A238</f>
        <v>110.74749938020311</v>
      </c>
      <c r="C234" t="b">
        <f t="shared" si="79"/>
        <v>1</v>
      </c>
      <c r="E234" s="46">
        <f>'Aerosol 1'!$P238</f>
        <v>0.56030598282075239</v>
      </c>
      <c r="F234" s="46">
        <f>'Aerosol 2'!$P238</f>
        <v>0.56030598282075239</v>
      </c>
      <c r="G234" s="46">
        <f>'Aerosol 3'!$P238</f>
        <v>0.56030598282075239</v>
      </c>
      <c r="H234" s="46">
        <f t="shared" si="80"/>
        <v>1.6809179484622572</v>
      </c>
      <c r="I234" s="46">
        <f>NORMSINV(SUM(H$13:H234)/H$317)</f>
        <v>0.91835216010272247</v>
      </c>
      <c r="J234" s="46">
        <f t="shared" si="75"/>
        <v>0.30256523072320629</v>
      </c>
      <c r="K234" s="46">
        <f t="shared" si="76"/>
        <v>0.84045897423112859</v>
      </c>
      <c r="L234" s="46">
        <f t="shared" si="77"/>
        <v>1.6808507117443188</v>
      </c>
      <c r="M234" s="46">
        <f t="shared" si="81"/>
        <v>2.8238749166986539</v>
      </c>
      <c r="N234" s="46">
        <f>IF(ISNUMBER(NORMSINV(SUM(M$13:M234)/M$317)),NORMSINV(SUM(M$13:M234)/M$317)," ")</f>
        <v>0.9183521601027218</v>
      </c>
      <c r="O234" s="46">
        <f t="shared" si="82"/>
        <v>0</v>
      </c>
      <c r="P234" s="46" t="str">
        <f>IF(ISNUMBER(NORMSINV(SUM(O$13:O234)/O$317)),NORMSINV(SUM(O$13:O234)/O$317)," ")</f>
        <v xml:space="preserve"> </v>
      </c>
      <c r="Q234" s="46">
        <f t="shared" si="83"/>
        <v>0</v>
      </c>
      <c r="R234" s="46" t="str">
        <f>IF(ISNUMBER(NORMSINV(SUM(Q$13:Q234)/Q$317)),NORMSINV(SUM(Q$13:Q234)/Q$317)," ")</f>
        <v xml:space="preserve"> </v>
      </c>
      <c r="S234" s="46">
        <f t="shared" si="84"/>
        <v>0</v>
      </c>
      <c r="T234" s="46" t="str">
        <f>IF(ISNUMBER(NORMSINV(SUM(S$13:S234)/S$317)),NORMSINV(SUM(S$13:S234)/S$317)," ")</f>
        <v xml:space="preserve"> </v>
      </c>
      <c r="U234" s="46">
        <f t="shared" si="85"/>
        <v>0</v>
      </c>
      <c r="V234" s="46" t="str">
        <f>IF(ISNUMBER(NORMSINV(SUM(U$13:U234)/U$317)),NORMSINV(SUM(U$13:U234)/U$317)," ")</f>
        <v xml:space="preserve"> </v>
      </c>
      <c r="W234" s="46">
        <f t="shared" si="86"/>
        <v>0</v>
      </c>
      <c r="X234" s="46" t="str">
        <f>IF(ISNUMBER(NORMSINV(SUM(W$13:W234)/W$317)),NORMSINV(SUM(W$13:W234)/W$317)," ")</f>
        <v xml:space="preserve"> </v>
      </c>
      <c r="Y234" s="46">
        <f t="shared" si="87"/>
        <v>0</v>
      </c>
      <c r="Z234" s="46" t="str">
        <f>IF(ISNUMBER(NORMSINV(SUM(Y$13:Y234)/Y$317)),NORMSINV(SUM(Y$13:Y234)/Y$317)," ")</f>
        <v xml:space="preserve"> </v>
      </c>
      <c r="AA234" s="46">
        <f t="shared" si="88"/>
        <v>0</v>
      </c>
      <c r="AB234" s="46" t="str">
        <f>IF(ISNUMBER(NORMSINV(SUM(AA$13:AA234)/AA$317)),NORMSINV(SUM(AA$13:AA234)/AA$317)," ")</f>
        <v xml:space="preserve"> </v>
      </c>
      <c r="AC234" s="46">
        <f t="shared" si="89"/>
        <v>0</v>
      </c>
      <c r="AD234" s="46" t="str">
        <f>IF(ISNUMBER(NORMSINV(SUM(AC$13:AC234)/AC$317)),NORMSINV(SUM(AC$13:AC234)/AC$317)," ")</f>
        <v xml:space="preserve"> </v>
      </c>
      <c r="AE234" s="46">
        <f t="shared" si="90"/>
        <v>0</v>
      </c>
      <c r="AF234" s="46" t="str">
        <f>IF(ISNUMBER(NORMSINV(SUM(AE$13:AE234)/AE$317)),NORMSINV(SUM(AE$13:AE234)/AE$317)," ")</f>
        <v xml:space="preserve"> </v>
      </c>
      <c r="AG234" s="46">
        <f t="shared" si="91"/>
        <v>0</v>
      </c>
      <c r="AH234" s="46" t="str">
        <f>IF(ISNUMBER(NORMSINV(SUM(AG$13:AG234)/AG$317)),NORMSINV(SUM(AG$13:AG234)/AG$317)," ")</f>
        <v xml:space="preserve"> </v>
      </c>
      <c r="AI234" s="46">
        <f t="shared" si="92"/>
        <v>0</v>
      </c>
      <c r="AJ234" s="46" t="str">
        <f>IF(ISNUMBER(NORMSINV(SUM(AI$13:AI234)/AI$317)),NORMSINV(SUM(AI$13:AI234)/AI$317)," ")</f>
        <v xml:space="preserve"> </v>
      </c>
      <c r="AK234" s="46">
        <f t="shared" si="93"/>
        <v>0</v>
      </c>
      <c r="AL234" s="46" t="str">
        <f>IF(ISNUMBER(NORMSINV(SUM(AK$13:AK234)/AK$317)),NORMSINV(SUM(AK$13:AK234)/AK$317)," ")</f>
        <v xml:space="preserve"> </v>
      </c>
      <c r="AM234" s="6">
        <v>0</v>
      </c>
      <c r="AN234" s="6">
        <v>0</v>
      </c>
      <c r="AO234" s="6">
        <v>0</v>
      </c>
      <c r="AP234" s="6">
        <v>0</v>
      </c>
      <c r="AQ234" s="6">
        <v>0</v>
      </c>
      <c r="AR234" s="6">
        <v>0</v>
      </c>
      <c r="AS234" s="6">
        <v>0</v>
      </c>
      <c r="AT234" s="6">
        <v>0</v>
      </c>
      <c r="AU234" s="6">
        <v>0</v>
      </c>
    </row>
    <row r="235" spans="1:47" x14ac:dyDescent="0.4">
      <c r="A235" s="6">
        <f t="shared" si="78"/>
        <v>4.7417314071417236</v>
      </c>
      <c r="B235" s="6">
        <f>'Aerosol 1'!A239</f>
        <v>114.63250549698837</v>
      </c>
      <c r="C235" t="b">
        <f t="shared" si="79"/>
        <v>1</v>
      </c>
      <c r="E235" s="46">
        <f>'Aerosol 1'!$P239</f>
        <v>0.54982704860820908</v>
      </c>
      <c r="F235" s="46">
        <f>'Aerosol 2'!$P239</f>
        <v>0.54982704860820908</v>
      </c>
      <c r="G235" s="46">
        <f>'Aerosol 3'!$P239</f>
        <v>0.54982704860820908</v>
      </c>
      <c r="H235" s="46">
        <f t="shared" si="80"/>
        <v>1.6494811458246272</v>
      </c>
      <c r="I235" s="46">
        <f>NORMSINV(SUM(H$13:H235)/H$317)</f>
        <v>0.93967804926044685</v>
      </c>
      <c r="J235" s="46">
        <f t="shared" si="75"/>
        <v>0.2969066062484329</v>
      </c>
      <c r="K235" s="46">
        <f t="shared" si="76"/>
        <v>0.82474057291231362</v>
      </c>
      <c r="L235" s="46">
        <f t="shared" si="77"/>
        <v>1.6494151665787944</v>
      </c>
      <c r="M235" s="46">
        <f t="shared" si="81"/>
        <v>2.7710623457395407</v>
      </c>
      <c r="N235" s="46">
        <f>IF(ISNUMBER(NORMSINV(SUM(M$13:M235)/M$317)),NORMSINV(SUM(M$13:M235)/M$317)," ")</f>
        <v>0.9396780492604454</v>
      </c>
      <c r="O235" s="46">
        <f t="shared" si="82"/>
        <v>0</v>
      </c>
      <c r="P235" s="46" t="str">
        <f>IF(ISNUMBER(NORMSINV(SUM(O$13:O235)/O$317)),NORMSINV(SUM(O$13:O235)/O$317)," ")</f>
        <v xml:space="preserve"> </v>
      </c>
      <c r="Q235" s="46">
        <f t="shared" si="83"/>
        <v>0</v>
      </c>
      <c r="R235" s="46" t="str">
        <f>IF(ISNUMBER(NORMSINV(SUM(Q$13:Q235)/Q$317)),NORMSINV(SUM(Q$13:Q235)/Q$317)," ")</f>
        <v xml:space="preserve"> </v>
      </c>
      <c r="S235" s="46">
        <f t="shared" si="84"/>
        <v>0</v>
      </c>
      <c r="T235" s="46" t="str">
        <f>IF(ISNUMBER(NORMSINV(SUM(S$13:S235)/S$317)),NORMSINV(SUM(S$13:S235)/S$317)," ")</f>
        <v xml:space="preserve"> </v>
      </c>
      <c r="U235" s="46">
        <f t="shared" si="85"/>
        <v>0</v>
      </c>
      <c r="V235" s="46" t="str">
        <f>IF(ISNUMBER(NORMSINV(SUM(U$13:U235)/U$317)),NORMSINV(SUM(U$13:U235)/U$317)," ")</f>
        <v xml:space="preserve"> </v>
      </c>
      <c r="W235" s="46">
        <f t="shared" si="86"/>
        <v>0</v>
      </c>
      <c r="X235" s="46" t="str">
        <f>IF(ISNUMBER(NORMSINV(SUM(W$13:W235)/W$317)),NORMSINV(SUM(W$13:W235)/W$317)," ")</f>
        <v xml:space="preserve"> </v>
      </c>
      <c r="Y235" s="46">
        <f t="shared" si="87"/>
        <v>0</v>
      </c>
      <c r="Z235" s="46" t="str">
        <f>IF(ISNUMBER(NORMSINV(SUM(Y$13:Y235)/Y$317)),NORMSINV(SUM(Y$13:Y235)/Y$317)," ")</f>
        <v xml:space="preserve"> </v>
      </c>
      <c r="AA235" s="46">
        <f t="shared" si="88"/>
        <v>0</v>
      </c>
      <c r="AB235" s="46" t="str">
        <f>IF(ISNUMBER(NORMSINV(SUM(AA$13:AA235)/AA$317)),NORMSINV(SUM(AA$13:AA235)/AA$317)," ")</f>
        <v xml:space="preserve"> </v>
      </c>
      <c r="AC235" s="46">
        <f t="shared" si="89"/>
        <v>0</v>
      </c>
      <c r="AD235" s="46" t="str">
        <f>IF(ISNUMBER(NORMSINV(SUM(AC$13:AC235)/AC$317)),NORMSINV(SUM(AC$13:AC235)/AC$317)," ")</f>
        <v xml:space="preserve"> </v>
      </c>
      <c r="AE235" s="46">
        <f t="shared" si="90"/>
        <v>0</v>
      </c>
      <c r="AF235" s="46" t="str">
        <f>IF(ISNUMBER(NORMSINV(SUM(AE$13:AE235)/AE$317)),NORMSINV(SUM(AE$13:AE235)/AE$317)," ")</f>
        <v xml:space="preserve"> </v>
      </c>
      <c r="AG235" s="46">
        <f t="shared" si="91"/>
        <v>0</v>
      </c>
      <c r="AH235" s="46" t="str">
        <f>IF(ISNUMBER(NORMSINV(SUM(AG$13:AG235)/AG$317)),NORMSINV(SUM(AG$13:AG235)/AG$317)," ")</f>
        <v xml:space="preserve"> </v>
      </c>
      <c r="AI235" s="46">
        <f t="shared" si="92"/>
        <v>0</v>
      </c>
      <c r="AJ235" s="46" t="str">
        <f>IF(ISNUMBER(NORMSINV(SUM(AI$13:AI235)/AI$317)),NORMSINV(SUM(AI$13:AI235)/AI$317)," ")</f>
        <v xml:space="preserve"> </v>
      </c>
      <c r="AK235" s="46">
        <f t="shared" si="93"/>
        <v>0</v>
      </c>
      <c r="AL235" s="46" t="str">
        <f>IF(ISNUMBER(NORMSINV(SUM(AK$13:AK235)/AK$317)),NORMSINV(SUM(AK$13:AK235)/AK$317)," ")</f>
        <v xml:space="preserve"> </v>
      </c>
      <c r="AM235" s="6">
        <v>0</v>
      </c>
      <c r="AN235" s="6">
        <v>0</v>
      </c>
      <c r="AO235" s="6">
        <v>0</v>
      </c>
      <c r="AP235" s="6">
        <v>0</v>
      </c>
      <c r="AQ235" s="6">
        <v>0</v>
      </c>
      <c r="AR235" s="6">
        <v>0</v>
      </c>
      <c r="AS235" s="6">
        <v>0</v>
      </c>
      <c r="AT235" s="6">
        <v>0</v>
      </c>
      <c r="AU235" s="6">
        <v>0</v>
      </c>
    </row>
    <row r="236" spans="1:47" x14ac:dyDescent="0.4">
      <c r="A236" s="6">
        <f t="shared" si="78"/>
        <v>4.776209984572902</v>
      </c>
      <c r="B236" s="6">
        <f>'Aerosol 1'!A240</f>
        <v>118.65379706140838</v>
      </c>
      <c r="C236" t="b">
        <f t="shared" si="79"/>
        <v>1</v>
      </c>
      <c r="E236" s="46">
        <f>'Aerosol 1'!$P240</f>
        <v>0.53930817933706132</v>
      </c>
      <c r="F236" s="46">
        <f>'Aerosol 2'!$P240</f>
        <v>0.53930817933706132</v>
      </c>
      <c r="G236" s="46">
        <f>'Aerosol 3'!$P240</f>
        <v>0.53930817933706132</v>
      </c>
      <c r="H236" s="46">
        <f t="shared" si="80"/>
        <v>1.617924538011184</v>
      </c>
      <c r="I236" s="46">
        <f>NORMSINV(SUM(H$13:H236)/H$317)</f>
        <v>0.96101950143865811</v>
      </c>
      <c r="J236" s="46">
        <f t="shared" si="75"/>
        <v>0.29122641684201311</v>
      </c>
      <c r="K236" s="46">
        <f t="shared" si="76"/>
        <v>0.80896226900559198</v>
      </c>
      <c r="L236" s="46">
        <f t="shared" si="77"/>
        <v>1.6178598210296635</v>
      </c>
      <c r="M236" s="46">
        <f t="shared" si="81"/>
        <v>2.7180485068772686</v>
      </c>
      <c r="N236" s="46">
        <f>IF(ISNUMBER(NORMSINV(SUM(M$13:M236)/M$317)),NORMSINV(SUM(M$13:M236)/M$317)," ")</f>
        <v>0.96101950143865822</v>
      </c>
      <c r="O236" s="46">
        <f t="shared" si="82"/>
        <v>0</v>
      </c>
      <c r="P236" s="46" t="str">
        <f>IF(ISNUMBER(NORMSINV(SUM(O$13:O236)/O$317)),NORMSINV(SUM(O$13:O236)/O$317)," ")</f>
        <v xml:space="preserve"> </v>
      </c>
      <c r="Q236" s="46">
        <f t="shared" si="83"/>
        <v>0</v>
      </c>
      <c r="R236" s="46" t="str">
        <f>IF(ISNUMBER(NORMSINV(SUM(Q$13:Q236)/Q$317)),NORMSINV(SUM(Q$13:Q236)/Q$317)," ")</f>
        <v xml:space="preserve"> </v>
      </c>
      <c r="S236" s="46">
        <f t="shared" si="84"/>
        <v>0</v>
      </c>
      <c r="T236" s="46" t="str">
        <f>IF(ISNUMBER(NORMSINV(SUM(S$13:S236)/S$317)),NORMSINV(SUM(S$13:S236)/S$317)," ")</f>
        <v xml:space="preserve"> </v>
      </c>
      <c r="U236" s="46">
        <f t="shared" si="85"/>
        <v>0</v>
      </c>
      <c r="V236" s="46" t="str">
        <f>IF(ISNUMBER(NORMSINV(SUM(U$13:U236)/U$317)),NORMSINV(SUM(U$13:U236)/U$317)," ")</f>
        <v xml:space="preserve"> </v>
      </c>
      <c r="W236" s="46">
        <f t="shared" si="86"/>
        <v>0</v>
      </c>
      <c r="X236" s="46" t="str">
        <f>IF(ISNUMBER(NORMSINV(SUM(W$13:W236)/W$317)),NORMSINV(SUM(W$13:W236)/W$317)," ")</f>
        <v xml:space="preserve"> </v>
      </c>
      <c r="Y236" s="46">
        <f t="shared" si="87"/>
        <v>0</v>
      </c>
      <c r="Z236" s="46" t="str">
        <f>IF(ISNUMBER(NORMSINV(SUM(Y$13:Y236)/Y$317)),NORMSINV(SUM(Y$13:Y236)/Y$317)," ")</f>
        <v xml:space="preserve"> </v>
      </c>
      <c r="AA236" s="46">
        <f t="shared" si="88"/>
        <v>0</v>
      </c>
      <c r="AB236" s="46" t="str">
        <f>IF(ISNUMBER(NORMSINV(SUM(AA$13:AA236)/AA$317)),NORMSINV(SUM(AA$13:AA236)/AA$317)," ")</f>
        <v xml:space="preserve"> </v>
      </c>
      <c r="AC236" s="46">
        <f t="shared" si="89"/>
        <v>0</v>
      </c>
      <c r="AD236" s="46" t="str">
        <f>IF(ISNUMBER(NORMSINV(SUM(AC$13:AC236)/AC$317)),NORMSINV(SUM(AC$13:AC236)/AC$317)," ")</f>
        <v xml:space="preserve"> </v>
      </c>
      <c r="AE236" s="46">
        <f t="shared" si="90"/>
        <v>0</v>
      </c>
      <c r="AF236" s="46" t="str">
        <f>IF(ISNUMBER(NORMSINV(SUM(AE$13:AE236)/AE$317)),NORMSINV(SUM(AE$13:AE236)/AE$317)," ")</f>
        <v xml:space="preserve"> </v>
      </c>
      <c r="AG236" s="46">
        <f t="shared" si="91"/>
        <v>0</v>
      </c>
      <c r="AH236" s="46" t="str">
        <f>IF(ISNUMBER(NORMSINV(SUM(AG$13:AG236)/AG$317)),NORMSINV(SUM(AG$13:AG236)/AG$317)," ")</f>
        <v xml:space="preserve"> </v>
      </c>
      <c r="AI236" s="46">
        <f t="shared" si="92"/>
        <v>0</v>
      </c>
      <c r="AJ236" s="46" t="str">
        <f>IF(ISNUMBER(NORMSINV(SUM(AI$13:AI236)/AI$317)),NORMSINV(SUM(AI$13:AI236)/AI$317)," ")</f>
        <v xml:space="preserve"> </v>
      </c>
      <c r="AK236" s="46">
        <f t="shared" si="93"/>
        <v>0</v>
      </c>
      <c r="AL236" s="46" t="str">
        <f>IF(ISNUMBER(NORMSINV(SUM(AK$13:AK236)/AK$317)),NORMSINV(SUM(AK$13:AK236)/AK$317)," ")</f>
        <v xml:space="preserve"> </v>
      </c>
      <c r="AM236" s="6">
        <v>0</v>
      </c>
      <c r="AN236" s="6">
        <v>0</v>
      </c>
      <c r="AO236" s="6">
        <v>0</v>
      </c>
      <c r="AP236" s="6">
        <v>0</v>
      </c>
      <c r="AQ236" s="6">
        <v>0</v>
      </c>
      <c r="AR236" s="6">
        <v>0</v>
      </c>
      <c r="AS236" s="6">
        <v>0</v>
      </c>
      <c r="AT236" s="6">
        <v>0</v>
      </c>
      <c r="AU236" s="6">
        <v>0</v>
      </c>
    </row>
    <row r="237" spans="1:47" x14ac:dyDescent="0.4">
      <c r="A237" s="6">
        <f t="shared" si="78"/>
        <v>4.8106885620040805</v>
      </c>
      <c r="B237" s="6">
        <f>'Aerosol 1'!A241</f>
        <v>122.81615494707791</v>
      </c>
      <c r="C237" t="b">
        <f t="shared" si="79"/>
        <v>1</v>
      </c>
      <c r="E237" s="46">
        <f>'Aerosol 1'!$P241</f>
        <v>0.5287592497020932</v>
      </c>
      <c r="F237" s="46">
        <f>'Aerosol 2'!$P241</f>
        <v>0.5287592497020932</v>
      </c>
      <c r="G237" s="46">
        <f>'Aerosol 3'!$P241</f>
        <v>0.5287592497020932</v>
      </c>
      <c r="H237" s="46">
        <f t="shared" si="80"/>
        <v>1.5862777491062796</v>
      </c>
      <c r="I237" s="46">
        <f>NORMSINV(SUM(H$13:H237)/H$317)</f>
        <v>0.98237723783113307</v>
      </c>
      <c r="J237" s="46">
        <f t="shared" si="75"/>
        <v>0.28552999483913033</v>
      </c>
      <c r="K237" s="46">
        <f t="shared" si="76"/>
        <v>0.79313887455313981</v>
      </c>
      <c r="L237" s="46">
        <f t="shared" si="77"/>
        <v>1.5862142979963154</v>
      </c>
      <c r="M237" s="46">
        <f t="shared" si="81"/>
        <v>2.6648831673885853</v>
      </c>
      <c r="N237" s="46">
        <f>IF(ISNUMBER(NORMSINV(SUM(M$13:M237)/M$317)),NORMSINV(SUM(M$13:M237)/M$317)," ")</f>
        <v>0.98237723783113096</v>
      </c>
      <c r="O237" s="46">
        <f t="shared" si="82"/>
        <v>0</v>
      </c>
      <c r="P237" s="46" t="str">
        <f>IF(ISNUMBER(NORMSINV(SUM(O$13:O237)/O$317)),NORMSINV(SUM(O$13:O237)/O$317)," ")</f>
        <v xml:space="preserve"> </v>
      </c>
      <c r="Q237" s="46">
        <f t="shared" si="83"/>
        <v>0</v>
      </c>
      <c r="R237" s="46" t="str">
        <f>IF(ISNUMBER(NORMSINV(SUM(Q$13:Q237)/Q$317)),NORMSINV(SUM(Q$13:Q237)/Q$317)," ")</f>
        <v xml:space="preserve"> </v>
      </c>
      <c r="S237" s="46">
        <f t="shared" si="84"/>
        <v>0</v>
      </c>
      <c r="T237" s="46" t="str">
        <f>IF(ISNUMBER(NORMSINV(SUM(S$13:S237)/S$317)),NORMSINV(SUM(S$13:S237)/S$317)," ")</f>
        <v xml:space="preserve"> </v>
      </c>
      <c r="U237" s="46">
        <f t="shared" si="85"/>
        <v>0</v>
      </c>
      <c r="V237" s="46" t="str">
        <f>IF(ISNUMBER(NORMSINV(SUM(U$13:U237)/U$317)),NORMSINV(SUM(U$13:U237)/U$317)," ")</f>
        <v xml:space="preserve"> </v>
      </c>
      <c r="W237" s="46">
        <f t="shared" si="86"/>
        <v>0</v>
      </c>
      <c r="X237" s="46" t="str">
        <f>IF(ISNUMBER(NORMSINV(SUM(W$13:W237)/W$317)),NORMSINV(SUM(W$13:W237)/W$317)," ")</f>
        <v xml:space="preserve"> </v>
      </c>
      <c r="Y237" s="46">
        <f t="shared" si="87"/>
        <v>0</v>
      </c>
      <c r="Z237" s="46" t="str">
        <f>IF(ISNUMBER(NORMSINV(SUM(Y$13:Y237)/Y$317)),NORMSINV(SUM(Y$13:Y237)/Y$317)," ")</f>
        <v xml:space="preserve"> </v>
      </c>
      <c r="AA237" s="46">
        <f t="shared" si="88"/>
        <v>0</v>
      </c>
      <c r="AB237" s="46" t="str">
        <f>IF(ISNUMBER(NORMSINV(SUM(AA$13:AA237)/AA$317)),NORMSINV(SUM(AA$13:AA237)/AA$317)," ")</f>
        <v xml:space="preserve"> </v>
      </c>
      <c r="AC237" s="46">
        <f t="shared" si="89"/>
        <v>0</v>
      </c>
      <c r="AD237" s="46" t="str">
        <f>IF(ISNUMBER(NORMSINV(SUM(AC$13:AC237)/AC$317)),NORMSINV(SUM(AC$13:AC237)/AC$317)," ")</f>
        <v xml:space="preserve"> </v>
      </c>
      <c r="AE237" s="46">
        <f t="shared" si="90"/>
        <v>0</v>
      </c>
      <c r="AF237" s="46" t="str">
        <f>IF(ISNUMBER(NORMSINV(SUM(AE$13:AE237)/AE$317)),NORMSINV(SUM(AE$13:AE237)/AE$317)," ")</f>
        <v xml:space="preserve"> </v>
      </c>
      <c r="AG237" s="46">
        <f t="shared" si="91"/>
        <v>0</v>
      </c>
      <c r="AH237" s="46" t="str">
        <f>IF(ISNUMBER(NORMSINV(SUM(AG$13:AG237)/AG$317)),NORMSINV(SUM(AG$13:AG237)/AG$317)," ")</f>
        <v xml:space="preserve"> </v>
      </c>
      <c r="AI237" s="46">
        <f t="shared" si="92"/>
        <v>0</v>
      </c>
      <c r="AJ237" s="46" t="str">
        <f>IF(ISNUMBER(NORMSINV(SUM(AI$13:AI237)/AI$317)),NORMSINV(SUM(AI$13:AI237)/AI$317)," ")</f>
        <v xml:space="preserve"> </v>
      </c>
      <c r="AK237" s="46">
        <f t="shared" si="93"/>
        <v>0</v>
      </c>
      <c r="AL237" s="46" t="str">
        <f>IF(ISNUMBER(NORMSINV(SUM(AK$13:AK237)/AK$317)),NORMSINV(SUM(AK$13:AK237)/AK$317)," ")</f>
        <v xml:space="preserve"> </v>
      </c>
      <c r="AM237" s="6">
        <v>0</v>
      </c>
      <c r="AN237" s="6">
        <v>0</v>
      </c>
      <c r="AO237" s="6">
        <v>0</v>
      </c>
      <c r="AP237" s="6">
        <v>0</v>
      </c>
      <c r="AQ237" s="6">
        <v>0</v>
      </c>
      <c r="AR237" s="6">
        <v>0</v>
      </c>
      <c r="AS237" s="6">
        <v>0</v>
      </c>
      <c r="AT237" s="6">
        <v>0</v>
      </c>
      <c r="AU237" s="6">
        <v>0</v>
      </c>
    </row>
    <row r="238" spans="1:47" x14ac:dyDescent="0.4">
      <c r="A238" s="6">
        <f t="shared" si="78"/>
        <v>4.8451671394352589</v>
      </c>
      <c r="B238" s="6">
        <f>'Aerosol 1'!A242</f>
        <v>127.12452773996046</v>
      </c>
      <c r="C238" t="b">
        <f t="shared" si="79"/>
        <v>1</v>
      </c>
      <c r="E238" s="46">
        <f>'Aerosol 1'!$P242</f>
        <v>0.51818998243329251</v>
      </c>
      <c r="F238" s="46">
        <f>'Aerosol 2'!$P242</f>
        <v>0.51818998243329251</v>
      </c>
      <c r="G238" s="46">
        <f>'Aerosol 3'!$P242</f>
        <v>0.51818998243329251</v>
      </c>
      <c r="H238" s="46">
        <f t="shared" si="80"/>
        <v>1.5545699472998775</v>
      </c>
      <c r="I238" s="46">
        <f>NORMSINV(SUM(H$13:H238)/H$317)</f>
        <v>1.0037520187820363</v>
      </c>
      <c r="J238" s="46">
        <f t="shared" si="75"/>
        <v>0.27982259051397795</v>
      </c>
      <c r="K238" s="46">
        <f t="shared" si="76"/>
        <v>0.77728497364993876</v>
      </c>
      <c r="L238" s="46">
        <f t="shared" si="77"/>
        <v>1.5545077645019856</v>
      </c>
      <c r="M238" s="46">
        <f t="shared" si="81"/>
        <v>2.6116153286659021</v>
      </c>
      <c r="N238" s="46">
        <f>IF(ISNUMBER(NORMSINV(SUM(M$13:M238)/M$317)),NORMSINV(SUM(M$13:M238)/M$317)," ")</f>
        <v>1.0037520187820377</v>
      </c>
      <c r="O238" s="46">
        <f t="shared" si="82"/>
        <v>0</v>
      </c>
      <c r="P238" s="46" t="str">
        <f>IF(ISNUMBER(NORMSINV(SUM(O$13:O238)/O$317)),NORMSINV(SUM(O$13:O238)/O$317)," ")</f>
        <v xml:space="preserve"> </v>
      </c>
      <c r="Q238" s="46">
        <f t="shared" si="83"/>
        <v>0</v>
      </c>
      <c r="R238" s="46" t="str">
        <f>IF(ISNUMBER(NORMSINV(SUM(Q$13:Q238)/Q$317)),NORMSINV(SUM(Q$13:Q238)/Q$317)," ")</f>
        <v xml:space="preserve"> </v>
      </c>
      <c r="S238" s="46">
        <f t="shared" si="84"/>
        <v>0</v>
      </c>
      <c r="T238" s="46" t="str">
        <f>IF(ISNUMBER(NORMSINV(SUM(S$13:S238)/S$317)),NORMSINV(SUM(S$13:S238)/S$317)," ")</f>
        <v xml:space="preserve"> </v>
      </c>
      <c r="U238" s="46">
        <f t="shared" si="85"/>
        <v>0</v>
      </c>
      <c r="V238" s="46" t="str">
        <f>IF(ISNUMBER(NORMSINV(SUM(U$13:U238)/U$317)),NORMSINV(SUM(U$13:U238)/U$317)," ")</f>
        <v xml:space="preserve"> </v>
      </c>
      <c r="W238" s="46">
        <f t="shared" si="86"/>
        <v>0</v>
      </c>
      <c r="X238" s="46" t="str">
        <f>IF(ISNUMBER(NORMSINV(SUM(W$13:W238)/W$317)),NORMSINV(SUM(W$13:W238)/W$317)," ")</f>
        <v xml:space="preserve"> </v>
      </c>
      <c r="Y238" s="46">
        <f t="shared" si="87"/>
        <v>0</v>
      </c>
      <c r="Z238" s="46" t="str">
        <f>IF(ISNUMBER(NORMSINV(SUM(Y$13:Y238)/Y$317)),NORMSINV(SUM(Y$13:Y238)/Y$317)," ")</f>
        <v xml:space="preserve"> </v>
      </c>
      <c r="AA238" s="46">
        <f t="shared" si="88"/>
        <v>0</v>
      </c>
      <c r="AB238" s="46" t="str">
        <f>IF(ISNUMBER(NORMSINV(SUM(AA$13:AA238)/AA$317)),NORMSINV(SUM(AA$13:AA238)/AA$317)," ")</f>
        <v xml:space="preserve"> </v>
      </c>
      <c r="AC238" s="46">
        <f t="shared" si="89"/>
        <v>0</v>
      </c>
      <c r="AD238" s="46" t="str">
        <f>IF(ISNUMBER(NORMSINV(SUM(AC$13:AC238)/AC$317)),NORMSINV(SUM(AC$13:AC238)/AC$317)," ")</f>
        <v xml:space="preserve"> </v>
      </c>
      <c r="AE238" s="46">
        <f t="shared" si="90"/>
        <v>0</v>
      </c>
      <c r="AF238" s="46" t="str">
        <f>IF(ISNUMBER(NORMSINV(SUM(AE$13:AE238)/AE$317)),NORMSINV(SUM(AE$13:AE238)/AE$317)," ")</f>
        <v xml:space="preserve"> </v>
      </c>
      <c r="AG238" s="46">
        <f t="shared" si="91"/>
        <v>0</v>
      </c>
      <c r="AH238" s="46" t="str">
        <f>IF(ISNUMBER(NORMSINV(SUM(AG$13:AG238)/AG$317)),NORMSINV(SUM(AG$13:AG238)/AG$317)," ")</f>
        <v xml:space="preserve"> </v>
      </c>
      <c r="AI238" s="46">
        <f t="shared" si="92"/>
        <v>0</v>
      </c>
      <c r="AJ238" s="46" t="str">
        <f>IF(ISNUMBER(NORMSINV(SUM(AI$13:AI238)/AI$317)),NORMSINV(SUM(AI$13:AI238)/AI$317)," ")</f>
        <v xml:space="preserve"> </v>
      </c>
      <c r="AK238" s="46">
        <f t="shared" si="93"/>
        <v>0</v>
      </c>
      <c r="AL238" s="46" t="str">
        <f>IF(ISNUMBER(NORMSINV(SUM(AK$13:AK238)/AK$317)),NORMSINV(SUM(AK$13:AK238)/AK$317)," ")</f>
        <v xml:space="preserve"> </v>
      </c>
      <c r="AM238" s="6">
        <v>0</v>
      </c>
      <c r="AN238" s="6">
        <v>0</v>
      </c>
      <c r="AO238" s="6">
        <v>0</v>
      </c>
      <c r="AP238" s="6">
        <v>0</v>
      </c>
      <c r="AQ238" s="6">
        <v>0</v>
      </c>
      <c r="AR238" s="6">
        <v>0</v>
      </c>
      <c r="AS238" s="6">
        <v>0</v>
      </c>
      <c r="AT238" s="6">
        <v>0</v>
      </c>
      <c r="AU238" s="6">
        <v>0</v>
      </c>
    </row>
    <row r="239" spans="1:47" x14ac:dyDescent="0.4">
      <c r="A239" s="6">
        <f t="shared" si="78"/>
        <v>4.8796457168664373</v>
      </c>
      <c r="B239" s="6">
        <f>'Aerosol 1'!A243</f>
        <v>131.584037621693</v>
      </c>
      <c r="C239" t="b">
        <f t="shared" si="79"/>
        <v>1</v>
      </c>
      <c r="E239" s="46">
        <f>'Aerosol 1'!$P243</f>
        <v>0.5076099344314855</v>
      </c>
      <c r="F239" s="46">
        <f>'Aerosol 2'!$P243</f>
        <v>0.5076099344314855</v>
      </c>
      <c r="G239" s="46">
        <f>'Aerosol 3'!$P243</f>
        <v>0.5076099344314855</v>
      </c>
      <c r="H239" s="46">
        <f t="shared" si="80"/>
        <v>1.5228298032944565</v>
      </c>
      <c r="I239" s="46">
        <f>NORMSINV(SUM(H$13:H239)/H$317)</f>
        <v>1.0251446462315128</v>
      </c>
      <c r="J239" s="46">
        <f t="shared" si="75"/>
        <v>0.27410936459300217</v>
      </c>
      <c r="K239" s="46">
        <f t="shared" si="76"/>
        <v>0.76141490164722825</v>
      </c>
      <c r="L239" s="46">
        <f t="shared" si="77"/>
        <v>1.5227688901023249</v>
      </c>
      <c r="M239" s="46">
        <f t="shared" si="81"/>
        <v>2.5582931563425553</v>
      </c>
      <c r="N239" s="46">
        <f>IF(ISNUMBER(NORMSINV(SUM(M$13:M239)/M$317)),NORMSINV(SUM(M$13:M239)/M$317)," ")</f>
        <v>1.0251446462315144</v>
      </c>
      <c r="O239" s="46">
        <f t="shared" si="82"/>
        <v>0</v>
      </c>
      <c r="P239" s="46" t="str">
        <f>IF(ISNUMBER(NORMSINV(SUM(O$13:O239)/O$317)),NORMSINV(SUM(O$13:O239)/O$317)," ")</f>
        <v xml:space="preserve"> </v>
      </c>
      <c r="Q239" s="46">
        <f t="shared" si="83"/>
        <v>0</v>
      </c>
      <c r="R239" s="46" t="str">
        <f>IF(ISNUMBER(NORMSINV(SUM(Q$13:Q239)/Q$317)),NORMSINV(SUM(Q$13:Q239)/Q$317)," ")</f>
        <v xml:space="preserve"> </v>
      </c>
      <c r="S239" s="46">
        <f t="shared" si="84"/>
        <v>0</v>
      </c>
      <c r="T239" s="46" t="str">
        <f>IF(ISNUMBER(NORMSINV(SUM(S$13:S239)/S$317)),NORMSINV(SUM(S$13:S239)/S$317)," ")</f>
        <v xml:space="preserve"> </v>
      </c>
      <c r="U239" s="46">
        <f t="shared" si="85"/>
        <v>0</v>
      </c>
      <c r="V239" s="46" t="str">
        <f>IF(ISNUMBER(NORMSINV(SUM(U$13:U239)/U$317)),NORMSINV(SUM(U$13:U239)/U$317)," ")</f>
        <v xml:space="preserve"> </v>
      </c>
      <c r="W239" s="46">
        <f t="shared" si="86"/>
        <v>0</v>
      </c>
      <c r="X239" s="46" t="str">
        <f>IF(ISNUMBER(NORMSINV(SUM(W$13:W239)/W$317)),NORMSINV(SUM(W$13:W239)/W$317)," ")</f>
        <v xml:space="preserve"> </v>
      </c>
      <c r="Y239" s="46">
        <f t="shared" si="87"/>
        <v>0</v>
      </c>
      <c r="Z239" s="46" t="str">
        <f>IF(ISNUMBER(NORMSINV(SUM(Y$13:Y239)/Y$317)),NORMSINV(SUM(Y$13:Y239)/Y$317)," ")</f>
        <v xml:space="preserve"> </v>
      </c>
      <c r="AA239" s="46">
        <f t="shared" si="88"/>
        <v>0</v>
      </c>
      <c r="AB239" s="46" t="str">
        <f>IF(ISNUMBER(NORMSINV(SUM(AA$13:AA239)/AA$317)),NORMSINV(SUM(AA$13:AA239)/AA$317)," ")</f>
        <v xml:space="preserve"> </v>
      </c>
      <c r="AC239" s="46">
        <f t="shared" si="89"/>
        <v>0</v>
      </c>
      <c r="AD239" s="46" t="str">
        <f>IF(ISNUMBER(NORMSINV(SUM(AC$13:AC239)/AC$317)),NORMSINV(SUM(AC$13:AC239)/AC$317)," ")</f>
        <v xml:space="preserve"> </v>
      </c>
      <c r="AE239" s="46">
        <f t="shared" si="90"/>
        <v>0</v>
      </c>
      <c r="AF239" s="46" t="str">
        <f>IF(ISNUMBER(NORMSINV(SUM(AE$13:AE239)/AE$317)),NORMSINV(SUM(AE$13:AE239)/AE$317)," ")</f>
        <v xml:space="preserve"> </v>
      </c>
      <c r="AG239" s="46">
        <f t="shared" si="91"/>
        <v>0</v>
      </c>
      <c r="AH239" s="46" t="str">
        <f>IF(ISNUMBER(NORMSINV(SUM(AG$13:AG239)/AG$317)),NORMSINV(SUM(AG$13:AG239)/AG$317)," ")</f>
        <v xml:space="preserve"> </v>
      </c>
      <c r="AI239" s="46">
        <f t="shared" si="92"/>
        <v>0</v>
      </c>
      <c r="AJ239" s="46" t="str">
        <f>IF(ISNUMBER(NORMSINV(SUM(AI$13:AI239)/AI$317)),NORMSINV(SUM(AI$13:AI239)/AI$317)," ")</f>
        <v xml:space="preserve"> </v>
      </c>
      <c r="AK239" s="46">
        <f t="shared" si="93"/>
        <v>0</v>
      </c>
      <c r="AL239" s="46" t="str">
        <f>IF(ISNUMBER(NORMSINV(SUM(AK$13:AK239)/AK$317)),NORMSINV(SUM(AK$13:AK239)/AK$317)," ")</f>
        <v xml:space="preserve"> </v>
      </c>
      <c r="AM239" s="6">
        <v>0</v>
      </c>
      <c r="AN239" s="6">
        <v>0</v>
      </c>
      <c r="AO239" s="6">
        <v>0</v>
      </c>
      <c r="AP239" s="6">
        <v>0</v>
      </c>
      <c r="AQ239" s="6">
        <v>0</v>
      </c>
      <c r="AR239" s="6">
        <v>0</v>
      </c>
      <c r="AS239" s="6">
        <v>0</v>
      </c>
      <c r="AT239" s="6">
        <v>0</v>
      </c>
      <c r="AU239" s="6">
        <v>0</v>
      </c>
    </row>
    <row r="240" spans="1:47" x14ac:dyDescent="0.4">
      <c r="A240" s="6">
        <f t="shared" si="78"/>
        <v>4.9141242942976158</v>
      </c>
      <c r="B240" s="6">
        <f>'Aerosol 1'!A244</f>
        <v>136.19998645929684</v>
      </c>
      <c r="C240" t="b">
        <f t="shared" si="79"/>
        <v>1</v>
      </c>
      <c r="E240" s="46">
        <f>'Aerosol 1'!$P244</f>
        <v>0.49702848353729845</v>
      </c>
      <c r="F240" s="46">
        <f>'Aerosol 2'!$P244</f>
        <v>0.49702848353729845</v>
      </c>
      <c r="G240" s="46">
        <f>'Aerosol 3'!$P244</f>
        <v>0.49702848353729845</v>
      </c>
      <c r="H240" s="46">
        <f t="shared" si="80"/>
        <v>1.4910854506118953</v>
      </c>
      <c r="I240" s="46">
        <f>NORMSINV(SUM(H$13:H240)/H$317)</f>
        <v>1.0465559663364428</v>
      </c>
      <c r="J240" s="46">
        <f t="shared" si="75"/>
        <v>0.26839538111014116</v>
      </c>
      <c r="K240" s="46">
        <f t="shared" si="76"/>
        <v>0.74554272530594767</v>
      </c>
      <c r="L240" s="46">
        <f t="shared" si="77"/>
        <v>1.4910258071938709</v>
      </c>
      <c r="M240" s="46">
        <f t="shared" si="81"/>
        <v>2.5049639136099597</v>
      </c>
      <c r="N240" s="46">
        <f>IF(ISNUMBER(NORMSINV(SUM(M$13:M240)/M$317)),NORMSINV(SUM(M$13:M240)/M$317)," ")</f>
        <v>1.0465559663364421</v>
      </c>
      <c r="O240" s="46">
        <f t="shared" si="82"/>
        <v>0</v>
      </c>
      <c r="P240" s="46" t="str">
        <f>IF(ISNUMBER(NORMSINV(SUM(O$13:O240)/O$317)),NORMSINV(SUM(O$13:O240)/O$317)," ")</f>
        <v xml:space="preserve"> </v>
      </c>
      <c r="Q240" s="46">
        <f t="shared" si="83"/>
        <v>0</v>
      </c>
      <c r="R240" s="46" t="str">
        <f>IF(ISNUMBER(NORMSINV(SUM(Q$13:Q240)/Q$317)),NORMSINV(SUM(Q$13:Q240)/Q$317)," ")</f>
        <v xml:space="preserve"> </v>
      </c>
      <c r="S240" s="46">
        <f t="shared" si="84"/>
        <v>0</v>
      </c>
      <c r="T240" s="46" t="str">
        <f>IF(ISNUMBER(NORMSINV(SUM(S$13:S240)/S$317)),NORMSINV(SUM(S$13:S240)/S$317)," ")</f>
        <v xml:space="preserve"> </v>
      </c>
      <c r="U240" s="46">
        <f t="shared" si="85"/>
        <v>0</v>
      </c>
      <c r="V240" s="46" t="str">
        <f>IF(ISNUMBER(NORMSINV(SUM(U$13:U240)/U$317)),NORMSINV(SUM(U$13:U240)/U$317)," ")</f>
        <v xml:space="preserve"> </v>
      </c>
      <c r="W240" s="46">
        <f t="shared" si="86"/>
        <v>0</v>
      </c>
      <c r="X240" s="46" t="str">
        <f>IF(ISNUMBER(NORMSINV(SUM(W$13:W240)/W$317)),NORMSINV(SUM(W$13:W240)/W$317)," ")</f>
        <v xml:space="preserve"> </v>
      </c>
      <c r="Y240" s="46">
        <f t="shared" si="87"/>
        <v>0</v>
      </c>
      <c r="Z240" s="46" t="str">
        <f>IF(ISNUMBER(NORMSINV(SUM(Y$13:Y240)/Y$317)),NORMSINV(SUM(Y$13:Y240)/Y$317)," ")</f>
        <v xml:space="preserve"> </v>
      </c>
      <c r="AA240" s="46">
        <f t="shared" si="88"/>
        <v>0</v>
      </c>
      <c r="AB240" s="46" t="str">
        <f>IF(ISNUMBER(NORMSINV(SUM(AA$13:AA240)/AA$317)),NORMSINV(SUM(AA$13:AA240)/AA$317)," ")</f>
        <v xml:space="preserve"> </v>
      </c>
      <c r="AC240" s="46">
        <f t="shared" si="89"/>
        <v>0</v>
      </c>
      <c r="AD240" s="46" t="str">
        <f>IF(ISNUMBER(NORMSINV(SUM(AC$13:AC240)/AC$317)),NORMSINV(SUM(AC$13:AC240)/AC$317)," ")</f>
        <v xml:space="preserve"> </v>
      </c>
      <c r="AE240" s="46">
        <f t="shared" si="90"/>
        <v>0</v>
      </c>
      <c r="AF240" s="46" t="str">
        <f>IF(ISNUMBER(NORMSINV(SUM(AE$13:AE240)/AE$317)),NORMSINV(SUM(AE$13:AE240)/AE$317)," ")</f>
        <v xml:space="preserve"> </v>
      </c>
      <c r="AG240" s="46">
        <f t="shared" si="91"/>
        <v>0</v>
      </c>
      <c r="AH240" s="46" t="str">
        <f>IF(ISNUMBER(NORMSINV(SUM(AG$13:AG240)/AG$317)),NORMSINV(SUM(AG$13:AG240)/AG$317)," ")</f>
        <v xml:space="preserve"> </v>
      </c>
      <c r="AI240" s="46">
        <f t="shared" si="92"/>
        <v>0</v>
      </c>
      <c r="AJ240" s="46" t="str">
        <f>IF(ISNUMBER(NORMSINV(SUM(AI$13:AI240)/AI$317)),NORMSINV(SUM(AI$13:AI240)/AI$317)," ")</f>
        <v xml:space="preserve"> </v>
      </c>
      <c r="AK240" s="46">
        <f t="shared" si="93"/>
        <v>0</v>
      </c>
      <c r="AL240" s="46" t="str">
        <f>IF(ISNUMBER(NORMSINV(SUM(AK$13:AK240)/AK$317)),NORMSINV(SUM(AK$13:AK240)/AK$317)," ")</f>
        <v xml:space="preserve"> </v>
      </c>
      <c r="AM240" s="6">
        <v>0</v>
      </c>
      <c r="AN240" s="6">
        <v>0</v>
      </c>
      <c r="AO240" s="6">
        <v>0</v>
      </c>
      <c r="AP240" s="6">
        <v>0</v>
      </c>
      <c r="AQ240" s="6">
        <v>0</v>
      </c>
      <c r="AR240" s="6">
        <v>0</v>
      </c>
      <c r="AS240" s="6">
        <v>0</v>
      </c>
      <c r="AT240" s="6">
        <v>0</v>
      </c>
      <c r="AU240" s="6">
        <v>0</v>
      </c>
    </row>
    <row r="241" spans="1:47" x14ac:dyDescent="0.4">
      <c r="A241" s="6">
        <f t="shared" si="78"/>
        <v>4.9486028717287951</v>
      </c>
      <c r="B241" s="6">
        <f>'Aerosol 1'!A245</f>
        <v>140.97786210851478</v>
      </c>
      <c r="C241" t="b">
        <f t="shared" si="79"/>
        <v>1</v>
      </c>
      <c r="E241" s="46">
        <f>'Aerosol 1'!$P245</f>
        <v>0.48645481595447349</v>
      </c>
      <c r="F241" s="46">
        <f>'Aerosol 2'!$P245</f>
        <v>0.48645481595447349</v>
      </c>
      <c r="G241" s="46">
        <f>'Aerosol 3'!$P245</f>
        <v>0.48645481595447349</v>
      </c>
      <c r="H241" s="46">
        <f t="shared" si="80"/>
        <v>1.4593644478634205</v>
      </c>
      <c r="I241" s="46">
        <f>NORMSINV(SUM(H$13:H241)/H$317)</f>
        <v>1.0679868722808243</v>
      </c>
      <c r="J241" s="46">
        <f t="shared" si="75"/>
        <v>0.26268560061541568</v>
      </c>
      <c r="K241" s="46">
        <f t="shared" si="76"/>
        <v>0.72968222393171023</v>
      </c>
      <c r="L241" s="46">
        <f t="shared" si="77"/>
        <v>1.4593060732855059</v>
      </c>
      <c r="M241" s="46">
        <f t="shared" si="81"/>
        <v>2.4516738978326318</v>
      </c>
      <c r="N241" s="46">
        <f>IF(ISNUMBER(NORMSINV(SUM(M$13:M241)/M$317)),NORMSINV(SUM(M$13:M241)/M$317)," ")</f>
        <v>1.0679868722808237</v>
      </c>
      <c r="O241" s="46">
        <f t="shared" si="82"/>
        <v>0</v>
      </c>
      <c r="P241" s="46" t="str">
        <f>IF(ISNUMBER(NORMSINV(SUM(O$13:O241)/O$317)),NORMSINV(SUM(O$13:O241)/O$317)," ")</f>
        <v xml:space="preserve"> </v>
      </c>
      <c r="Q241" s="46">
        <f t="shared" si="83"/>
        <v>0</v>
      </c>
      <c r="R241" s="46" t="str">
        <f>IF(ISNUMBER(NORMSINV(SUM(Q$13:Q241)/Q$317)),NORMSINV(SUM(Q$13:Q241)/Q$317)," ")</f>
        <v xml:space="preserve"> </v>
      </c>
      <c r="S241" s="46">
        <f t="shared" si="84"/>
        <v>0</v>
      </c>
      <c r="T241" s="46" t="str">
        <f>IF(ISNUMBER(NORMSINV(SUM(S$13:S241)/S$317)),NORMSINV(SUM(S$13:S241)/S$317)," ")</f>
        <v xml:space="preserve"> </v>
      </c>
      <c r="U241" s="46">
        <f t="shared" si="85"/>
        <v>0</v>
      </c>
      <c r="V241" s="46" t="str">
        <f>IF(ISNUMBER(NORMSINV(SUM(U$13:U241)/U$317)),NORMSINV(SUM(U$13:U241)/U$317)," ")</f>
        <v xml:space="preserve"> </v>
      </c>
      <c r="W241" s="46">
        <f t="shared" si="86"/>
        <v>0</v>
      </c>
      <c r="X241" s="46" t="str">
        <f>IF(ISNUMBER(NORMSINV(SUM(W$13:W241)/W$317)),NORMSINV(SUM(W$13:W241)/W$317)," ")</f>
        <v xml:space="preserve"> </v>
      </c>
      <c r="Y241" s="46">
        <f t="shared" si="87"/>
        <v>0</v>
      </c>
      <c r="Z241" s="46" t="str">
        <f>IF(ISNUMBER(NORMSINV(SUM(Y$13:Y241)/Y$317)),NORMSINV(SUM(Y$13:Y241)/Y$317)," ")</f>
        <v xml:space="preserve"> </v>
      </c>
      <c r="AA241" s="46">
        <f t="shared" si="88"/>
        <v>0</v>
      </c>
      <c r="AB241" s="46" t="str">
        <f>IF(ISNUMBER(NORMSINV(SUM(AA$13:AA241)/AA$317)),NORMSINV(SUM(AA$13:AA241)/AA$317)," ")</f>
        <v xml:space="preserve"> </v>
      </c>
      <c r="AC241" s="46">
        <f t="shared" si="89"/>
        <v>0</v>
      </c>
      <c r="AD241" s="46" t="str">
        <f>IF(ISNUMBER(NORMSINV(SUM(AC$13:AC241)/AC$317)),NORMSINV(SUM(AC$13:AC241)/AC$317)," ")</f>
        <v xml:space="preserve"> </v>
      </c>
      <c r="AE241" s="46">
        <f t="shared" si="90"/>
        <v>0</v>
      </c>
      <c r="AF241" s="46" t="str">
        <f>IF(ISNUMBER(NORMSINV(SUM(AE$13:AE241)/AE$317)),NORMSINV(SUM(AE$13:AE241)/AE$317)," ")</f>
        <v xml:space="preserve"> </v>
      </c>
      <c r="AG241" s="46">
        <f t="shared" si="91"/>
        <v>0</v>
      </c>
      <c r="AH241" s="46" t="str">
        <f>IF(ISNUMBER(NORMSINV(SUM(AG$13:AG241)/AG$317)),NORMSINV(SUM(AG$13:AG241)/AG$317)," ")</f>
        <v xml:space="preserve"> </v>
      </c>
      <c r="AI241" s="46">
        <f t="shared" si="92"/>
        <v>0</v>
      </c>
      <c r="AJ241" s="46" t="str">
        <f>IF(ISNUMBER(NORMSINV(SUM(AI$13:AI241)/AI$317)),NORMSINV(SUM(AI$13:AI241)/AI$317)," ")</f>
        <v xml:space="preserve"> </v>
      </c>
      <c r="AK241" s="46">
        <f t="shared" si="93"/>
        <v>0</v>
      </c>
      <c r="AL241" s="46" t="str">
        <f>IF(ISNUMBER(NORMSINV(SUM(AK$13:AK241)/AK$317)),NORMSINV(SUM(AK$13:AK241)/AK$317)," ")</f>
        <v xml:space="preserve"> </v>
      </c>
      <c r="AM241" s="6">
        <v>0</v>
      </c>
      <c r="AN241" s="6">
        <v>0</v>
      </c>
      <c r="AO241" s="6">
        <v>0</v>
      </c>
      <c r="AP241" s="6">
        <v>0</v>
      </c>
      <c r="AQ241" s="6">
        <v>0</v>
      </c>
      <c r="AR241" s="6">
        <v>0</v>
      </c>
      <c r="AS241" s="6">
        <v>0</v>
      </c>
      <c r="AT241" s="6">
        <v>0</v>
      </c>
      <c r="AU241" s="6">
        <v>0</v>
      </c>
    </row>
    <row r="242" spans="1:47" x14ac:dyDescent="0.4">
      <c r="A242" s="6">
        <f t="shared" si="78"/>
        <v>4.9830814491599735</v>
      </c>
      <c r="B242" s="6">
        <f>'Aerosol 1'!A246</f>
        <v>145.92334493826789</v>
      </c>
      <c r="C242" t="b">
        <f t="shared" si="79"/>
        <v>1</v>
      </c>
      <c r="E242" s="46">
        <f>'Aerosol 1'!$P246</f>
        <v>0.47589791434730078</v>
      </c>
      <c r="F242" s="46">
        <f>'Aerosol 2'!$P246</f>
        <v>0.47589791434730078</v>
      </c>
      <c r="G242" s="46">
        <f>'Aerosol 3'!$P246</f>
        <v>0.47589791434730078</v>
      </c>
      <c r="H242" s="46">
        <f t="shared" si="80"/>
        <v>1.4276937430419023</v>
      </c>
      <c r="I242" s="46">
        <f>NORMSINV(SUM(H$13:H242)/H$317)</f>
        <v>1.0894383072915896</v>
      </c>
      <c r="J242" s="46">
        <f t="shared" si="75"/>
        <v>0.25698487374754242</v>
      </c>
      <c r="K242" s="46">
        <f t="shared" si="76"/>
        <v>0.71384687152095117</v>
      </c>
      <c r="L242" s="46">
        <f t="shared" si="77"/>
        <v>1.4276366352921808</v>
      </c>
      <c r="M242" s="46">
        <f t="shared" si="81"/>
        <v>2.3984683805606744</v>
      </c>
      <c r="N242" s="46">
        <f>IF(ISNUMBER(NORMSINV(SUM(M$13:M242)/M$317)),NORMSINV(SUM(M$13:M242)/M$317)," ")</f>
        <v>1.089438307291589</v>
      </c>
      <c r="O242" s="46">
        <f t="shared" si="82"/>
        <v>0</v>
      </c>
      <c r="P242" s="46" t="str">
        <f>IF(ISNUMBER(NORMSINV(SUM(O$13:O242)/O$317)),NORMSINV(SUM(O$13:O242)/O$317)," ")</f>
        <v xml:space="preserve"> </v>
      </c>
      <c r="Q242" s="46">
        <f t="shared" si="83"/>
        <v>0</v>
      </c>
      <c r="R242" s="46" t="str">
        <f>IF(ISNUMBER(NORMSINV(SUM(Q$13:Q242)/Q$317)),NORMSINV(SUM(Q$13:Q242)/Q$317)," ")</f>
        <v xml:space="preserve"> </v>
      </c>
      <c r="S242" s="46">
        <f t="shared" si="84"/>
        <v>0</v>
      </c>
      <c r="T242" s="46" t="str">
        <f>IF(ISNUMBER(NORMSINV(SUM(S$13:S242)/S$317)),NORMSINV(SUM(S$13:S242)/S$317)," ")</f>
        <v xml:space="preserve"> </v>
      </c>
      <c r="U242" s="46">
        <f t="shared" si="85"/>
        <v>0</v>
      </c>
      <c r="V242" s="46" t="str">
        <f>IF(ISNUMBER(NORMSINV(SUM(U$13:U242)/U$317)),NORMSINV(SUM(U$13:U242)/U$317)," ")</f>
        <v xml:space="preserve"> </v>
      </c>
      <c r="W242" s="46">
        <f t="shared" si="86"/>
        <v>0</v>
      </c>
      <c r="X242" s="46" t="str">
        <f>IF(ISNUMBER(NORMSINV(SUM(W$13:W242)/W$317)),NORMSINV(SUM(W$13:W242)/W$317)," ")</f>
        <v xml:space="preserve"> </v>
      </c>
      <c r="Y242" s="46">
        <f t="shared" si="87"/>
        <v>0</v>
      </c>
      <c r="Z242" s="46" t="str">
        <f>IF(ISNUMBER(NORMSINV(SUM(Y$13:Y242)/Y$317)),NORMSINV(SUM(Y$13:Y242)/Y$317)," ")</f>
        <v xml:space="preserve"> </v>
      </c>
      <c r="AA242" s="46">
        <f t="shared" si="88"/>
        <v>0</v>
      </c>
      <c r="AB242" s="46" t="str">
        <f>IF(ISNUMBER(NORMSINV(SUM(AA$13:AA242)/AA$317)),NORMSINV(SUM(AA$13:AA242)/AA$317)," ")</f>
        <v xml:space="preserve"> </v>
      </c>
      <c r="AC242" s="46">
        <f t="shared" si="89"/>
        <v>0</v>
      </c>
      <c r="AD242" s="46" t="str">
        <f>IF(ISNUMBER(NORMSINV(SUM(AC$13:AC242)/AC$317)),NORMSINV(SUM(AC$13:AC242)/AC$317)," ")</f>
        <v xml:space="preserve"> </v>
      </c>
      <c r="AE242" s="46">
        <f t="shared" si="90"/>
        <v>0</v>
      </c>
      <c r="AF242" s="46" t="str">
        <f>IF(ISNUMBER(NORMSINV(SUM(AE$13:AE242)/AE$317)),NORMSINV(SUM(AE$13:AE242)/AE$317)," ")</f>
        <v xml:space="preserve"> </v>
      </c>
      <c r="AG242" s="46">
        <f t="shared" si="91"/>
        <v>0</v>
      </c>
      <c r="AH242" s="46" t="str">
        <f>IF(ISNUMBER(NORMSINV(SUM(AG$13:AG242)/AG$317)),NORMSINV(SUM(AG$13:AG242)/AG$317)," ")</f>
        <v xml:space="preserve"> </v>
      </c>
      <c r="AI242" s="46">
        <f t="shared" si="92"/>
        <v>0</v>
      </c>
      <c r="AJ242" s="46" t="str">
        <f>IF(ISNUMBER(NORMSINV(SUM(AI$13:AI242)/AI$317)),NORMSINV(SUM(AI$13:AI242)/AI$317)," ")</f>
        <v xml:space="preserve"> </v>
      </c>
      <c r="AK242" s="46">
        <f t="shared" si="93"/>
        <v>0</v>
      </c>
      <c r="AL242" s="46" t="str">
        <f>IF(ISNUMBER(NORMSINV(SUM(AK$13:AK242)/AK$317)),NORMSINV(SUM(AK$13:AK242)/AK$317)," ")</f>
        <v xml:space="preserve"> </v>
      </c>
      <c r="AM242" s="6">
        <v>0</v>
      </c>
      <c r="AN242" s="6">
        <v>0</v>
      </c>
      <c r="AO242" s="6">
        <v>0</v>
      </c>
      <c r="AP242" s="6">
        <v>0</v>
      </c>
      <c r="AQ242" s="6">
        <v>0</v>
      </c>
      <c r="AR242" s="6">
        <v>0</v>
      </c>
      <c r="AS242" s="6">
        <v>0</v>
      </c>
      <c r="AT242" s="6">
        <v>0</v>
      </c>
      <c r="AU242" s="6">
        <v>0</v>
      </c>
    </row>
    <row r="243" spans="1:47" x14ac:dyDescent="0.4">
      <c r="A243" s="6">
        <f t="shared" si="78"/>
        <v>5.017560026591152</v>
      </c>
      <c r="B243" s="6">
        <f>'Aerosol 1'!A247</f>
        <v>151.04231458399045</v>
      </c>
      <c r="C243" t="b">
        <f t="shared" si="79"/>
        <v>1</v>
      </c>
      <c r="E243" s="46">
        <f>'Aerosol 1'!$P247</f>
        <v>0.4653665466289536</v>
      </c>
      <c r="F243" s="46">
        <f>'Aerosol 2'!$P247</f>
        <v>0.4653665466289536</v>
      </c>
      <c r="G243" s="46">
        <f>'Aerosol 3'!$P247</f>
        <v>0.4653665466289536</v>
      </c>
      <c r="H243" s="46">
        <f t="shared" si="80"/>
        <v>1.3960996398868608</v>
      </c>
      <c r="I243" s="46">
        <f>NORMSINV(SUM(H$13:H243)/H$317)</f>
        <v>1.1109112678772242</v>
      </c>
      <c r="J243" s="46">
        <f t="shared" si="75"/>
        <v>0.25129793517963495</v>
      </c>
      <c r="K243" s="46">
        <f t="shared" si="76"/>
        <v>0.69804981994343041</v>
      </c>
      <c r="L243" s="46">
        <f t="shared" si="77"/>
        <v>1.3960437959012655</v>
      </c>
      <c r="M243" s="46">
        <f t="shared" si="81"/>
        <v>2.3453915510243308</v>
      </c>
      <c r="N243" s="46">
        <f>IF(ISNUMBER(NORMSINV(SUM(M$13:M243)/M$317)),NORMSINV(SUM(M$13:M243)/M$317)," ")</f>
        <v>1.1109112678772231</v>
      </c>
      <c r="O243" s="46">
        <f t="shared" si="82"/>
        <v>0</v>
      </c>
      <c r="P243" s="46" t="str">
        <f>IF(ISNUMBER(NORMSINV(SUM(O$13:O243)/O$317)),NORMSINV(SUM(O$13:O243)/O$317)," ")</f>
        <v xml:space="preserve"> </v>
      </c>
      <c r="Q243" s="46">
        <f t="shared" si="83"/>
        <v>0</v>
      </c>
      <c r="R243" s="46" t="str">
        <f>IF(ISNUMBER(NORMSINV(SUM(Q$13:Q243)/Q$317)),NORMSINV(SUM(Q$13:Q243)/Q$317)," ")</f>
        <v xml:space="preserve"> </v>
      </c>
      <c r="S243" s="46">
        <f t="shared" si="84"/>
        <v>0</v>
      </c>
      <c r="T243" s="46" t="str">
        <f>IF(ISNUMBER(NORMSINV(SUM(S$13:S243)/S$317)),NORMSINV(SUM(S$13:S243)/S$317)," ")</f>
        <v xml:space="preserve"> </v>
      </c>
      <c r="U243" s="46">
        <f t="shared" si="85"/>
        <v>0</v>
      </c>
      <c r="V243" s="46" t="str">
        <f>IF(ISNUMBER(NORMSINV(SUM(U$13:U243)/U$317)),NORMSINV(SUM(U$13:U243)/U$317)," ")</f>
        <v xml:space="preserve"> </v>
      </c>
      <c r="W243" s="46">
        <f t="shared" si="86"/>
        <v>0</v>
      </c>
      <c r="X243" s="46" t="str">
        <f>IF(ISNUMBER(NORMSINV(SUM(W$13:W243)/W$317)),NORMSINV(SUM(W$13:W243)/W$317)," ")</f>
        <v xml:space="preserve"> </v>
      </c>
      <c r="Y243" s="46">
        <f t="shared" si="87"/>
        <v>0</v>
      </c>
      <c r="Z243" s="46" t="str">
        <f>IF(ISNUMBER(NORMSINV(SUM(Y$13:Y243)/Y$317)),NORMSINV(SUM(Y$13:Y243)/Y$317)," ")</f>
        <v xml:space="preserve"> </v>
      </c>
      <c r="AA243" s="46">
        <f t="shared" si="88"/>
        <v>0</v>
      </c>
      <c r="AB243" s="46" t="str">
        <f>IF(ISNUMBER(NORMSINV(SUM(AA$13:AA243)/AA$317)),NORMSINV(SUM(AA$13:AA243)/AA$317)," ")</f>
        <v xml:space="preserve"> </v>
      </c>
      <c r="AC243" s="46">
        <f t="shared" si="89"/>
        <v>0</v>
      </c>
      <c r="AD243" s="46" t="str">
        <f>IF(ISNUMBER(NORMSINV(SUM(AC$13:AC243)/AC$317)),NORMSINV(SUM(AC$13:AC243)/AC$317)," ")</f>
        <v xml:space="preserve"> </v>
      </c>
      <c r="AE243" s="46">
        <f t="shared" si="90"/>
        <v>0</v>
      </c>
      <c r="AF243" s="46" t="str">
        <f>IF(ISNUMBER(NORMSINV(SUM(AE$13:AE243)/AE$317)),NORMSINV(SUM(AE$13:AE243)/AE$317)," ")</f>
        <v xml:space="preserve"> </v>
      </c>
      <c r="AG243" s="46">
        <f t="shared" si="91"/>
        <v>0</v>
      </c>
      <c r="AH243" s="46" t="str">
        <f>IF(ISNUMBER(NORMSINV(SUM(AG$13:AG243)/AG$317)),NORMSINV(SUM(AG$13:AG243)/AG$317)," ")</f>
        <v xml:space="preserve"> </v>
      </c>
      <c r="AI243" s="46">
        <f t="shared" si="92"/>
        <v>0</v>
      </c>
      <c r="AJ243" s="46" t="str">
        <f>IF(ISNUMBER(NORMSINV(SUM(AI$13:AI243)/AI$317)),NORMSINV(SUM(AI$13:AI243)/AI$317)," ")</f>
        <v xml:space="preserve"> </v>
      </c>
      <c r="AK243" s="46">
        <f t="shared" si="93"/>
        <v>0</v>
      </c>
      <c r="AL243" s="46" t="str">
        <f>IF(ISNUMBER(NORMSINV(SUM(AK$13:AK243)/AK$317)),NORMSINV(SUM(AK$13:AK243)/AK$317)," ")</f>
        <v xml:space="preserve"> </v>
      </c>
      <c r="AM243" s="6">
        <v>0</v>
      </c>
      <c r="AN243" s="6">
        <v>0</v>
      </c>
      <c r="AO243" s="6">
        <v>0</v>
      </c>
      <c r="AP243" s="6">
        <v>0</v>
      </c>
      <c r="AQ243" s="6">
        <v>0</v>
      </c>
      <c r="AR243" s="6">
        <v>0</v>
      </c>
      <c r="AS243" s="6">
        <v>0</v>
      </c>
      <c r="AT243" s="6">
        <v>0</v>
      </c>
      <c r="AU243" s="6">
        <v>0</v>
      </c>
    </row>
    <row r="244" spans="1:47" x14ac:dyDescent="0.4">
      <c r="A244" s="6">
        <f t="shared" si="78"/>
        <v>5.0520386040223304</v>
      </c>
      <c r="B244" s="6">
        <f>'Aerosol 1'!A248</f>
        <v>156.34085693786957</v>
      </c>
      <c r="C244" t="b">
        <f t="shared" si="79"/>
        <v>1</v>
      </c>
      <c r="E244" s="46">
        <f>'Aerosol 1'!$P248</f>
        <v>0.45486925545493717</v>
      </c>
      <c r="F244" s="46">
        <f>'Aerosol 2'!$P248</f>
        <v>0.45486925545493717</v>
      </c>
      <c r="G244" s="46">
        <f>'Aerosol 3'!$P248</f>
        <v>0.45486925545493717</v>
      </c>
      <c r="H244" s="46">
        <f t="shared" si="80"/>
        <v>1.3646077663648115</v>
      </c>
      <c r="I244" s="46">
        <f>NORMSINV(SUM(H$13:H244)/H$317)</f>
        <v>1.1324068073081812</v>
      </c>
      <c r="J244" s="46">
        <f t="shared" si="75"/>
        <v>0.2456293979456661</v>
      </c>
      <c r="K244" s="46">
        <f t="shared" si="76"/>
        <v>0.68230388318240576</v>
      </c>
      <c r="L244" s="46">
        <f t="shared" si="77"/>
        <v>1.364553182054157</v>
      </c>
      <c r="M244" s="46">
        <f t="shared" si="81"/>
        <v>2.2924864631822288</v>
      </c>
      <c r="N244" s="46">
        <f>IF(ISNUMBER(NORMSINV(SUM(M$13:M244)/M$317)),NORMSINV(SUM(M$13:M244)/M$317)," ")</f>
        <v>1.1324068073081808</v>
      </c>
      <c r="O244" s="46">
        <f t="shared" si="82"/>
        <v>0</v>
      </c>
      <c r="P244" s="46" t="str">
        <f>IF(ISNUMBER(NORMSINV(SUM(O$13:O244)/O$317)),NORMSINV(SUM(O$13:O244)/O$317)," ")</f>
        <v xml:space="preserve"> </v>
      </c>
      <c r="Q244" s="46">
        <f t="shared" si="83"/>
        <v>0</v>
      </c>
      <c r="R244" s="46" t="str">
        <f>IF(ISNUMBER(NORMSINV(SUM(Q$13:Q244)/Q$317)),NORMSINV(SUM(Q$13:Q244)/Q$317)," ")</f>
        <v xml:space="preserve"> </v>
      </c>
      <c r="S244" s="46">
        <f t="shared" si="84"/>
        <v>0</v>
      </c>
      <c r="T244" s="46" t="str">
        <f>IF(ISNUMBER(NORMSINV(SUM(S$13:S244)/S$317)),NORMSINV(SUM(S$13:S244)/S$317)," ")</f>
        <v xml:space="preserve"> </v>
      </c>
      <c r="U244" s="46">
        <f t="shared" si="85"/>
        <v>0</v>
      </c>
      <c r="V244" s="46" t="str">
        <f>IF(ISNUMBER(NORMSINV(SUM(U$13:U244)/U$317)),NORMSINV(SUM(U$13:U244)/U$317)," ")</f>
        <v xml:space="preserve"> </v>
      </c>
      <c r="W244" s="46">
        <f t="shared" si="86"/>
        <v>0</v>
      </c>
      <c r="X244" s="46" t="str">
        <f>IF(ISNUMBER(NORMSINV(SUM(W$13:W244)/W$317)),NORMSINV(SUM(W$13:W244)/W$317)," ")</f>
        <v xml:space="preserve"> </v>
      </c>
      <c r="Y244" s="46">
        <f t="shared" si="87"/>
        <v>0</v>
      </c>
      <c r="Z244" s="46" t="str">
        <f>IF(ISNUMBER(NORMSINV(SUM(Y$13:Y244)/Y$317)),NORMSINV(SUM(Y$13:Y244)/Y$317)," ")</f>
        <v xml:space="preserve"> </v>
      </c>
      <c r="AA244" s="46">
        <f t="shared" si="88"/>
        <v>0</v>
      </c>
      <c r="AB244" s="46" t="str">
        <f>IF(ISNUMBER(NORMSINV(SUM(AA$13:AA244)/AA$317)),NORMSINV(SUM(AA$13:AA244)/AA$317)," ")</f>
        <v xml:space="preserve"> </v>
      </c>
      <c r="AC244" s="46">
        <f t="shared" si="89"/>
        <v>0</v>
      </c>
      <c r="AD244" s="46" t="str">
        <f>IF(ISNUMBER(NORMSINV(SUM(AC$13:AC244)/AC$317)),NORMSINV(SUM(AC$13:AC244)/AC$317)," ")</f>
        <v xml:space="preserve"> </v>
      </c>
      <c r="AE244" s="46">
        <f t="shared" si="90"/>
        <v>0</v>
      </c>
      <c r="AF244" s="46" t="str">
        <f>IF(ISNUMBER(NORMSINV(SUM(AE$13:AE244)/AE$317)),NORMSINV(SUM(AE$13:AE244)/AE$317)," ")</f>
        <v xml:space="preserve"> </v>
      </c>
      <c r="AG244" s="46">
        <f t="shared" si="91"/>
        <v>0</v>
      </c>
      <c r="AH244" s="46" t="str">
        <f>IF(ISNUMBER(NORMSINV(SUM(AG$13:AG244)/AG$317)),NORMSINV(SUM(AG$13:AG244)/AG$317)," ")</f>
        <v xml:space="preserve"> </v>
      </c>
      <c r="AI244" s="46">
        <f t="shared" si="92"/>
        <v>0</v>
      </c>
      <c r="AJ244" s="46" t="str">
        <f>IF(ISNUMBER(NORMSINV(SUM(AI$13:AI244)/AI$317)),NORMSINV(SUM(AI$13:AI244)/AI$317)," ")</f>
        <v xml:space="preserve"> </v>
      </c>
      <c r="AK244" s="46">
        <f t="shared" si="93"/>
        <v>0</v>
      </c>
      <c r="AL244" s="46" t="str">
        <f>IF(ISNUMBER(NORMSINV(SUM(AK$13:AK244)/AK$317)),NORMSINV(SUM(AK$13:AK244)/AK$317)," ")</f>
        <v xml:space="preserve"> </v>
      </c>
      <c r="AM244" s="6">
        <v>0</v>
      </c>
      <c r="AN244" s="6">
        <v>0</v>
      </c>
      <c r="AO244" s="6">
        <v>0</v>
      </c>
      <c r="AP244" s="6">
        <v>0</v>
      </c>
      <c r="AQ244" s="6">
        <v>0</v>
      </c>
      <c r="AR244" s="6">
        <v>0</v>
      </c>
      <c r="AS244" s="6">
        <v>0</v>
      </c>
      <c r="AT244" s="6">
        <v>0</v>
      </c>
      <c r="AU244" s="6">
        <v>0</v>
      </c>
    </row>
    <row r="245" spans="1:47" x14ac:dyDescent="0.4">
      <c r="A245" s="6">
        <f t="shared" si="78"/>
        <v>5.0865171814535097</v>
      </c>
      <c r="B245" s="6">
        <f>'Aerosol 1'!A249</f>
        <v>161.82527138430234</v>
      </c>
      <c r="C245" t="b">
        <f t="shared" si="79"/>
        <v>1</v>
      </c>
      <c r="E245" s="46">
        <f>'Aerosol 1'!$P249</f>
        <v>0.44441434843366379</v>
      </c>
      <c r="F245" s="46">
        <f>'Aerosol 2'!$P249</f>
        <v>0.44441434843366379</v>
      </c>
      <c r="G245" s="46">
        <f>'Aerosol 3'!$P249</f>
        <v>0.44441434843366379</v>
      </c>
      <c r="H245" s="46">
        <f t="shared" si="80"/>
        <v>1.3332430453009914</v>
      </c>
      <c r="I245" s="46">
        <f>NORMSINV(SUM(H$13:H245)/H$317)</f>
        <v>1.153926039360051</v>
      </c>
      <c r="J245" s="46">
        <f t="shared" si="75"/>
        <v>0.23998374815417847</v>
      </c>
      <c r="K245" s="46">
        <f t="shared" si="76"/>
        <v>0.66662152265049568</v>
      </c>
      <c r="L245" s="46">
        <f t="shared" si="77"/>
        <v>1.3331897155791794</v>
      </c>
      <c r="M245" s="46">
        <f t="shared" si="81"/>
        <v>2.2397949863838535</v>
      </c>
      <c r="N245" s="46">
        <f>IF(ISNUMBER(NORMSINV(SUM(M$13:M245)/M$317)),NORMSINV(SUM(M$13:M245)/M$317)," ")</f>
        <v>1.1539260393600503</v>
      </c>
      <c r="O245" s="46">
        <f t="shared" si="82"/>
        <v>0</v>
      </c>
      <c r="P245" s="46" t="str">
        <f>IF(ISNUMBER(NORMSINV(SUM(O$13:O245)/O$317)),NORMSINV(SUM(O$13:O245)/O$317)," ")</f>
        <v xml:space="preserve"> </v>
      </c>
      <c r="Q245" s="46">
        <f t="shared" si="83"/>
        <v>0</v>
      </c>
      <c r="R245" s="46" t="str">
        <f>IF(ISNUMBER(NORMSINV(SUM(Q$13:Q245)/Q$317)),NORMSINV(SUM(Q$13:Q245)/Q$317)," ")</f>
        <v xml:space="preserve"> </v>
      </c>
      <c r="S245" s="46">
        <f t="shared" si="84"/>
        <v>0</v>
      </c>
      <c r="T245" s="46" t="str">
        <f>IF(ISNUMBER(NORMSINV(SUM(S$13:S245)/S$317)),NORMSINV(SUM(S$13:S245)/S$317)," ")</f>
        <v xml:space="preserve"> </v>
      </c>
      <c r="U245" s="46">
        <f t="shared" si="85"/>
        <v>0</v>
      </c>
      <c r="V245" s="46" t="str">
        <f>IF(ISNUMBER(NORMSINV(SUM(U$13:U245)/U$317)),NORMSINV(SUM(U$13:U245)/U$317)," ")</f>
        <v xml:space="preserve"> </v>
      </c>
      <c r="W245" s="46">
        <f t="shared" si="86"/>
        <v>0</v>
      </c>
      <c r="X245" s="46" t="str">
        <f>IF(ISNUMBER(NORMSINV(SUM(W$13:W245)/W$317)),NORMSINV(SUM(W$13:W245)/W$317)," ")</f>
        <v xml:space="preserve"> </v>
      </c>
      <c r="Y245" s="46">
        <f t="shared" si="87"/>
        <v>0</v>
      </c>
      <c r="Z245" s="46" t="str">
        <f>IF(ISNUMBER(NORMSINV(SUM(Y$13:Y245)/Y$317)),NORMSINV(SUM(Y$13:Y245)/Y$317)," ")</f>
        <v xml:space="preserve"> </v>
      </c>
      <c r="AA245" s="46">
        <f t="shared" si="88"/>
        <v>0</v>
      </c>
      <c r="AB245" s="46" t="str">
        <f>IF(ISNUMBER(NORMSINV(SUM(AA$13:AA245)/AA$317)),NORMSINV(SUM(AA$13:AA245)/AA$317)," ")</f>
        <v xml:space="preserve"> </v>
      </c>
      <c r="AC245" s="46">
        <f t="shared" si="89"/>
        <v>0</v>
      </c>
      <c r="AD245" s="46" t="str">
        <f>IF(ISNUMBER(NORMSINV(SUM(AC$13:AC245)/AC$317)),NORMSINV(SUM(AC$13:AC245)/AC$317)," ")</f>
        <v xml:space="preserve"> </v>
      </c>
      <c r="AE245" s="46">
        <f t="shared" si="90"/>
        <v>0</v>
      </c>
      <c r="AF245" s="46" t="str">
        <f>IF(ISNUMBER(NORMSINV(SUM(AE$13:AE245)/AE$317)),NORMSINV(SUM(AE$13:AE245)/AE$317)," ")</f>
        <v xml:space="preserve"> </v>
      </c>
      <c r="AG245" s="46">
        <f t="shared" si="91"/>
        <v>0</v>
      </c>
      <c r="AH245" s="46" t="str">
        <f>IF(ISNUMBER(NORMSINV(SUM(AG$13:AG245)/AG$317)),NORMSINV(SUM(AG$13:AG245)/AG$317)," ")</f>
        <v xml:space="preserve"> </v>
      </c>
      <c r="AI245" s="46">
        <f t="shared" si="92"/>
        <v>0</v>
      </c>
      <c r="AJ245" s="46" t="str">
        <f>IF(ISNUMBER(NORMSINV(SUM(AI$13:AI245)/AI$317)),NORMSINV(SUM(AI$13:AI245)/AI$317)," ")</f>
        <v xml:space="preserve"> </v>
      </c>
      <c r="AK245" s="46">
        <f t="shared" si="93"/>
        <v>0</v>
      </c>
      <c r="AL245" s="46" t="str">
        <f>IF(ISNUMBER(NORMSINV(SUM(AK$13:AK245)/AK$317)),NORMSINV(SUM(AK$13:AK245)/AK$317)," ")</f>
        <v xml:space="preserve"> </v>
      </c>
      <c r="AM245" s="6">
        <v>0</v>
      </c>
      <c r="AN245" s="6">
        <v>0</v>
      </c>
      <c r="AO245" s="6">
        <v>0</v>
      </c>
      <c r="AP245" s="6">
        <v>0</v>
      </c>
      <c r="AQ245" s="6">
        <v>0</v>
      </c>
      <c r="AR245" s="6">
        <v>0</v>
      </c>
      <c r="AS245" s="6">
        <v>0</v>
      </c>
      <c r="AT245" s="6">
        <v>0</v>
      </c>
      <c r="AU245" s="6">
        <v>0</v>
      </c>
    </row>
    <row r="246" spans="1:47" x14ac:dyDescent="0.4">
      <c r="A246" s="6">
        <f t="shared" si="78"/>
        <v>5.1209957588846882</v>
      </c>
      <c r="B246" s="6">
        <f>'Aerosol 1'!A250</f>
        <v>167.50207828917075</v>
      </c>
      <c r="C246" t="b">
        <f t="shared" si="79"/>
        <v>1</v>
      </c>
      <c r="E246" s="46">
        <f>'Aerosol 1'!$P250</f>
        <v>0.43400988906387994</v>
      </c>
      <c r="F246" s="46">
        <f>'Aerosol 2'!$P250</f>
        <v>0.43400988906387994</v>
      </c>
      <c r="G246" s="46">
        <f>'Aerosol 3'!$P250</f>
        <v>0.43400988906387994</v>
      </c>
      <c r="H246" s="46">
        <f t="shared" si="80"/>
        <v>1.3020296671916398</v>
      </c>
      <c r="I246" s="46">
        <f>NORMSINV(SUM(H$13:H246)/H$317)</f>
        <v>1.1754701423425025</v>
      </c>
      <c r="J246" s="46">
        <f t="shared" si="75"/>
        <v>0.23436534009449519</v>
      </c>
      <c r="K246" s="46">
        <f t="shared" si="76"/>
        <v>0.65101483359581991</v>
      </c>
      <c r="L246" s="46">
        <f t="shared" si="77"/>
        <v>1.3019775860049523</v>
      </c>
      <c r="M246" s="46">
        <f t="shared" si="81"/>
        <v>2.1873577596952671</v>
      </c>
      <c r="N246" s="46">
        <f>IF(ISNUMBER(NORMSINV(SUM(M$13:M246)/M$317)),NORMSINV(SUM(M$13:M246)/M$317)," ")</f>
        <v>1.1754701423425007</v>
      </c>
      <c r="O246" s="46">
        <f t="shared" si="82"/>
        <v>0</v>
      </c>
      <c r="P246" s="46" t="str">
        <f>IF(ISNUMBER(NORMSINV(SUM(O$13:O246)/O$317)),NORMSINV(SUM(O$13:O246)/O$317)," ")</f>
        <v xml:space="preserve"> </v>
      </c>
      <c r="Q246" s="46">
        <f t="shared" si="83"/>
        <v>0</v>
      </c>
      <c r="R246" s="46" t="str">
        <f>IF(ISNUMBER(NORMSINV(SUM(Q$13:Q246)/Q$317)),NORMSINV(SUM(Q$13:Q246)/Q$317)," ")</f>
        <v xml:space="preserve"> </v>
      </c>
      <c r="S246" s="46">
        <f t="shared" si="84"/>
        <v>0</v>
      </c>
      <c r="T246" s="46" t="str">
        <f>IF(ISNUMBER(NORMSINV(SUM(S$13:S246)/S$317)),NORMSINV(SUM(S$13:S246)/S$317)," ")</f>
        <v xml:space="preserve"> </v>
      </c>
      <c r="U246" s="46">
        <f t="shared" si="85"/>
        <v>0</v>
      </c>
      <c r="V246" s="46" t="str">
        <f>IF(ISNUMBER(NORMSINV(SUM(U$13:U246)/U$317)),NORMSINV(SUM(U$13:U246)/U$317)," ")</f>
        <v xml:space="preserve"> </v>
      </c>
      <c r="W246" s="46">
        <f t="shared" si="86"/>
        <v>0</v>
      </c>
      <c r="X246" s="46" t="str">
        <f>IF(ISNUMBER(NORMSINV(SUM(W$13:W246)/W$317)),NORMSINV(SUM(W$13:W246)/W$317)," ")</f>
        <v xml:space="preserve"> </v>
      </c>
      <c r="Y246" s="46">
        <f t="shared" si="87"/>
        <v>0</v>
      </c>
      <c r="Z246" s="46" t="str">
        <f>IF(ISNUMBER(NORMSINV(SUM(Y$13:Y246)/Y$317)),NORMSINV(SUM(Y$13:Y246)/Y$317)," ")</f>
        <v xml:space="preserve"> </v>
      </c>
      <c r="AA246" s="46">
        <f t="shared" si="88"/>
        <v>0</v>
      </c>
      <c r="AB246" s="46" t="str">
        <f>IF(ISNUMBER(NORMSINV(SUM(AA$13:AA246)/AA$317)),NORMSINV(SUM(AA$13:AA246)/AA$317)," ")</f>
        <v xml:space="preserve"> </v>
      </c>
      <c r="AC246" s="46">
        <f t="shared" si="89"/>
        <v>0</v>
      </c>
      <c r="AD246" s="46" t="str">
        <f>IF(ISNUMBER(NORMSINV(SUM(AC$13:AC246)/AC$317)),NORMSINV(SUM(AC$13:AC246)/AC$317)," ")</f>
        <v xml:space="preserve"> </v>
      </c>
      <c r="AE246" s="46">
        <f t="shared" si="90"/>
        <v>0</v>
      </c>
      <c r="AF246" s="46" t="str">
        <f>IF(ISNUMBER(NORMSINV(SUM(AE$13:AE246)/AE$317)),NORMSINV(SUM(AE$13:AE246)/AE$317)," ")</f>
        <v xml:space="preserve"> </v>
      </c>
      <c r="AG246" s="46">
        <f t="shared" si="91"/>
        <v>0</v>
      </c>
      <c r="AH246" s="46" t="str">
        <f>IF(ISNUMBER(NORMSINV(SUM(AG$13:AG246)/AG$317)),NORMSINV(SUM(AG$13:AG246)/AG$317)," ")</f>
        <v xml:space="preserve"> </v>
      </c>
      <c r="AI246" s="46">
        <f t="shared" si="92"/>
        <v>0</v>
      </c>
      <c r="AJ246" s="46" t="str">
        <f>IF(ISNUMBER(NORMSINV(SUM(AI$13:AI246)/AI$317)),NORMSINV(SUM(AI$13:AI246)/AI$317)," ")</f>
        <v xml:space="preserve"> </v>
      </c>
      <c r="AK246" s="46">
        <f t="shared" si="93"/>
        <v>0</v>
      </c>
      <c r="AL246" s="46" t="str">
        <f>IF(ISNUMBER(NORMSINV(SUM(AK$13:AK246)/AK$317)),NORMSINV(SUM(AK$13:AK246)/AK$317)," ")</f>
        <v xml:space="preserve"> </v>
      </c>
      <c r="AM246" s="6">
        <v>0</v>
      </c>
      <c r="AN246" s="6">
        <v>0</v>
      </c>
      <c r="AO246" s="6">
        <v>0</v>
      </c>
      <c r="AP246" s="6">
        <v>0</v>
      </c>
      <c r="AQ246" s="6">
        <v>0</v>
      </c>
      <c r="AR246" s="6">
        <v>0</v>
      </c>
      <c r="AS246" s="6">
        <v>0</v>
      </c>
      <c r="AT246" s="6">
        <v>0</v>
      </c>
      <c r="AU246" s="6">
        <v>0</v>
      </c>
    </row>
    <row r="247" spans="1:47" x14ac:dyDescent="0.4">
      <c r="A247" s="6">
        <f t="shared" si="78"/>
        <v>5.1554743363158666</v>
      </c>
      <c r="B247" s="6">
        <f>'Aerosol 1'!A251</f>
        <v>173.37802675184096</v>
      </c>
      <c r="C247" t="b">
        <f t="shared" si="79"/>
        <v>1</v>
      </c>
      <c r="E247" s="46">
        <f>'Aerosol 1'!$P251</f>
        <v>0.42366368840585089</v>
      </c>
      <c r="F247" s="46">
        <f>'Aerosol 2'!$P251</f>
        <v>0.42366368840585089</v>
      </c>
      <c r="G247" s="46">
        <f>'Aerosol 3'!$P251</f>
        <v>0.42366368840585089</v>
      </c>
      <c r="H247" s="46">
        <f t="shared" si="80"/>
        <v>1.2709910652175527</v>
      </c>
      <c r="I247" s="46">
        <f>NORMSINV(SUM(H$13:H247)/H$317)</f>
        <v>1.1970403634393836</v>
      </c>
      <c r="J247" s="46">
        <f t="shared" si="75"/>
        <v>0.22877839173915951</v>
      </c>
      <c r="K247" s="46">
        <f t="shared" si="76"/>
        <v>0.63549553260877634</v>
      </c>
      <c r="L247" s="46">
        <f t="shared" si="77"/>
        <v>1.270940225574944</v>
      </c>
      <c r="M247" s="46">
        <f t="shared" si="81"/>
        <v>2.1352141499228798</v>
      </c>
      <c r="N247" s="46">
        <f>IF(ISNUMBER(NORMSINV(SUM(M$13:M247)/M$317)),NORMSINV(SUM(M$13:M247)/M$317)," ")</f>
        <v>1.1970403634393811</v>
      </c>
      <c r="O247" s="46">
        <f t="shared" si="82"/>
        <v>0</v>
      </c>
      <c r="P247" s="46" t="str">
        <f>IF(ISNUMBER(NORMSINV(SUM(O$13:O247)/O$317)),NORMSINV(SUM(O$13:O247)/O$317)," ")</f>
        <v xml:space="preserve"> </v>
      </c>
      <c r="Q247" s="46">
        <f t="shared" si="83"/>
        <v>0</v>
      </c>
      <c r="R247" s="46" t="str">
        <f>IF(ISNUMBER(NORMSINV(SUM(Q$13:Q247)/Q$317)),NORMSINV(SUM(Q$13:Q247)/Q$317)," ")</f>
        <v xml:space="preserve"> </v>
      </c>
      <c r="S247" s="46">
        <f t="shared" si="84"/>
        <v>0</v>
      </c>
      <c r="T247" s="46" t="str">
        <f>IF(ISNUMBER(NORMSINV(SUM(S$13:S247)/S$317)),NORMSINV(SUM(S$13:S247)/S$317)," ")</f>
        <v xml:space="preserve"> </v>
      </c>
      <c r="U247" s="46">
        <f t="shared" si="85"/>
        <v>0</v>
      </c>
      <c r="V247" s="46" t="str">
        <f>IF(ISNUMBER(NORMSINV(SUM(U$13:U247)/U$317)),NORMSINV(SUM(U$13:U247)/U$317)," ")</f>
        <v xml:space="preserve"> </v>
      </c>
      <c r="W247" s="46">
        <f t="shared" si="86"/>
        <v>0</v>
      </c>
      <c r="X247" s="46" t="str">
        <f>IF(ISNUMBER(NORMSINV(SUM(W$13:W247)/W$317)),NORMSINV(SUM(W$13:W247)/W$317)," ")</f>
        <v xml:space="preserve"> </v>
      </c>
      <c r="Y247" s="46">
        <f t="shared" si="87"/>
        <v>0</v>
      </c>
      <c r="Z247" s="46" t="str">
        <f>IF(ISNUMBER(NORMSINV(SUM(Y$13:Y247)/Y$317)),NORMSINV(SUM(Y$13:Y247)/Y$317)," ")</f>
        <v xml:space="preserve"> </v>
      </c>
      <c r="AA247" s="46">
        <f t="shared" si="88"/>
        <v>0</v>
      </c>
      <c r="AB247" s="46" t="str">
        <f>IF(ISNUMBER(NORMSINV(SUM(AA$13:AA247)/AA$317)),NORMSINV(SUM(AA$13:AA247)/AA$317)," ")</f>
        <v xml:space="preserve"> </v>
      </c>
      <c r="AC247" s="46">
        <f t="shared" si="89"/>
        <v>0</v>
      </c>
      <c r="AD247" s="46" t="str">
        <f>IF(ISNUMBER(NORMSINV(SUM(AC$13:AC247)/AC$317)),NORMSINV(SUM(AC$13:AC247)/AC$317)," ")</f>
        <v xml:space="preserve"> </v>
      </c>
      <c r="AE247" s="46">
        <f t="shared" si="90"/>
        <v>0</v>
      </c>
      <c r="AF247" s="46" t="str">
        <f>IF(ISNUMBER(NORMSINV(SUM(AE$13:AE247)/AE$317)),NORMSINV(SUM(AE$13:AE247)/AE$317)," ")</f>
        <v xml:space="preserve"> </v>
      </c>
      <c r="AG247" s="46">
        <f t="shared" si="91"/>
        <v>0</v>
      </c>
      <c r="AH247" s="46" t="str">
        <f>IF(ISNUMBER(NORMSINV(SUM(AG$13:AG247)/AG$317)),NORMSINV(SUM(AG$13:AG247)/AG$317)," ")</f>
        <v xml:space="preserve"> </v>
      </c>
      <c r="AI247" s="46">
        <f t="shared" si="92"/>
        <v>0</v>
      </c>
      <c r="AJ247" s="46" t="str">
        <f>IF(ISNUMBER(NORMSINV(SUM(AI$13:AI247)/AI$317)),NORMSINV(SUM(AI$13:AI247)/AI$317)," ")</f>
        <v xml:space="preserve"> </v>
      </c>
      <c r="AK247" s="46">
        <f t="shared" si="93"/>
        <v>0</v>
      </c>
      <c r="AL247" s="46" t="str">
        <f>IF(ISNUMBER(NORMSINV(SUM(AK$13:AK247)/AK$317)),NORMSINV(SUM(AK$13:AK247)/AK$317)," ")</f>
        <v xml:space="preserve"> </v>
      </c>
      <c r="AM247" s="6">
        <v>0</v>
      </c>
      <c r="AN247" s="6">
        <v>0</v>
      </c>
      <c r="AO247" s="6">
        <v>0</v>
      </c>
      <c r="AP247" s="6">
        <v>0</v>
      </c>
      <c r="AQ247" s="6">
        <v>0</v>
      </c>
      <c r="AR247" s="6">
        <v>0</v>
      </c>
      <c r="AS247" s="6">
        <v>0</v>
      </c>
      <c r="AT247" s="6">
        <v>0</v>
      </c>
      <c r="AU247" s="6">
        <v>0</v>
      </c>
    </row>
    <row r="248" spans="1:47" x14ac:dyDescent="0.4">
      <c r="A248" s="6">
        <f t="shared" si="78"/>
        <v>5.1899529137470459</v>
      </c>
      <c r="B248" s="6">
        <f>'Aerosol 1'!A252</f>
        <v>179.46010262909985</v>
      </c>
      <c r="C248" t="b">
        <f t="shared" si="79"/>
        <v>1</v>
      </c>
      <c r="E248" s="46">
        <f>'Aerosol 1'!$P252</f>
        <v>0.41338329749102121</v>
      </c>
      <c r="F248" s="46">
        <f>'Aerosol 2'!$P252</f>
        <v>0.41338329749102121</v>
      </c>
      <c r="G248" s="46">
        <f>'Aerosol 3'!$P252</f>
        <v>0.41338329749102121</v>
      </c>
      <c r="H248" s="46">
        <f t="shared" si="80"/>
        <v>1.2401498924730636</v>
      </c>
      <c r="I248" s="46">
        <f>NORMSINV(SUM(H$13:H248)/H$317)</f>
        <v>1.2186380233879874</v>
      </c>
      <c r="J248" s="46">
        <f t="shared" si="75"/>
        <v>0.22322698064515148</v>
      </c>
      <c r="K248" s="46">
        <f t="shared" si="76"/>
        <v>0.62007494623653181</v>
      </c>
      <c r="L248" s="46">
        <f t="shared" si="77"/>
        <v>1.2401002864773647</v>
      </c>
      <c r="M248" s="46">
        <f t="shared" si="81"/>
        <v>2.0834022133590482</v>
      </c>
      <c r="N248" s="46">
        <f>IF(ISNUMBER(NORMSINV(SUM(M$13:M248)/M$317)),NORMSINV(SUM(M$13:M248)/M$317)," ")</f>
        <v>1.2186380233879848</v>
      </c>
      <c r="O248" s="46">
        <f t="shared" si="82"/>
        <v>0</v>
      </c>
      <c r="P248" s="46" t="str">
        <f>IF(ISNUMBER(NORMSINV(SUM(O$13:O248)/O$317)),NORMSINV(SUM(O$13:O248)/O$317)," ")</f>
        <v xml:space="preserve"> </v>
      </c>
      <c r="Q248" s="46">
        <f t="shared" si="83"/>
        <v>0</v>
      </c>
      <c r="R248" s="46" t="str">
        <f>IF(ISNUMBER(NORMSINV(SUM(Q$13:Q248)/Q$317)),NORMSINV(SUM(Q$13:Q248)/Q$317)," ")</f>
        <v xml:space="preserve"> </v>
      </c>
      <c r="S248" s="46">
        <f t="shared" si="84"/>
        <v>0</v>
      </c>
      <c r="T248" s="46" t="str">
        <f>IF(ISNUMBER(NORMSINV(SUM(S$13:S248)/S$317)),NORMSINV(SUM(S$13:S248)/S$317)," ")</f>
        <v xml:space="preserve"> </v>
      </c>
      <c r="U248" s="46">
        <f t="shared" si="85"/>
        <v>0</v>
      </c>
      <c r="V248" s="46" t="str">
        <f>IF(ISNUMBER(NORMSINV(SUM(U$13:U248)/U$317)),NORMSINV(SUM(U$13:U248)/U$317)," ")</f>
        <v xml:space="preserve"> </v>
      </c>
      <c r="W248" s="46">
        <f t="shared" si="86"/>
        <v>0</v>
      </c>
      <c r="X248" s="46" t="str">
        <f>IF(ISNUMBER(NORMSINV(SUM(W$13:W248)/W$317)),NORMSINV(SUM(W$13:W248)/W$317)," ")</f>
        <v xml:space="preserve"> </v>
      </c>
      <c r="Y248" s="46">
        <f t="shared" si="87"/>
        <v>0</v>
      </c>
      <c r="Z248" s="46" t="str">
        <f>IF(ISNUMBER(NORMSINV(SUM(Y$13:Y248)/Y$317)),NORMSINV(SUM(Y$13:Y248)/Y$317)," ")</f>
        <v xml:space="preserve"> </v>
      </c>
      <c r="AA248" s="46">
        <f t="shared" si="88"/>
        <v>0</v>
      </c>
      <c r="AB248" s="46" t="str">
        <f>IF(ISNUMBER(NORMSINV(SUM(AA$13:AA248)/AA$317)),NORMSINV(SUM(AA$13:AA248)/AA$317)," ")</f>
        <v xml:space="preserve"> </v>
      </c>
      <c r="AC248" s="46">
        <f t="shared" si="89"/>
        <v>0</v>
      </c>
      <c r="AD248" s="46" t="str">
        <f>IF(ISNUMBER(NORMSINV(SUM(AC$13:AC248)/AC$317)),NORMSINV(SUM(AC$13:AC248)/AC$317)," ")</f>
        <v xml:space="preserve"> </v>
      </c>
      <c r="AE248" s="46">
        <f t="shared" si="90"/>
        <v>0</v>
      </c>
      <c r="AF248" s="46" t="str">
        <f>IF(ISNUMBER(NORMSINV(SUM(AE$13:AE248)/AE$317)),NORMSINV(SUM(AE$13:AE248)/AE$317)," ")</f>
        <v xml:space="preserve"> </v>
      </c>
      <c r="AG248" s="46">
        <f t="shared" si="91"/>
        <v>0</v>
      </c>
      <c r="AH248" s="46" t="str">
        <f>IF(ISNUMBER(NORMSINV(SUM(AG$13:AG248)/AG$317)),NORMSINV(SUM(AG$13:AG248)/AG$317)," ")</f>
        <v xml:space="preserve"> </v>
      </c>
      <c r="AI248" s="46">
        <f t="shared" si="92"/>
        <v>0</v>
      </c>
      <c r="AJ248" s="46" t="str">
        <f>IF(ISNUMBER(NORMSINV(SUM(AI$13:AI248)/AI$317)),NORMSINV(SUM(AI$13:AI248)/AI$317)," ")</f>
        <v xml:space="preserve"> </v>
      </c>
      <c r="AK248" s="46">
        <f t="shared" si="93"/>
        <v>0</v>
      </c>
      <c r="AL248" s="46" t="str">
        <f>IF(ISNUMBER(NORMSINV(SUM(AK$13:AK248)/AK$317)),NORMSINV(SUM(AK$13:AK248)/AK$317)," ")</f>
        <v xml:space="preserve"> </v>
      </c>
      <c r="AM248" s="6">
        <v>0</v>
      </c>
      <c r="AN248" s="6">
        <v>0</v>
      </c>
      <c r="AO248" s="6">
        <v>0</v>
      </c>
      <c r="AP248" s="6">
        <v>0</v>
      </c>
      <c r="AQ248" s="6">
        <v>0</v>
      </c>
      <c r="AR248" s="6">
        <v>0</v>
      </c>
      <c r="AS248" s="6">
        <v>0</v>
      </c>
      <c r="AT248" s="6">
        <v>0</v>
      </c>
      <c r="AU248" s="6">
        <v>0</v>
      </c>
    </row>
    <row r="249" spans="1:47" x14ac:dyDescent="0.4">
      <c r="A249" s="6">
        <f t="shared" si="78"/>
        <v>5.2244314911782244</v>
      </c>
      <c r="B249" s="6">
        <f>'Aerosol 1'!A253</f>
        <v>185.75553684057058</v>
      </c>
      <c r="C249" t="b">
        <f t="shared" si="79"/>
        <v>1</v>
      </c>
      <c r="E249" s="46">
        <f>'Aerosol 1'!$P253</f>
        <v>0.40317600047263813</v>
      </c>
      <c r="F249" s="46">
        <f>'Aerosol 2'!$P253</f>
        <v>0.40317600047263813</v>
      </c>
      <c r="G249" s="46">
        <f>'Aerosol 3'!$P253</f>
        <v>0.40317600047263813</v>
      </c>
      <c r="H249" s="46">
        <f t="shared" si="80"/>
        <v>1.2095280014179144</v>
      </c>
      <c r="I249" s="46">
        <f>NORMSINV(SUM(H$13:H249)/H$317)</f>
        <v>1.2402645215284331</v>
      </c>
      <c r="J249" s="46">
        <f t="shared" si="75"/>
        <v>0.21771504025522462</v>
      </c>
      <c r="K249" s="46">
        <f t="shared" si="76"/>
        <v>0.60476400070895719</v>
      </c>
      <c r="L249" s="46">
        <f t="shared" si="77"/>
        <v>1.2094796202978577</v>
      </c>
      <c r="M249" s="46">
        <f t="shared" si="81"/>
        <v>2.0319586612620393</v>
      </c>
      <c r="N249" s="46">
        <f>IF(ISNUMBER(NORMSINV(SUM(M$13:M249)/M$317)),NORMSINV(SUM(M$13:M249)/M$317)," ")</f>
        <v>1.2402645215284307</v>
      </c>
      <c r="O249" s="46">
        <f t="shared" si="82"/>
        <v>0</v>
      </c>
      <c r="P249" s="46" t="str">
        <f>IF(ISNUMBER(NORMSINV(SUM(O$13:O249)/O$317)),NORMSINV(SUM(O$13:O249)/O$317)," ")</f>
        <v xml:space="preserve"> </v>
      </c>
      <c r="Q249" s="46">
        <f t="shared" si="83"/>
        <v>0</v>
      </c>
      <c r="R249" s="46" t="str">
        <f>IF(ISNUMBER(NORMSINV(SUM(Q$13:Q249)/Q$317)),NORMSINV(SUM(Q$13:Q249)/Q$317)," ")</f>
        <v xml:space="preserve"> </v>
      </c>
      <c r="S249" s="46">
        <f t="shared" si="84"/>
        <v>0</v>
      </c>
      <c r="T249" s="46" t="str">
        <f>IF(ISNUMBER(NORMSINV(SUM(S$13:S249)/S$317)),NORMSINV(SUM(S$13:S249)/S$317)," ")</f>
        <v xml:space="preserve"> </v>
      </c>
      <c r="U249" s="46">
        <f t="shared" si="85"/>
        <v>0</v>
      </c>
      <c r="V249" s="46" t="str">
        <f>IF(ISNUMBER(NORMSINV(SUM(U$13:U249)/U$317)),NORMSINV(SUM(U$13:U249)/U$317)," ")</f>
        <v xml:space="preserve"> </v>
      </c>
      <c r="W249" s="46">
        <f t="shared" si="86"/>
        <v>0</v>
      </c>
      <c r="X249" s="46" t="str">
        <f>IF(ISNUMBER(NORMSINV(SUM(W$13:W249)/W$317)),NORMSINV(SUM(W$13:W249)/W$317)," ")</f>
        <v xml:space="preserve"> </v>
      </c>
      <c r="Y249" s="46">
        <f t="shared" si="87"/>
        <v>0</v>
      </c>
      <c r="Z249" s="46" t="str">
        <f>IF(ISNUMBER(NORMSINV(SUM(Y$13:Y249)/Y$317)),NORMSINV(SUM(Y$13:Y249)/Y$317)," ")</f>
        <v xml:space="preserve"> </v>
      </c>
      <c r="AA249" s="46">
        <f t="shared" si="88"/>
        <v>0</v>
      </c>
      <c r="AB249" s="46" t="str">
        <f>IF(ISNUMBER(NORMSINV(SUM(AA$13:AA249)/AA$317)),NORMSINV(SUM(AA$13:AA249)/AA$317)," ")</f>
        <v xml:space="preserve"> </v>
      </c>
      <c r="AC249" s="46">
        <f t="shared" si="89"/>
        <v>0</v>
      </c>
      <c r="AD249" s="46" t="str">
        <f>IF(ISNUMBER(NORMSINV(SUM(AC$13:AC249)/AC$317)),NORMSINV(SUM(AC$13:AC249)/AC$317)," ")</f>
        <v xml:space="preserve"> </v>
      </c>
      <c r="AE249" s="46">
        <f t="shared" si="90"/>
        <v>0</v>
      </c>
      <c r="AF249" s="46" t="str">
        <f>IF(ISNUMBER(NORMSINV(SUM(AE$13:AE249)/AE$317)),NORMSINV(SUM(AE$13:AE249)/AE$317)," ")</f>
        <v xml:space="preserve"> </v>
      </c>
      <c r="AG249" s="46">
        <f t="shared" si="91"/>
        <v>0</v>
      </c>
      <c r="AH249" s="46" t="str">
        <f>IF(ISNUMBER(NORMSINV(SUM(AG$13:AG249)/AG$317)),NORMSINV(SUM(AG$13:AG249)/AG$317)," ")</f>
        <v xml:space="preserve"> </v>
      </c>
      <c r="AI249" s="46">
        <f t="shared" si="92"/>
        <v>0</v>
      </c>
      <c r="AJ249" s="46" t="str">
        <f>IF(ISNUMBER(NORMSINV(SUM(AI$13:AI249)/AI$317)),NORMSINV(SUM(AI$13:AI249)/AI$317)," ")</f>
        <v xml:space="preserve"> </v>
      </c>
      <c r="AK249" s="46">
        <f t="shared" si="93"/>
        <v>0</v>
      </c>
      <c r="AL249" s="46" t="str">
        <f>IF(ISNUMBER(NORMSINV(SUM(AK$13:AK249)/AK$317)),NORMSINV(SUM(AK$13:AK249)/AK$317)," ")</f>
        <v xml:space="preserve"> </v>
      </c>
      <c r="AM249" s="6">
        <v>0</v>
      </c>
      <c r="AN249" s="6">
        <v>0</v>
      </c>
      <c r="AO249" s="6">
        <v>0</v>
      </c>
      <c r="AP249" s="6">
        <v>0</v>
      </c>
      <c r="AQ249" s="6">
        <v>0</v>
      </c>
      <c r="AR249" s="6">
        <v>0</v>
      </c>
      <c r="AS249" s="6">
        <v>0</v>
      </c>
      <c r="AT249" s="6">
        <v>0</v>
      </c>
      <c r="AU249" s="6">
        <v>0</v>
      </c>
    </row>
    <row r="250" spans="1:47" x14ac:dyDescent="0.4">
      <c r="A250" s="6">
        <f t="shared" si="78"/>
        <v>5.2589100686094028</v>
      </c>
      <c r="B250" s="6">
        <f>'Aerosol 1'!A254</f>
        <v>192.2718139654819</v>
      </c>
      <c r="C250" t="b">
        <f t="shared" si="79"/>
        <v>1</v>
      </c>
      <c r="E250" s="46">
        <f>'Aerosol 1'!$P254</f>
        <v>0.39304880851747104</v>
      </c>
      <c r="F250" s="46">
        <f>'Aerosol 2'!$P254</f>
        <v>0.39304880851747104</v>
      </c>
      <c r="G250" s="46">
        <f>'Aerosol 3'!$P254</f>
        <v>0.39304880851747104</v>
      </c>
      <c r="H250" s="46">
        <f t="shared" si="80"/>
        <v>1.1791464255524131</v>
      </c>
      <c r="I250" s="46">
        <f>NORMSINV(SUM(H$13:H250)/H$317)</f>
        <v>1.2619213412574348</v>
      </c>
      <c r="J250" s="46">
        <f t="shared" si="75"/>
        <v>0.21224635659943439</v>
      </c>
      <c r="K250" s="46">
        <f t="shared" si="76"/>
        <v>0.58957321277620656</v>
      </c>
      <c r="L250" s="46">
        <f t="shared" si="77"/>
        <v>1.1790992596953911</v>
      </c>
      <c r="M250" s="46">
        <f t="shared" si="81"/>
        <v>1.980918829071032</v>
      </c>
      <c r="N250" s="46">
        <f>IF(ISNUMBER(NORMSINV(SUM(M$13:M250)/M$317)),NORMSINV(SUM(M$13:M250)/M$317)," ")</f>
        <v>1.2619213412574313</v>
      </c>
      <c r="O250" s="46">
        <f t="shared" si="82"/>
        <v>0</v>
      </c>
      <c r="P250" s="46" t="str">
        <f>IF(ISNUMBER(NORMSINV(SUM(O$13:O250)/O$317)),NORMSINV(SUM(O$13:O250)/O$317)," ")</f>
        <v xml:space="preserve"> </v>
      </c>
      <c r="Q250" s="46">
        <f t="shared" si="83"/>
        <v>0</v>
      </c>
      <c r="R250" s="46" t="str">
        <f>IF(ISNUMBER(NORMSINV(SUM(Q$13:Q250)/Q$317)),NORMSINV(SUM(Q$13:Q250)/Q$317)," ")</f>
        <v xml:space="preserve"> </v>
      </c>
      <c r="S250" s="46">
        <f t="shared" si="84"/>
        <v>0</v>
      </c>
      <c r="T250" s="46" t="str">
        <f>IF(ISNUMBER(NORMSINV(SUM(S$13:S250)/S$317)),NORMSINV(SUM(S$13:S250)/S$317)," ")</f>
        <v xml:space="preserve"> </v>
      </c>
      <c r="U250" s="46">
        <f t="shared" si="85"/>
        <v>0</v>
      </c>
      <c r="V250" s="46" t="str">
        <f>IF(ISNUMBER(NORMSINV(SUM(U$13:U250)/U$317)),NORMSINV(SUM(U$13:U250)/U$317)," ")</f>
        <v xml:space="preserve"> </v>
      </c>
      <c r="W250" s="46">
        <f t="shared" si="86"/>
        <v>0</v>
      </c>
      <c r="X250" s="46" t="str">
        <f>IF(ISNUMBER(NORMSINV(SUM(W$13:W250)/W$317)),NORMSINV(SUM(W$13:W250)/W$317)," ")</f>
        <v xml:space="preserve"> </v>
      </c>
      <c r="Y250" s="46">
        <f t="shared" si="87"/>
        <v>0</v>
      </c>
      <c r="Z250" s="46" t="str">
        <f>IF(ISNUMBER(NORMSINV(SUM(Y$13:Y250)/Y$317)),NORMSINV(SUM(Y$13:Y250)/Y$317)," ")</f>
        <v xml:space="preserve"> </v>
      </c>
      <c r="AA250" s="46">
        <f t="shared" si="88"/>
        <v>0</v>
      </c>
      <c r="AB250" s="46" t="str">
        <f>IF(ISNUMBER(NORMSINV(SUM(AA$13:AA250)/AA$317)),NORMSINV(SUM(AA$13:AA250)/AA$317)," ")</f>
        <v xml:space="preserve"> </v>
      </c>
      <c r="AC250" s="46">
        <f t="shared" si="89"/>
        <v>0</v>
      </c>
      <c r="AD250" s="46" t="str">
        <f>IF(ISNUMBER(NORMSINV(SUM(AC$13:AC250)/AC$317)),NORMSINV(SUM(AC$13:AC250)/AC$317)," ")</f>
        <v xml:space="preserve"> </v>
      </c>
      <c r="AE250" s="46">
        <f t="shared" si="90"/>
        <v>0</v>
      </c>
      <c r="AF250" s="46" t="str">
        <f>IF(ISNUMBER(NORMSINV(SUM(AE$13:AE250)/AE$317)),NORMSINV(SUM(AE$13:AE250)/AE$317)," ")</f>
        <v xml:space="preserve"> </v>
      </c>
      <c r="AG250" s="46">
        <f t="shared" si="91"/>
        <v>0</v>
      </c>
      <c r="AH250" s="46" t="str">
        <f>IF(ISNUMBER(NORMSINV(SUM(AG$13:AG250)/AG$317)),NORMSINV(SUM(AG$13:AG250)/AG$317)," ")</f>
        <v xml:space="preserve"> </v>
      </c>
      <c r="AI250" s="46">
        <f t="shared" si="92"/>
        <v>0</v>
      </c>
      <c r="AJ250" s="46" t="str">
        <f>IF(ISNUMBER(NORMSINV(SUM(AI$13:AI250)/AI$317)),NORMSINV(SUM(AI$13:AI250)/AI$317)," ")</f>
        <v xml:space="preserve"> </v>
      </c>
      <c r="AK250" s="46">
        <f t="shared" si="93"/>
        <v>0</v>
      </c>
      <c r="AL250" s="46" t="str">
        <f>IF(ISNUMBER(NORMSINV(SUM(AK$13:AK250)/AK$317)),NORMSINV(SUM(AK$13:AK250)/AK$317)," ")</f>
        <v xml:space="preserve"> </v>
      </c>
      <c r="AM250" s="6">
        <v>0</v>
      </c>
      <c r="AN250" s="6">
        <v>0</v>
      </c>
      <c r="AO250" s="6">
        <v>0</v>
      </c>
      <c r="AP250" s="6">
        <v>0</v>
      </c>
      <c r="AQ250" s="6">
        <v>0</v>
      </c>
      <c r="AR250" s="6">
        <v>0</v>
      </c>
      <c r="AS250" s="6">
        <v>0</v>
      </c>
      <c r="AT250" s="6">
        <v>0</v>
      </c>
      <c r="AU250" s="6">
        <v>0</v>
      </c>
    </row>
    <row r="251" spans="1:47" x14ac:dyDescent="0.4">
      <c r="A251" s="6">
        <f t="shared" si="78"/>
        <v>5.2933886460405812</v>
      </c>
      <c r="B251" s="6">
        <f>'Aerosol 1'!A255</f>
        <v>199.01668114100951</v>
      </c>
      <c r="C251" t="b">
        <f t="shared" si="79"/>
        <v>1</v>
      </c>
      <c r="E251" s="46">
        <f>'Aerosol 1'!$P255</f>
        <v>0.3830084544362955</v>
      </c>
      <c r="F251" s="46">
        <f>'Aerosol 2'!$P255</f>
        <v>0.3830084544362955</v>
      </c>
      <c r="G251" s="46">
        <f>'Aerosol 3'!$P255</f>
        <v>0.3830084544362955</v>
      </c>
      <c r="H251" s="46">
        <f t="shared" si="80"/>
        <v>1.1490253633088865</v>
      </c>
      <c r="I251" s="46">
        <f>NORMSINV(SUM(H$13:H251)/H$317)</f>
        <v>1.2836100559244052</v>
      </c>
      <c r="J251" s="46">
        <f t="shared" si="75"/>
        <v>0.20682456539559957</v>
      </c>
      <c r="K251" s="46">
        <f t="shared" si="76"/>
        <v>0.57451268165444325</v>
      </c>
      <c r="L251" s="46">
        <f t="shared" si="77"/>
        <v>1.1489794022943542</v>
      </c>
      <c r="M251" s="46">
        <f t="shared" si="81"/>
        <v>1.9303166493443971</v>
      </c>
      <c r="N251" s="46">
        <f>IF(ISNUMBER(NORMSINV(SUM(M$13:M251)/M$317)),NORMSINV(SUM(M$13:M251)/M$317)," ")</f>
        <v>1.2836100559244006</v>
      </c>
      <c r="O251" s="46">
        <f t="shared" si="82"/>
        <v>0</v>
      </c>
      <c r="P251" s="46" t="str">
        <f>IF(ISNUMBER(NORMSINV(SUM(O$13:O251)/O$317)),NORMSINV(SUM(O$13:O251)/O$317)," ")</f>
        <v xml:space="preserve"> </v>
      </c>
      <c r="Q251" s="46">
        <f t="shared" si="83"/>
        <v>0</v>
      </c>
      <c r="R251" s="46" t="str">
        <f>IF(ISNUMBER(NORMSINV(SUM(Q$13:Q251)/Q$317)),NORMSINV(SUM(Q$13:Q251)/Q$317)," ")</f>
        <v xml:space="preserve"> </v>
      </c>
      <c r="S251" s="46">
        <f t="shared" si="84"/>
        <v>0</v>
      </c>
      <c r="T251" s="46" t="str">
        <f>IF(ISNUMBER(NORMSINV(SUM(S$13:S251)/S$317)),NORMSINV(SUM(S$13:S251)/S$317)," ")</f>
        <v xml:space="preserve"> </v>
      </c>
      <c r="U251" s="46">
        <f t="shared" si="85"/>
        <v>0</v>
      </c>
      <c r="V251" s="46" t="str">
        <f>IF(ISNUMBER(NORMSINV(SUM(U$13:U251)/U$317)),NORMSINV(SUM(U$13:U251)/U$317)," ")</f>
        <v xml:space="preserve"> </v>
      </c>
      <c r="W251" s="46">
        <f t="shared" si="86"/>
        <v>0</v>
      </c>
      <c r="X251" s="46" t="str">
        <f>IF(ISNUMBER(NORMSINV(SUM(W$13:W251)/W$317)),NORMSINV(SUM(W$13:W251)/W$317)," ")</f>
        <v xml:space="preserve"> </v>
      </c>
      <c r="Y251" s="46">
        <f t="shared" si="87"/>
        <v>0</v>
      </c>
      <c r="Z251" s="46" t="str">
        <f>IF(ISNUMBER(NORMSINV(SUM(Y$13:Y251)/Y$317)),NORMSINV(SUM(Y$13:Y251)/Y$317)," ")</f>
        <v xml:space="preserve"> </v>
      </c>
      <c r="AA251" s="46">
        <f t="shared" si="88"/>
        <v>0</v>
      </c>
      <c r="AB251" s="46" t="str">
        <f>IF(ISNUMBER(NORMSINV(SUM(AA$13:AA251)/AA$317)),NORMSINV(SUM(AA$13:AA251)/AA$317)," ")</f>
        <v xml:space="preserve"> </v>
      </c>
      <c r="AC251" s="46">
        <f t="shared" si="89"/>
        <v>0</v>
      </c>
      <c r="AD251" s="46" t="str">
        <f>IF(ISNUMBER(NORMSINV(SUM(AC$13:AC251)/AC$317)),NORMSINV(SUM(AC$13:AC251)/AC$317)," ")</f>
        <v xml:space="preserve"> </v>
      </c>
      <c r="AE251" s="46">
        <f t="shared" si="90"/>
        <v>0</v>
      </c>
      <c r="AF251" s="46" t="str">
        <f>IF(ISNUMBER(NORMSINV(SUM(AE$13:AE251)/AE$317)),NORMSINV(SUM(AE$13:AE251)/AE$317)," ")</f>
        <v xml:space="preserve"> </v>
      </c>
      <c r="AG251" s="46">
        <f t="shared" si="91"/>
        <v>0</v>
      </c>
      <c r="AH251" s="46" t="str">
        <f>IF(ISNUMBER(NORMSINV(SUM(AG$13:AG251)/AG$317)),NORMSINV(SUM(AG$13:AG251)/AG$317)," ")</f>
        <v xml:space="preserve"> </v>
      </c>
      <c r="AI251" s="46">
        <f t="shared" si="92"/>
        <v>0</v>
      </c>
      <c r="AJ251" s="46" t="str">
        <f>IF(ISNUMBER(NORMSINV(SUM(AI$13:AI251)/AI$317)),NORMSINV(SUM(AI$13:AI251)/AI$317)," ")</f>
        <v xml:space="preserve"> </v>
      </c>
      <c r="AK251" s="46">
        <f t="shared" si="93"/>
        <v>0</v>
      </c>
      <c r="AL251" s="46" t="str">
        <f>IF(ISNUMBER(NORMSINV(SUM(AK$13:AK251)/AK$317)),NORMSINV(SUM(AK$13:AK251)/AK$317)," ")</f>
        <v xml:space="preserve"> </v>
      </c>
      <c r="AM251" s="6">
        <v>0</v>
      </c>
      <c r="AN251" s="6">
        <v>0</v>
      </c>
      <c r="AO251" s="6">
        <v>0</v>
      </c>
      <c r="AP251" s="6">
        <v>0</v>
      </c>
      <c r="AQ251" s="6">
        <v>0</v>
      </c>
      <c r="AR251" s="6">
        <v>0</v>
      </c>
      <c r="AS251" s="6">
        <v>0</v>
      </c>
      <c r="AT251" s="6">
        <v>0</v>
      </c>
      <c r="AU251" s="6">
        <v>0</v>
      </c>
    </row>
    <row r="252" spans="1:47" x14ac:dyDescent="0.4">
      <c r="A252" s="6">
        <f t="shared" si="78"/>
        <v>5.3278672234717606</v>
      </c>
      <c r="B252" s="6">
        <f>'Aerosol 1'!A256</f>
        <v>205.99815727277087</v>
      </c>
      <c r="C252" t="b">
        <f t="shared" si="79"/>
        <v>1</v>
      </c>
      <c r="E252" s="46">
        <f>'Aerosol 1'!$P256</f>
        <v>0.37306138804895639</v>
      </c>
      <c r="F252" s="46">
        <f>'Aerosol 2'!$P256</f>
        <v>0.37306138804895639</v>
      </c>
      <c r="G252" s="46">
        <f>'Aerosol 3'!$P256</f>
        <v>0.37306138804895639</v>
      </c>
      <c r="H252" s="46">
        <f t="shared" si="80"/>
        <v>1.1191841641468692</v>
      </c>
      <c r="I252" s="46">
        <f>NORMSINV(SUM(H$13:H252)/H$317)</f>
        <v>1.3053323352120754</v>
      </c>
      <c r="J252" s="46">
        <f t="shared" si="75"/>
        <v>0.20145314954643645</v>
      </c>
      <c r="K252" s="46">
        <f t="shared" si="76"/>
        <v>0.55959208207343458</v>
      </c>
      <c r="L252" s="46">
        <f t="shared" si="77"/>
        <v>1.1191393967803034</v>
      </c>
      <c r="M252" s="46">
        <f t="shared" si="81"/>
        <v>1.8801846284001744</v>
      </c>
      <c r="N252" s="46">
        <f>IF(ISNUMBER(NORMSINV(SUM(M$13:M252)/M$317)),NORMSINV(SUM(M$13:M252)/M$317)," ")</f>
        <v>1.3053323352120716</v>
      </c>
      <c r="O252" s="46">
        <f t="shared" si="82"/>
        <v>0</v>
      </c>
      <c r="P252" s="46" t="str">
        <f>IF(ISNUMBER(NORMSINV(SUM(O$13:O252)/O$317)),NORMSINV(SUM(O$13:O252)/O$317)," ")</f>
        <v xml:space="preserve"> </v>
      </c>
      <c r="Q252" s="46">
        <f t="shared" si="83"/>
        <v>0</v>
      </c>
      <c r="R252" s="46" t="str">
        <f>IF(ISNUMBER(NORMSINV(SUM(Q$13:Q252)/Q$317)),NORMSINV(SUM(Q$13:Q252)/Q$317)," ")</f>
        <v xml:space="preserve"> </v>
      </c>
      <c r="S252" s="46">
        <f t="shared" si="84"/>
        <v>0</v>
      </c>
      <c r="T252" s="46" t="str">
        <f>IF(ISNUMBER(NORMSINV(SUM(S$13:S252)/S$317)),NORMSINV(SUM(S$13:S252)/S$317)," ")</f>
        <v xml:space="preserve"> </v>
      </c>
      <c r="U252" s="46">
        <f t="shared" si="85"/>
        <v>0</v>
      </c>
      <c r="V252" s="46" t="str">
        <f>IF(ISNUMBER(NORMSINV(SUM(U$13:U252)/U$317)),NORMSINV(SUM(U$13:U252)/U$317)," ")</f>
        <v xml:space="preserve"> </v>
      </c>
      <c r="W252" s="46">
        <f t="shared" si="86"/>
        <v>0</v>
      </c>
      <c r="X252" s="46" t="str">
        <f>IF(ISNUMBER(NORMSINV(SUM(W$13:W252)/W$317)),NORMSINV(SUM(W$13:W252)/W$317)," ")</f>
        <v xml:space="preserve"> </v>
      </c>
      <c r="Y252" s="46">
        <f t="shared" si="87"/>
        <v>0</v>
      </c>
      <c r="Z252" s="46" t="str">
        <f>IF(ISNUMBER(NORMSINV(SUM(Y$13:Y252)/Y$317)),NORMSINV(SUM(Y$13:Y252)/Y$317)," ")</f>
        <v xml:space="preserve"> </v>
      </c>
      <c r="AA252" s="46">
        <f t="shared" si="88"/>
        <v>0</v>
      </c>
      <c r="AB252" s="46" t="str">
        <f>IF(ISNUMBER(NORMSINV(SUM(AA$13:AA252)/AA$317)),NORMSINV(SUM(AA$13:AA252)/AA$317)," ")</f>
        <v xml:space="preserve"> </v>
      </c>
      <c r="AC252" s="46">
        <f t="shared" si="89"/>
        <v>0</v>
      </c>
      <c r="AD252" s="46" t="str">
        <f>IF(ISNUMBER(NORMSINV(SUM(AC$13:AC252)/AC$317)),NORMSINV(SUM(AC$13:AC252)/AC$317)," ")</f>
        <v xml:space="preserve"> </v>
      </c>
      <c r="AE252" s="46">
        <f t="shared" si="90"/>
        <v>0</v>
      </c>
      <c r="AF252" s="46" t="str">
        <f>IF(ISNUMBER(NORMSINV(SUM(AE$13:AE252)/AE$317)),NORMSINV(SUM(AE$13:AE252)/AE$317)," ")</f>
        <v xml:space="preserve"> </v>
      </c>
      <c r="AG252" s="46">
        <f t="shared" si="91"/>
        <v>0</v>
      </c>
      <c r="AH252" s="46" t="str">
        <f>IF(ISNUMBER(NORMSINV(SUM(AG$13:AG252)/AG$317)),NORMSINV(SUM(AG$13:AG252)/AG$317)," ")</f>
        <v xml:space="preserve"> </v>
      </c>
      <c r="AI252" s="46">
        <f t="shared" si="92"/>
        <v>0</v>
      </c>
      <c r="AJ252" s="46" t="str">
        <f>IF(ISNUMBER(NORMSINV(SUM(AI$13:AI252)/AI$317)),NORMSINV(SUM(AI$13:AI252)/AI$317)," ")</f>
        <v xml:space="preserve"> </v>
      </c>
      <c r="AK252" s="46">
        <f t="shared" si="93"/>
        <v>0</v>
      </c>
      <c r="AL252" s="46" t="str">
        <f>IF(ISNUMBER(NORMSINV(SUM(AK$13:AK252)/AK$317)),NORMSINV(SUM(AK$13:AK252)/AK$317)," ")</f>
        <v xml:space="preserve"> </v>
      </c>
      <c r="AM252" s="6">
        <v>0</v>
      </c>
      <c r="AN252" s="6">
        <v>0</v>
      </c>
      <c r="AO252" s="6">
        <v>0</v>
      </c>
      <c r="AP252" s="6">
        <v>0</v>
      </c>
      <c r="AQ252" s="6">
        <v>0</v>
      </c>
      <c r="AR252" s="6">
        <v>0</v>
      </c>
      <c r="AS252" s="6">
        <v>0</v>
      </c>
      <c r="AT252" s="6">
        <v>0</v>
      </c>
      <c r="AU252" s="6">
        <v>0</v>
      </c>
    </row>
    <row r="253" spans="1:47" x14ac:dyDescent="0.4">
      <c r="A253" s="6">
        <f t="shared" si="78"/>
        <v>5.362345800902939</v>
      </c>
      <c r="B253" s="6">
        <f>'Aerosol 1'!A257</f>
        <v>213.22454256842178</v>
      </c>
      <c r="C253" t="b">
        <f t="shared" si="79"/>
        <v>1</v>
      </c>
      <c r="E253" s="46">
        <f>'Aerosol 1'!$P257</f>
        <v>0.36321377227757079</v>
      </c>
      <c r="F253" s="46">
        <f>'Aerosol 2'!$P257</f>
        <v>0.36321377227757079</v>
      </c>
      <c r="G253" s="46">
        <f>'Aerosol 3'!$P257</f>
        <v>0.36321377227757079</v>
      </c>
      <c r="H253" s="46">
        <f t="shared" si="80"/>
        <v>1.0896413168327124</v>
      </c>
      <c r="I253" s="46">
        <f>NORMSINV(SUM(H$13:H253)/H$317)</f>
        <v>1.3270899520484845</v>
      </c>
      <c r="J253" s="46">
        <f t="shared" si="75"/>
        <v>0.19613543702988823</v>
      </c>
      <c r="K253" s="46">
        <f t="shared" si="76"/>
        <v>0.54482065841635618</v>
      </c>
      <c r="L253" s="46">
        <f t="shared" si="77"/>
        <v>1.0895977311800391</v>
      </c>
      <c r="M253" s="46">
        <f t="shared" si="81"/>
        <v>1.8305538266262835</v>
      </c>
      <c r="N253" s="46">
        <f>IF(ISNUMBER(NORMSINV(SUM(M$13:M253)/M$317)),NORMSINV(SUM(M$13:M253)/M$317)," ")</f>
        <v>1.32708995204848</v>
      </c>
      <c r="O253" s="46">
        <f t="shared" si="82"/>
        <v>0</v>
      </c>
      <c r="P253" s="46" t="str">
        <f>IF(ISNUMBER(NORMSINV(SUM(O$13:O253)/O$317)),NORMSINV(SUM(O$13:O253)/O$317)," ")</f>
        <v xml:space="preserve"> </v>
      </c>
      <c r="Q253" s="46">
        <f t="shared" si="83"/>
        <v>0</v>
      </c>
      <c r="R253" s="46" t="str">
        <f>IF(ISNUMBER(NORMSINV(SUM(Q$13:Q253)/Q$317)),NORMSINV(SUM(Q$13:Q253)/Q$317)," ")</f>
        <v xml:space="preserve"> </v>
      </c>
      <c r="S253" s="46">
        <f t="shared" si="84"/>
        <v>0</v>
      </c>
      <c r="T253" s="46" t="str">
        <f>IF(ISNUMBER(NORMSINV(SUM(S$13:S253)/S$317)),NORMSINV(SUM(S$13:S253)/S$317)," ")</f>
        <v xml:space="preserve"> </v>
      </c>
      <c r="U253" s="46">
        <f t="shared" si="85"/>
        <v>0</v>
      </c>
      <c r="V253" s="46" t="str">
        <f>IF(ISNUMBER(NORMSINV(SUM(U$13:U253)/U$317)),NORMSINV(SUM(U$13:U253)/U$317)," ")</f>
        <v xml:space="preserve"> </v>
      </c>
      <c r="W253" s="46">
        <f t="shared" si="86"/>
        <v>0</v>
      </c>
      <c r="X253" s="46" t="str">
        <f>IF(ISNUMBER(NORMSINV(SUM(W$13:W253)/W$317)),NORMSINV(SUM(W$13:W253)/W$317)," ")</f>
        <v xml:space="preserve"> </v>
      </c>
      <c r="Y253" s="46">
        <f t="shared" si="87"/>
        <v>0</v>
      </c>
      <c r="Z253" s="46" t="str">
        <f>IF(ISNUMBER(NORMSINV(SUM(Y$13:Y253)/Y$317)),NORMSINV(SUM(Y$13:Y253)/Y$317)," ")</f>
        <v xml:space="preserve"> </v>
      </c>
      <c r="AA253" s="46">
        <f t="shared" si="88"/>
        <v>0</v>
      </c>
      <c r="AB253" s="46" t="str">
        <f>IF(ISNUMBER(NORMSINV(SUM(AA$13:AA253)/AA$317)),NORMSINV(SUM(AA$13:AA253)/AA$317)," ")</f>
        <v xml:space="preserve"> </v>
      </c>
      <c r="AC253" s="46">
        <f t="shared" si="89"/>
        <v>0</v>
      </c>
      <c r="AD253" s="46" t="str">
        <f>IF(ISNUMBER(NORMSINV(SUM(AC$13:AC253)/AC$317)),NORMSINV(SUM(AC$13:AC253)/AC$317)," ")</f>
        <v xml:space="preserve"> </v>
      </c>
      <c r="AE253" s="46">
        <f t="shared" si="90"/>
        <v>0</v>
      </c>
      <c r="AF253" s="46" t="str">
        <f>IF(ISNUMBER(NORMSINV(SUM(AE$13:AE253)/AE$317)),NORMSINV(SUM(AE$13:AE253)/AE$317)," ")</f>
        <v xml:space="preserve"> </v>
      </c>
      <c r="AG253" s="46">
        <f t="shared" si="91"/>
        <v>0</v>
      </c>
      <c r="AH253" s="46" t="str">
        <f>IF(ISNUMBER(NORMSINV(SUM(AG$13:AG253)/AG$317)),NORMSINV(SUM(AG$13:AG253)/AG$317)," ")</f>
        <v xml:space="preserve"> </v>
      </c>
      <c r="AI253" s="46">
        <f t="shared" si="92"/>
        <v>0</v>
      </c>
      <c r="AJ253" s="46" t="str">
        <f>IF(ISNUMBER(NORMSINV(SUM(AI$13:AI253)/AI$317)),NORMSINV(SUM(AI$13:AI253)/AI$317)," ")</f>
        <v xml:space="preserve"> </v>
      </c>
      <c r="AK253" s="46">
        <f t="shared" si="93"/>
        <v>0</v>
      </c>
      <c r="AL253" s="46" t="str">
        <f>IF(ISNUMBER(NORMSINV(SUM(AK$13:AK253)/AK$317)),NORMSINV(SUM(AK$13:AK253)/AK$317)," ")</f>
        <v xml:space="preserve"> </v>
      </c>
      <c r="AM253" s="6">
        <v>0</v>
      </c>
      <c r="AN253" s="6">
        <v>0</v>
      </c>
      <c r="AO253" s="6">
        <v>0</v>
      </c>
      <c r="AP253" s="6">
        <v>0</v>
      </c>
      <c r="AQ253" s="6">
        <v>0</v>
      </c>
      <c r="AR253" s="6">
        <v>0</v>
      </c>
      <c r="AS253" s="6">
        <v>0</v>
      </c>
      <c r="AT253" s="6">
        <v>0</v>
      </c>
      <c r="AU253" s="6">
        <v>0</v>
      </c>
    </row>
    <row r="254" spans="1:47" x14ac:dyDescent="0.4">
      <c r="A254" s="6">
        <f t="shared" si="78"/>
        <v>5.3968243783341183</v>
      </c>
      <c r="B254" s="6">
        <f>'Aerosol 1'!A258</f>
        <v>220.70442840569206</v>
      </c>
      <c r="C254" t="b">
        <f t="shared" si="79"/>
        <v>1</v>
      </c>
      <c r="E254" s="46">
        <f>'Aerosol 1'!$P258</f>
        <v>0.35347147995923311</v>
      </c>
      <c r="F254" s="46">
        <f>'Aerosol 2'!$P258</f>
        <v>0.35347147995923311</v>
      </c>
      <c r="G254" s="46">
        <f>'Aerosol 3'!$P258</f>
        <v>0.35347147995923311</v>
      </c>
      <c r="H254" s="46">
        <f t="shared" si="80"/>
        <v>1.0604144398776993</v>
      </c>
      <c r="I254" s="46">
        <f>NORMSINV(SUM(H$13:H254)/H$317)</f>
        <v>1.3488847901025549</v>
      </c>
      <c r="J254" s="46">
        <f t="shared" si="75"/>
        <v>0.19087459917798588</v>
      </c>
      <c r="K254" s="46">
        <f t="shared" si="76"/>
        <v>0.53020721993884967</v>
      </c>
      <c r="L254" s="46">
        <f t="shared" si="77"/>
        <v>1.0603720233001044</v>
      </c>
      <c r="M254" s="46">
        <f t="shared" si="81"/>
        <v>1.7814538424169399</v>
      </c>
      <c r="N254" s="46">
        <f>IF(ISNUMBER(NORMSINV(SUM(M$13:M254)/M$317)),NORMSINV(SUM(M$13:M254)/M$317)," ")</f>
        <v>1.34888479010255</v>
      </c>
      <c r="O254" s="46">
        <f t="shared" si="82"/>
        <v>0</v>
      </c>
      <c r="P254" s="46" t="str">
        <f>IF(ISNUMBER(NORMSINV(SUM(O$13:O254)/O$317)),NORMSINV(SUM(O$13:O254)/O$317)," ")</f>
        <v xml:space="preserve"> </v>
      </c>
      <c r="Q254" s="46">
        <f t="shared" si="83"/>
        <v>0</v>
      </c>
      <c r="R254" s="46" t="str">
        <f>IF(ISNUMBER(NORMSINV(SUM(Q$13:Q254)/Q$317)),NORMSINV(SUM(Q$13:Q254)/Q$317)," ")</f>
        <v xml:space="preserve"> </v>
      </c>
      <c r="S254" s="46">
        <f t="shared" si="84"/>
        <v>0</v>
      </c>
      <c r="T254" s="46" t="str">
        <f>IF(ISNUMBER(NORMSINV(SUM(S$13:S254)/S$317)),NORMSINV(SUM(S$13:S254)/S$317)," ")</f>
        <v xml:space="preserve"> </v>
      </c>
      <c r="U254" s="46">
        <f t="shared" si="85"/>
        <v>0</v>
      </c>
      <c r="V254" s="46" t="str">
        <f>IF(ISNUMBER(NORMSINV(SUM(U$13:U254)/U$317)),NORMSINV(SUM(U$13:U254)/U$317)," ")</f>
        <v xml:space="preserve"> </v>
      </c>
      <c r="W254" s="46">
        <f t="shared" si="86"/>
        <v>0</v>
      </c>
      <c r="X254" s="46" t="str">
        <f>IF(ISNUMBER(NORMSINV(SUM(W$13:W254)/W$317)),NORMSINV(SUM(W$13:W254)/W$317)," ")</f>
        <v xml:space="preserve"> </v>
      </c>
      <c r="Y254" s="46">
        <f t="shared" si="87"/>
        <v>0</v>
      </c>
      <c r="Z254" s="46" t="str">
        <f>IF(ISNUMBER(NORMSINV(SUM(Y$13:Y254)/Y$317)),NORMSINV(SUM(Y$13:Y254)/Y$317)," ")</f>
        <v xml:space="preserve"> </v>
      </c>
      <c r="AA254" s="46">
        <f t="shared" si="88"/>
        <v>0</v>
      </c>
      <c r="AB254" s="46" t="str">
        <f>IF(ISNUMBER(NORMSINV(SUM(AA$13:AA254)/AA$317)),NORMSINV(SUM(AA$13:AA254)/AA$317)," ")</f>
        <v xml:space="preserve"> </v>
      </c>
      <c r="AC254" s="46">
        <f t="shared" si="89"/>
        <v>0</v>
      </c>
      <c r="AD254" s="46" t="str">
        <f>IF(ISNUMBER(NORMSINV(SUM(AC$13:AC254)/AC$317)),NORMSINV(SUM(AC$13:AC254)/AC$317)," ")</f>
        <v xml:space="preserve"> </v>
      </c>
      <c r="AE254" s="46">
        <f t="shared" si="90"/>
        <v>0</v>
      </c>
      <c r="AF254" s="46" t="str">
        <f>IF(ISNUMBER(NORMSINV(SUM(AE$13:AE254)/AE$317)),NORMSINV(SUM(AE$13:AE254)/AE$317)," ")</f>
        <v xml:space="preserve"> </v>
      </c>
      <c r="AG254" s="46">
        <f t="shared" si="91"/>
        <v>0</v>
      </c>
      <c r="AH254" s="46" t="str">
        <f>IF(ISNUMBER(NORMSINV(SUM(AG$13:AG254)/AG$317)),NORMSINV(SUM(AG$13:AG254)/AG$317)," ")</f>
        <v xml:space="preserve"> </v>
      </c>
      <c r="AI254" s="46">
        <f t="shared" si="92"/>
        <v>0</v>
      </c>
      <c r="AJ254" s="46" t="str">
        <f>IF(ISNUMBER(NORMSINV(SUM(AI$13:AI254)/AI$317)),NORMSINV(SUM(AI$13:AI254)/AI$317)," ")</f>
        <v xml:space="preserve"> </v>
      </c>
      <c r="AK254" s="46">
        <f t="shared" si="93"/>
        <v>0</v>
      </c>
      <c r="AL254" s="46" t="str">
        <f>IF(ISNUMBER(NORMSINV(SUM(AK$13:AK254)/AK$317)),NORMSINV(SUM(AK$13:AK254)/AK$317)," ")</f>
        <v xml:space="preserve"> </v>
      </c>
      <c r="AM254" s="6">
        <v>0</v>
      </c>
      <c r="AN254" s="6">
        <v>0</v>
      </c>
      <c r="AO254" s="6">
        <v>0</v>
      </c>
      <c r="AP254" s="6">
        <v>0</v>
      </c>
      <c r="AQ254" s="6">
        <v>0</v>
      </c>
      <c r="AR254" s="6">
        <v>0</v>
      </c>
      <c r="AS254" s="6">
        <v>0</v>
      </c>
      <c r="AT254" s="6">
        <v>0</v>
      </c>
      <c r="AU254" s="6">
        <v>0</v>
      </c>
    </row>
    <row r="255" spans="1:47" x14ac:dyDescent="0.4">
      <c r="A255" s="6">
        <f t="shared" si="78"/>
        <v>5.4313029557652968</v>
      </c>
      <c r="B255" s="6">
        <f>'Aerosol 1'!A259</f>
        <v>228.44670754658779</v>
      </c>
      <c r="C255" t="b">
        <f t="shared" si="79"/>
        <v>1</v>
      </c>
      <c r="E255" s="46">
        <f>'Aerosol 1'!$P259</f>
        <v>0.34384009136801952</v>
      </c>
      <c r="F255" s="46">
        <f>'Aerosol 2'!$P259</f>
        <v>0.34384009136801952</v>
      </c>
      <c r="G255" s="46">
        <f>'Aerosol 3'!$P259</f>
        <v>0.34384009136801952</v>
      </c>
      <c r="H255" s="46">
        <f t="shared" si="80"/>
        <v>1.0315202741040586</v>
      </c>
      <c r="I255" s="46">
        <f>NORMSINV(SUM(H$13:H255)/H$317)</f>
        <v>1.370718851921491</v>
      </c>
      <c r="J255" s="46">
        <f t="shared" si="75"/>
        <v>0.18567364933873054</v>
      </c>
      <c r="K255" s="46">
        <f t="shared" si="76"/>
        <v>0.51576013705202928</v>
      </c>
      <c r="L255" s="46">
        <f t="shared" si="77"/>
        <v>1.0314790132930944</v>
      </c>
      <c r="M255" s="46">
        <f t="shared" si="81"/>
        <v>1.7329127996838543</v>
      </c>
      <c r="N255" s="46">
        <f>IF(ISNUMBER(NORMSINV(SUM(M$13:M255)/M$317)),NORMSINV(SUM(M$13:M255)/M$317)," ")</f>
        <v>1.3707188519214841</v>
      </c>
      <c r="O255" s="46">
        <f t="shared" si="82"/>
        <v>0</v>
      </c>
      <c r="P255" s="46" t="str">
        <f>IF(ISNUMBER(NORMSINV(SUM(O$13:O255)/O$317)),NORMSINV(SUM(O$13:O255)/O$317)," ")</f>
        <v xml:space="preserve"> </v>
      </c>
      <c r="Q255" s="46">
        <f t="shared" si="83"/>
        <v>0</v>
      </c>
      <c r="R255" s="46" t="str">
        <f>IF(ISNUMBER(NORMSINV(SUM(Q$13:Q255)/Q$317)),NORMSINV(SUM(Q$13:Q255)/Q$317)," ")</f>
        <v xml:space="preserve"> </v>
      </c>
      <c r="S255" s="46">
        <f t="shared" si="84"/>
        <v>0</v>
      </c>
      <c r="T255" s="46" t="str">
        <f>IF(ISNUMBER(NORMSINV(SUM(S$13:S255)/S$317)),NORMSINV(SUM(S$13:S255)/S$317)," ")</f>
        <v xml:space="preserve"> </v>
      </c>
      <c r="U255" s="46">
        <f t="shared" si="85"/>
        <v>0</v>
      </c>
      <c r="V255" s="46" t="str">
        <f>IF(ISNUMBER(NORMSINV(SUM(U$13:U255)/U$317)),NORMSINV(SUM(U$13:U255)/U$317)," ")</f>
        <v xml:space="preserve"> </v>
      </c>
      <c r="W255" s="46">
        <f t="shared" si="86"/>
        <v>0</v>
      </c>
      <c r="X255" s="46" t="str">
        <f>IF(ISNUMBER(NORMSINV(SUM(W$13:W255)/W$317)),NORMSINV(SUM(W$13:W255)/W$317)," ")</f>
        <v xml:space="preserve"> </v>
      </c>
      <c r="Y255" s="46">
        <f t="shared" si="87"/>
        <v>0</v>
      </c>
      <c r="Z255" s="46" t="str">
        <f>IF(ISNUMBER(NORMSINV(SUM(Y$13:Y255)/Y$317)),NORMSINV(SUM(Y$13:Y255)/Y$317)," ")</f>
        <v xml:space="preserve"> </v>
      </c>
      <c r="AA255" s="46">
        <f t="shared" si="88"/>
        <v>0</v>
      </c>
      <c r="AB255" s="46" t="str">
        <f>IF(ISNUMBER(NORMSINV(SUM(AA$13:AA255)/AA$317)),NORMSINV(SUM(AA$13:AA255)/AA$317)," ")</f>
        <v xml:space="preserve"> </v>
      </c>
      <c r="AC255" s="46">
        <f t="shared" si="89"/>
        <v>0</v>
      </c>
      <c r="AD255" s="46" t="str">
        <f>IF(ISNUMBER(NORMSINV(SUM(AC$13:AC255)/AC$317)),NORMSINV(SUM(AC$13:AC255)/AC$317)," ")</f>
        <v xml:space="preserve"> </v>
      </c>
      <c r="AE255" s="46">
        <f t="shared" si="90"/>
        <v>0</v>
      </c>
      <c r="AF255" s="46" t="str">
        <f>IF(ISNUMBER(NORMSINV(SUM(AE$13:AE255)/AE$317)),NORMSINV(SUM(AE$13:AE255)/AE$317)," ")</f>
        <v xml:space="preserve"> </v>
      </c>
      <c r="AG255" s="46">
        <f t="shared" si="91"/>
        <v>0</v>
      </c>
      <c r="AH255" s="46" t="str">
        <f>IF(ISNUMBER(NORMSINV(SUM(AG$13:AG255)/AG$317)),NORMSINV(SUM(AG$13:AG255)/AG$317)," ")</f>
        <v xml:space="preserve"> </v>
      </c>
      <c r="AI255" s="46">
        <f t="shared" si="92"/>
        <v>0</v>
      </c>
      <c r="AJ255" s="46" t="str">
        <f>IF(ISNUMBER(NORMSINV(SUM(AI$13:AI255)/AI$317)),NORMSINV(SUM(AI$13:AI255)/AI$317)," ")</f>
        <v xml:space="preserve"> </v>
      </c>
      <c r="AK255" s="46">
        <f t="shared" si="93"/>
        <v>0</v>
      </c>
      <c r="AL255" s="46" t="str">
        <f>IF(ISNUMBER(NORMSINV(SUM(AK$13:AK255)/AK$317)),NORMSINV(SUM(AK$13:AK255)/AK$317)," ")</f>
        <v xml:space="preserve"> </v>
      </c>
      <c r="AM255" s="6">
        <v>0</v>
      </c>
      <c r="AN255" s="6">
        <v>0</v>
      </c>
      <c r="AO255" s="6">
        <v>0</v>
      </c>
      <c r="AP255" s="6">
        <v>0</v>
      </c>
      <c r="AQ255" s="6">
        <v>0</v>
      </c>
      <c r="AR255" s="6">
        <v>0</v>
      </c>
      <c r="AS255" s="6">
        <v>0</v>
      </c>
      <c r="AT255" s="6">
        <v>0</v>
      </c>
      <c r="AU255" s="6">
        <v>0</v>
      </c>
    </row>
    <row r="256" spans="1:47" x14ac:dyDescent="0.4">
      <c r="A256" s="6">
        <f t="shared" si="78"/>
        <v>5.4657815331964752</v>
      </c>
      <c r="B256" s="6">
        <f>'Aerosol 1'!A260</f>
        <v>236.46058470990909</v>
      </c>
      <c r="C256" t="b">
        <f t="shared" si="79"/>
        <v>1</v>
      </c>
      <c r="E256" s="46">
        <f>'Aerosol 1'!$P260</f>
        <v>0.33432489243382379</v>
      </c>
      <c r="F256" s="46">
        <f>'Aerosol 2'!$P260</f>
        <v>0.33432489243382379</v>
      </c>
      <c r="G256" s="46">
        <f>'Aerosol 3'!$P260</f>
        <v>0.33432489243382379</v>
      </c>
      <c r="H256" s="46">
        <f t="shared" si="80"/>
        <v>1.0029746773014714</v>
      </c>
      <c r="I256" s="46">
        <f>NORMSINV(SUM(H$13:H256)/H$317)</f>
        <v>1.3925942677751164</v>
      </c>
      <c r="J256" s="46">
        <f t="shared" si="75"/>
        <v>0.18053544191426485</v>
      </c>
      <c r="K256" s="46">
        <f t="shared" si="76"/>
        <v>0.50148733865073569</v>
      </c>
      <c r="L256" s="46">
        <f t="shared" si="77"/>
        <v>1.0029345583143794</v>
      </c>
      <c r="M256" s="46">
        <f t="shared" si="81"/>
        <v>1.6849573388793799</v>
      </c>
      <c r="N256" s="46">
        <f>IF(ISNUMBER(NORMSINV(SUM(M$13:M256)/M$317)),NORMSINV(SUM(M$13:M256)/M$317)," ")</f>
        <v>1.39259426777511</v>
      </c>
      <c r="O256" s="46">
        <f t="shared" si="82"/>
        <v>0</v>
      </c>
      <c r="P256" s="46" t="str">
        <f>IF(ISNUMBER(NORMSINV(SUM(O$13:O256)/O$317)),NORMSINV(SUM(O$13:O256)/O$317)," ")</f>
        <v xml:space="preserve"> </v>
      </c>
      <c r="Q256" s="46">
        <f t="shared" si="83"/>
        <v>0</v>
      </c>
      <c r="R256" s="46" t="str">
        <f>IF(ISNUMBER(NORMSINV(SUM(Q$13:Q256)/Q$317)),NORMSINV(SUM(Q$13:Q256)/Q$317)," ")</f>
        <v xml:space="preserve"> </v>
      </c>
      <c r="S256" s="46">
        <f t="shared" si="84"/>
        <v>0</v>
      </c>
      <c r="T256" s="46" t="str">
        <f>IF(ISNUMBER(NORMSINV(SUM(S$13:S256)/S$317)),NORMSINV(SUM(S$13:S256)/S$317)," ")</f>
        <v xml:space="preserve"> </v>
      </c>
      <c r="U256" s="46">
        <f t="shared" si="85"/>
        <v>0</v>
      </c>
      <c r="V256" s="46" t="str">
        <f>IF(ISNUMBER(NORMSINV(SUM(U$13:U256)/U$317)),NORMSINV(SUM(U$13:U256)/U$317)," ")</f>
        <v xml:space="preserve"> </v>
      </c>
      <c r="W256" s="46">
        <f t="shared" si="86"/>
        <v>0</v>
      </c>
      <c r="X256" s="46" t="str">
        <f>IF(ISNUMBER(NORMSINV(SUM(W$13:W256)/W$317)),NORMSINV(SUM(W$13:W256)/W$317)," ")</f>
        <v xml:space="preserve"> </v>
      </c>
      <c r="Y256" s="46">
        <f t="shared" si="87"/>
        <v>0</v>
      </c>
      <c r="Z256" s="46" t="str">
        <f>IF(ISNUMBER(NORMSINV(SUM(Y$13:Y256)/Y$317)),NORMSINV(SUM(Y$13:Y256)/Y$317)," ")</f>
        <v xml:space="preserve"> </v>
      </c>
      <c r="AA256" s="46">
        <f t="shared" si="88"/>
        <v>0</v>
      </c>
      <c r="AB256" s="46" t="str">
        <f>IF(ISNUMBER(NORMSINV(SUM(AA$13:AA256)/AA$317)),NORMSINV(SUM(AA$13:AA256)/AA$317)," ")</f>
        <v xml:space="preserve"> </v>
      </c>
      <c r="AC256" s="46">
        <f t="shared" si="89"/>
        <v>0</v>
      </c>
      <c r="AD256" s="46" t="str">
        <f>IF(ISNUMBER(NORMSINV(SUM(AC$13:AC256)/AC$317)),NORMSINV(SUM(AC$13:AC256)/AC$317)," ")</f>
        <v xml:space="preserve"> </v>
      </c>
      <c r="AE256" s="46">
        <f t="shared" si="90"/>
        <v>0</v>
      </c>
      <c r="AF256" s="46" t="str">
        <f>IF(ISNUMBER(NORMSINV(SUM(AE$13:AE256)/AE$317)),NORMSINV(SUM(AE$13:AE256)/AE$317)," ")</f>
        <v xml:space="preserve"> </v>
      </c>
      <c r="AG256" s="46">
        <f t="shared" si="91"/>
        <v>0</v>
      </c>
      <c r="AH256" s="46" t="str">
        <f>IF(ISNUMBER(NORMSINV(SUM(AG$13:AG256)/AG$317)),NORMSINV(SUM(AG$13:AG256)/AG$317)," ")</f>
        <v xml:space="preserve"> </v>
      </c>
      <c r="AI256" s="46">
        <f t="shared" si="92"/>
        <v>0</v>
      </c>
      <c r="AJ256" s="46" t="str">
        <f>IF(ISNUMBER(NORMSINV(SUM(AI$13:AI256)/AI$317)),NORMSINV(SUM(AI$13:AI256)/AI$317)," ")</f>
        <v xml:space="preserve"> </v>
      </c>
      <c r="AK256" s="46">
        <f t="shared" si="93"/>
        <v>0</v>
      </c>
      <c r="AL256" s="46" t="str">
        <f>IF(ISNUMBER(NORMSINV(SUM(AK$13:AK256)/AK$317)),NORMSINV(SUM(AK$13:AK256)/AK$317)," ")</f>
        <v xml:space="preserve"> </v>
      </c>
      <c r="AM256" s="6">
        <v>0</v>
      </c>
      <c r="AN256" s="6">
        <v>0</v>
      </c>
      <c r="AO256" s="6">
        <v>0</v>
      </c>
      <c r="AP256" s="6">
        <v>0</v>
      </c>
      <c r="AQ256" s="6">
        <v>0</v>
      </c>
      <c r="AR256" s="6">
        <v>0</v>
      </c>
      <c r="AS256" s="6">
        <v>0</v>
      </c>
      <c r="AT256" s="6">
        <v>0</v>
      </c>
      <c r="AU256" s="6">
        <v>0</v>
      </c>
    </row>
    <row r="257" spans="1:47" x14ac:dyDescent="0.4">
      <c r="A257" s="6">
        <f t="shared" si="78"/>
        <v>5.5002601106276545</v>
      </c>
      <c r="B257" s="6">
        <f>'Aerosol 1'!A261</f>
        <v>244.75558751464831</v>
      </c>
      <c r="C257" t="b">
        <f t="shared" si="79"/>
        <v>1</v>
      </c>
      <c r="E257" s="46">
        <f>'Aerosol 1'!$P261</f>
        <v>0.32493087364398043</v>
      </c>
      <c r="F257" s="46">
        <f>'Aerosol 2'!$P261</f>
        <v>0.32493087364398043</v>
      </c>
      <c r="G257" s="46">
        <f>'Aerosol 3'!$P261</f>
        <v>0.32493087364398043</v>
      </c>
      <c r="H257" s="46">
        <f t="shared" si="80"/>
        <v>0.9747926209319413</v>
      </c>
      <c r="I257" s="46">
        <f>NORMSINV(SUM(H$13:H257)/H$317)</f>
        <v>1.4145133052800603</v>
      </c>
      <c r="J257" s="46">
        <f t="shared" si="75"/>
        <v>0.17546267176774943</v>
      </c>
      <c r="K257" s="46">
        <f t="shared" si="76"/>
        <v>0.48739631046597065</v>
      </c>
      <c r="L257" s="46">
        <f t="shared" si="77"/>
        <v>0.97475362922710407</v>
      </c>
      <c r="M257" s="46">
        <f t="shared" si="81"/>
        <v>1.637612611460824</v>
      </c>
      <c r="N257" s="46">
        <f>IF(ISNUMBER(NORMSINV(SUM(M$13:M257)/M$317)),NORMSINV(SUM(M$13:M257)/M$317)," ")</f>
        <v>1.4145133052800525</v>
      </c>
      <c r="O257" s="46">
        <f t="shared" si="82"/>
        <v>0</v>
      </c>
      <c r="P257" s="46" t="str">
        <f>IF(ISNUMBER(NORMSINV(SUM(O$13:O257)/O$317)),NORMSINV(SUM(O$13:O257)/O$317)," ")</f>
        <v xml:space="preserve"> </v>
      </c>
      <c r="Q257" s="46">
        <f t="shared" si="83"/>
        <v>0</v>
      </c>
      <c r="R257" s="46" t="str">
        <f>IF(ISNUMBER(NORMSINV(SUM(Q$13:Q257)/Q$317)),NORMSINV(SUM(Q$13:Q257)/Q$317)," ")</f>
        <v xml:space="preserve"> </v>
      </c>
      <c r="S257" s="46">
        <f t="shared" si="84"/>
        <v>0</v>
      </c>
      <c r="T257" s="46" t="str">
        <f>IF(ISNUMBER(NORMSINV(SUM(S$13:S257)/S$317)),NORMSINV(SUM(S$13:S257)/S$317)," ")</f>
        <v xml:space="preserve"> </v>
      </c>
      <c r="U257" s="46">
        <f t="shared" si="85"/>
        <v>0</v>
      </c>
      <c r="V257" s="46" t="str">
        <f>IF(ISNUMBER(NORMSINV(SUM(U$13:U257)/U$317)),NORMSINV(SUM(U$13:U257)/U$317)," ")</f>
        <v xml:space="preserve"> </v>
      </c>
      <c r="W257" s="46">
        <f t="shared" si="86"/>
        <v>0</v>
      </c>
      <c r="X257" s="46" t="str">
        <f>IF(ISNUMBER(NORMSINV(SUM(W$13:W257)/W$317)),NORMSINV(SUM(W$13:W257)/W$317)," ")</f>
        <v xml:space="preserve"> </v>
      </c>
      <c r="Y257" s="46">
        <f t="shared" si="87"/>
        <v>0</v>
      </c>
      <c r="Z257" s="46" t="str">
        <f>IF(ISNUMBER(NORMSINV(SUM(Y$13:Y257)/Y$317)),NORMSINV(SUM(Y$13:Y257)/Y$317)," ")</f>
        <v xml:space="preserve"> </v>
      </c>
      <c r="AA257" s="46">
        <f t="shared" si="88"/>
        <v>0</v>
      </c>
      <c r="AB257" s="46" t="str">
        <f>IF(ISNUMBER(NORMSINV(SUM(AA$13:AA257)/AA$317)),NORMSINV(SUM(AA$13:AA257)/AA$317)," ")</f>
        <v xml:space="preserve"> </v>
      </c>
      <c r="AC257" s="46">
        <f t="shared" si="89"/>
        <v>0</v>
      </c>
      <c r="AD257" s="46" t="str">
        <f>IF(ISNUMBER(NORMSINV(SUM(AC$13:AC257)/AC$317)),NORMSINV(SUM(AC$13:AC257)/AC$317)," ")</f>
        <v xml:space="preserve"> </v>
      </c>
      <c r="AE257" s="46">
        <f t="shared" si="90"/>
        <v>0</v>
      </c>
      <c r="AF257" s="46" t="str">
        <f>IF(ISNUMBER(NORMSINV(SUM(AE$13:AE257)/AE$317)),NORMSINV(SUM(AE$13:AE257)/AE$317)," ")</f>
        <v xml:space="preserve"> </v>
      </c>
      <c r="AG257" s="46">
        <f t="shared" si="91"/>
        <v>0</v>
      </c>
      <c r="AH257" s="46" t="str">
        <f>IF(ISNUMBER(NORMSINV(SUM(AG$13:AG257)/AG$317)),NORMSINV(SUM(AG$13:AG257)/AG$317)," ")</f>
        <v xml:space="preserve"> </v>
      </c>
      <c r="AI257" s="46">
        <f t="shared" si="92"/>
        <v>0</v>
      </c>
      <c r="AJ257" s="46" t="str">
        <f>IF(ISNUMBER(NORMSINV(SUM(AI$13:AI257)/AI$317)),NORMSINV(SUM(AI$13:AI257)/AI$317)," ")</f>
        <v xml:space="preserve"> </v>
      </c>
      <c r="AK257" s="46">
        <f t="shared" si="93"/>
        <v>0</v>
      </c>
      <c r="AL257" s="46" t="str">
        <f>IF(ISNUMBER(NORMSINV(SUM(AK$13:AK257)/AK$317)),NORMSINV(SUM(AK$13:AK257)/AK$317)," ")</f>
        <v xml:space="preserve"> </v>
      </c>
      <c r="AM257" s="6">
        <v>0</v>
      </c>
      <c r="AN257" s="6">
        <v>0</v>
      </c>
      <c r="AO257" s="6">
        <v>0</v>
      </c>
      <c r="AP257" s="6">
        <v>0</v>
      </c>
      <c r="AQ257" s="6">
        <v>0</v>
      </c>
      <c r="AR257" s="6">
        <v>0</v>
      </c>
      <c r="AS257" s="6">
        <v>0</v>
      </c>
      <c r="AT257" s="6">
        <v>0</v>
      </c>
      <c r="AU257" s="6">
        <v>0</v>
      </c>
    </row>
    <row r="258" spans="1:47" x14ac:dyDescent="0.4">
      <c r="A258" s="6">
        <f t="shared" si="78"/>
        <v>5.534738688058833</v>
      </c>
      <c r="B258" s="6">
        <f>'Aerosol 1'!A262</f>
        <v>253.34157780728108</v>
      </c>
      <c r="C258" t="b">
        <f t="shared" si="79"/>
        <v>1</v>
      </c>
      <c r="E258" s="46">
        <f>'Aerosol 1'!$P262</f>
        <v>0.31566272961184305</v>
      </c>
      <c r="F258" s="46">
        <f>'Aerosol 2'!$P262</f>
        <v>0.31566272961184305</v>
      </c>
      <c r="G258" s="46">
        <f>'Aerosol 3'!$P262</f>
        <v>0.31566272961184305</v>
      </c>
      <c r="H258" s="46">
        <f t="shared" si="80"/>
        <v>0.94698818883552915</v>
      </c>
      <c r="I258" s="46">
        <f>NORMSINV(SUM(H$13:H258)/H$317)</f>
        <v>1.4364783798855358</v>
      </c>
      <c r="J258" s="46">
        <f t="shared" si="75"/>
        <v>0.17045787399039525</v>
      </c>
      <c r="K258" s="46">
        <f t="shared" si="76"/>
        <v>0.47349409441776458</v>
      </c>
      <c r="L258" s="46">
        <f t="shared" si="77"/>
        <v>0.94695030930797575</v>
      </c>
      <c r="M258" s="46">
        <f t="shared" si="81"/>
        <v>1.5909022777161357</v>
      </c>
      <c r="N258" s="46">
        <f>IF(ISNUMBER(NORMSINV(SUM(M$13:M258)/M$317)),NORMSINV(SUM(M$13:M258)/M$317)," ")</f>
        <v>1.4364783798855281</v>
      </c>
      <c r="O258" s="46">
        <f t="shared" si="82"/>
        <v>0</v>
      </c>
      <c r="P258" s="46" t="str">
        <f>IF(ISNUMBER(NORMSINV(SUM(O$13:O258)/O$317)),NORMSINV(SUM(O$13:O258)/O$317)," ")</f>
        <v xml:space="preserve"> </v>
      </c>
      <c r="Q258" s="46">
        <f t="shared" si="83"/>
        <v>0</v>
      </c>
      <c r="R258" s="46" t="str">
        <f>IF(ISNUMBER(NORMSINV(SUM(Q$13:Q258)/Q$317)),NORMSINV(SUM(Q$13:Q258)/Q$317)," ")</f>
        <v xml:space="preserve"> </v>
      </c>
      <c r="S258" s="46">
        <f t="shared" si="84"/>
        <v>0</v>
      </c>
      <c r="T258" s="46" t="str">
        <f>IF(ISNUMBER(NORMSINV(SUM(S$13:S258)/S$317)),NORMSINV(SUM(S$13:S258)/S$317)," ")</f>
        <v xml:space="preserve"> </v>
      </c>
      <c r="U258" s="46">
        <f t="shared" si="85"/>
        <v>0</v>
      </c>
      <c r="V258" s="46" t="str">
        <f>IF(ISNUMBER(NORMSINV(SUM(U$13:U258)/U$317)),NORMSINV(SUM(U$13:U258)/U$317)," ")</f>
        <v xml:space="preserve"> </v>
      </c>
      <c r="W258" s="46">
        <f t="shared" si="86"/>
        <v>0</v>
      </c>
      <c r="X258" s="46" t="str">
        <f>IF(ISNUMBER(NORMSINV(SUM(W$13:W258)/W$317)),NORMSINV(SUM(W$13:W258)/W$317)," ")</f>
        <v xml:space="preserve"> </v>
      </c>
      <c r="Y258" s="46">
        <f t="shared" si="87"/>
        <v>0</v>
      </c>
      <c r="Z258" s="46" t="str">
        <f>IF(ISNUMBER(NORMSINV(SUM(Y$13:Y258)/Y$317)),NORMSINV(SUM(Y$13:Y258)/Y$317)," ")</f>
        <v xml:space="preserve"> </v>
      </c>
      <c r="AA258" s="46">
        <f t="shared" si="88"/>
        <v>0</v>
      </c>
      <c r="AB258" s="46" t="str">
        <f>IF(ISNUMBER(NORMSINV(SUM(AA$13:AA258)/AA$317)),NORMSINV(SUM(AA$13:AA258)/AA$317)," ")</f>
        <v xml:space="preserve"> </v>
      </c>
      <c r="AC258" s="46">
        <f t="shared" si="89"/>
        <v>0</v>
      </c>
      <c r="AD258" s="46" t="str">
        <f>IF(ISNUMBER(NORMSINV(SUM(AC$13:AC258)/AC$317)),NORMSINV(SUM(AC$13:AC258)/AC$317)," ")</f>
        <v xml:space="preserve"> </v>
      </c>
      <c r="AE258" s="46">
        <f t="shared" si="90"/>
        <v>0</v>
      </c>
      <c r="AF258" s="46" t="str">
        <f>IF(ISNUMBER(NORMSINV(SUM(AE$13:AE258)/AE$317)),NORMSINV(SUM(AE$13:AE258)/AE$317)," ")</f>
        <v xml:space="preserve"> </v>
      </c>
      <c r="AG258" s="46">
        <f t="shared" si="91"/>
        <v>0</v>
      </c>
      <c r="AH258" s="46" t="str">
        <f>IF(ISNUMBER(NORMSINV(SUM(AG$13:AG258)/AG$317)),NORMSINV(SUM(AG$13:AG258)/AG$317)," ")</f>
        <v xml:space="preserve"> </v>
      </c>
      <c r="AI258" s="46">
        <f t="shared" si="92"/>
        <v>0</v>
      </c>
      <c r="AJ258" s="46" t="str">
        <f>IF(ISNUMBER(NORMSINV(SUM(AI$13:AI258)/AI$317)),NORMSINV(SUM(AI$13:AI258)/AI$317)," ")</f>
        <v xml:space="preserve"> </v>
      </c>
      <c r="AK258" s="46">
        <f t="shared" si="93"/>
        <v>0</v>
      </c>
      <c r="AL258" s="46" t="str">
        <f>IF(ISNUMBER(NORMSINV(SUM(AK$13:AK258)/AK$317)),NORMSINV(SUM(AK$13:AK258)/AK$317)," ")</f>
        <v xml:space="preserve"> </v>
      </c>
      <c r="AM258" s="6">
        <v>0</v>
      </c>
      <c r="AN258" s="6">
        <v>0</v>
      </c>
      <c r="AO258" s="6">
        <v>0</v>
      </c>
      <c r="AP258" s="6">
        <v>0</v>
      </c>
      <c r="AQ258" s="6">
        <v>0</v>
      </c>
      <c r="AR258" s="6">
        <v>0</v>
      </c>
      <c r="AS258" s="6">
        <v>0</v>
      </c>
      <c r="AT258" s="6">
        <v>0</v>
      </c>
      <c r="AU258" s="6">
        <v>0</v>
      </c>
    </row>
    <row r="259" spans="1:47" x14ac:dyDescent="0.4">
      <c r="A259" s="6">
        <f t="shared" si="78"/>
        <v>5.5692172654900114</v>
      </c>
      <c r="B259" s="6">
        <f>'Aerosol 1'!A263</f>
        <v>262.2287633864189</v>
      </c>
      <c r="C259" t="b">
        <f t="shared" si="79"/>
        <v>1</v>
      </c>
      <c r="E259" s="46">
        <f>'Aerosol 1'!$P263</f>
        <v>0.3065248592953207</v>
      </c>
      <c r="F259" s="46">
        <f>'Aerosol 2'!$P263</f>
        <v>0.3065248592953207</v>
      </c>
      <c r="G259" s="46">
        <f>'Aerosol 3'!$P263</f>
        <v>0.3065248592953207</v>
      </c>
      <c r="H259" s="46">
        <f t="shared" si="80"/>
        <v>0.91957457788596209</v>
      </c>
      <c r="I259" s="46">
        <f>NORMSINV(SUM(H$13:H259)/H$317)</f>
        <v>1.458492066312751</v>
      </c>
      <c r="J259" s="46">
        <f t="shared" si="75"/>
        <v>0.16552342401947318</v>
      </c>
      <c r="K259" s="46">
        <f t="shared" si="76"/>
        <v>0.45978728894298104</v>
      </c>
      <c r="L259" s="46">
        <f t="shared" si="77"/>
        <v>0.91953779490284671</v>
      </c>
      <c r="M259" s="46">
        <f t="shared" si="81"/>
        <v>1.5448485078653009</v>
      </c>
      <c r="N259" s="46">
        <f>IF(ISNUMBER(NORMSINV(SUM(M$13:M259)/M$317)),NORMSINV(SUM(M$13:M259)/M$317)," ")</f>
        <v>1.4584920663127439</v>
      </c>
      <c r="O259" s="46">
        <f t="shared" si="82"/>
        <v>0</v>
      </c>
      <c r="P259" s="46" t="str">
        <f>IF(ISNUMBER(NORMSINV(SUM(O$13:O259)/O$317)),NORMSINV(SUM(O$13:O259)/O$317)," ")</f>
        <v xml:space="preserve"> </v>
      </c>
      <c r="Q259" s="46">
        <f t="shared" si="83"/>
        <v>0</v>
      </c>
      <c r="R259" s="46" t="str">
        <f>IF(ISNUMBER(NORMSINV(SUM(Q$13:Q259)/Q$317)),NORMSINV(SUM(Q$13:Q259)/Q$317)," ")</f>
        <v xml:space="preserve"> </v>
      </c>
      <c r="S259" s="46">
        <f t="shared" si="84"/>
        <v>0</v>
      </c>
      <c r="T259" s="46" t="str">
        <f>IF(ISNUMBER(NORMSINV(SUM(S$13:S259)/S$317)),NORMSINV(SUM(S$13:S259)/S$317)," ")</f>
        <v xml:space="preserve"> </v>
      </c>
      <c r="U259" s="46">
        <f t="shared" si="85"/>
        <v>0</v>
      </c>
      <c r="V259" s="46" t="str">
        <f>IF(ISNUMBER(NORMSINV(SUM(U$13:U259)/U$317)),NORMSINV(SUM(U$13:U259)/U$317)," ")</f>
        <v xml:space="preserve"> </v>
      </c>
      <c r="W259" s="46">
        <f t="shared" si="86"/>
        <v>0</v>
      </c>
      <c r="X259" s="46" t="str">
        <f>IF(ISNUMBER(NORMSINV(SUM(W$13:W259)/W$317)),NORMSINV(SUM(W$13:W259)/W$317)," ")</f>
        <v xml:space="preserve"> </v>
      </c>
      <c r="Y259" s="46">
        <f t="shared" si="87"/>
        <v>0</v>
      </c>
      <c r="Z259" s="46" t="str">
        <f>IF(ISNUMBER(NORMSINV(SUM(Y$13:Y259)/Y$317)),NORMSINV(SUM(Y$13:Y259)/Y$317)," ")</f>
        <v xml:space="preserve"> </v>
      </c>
      <c r="AA259" s="46">
        <f t="shared" si="88"/>
        <v>0</v>
      </c>
      <c r="AB259" s="46" t="str">
        <f>IF(ISNUMBER(NORMSINV(SUM(AA$13:AA259)/AA$317)),NORMSINV(SUM(AA$13:AA259)/AA$317)," ")</f>
        <v xml:space="preserve"> </v>
      </c>
      <c r="AC259" s="46">
        <f t="shared" si="89"/>
        <v>0</v>
      </c>
      <c r="AD259" s="46" t="str">
        <f>IF(ISNUMBER(NORMSINV(SUM(AC$13:AC259)/AC$317)),NORMSINV(SUM(AC$13:AC259)/AC$317)," ")</f>
        <v xml:space="preserve"> </v>
      </c>
      <c r="AE259" s="46">
        <f t="shared" si="90"/>
        <v>0</v>
      </c>
      <c r="AF259" s="46" t="str">
        <f>IF(ISNUMBER(NORMSINV(SUM(AE$13:AE259)/AE$317)),NORMSINV(SUM(AE$13:AE259)/AE$317)," ")</f>
        <v xml:space="preserve"> </v>
      </c>
      <c r="AG259" s="46">
        <f t="shared" si="91"/>
        <v>0</v>
      </c>
      <c r="AH259" s="46" t="str">
        <f>IF(ISNUMBER(NORMSINV(SUM(AG$13:AG259)/AG$317)),NORMSINV(SUM(AG$13:AG259)/AG$317)," ")</f>
        <v xml:space="preserve"> </v>
      </c>
      <c r="AI259" s="46">
        <f t="shared" si="92"/>
        <v>0</v>
      </c>
      <c r="AJ259" s="46" t="str">
        <f>IF(ISNUMBER(NORMSINV(SUM(AI$13:AI259)/AI$317)),NORMSINV(SUM(AI$13:AI259)/AI$317)," ")</f>
        <v xml:space="preserve"> </v>
      </c>
      <c r="AK259" s="46">
        <f t="shared" si="93"/>
        <v>0</v>
      </c>
      <c r="AL259" s="46" t="str">
        <f>IF(ISNUMBER(NORMSINV(SUM(AK$13:AK259)/AK$317)),NORMSINV(SUM(AK$13:AK259)/AK$317)," ")</f>
        <v xml:space="preserve"> </v>
      </c>
      <c r="AM259" s="6">
        <v>0</v>
      </c>
      <c r="AN259" s="6">
        <v>0</v>
      </c>
      <c r="AO259" s="6">
        <v>0</v>
      </c>
      <c r="AP259" s="6">
        <v>0</v>
      </c>
      <c r="AQ259" s="6">
        <v>0</v>
      </c>
      <c r="AR259" s="6">
        <v>0</v>
      </c>
      <c r="AS259" s="6">
        <v>0</v>
      </c>
      <c r="AT259" s="6">
        <v>0</v>
      </c>
      <c r="AU259" s="6">
        <v>0</v>
      </c>
    </row>
    <row r="260" spans="1:47" x14ac:dyDescent="0.4">
      <c r="A260" s="6">
        <f t="shared" si="78"/>
        <v>5.6036958429211898</v>
      </c>
      <c r="B260" s="6">
        <f>'Aerosol 1'!A264</f>
        <v>271.4277101387587</v>
      </c>
      <c r="C260" t="b">
        <f t="shared" si="79"/>
        <v>1</v>
      </c>
      <c r="E260" s="46">
        <f>'Aerosol 1'!$P264</f>
        <v>0.29752136684599861</v>
      </c>
      <c r="F260" s="46">
        <f>'Aerosol 2'!$P264</f>
        <v>0.29752136684599861</v>
      </c>
      <c r="G260" s="46">
        <f>'Aerosol 3'!$P264</f>
        <v>0.29752136684599861</v>
      </c>
      <c r="H260" s="46">
        <f t="shared" si="80"/>
        <v>0.89256410053799584</v>
      </c>
      <c r="I260" s="46">
        <f>NORMSINV(SUM(H$13:H260)/H$317)</f>
        <v>1.4805571110514102</v>
      </c>
      <c r="J260" s="46">
        <f t="shared" si="75"/>
        <v>0.16066153809683925</v>
      </c>
      <c r="K260" s="46">
        <f t="shared" si="76"/>
        <v>0.44628205026899792</v>
      </c>
      <c r="L260" s="46">
        <f t="shared" si="77"/>
        <v>0.89252839797397432</v>
      </c>
      <c r="M260" s="46">
        <f t="shared" si="81"/>
        <v>1.4994719863398114</v>
      </c>
      <c r="N260" s="46">
        <f>IF(ISNUMBER(NORMSINV(SUM(M$13:M260)/M$317)),NORMSINV(SUM(M$13:M260)/M$317)," ")</f>
        <v>1.4805571110514038</v>
      </c>
      <c r="O260" s="46">
        <f t="shared" si="82"/>
        <v>0</v>
      </c>
      <c r="P260" s="46" t="str">
        <f>IF(ISNUMBER(NORMSINV(SUM(O$13:O260)/O$317)),NORMSINV(SUM(O$13:O260)/O$317)," ")</f>
        <v xml:space="preserve"> </v>
      </c>
      <c r="Q260" s="46">
        <f t="shared" si="83"/>
        <v>0</v>
      </c>
      <c r="R260" s="46" t="str">
        <f>IF(ISNUMBER(NORMSINV(SUM(Q$13:Q260)/Q$317)),NORMSINV(SUM(Q$13:Q260)/Q$317)," ")</f>
        <v xml:space="preserve"> </v>
      </c>
      <c r="S260" s="46">
        <f t="shared" si="84"/>
        <v>0</v>
      </c>
      <c r="T260" s="46" t="str">
        <f>IF(ISNUMBER(NORMSINV(SUM(S$13:S260)/S$317)),NORMSINV(SUM(S$13:S260)/S$317)," ")</f>
        <v xml:space="preserve"> </v>
      </c>
      <c r="U260" s="46">
        <f t="shared" si="85"/>
        <v>0</v>
      </c>
      <c r="V260" s="46" t="str">
        <f>IF(ISNUMBER(NORMSINV(SUM(U$13:U260)/U$317)),NORMSINV(SUM(U$13:U260)/U$317)," ")</f>
        <v xml:space="preserve"> </v>
      </c>
      <c r="W260" s="46">
        <f t="shared" si="86"/>
        <v>0</v>
      </c>
      <c r="X260" s="46" t="str">
        <f>IF(ISNUMBER(NORMSINV(SUM(W$13:W260)/W$317)),NORMSINV(SUM(W$13:W260)/W$317)," ")</f>
        <v xml:space="preserve"> </v>
      </c>
      <c r="Y260" s="46">
        <f t="shared" si="87"/>
        <v>0</v>
      </c>
      <c r="Z260" s="46" t="str">
        <f>IF(ISNUMBER(NORMSINV(SUM(Y$13:Y260)/Y$317)),NORMSINV(SUM(Y$13:Y260)/Y$317)," ")</f>
        <v xml:space="preserve"> </v>
      </c>
      <c r="AA260" s="46">
        <f t="shared" si="88"/>
        <v>0</v>
      </c>
      <c r="AB260" s="46" t="str">
        <f>IF(ISNUMBER(NORMSINV(SUM(AA$13:AA260)/AA$317)),NORMSINV(SUM(AA$13:AA260)/AA$317)," ")</f>
        <v xml:space="preserve"> </v>
      </c>
      <c r="AC260" s="46">
        <f t="shared" si="89"/>
        <v>0</v>
      </c>
      <c r="AD260" s="46" t="str">
        <f>IF(ISNUMBER(NORMSINV(SUM(AC$13:AC260)/AC$317)),NORMSINV(SUM(AC$13:AC260)/AC$317)," ")</f>
        <v xml:space="preserve"> </v>
      </c>
      <c r="AE260" s="46">
        <f t="shared" si="90"/>
        <v>0</v>
      </c>
      <c r="AF260" s="46" t="str">
        <f>IF(ISNUMBER(NORMSINV(SUM(AE$13:AE260)/AE$317)),NORMSINV(SUM(AE$13:AE260)/AE$317)," ")</f>
        <v xml:space="preserve"> </v>
      </c>
      <c r="AG260" s="46">
        <f t="shared" si="91"/>
        <v>0</v>
      </c>
      <c r="AH260" s="46" t="str">
        <f>IF(ISNUMBER(NORMSINV(SUM(AG$13:AG260)/AG$317)),NORMSINV(SUM(AG$13:AG260)/AG$317)," ")</f>
        <v xml:space="preserve"> </v>
      </c>
      <c r="AI260" s="46">
        <f t="shared" si="92"/>
        <v>0</v>
      </c>
      <c r="AJ260" s="46" t="str">
        <f>IF(ISNUMBER(NORMSINV(SUM(AI$13:AI260)/AI$317)),NORMSINV(SUM(AI$13:AI260)/AI$317)," ")</f>
        <v xml:space="preserve"> </v>
      </c>
      <c r="AK260" s="46">
        <f t="shared" si="93"/>
        <v>0</v>
      </c>
      <c r="AL260" s="46" t="str">
        <f>IF(ISNUMBER(NORMSINV(SUM(AK$13:AK260)/AK$317)),NORMSINV(SUM(AK$13:AK260)/AK$317)," ")</f>
        <v xml:space="preserve"> </v>
      </c>
      <c r="AM260" s="6">
        <v>0</v>
      </c>
      <c r="AN260" s="6">
        <v>0</v>
      </c>
      <c r="AO260" s="6">
        <v>0</v>
      </c>
      <c r="AP260" s="6">
        <v>0</v>
      </c>
      <c r="AQ260" s="6">
        <v>0</v>
      </c>
      <c r="AR260" s="6">
        <v>0</v>
      </c>
      <c r="AS260" s="6">
        <v>0</v>
      </c>
      <c r="AT260" s="6">
        <v>0</v>
      </c>
      <c r="AU260" s="6">
        <v>0</v>
      </c>
    </row>
    <row r="261" spans="1:47" x14ac:dyDescent="0.4">
      <c r="A261" s="6">
        <f t="shared" si="78"/>
        <v>5.6381744203523692</v>
      </c>
      <c r="B261" s="6">
        <f>'Aerosol 1'!A265</f>
        <v>280.94935460076113</v>
      </c>
      <c r="C261" t="b">
        <f t="shared" si="79"/>
        <v>1</v>
      </c>
      <c r="E261" s="46">
        <f>'Aerosol 1'!$P265</f>
        <v>0.28865606306912595</v>
      </c>
      <c r="F261" s="46">
        <f>'Aerosol 2'!$P265</f>
        <v>0.28865606306912595</v>
      </c>
      <c r="G261" s="46">
        <f>'Aerosol 3'!$P265</f>
        <v>0.28865606306912595</v>
      </c>
      <c r="H261" s="46">
        <f t="shared" si="80"/>
        <v>0.86596818920737784</v>
      </c>
      <c r="I261" s="46">
        <f>NORMSINV(SUM(H$13:H261)/H$317)</f>
        <v>1.5026764460303388</v>
      </c>
      <c r="J261" s="46">
        <f t="shared" si="75"/>
        <v>0.15587427405732801</v>
      </c>
      <c r="K261" s="46">
        <f t="shared" si="76"/>
        <v>0.43298409460368892</v>
      </c>
      <c r="L261" s="46">
        <f t="shared" si="77"/>
        <v>0.86593355047980958</v>
      </c>
      <c r="M261" s="46">
        <f t="shared" si="81"/>
        <v>1.4547919191408265</v>
      </c>
      <c r="N261" s="46">
        <f>IF(ISNUMBER(NORMSINV(SUM(M$13:M261)/M$317)),NORMSINV(SUM(M$13:M261)/M$317)," ")</f>
        <v>1.5026764460303323</v>
      </c>
      <c r="O261" s="46">
        <f t="shared" si="82"/>
        <v>0</v>
      </c>
      <c r="P261" s="46" t="str">
        <f>IF(ISNUMBER(NORMSINV(SUM(O$13:O261)/O$317)),NORMSINV(SUM(O$13:O261)/O$317)," ")</f>
        <v xml:space="preserve"> </v>
      </c>
      <c r="Q261" s="46">
        <f t="shared" si="83"/>
        <v>0</v>
      </c>
      <c r="R261" s="46" t="str">
        <f>IF(ISNUMBER(NORMSINV(SUM(Q$13:Q261)/Q$317)),NORMSINV(SUM(Q$13:Q261)/Q$317)," ")</f>
        <v xml:space="preserve"> </v>
      </c>
      <c r="S261" s="46">
        <f t="shared" si="84"/>
        <v>0</v>
      </c>
      <c r="T261" s="46" t="str">
        <f>IF(ISNUMBER(NORMSINV(SUM(S$13:S261)/S$317)),NORMSINV(SUM(S$13:S261)/S$317)," ")</f>
        <v xml:space="preserve"> </v>
      </c>
      <c r="U261" s="46">
        <f t="shared" si="85"/>
        <v>0</v>
      </c>
      <c r="V261" s="46" t="str">
        <f>IF(ISNUMBER(NORMSINV(SUM(U$13:U261)/U$317)),NORMSINV(SUM(U$13:U261)/U$317)," ")</f>
        <v xml:space="preserve"> </v>
      </c>
      <c r="W261" s="46">
        <f t="shared" si="86"/>
        <v>0</v>
      </c>
      <c r="X261" s="46" t="str">
        <f>IF(ISNUMBER(NORMSINV(SUM(W$13:W261)/W$317)),NORMSINV(SUM(W$13:W261)/W$317)," ")</f>
        <v xml:space="preserve"> </v>
      </c>
      <c r="Y261" s="46">
        <f t="shared" si="87"/>
        <v>0</v>
      </c>
      <c r="Z261" s="46" t="str">
        <f>IF(ISNUMBER(NORMSINV(SUM(Y$13:Y261)/Y$317)),NORMSINV(SUM(Y$13:Y261)/Y$317)," ")</f>
        <v xml:space="preserve"> </v>
      </c>
      <c r="AA261" s="46">
        <f t="shared" si="88"/>
        <v>0</v>
      </c>
      <c r="AB261" s="46" t="str">
        <f>IF(ISNUMBER(NORMSINV(SUM(AA$13:AA261)/AA$317)),NORMSINV(SUM(AA$13:AA261)/AA$317)," ")</f>
        <v xml:space="preserve"> </v>
      </c>
      <c r="AC261" s="46">
        <f t="shared" si="89"/>
        <v>0</v>
      </c>
      <c r="AD261" s="46" t="str">
        <f>IF(ISNUMBER(NORMSINV(SUM(AC$13:AC261)/AC$317)),NORMSINV(SUM(AC$13:AC261)/AC$317)," ")</f>
        <v xml:space="preserve"> </v>
      </c>
      <c r="AE261" s="46">
        <f t="shared" si="90"/>
        <v>0</v>
      </c>
      <c r="AF261" s="46" t="str">
        <f>IF(ISNUMBER(NORMSINV(SUM(AE$13:AE261)/AE$317)),NORMSINV(SUM(AE$13:AE261)/AE$317)," ")</f>
        <v xml:space="preserve"> </v>
      </c>
      <c r="AG261" s="46">
        <f t="shared" si="91"/>
        <v>0</v>
      </c>
      <c r="AH261" s="46" t="str">
        <f>IF(ISNUMBER(NORMSINV(SUM(AG$13:AG261)/AG$317)),NORMSINV(SUM(AG$13:AG261)/AG$317)," ")</f>
        <v xml:space="preserve"> </v>
      </c>
      <c r="AI261" s="46">
        <f t="shared" si="92"/>
        <v>0</v>
      </c>
      <c r="AJ261" s="46" t="str">
        <f>IF(ISNUMBER(NORMSINV(SUM(AI$13:AI261)/AI$317)),NORMSINV(SUM(AI$13:AI261)/AI$317)," ")</f>
        <v xml:space="preserve"> </v>
      </c>
      <c r="AK261" s="46">
        <f t="shared" si="93"/>
        <v>0</v>
      </c>
      <c r="AL261" s="46" t="str">
        <f>IF(ISNUMBER(NORMSINV(SUM(AK$13:AK261)/AK$317)),NORMSINV(SUM(AK$13:AK261)/AK$317)," ")</f>
        <v xml:space="preserve"> </v>
      </c>
      <c r="AM261" s="6">
        <v>0</v>
      </c>
      <c r="AN261" s="6">
        <v>0</v>
      </c>
      <c r="AO261" s="6">
        <v>0</v>
      </c>
      <c r="AP261" s="6">
        <v>0</v>
      </c>
      <c r="AQ261" s="6">
        <v>0</v>
      </c>
      <c r="AR261" s="6">
        <v>0</v>
      </c>
      <c r="AS261" s="6">
        <v>0</v>
      </c>
      <c r="AT261" s="6">
        <v>0</v>
      </c>
      <c r="AU261" s="6">
        <v>0</v>
      </c>
    </row>
    <row r="262" spans="1:47" x14ac:dyDescent="0.4">
      <c r="A262" s="6">
        <f t="shared" si="78"/>
        <v>5.6726529977835485</v>
      </c>
      <c r="B262" s="6">
        <f>'Aerosol 1'!A266</f>
        <v>290.80501696098924</v>
      </c>
      <c r="C262" t="b">
        <f t="shared" si="79"/>
        <v>1</v>
      </c>
      <c r="E262" s="46">
        <f>'Aerosol 1'!$P266</f>
        <v>0.27993246747280986</v>
      </c>
      <c r="F262" s="46">
        <f>'Aerosol 2'!$P266</f>
        <v>0.27993246747280986</v>
      </c>
      <c r="G262" s="46">
        <f>'Aerosol 3'!$P266</f>
        <v>0.27993246747280986</v>
      </c>
      <c r="H262" s="46">
        <f t="shared" si="80"/>
        <v>0.83979740241842959</v>
      </c>
      <c r="I262" s="46">
        <f>NORMSINV(SUM(H$13:H262)/H$317)</f>
        <v>1.5248532035944384</v>
      </c>
      <c r="J262" s="46">
        <f t="shared" si="75"/>
        <v>0.15116353243531733</v>
      </c>
      <c r="K262" s="46">
        <f t="shared" si="76"/>
        <v>0.4198987012092148</v>
      </c>
      <c r="L262" s="46">
        <f t="shared" si="77"/>
        <v>0.83976381052233284</v>
      </c>
      <c r="M262" s="46">
        <f t="shared" si="81"/>
        <v>1.410826044166865</v>
      </c>
      <c r="N262" s="46">
        <f>IF(ISNUMBER(NORMSINV(SUM(M$13:M262)/M$317)),NORMSINV(SUM(M$13:M262)/M$317)," ")</f>
        <v>1.5248532035944315</v>
      </c>
      <c r="O262" s="46">
        <f t="shared" si="82"/>
        <v>0</v>
      </c>
      <c r="P262" s="46" t="str">
        <f>IF(ISNUMBER(NORMSINV(SUM(O$13:O262)/O$317)),NORMSINV(SUM(O$13:O262)/O$317)," ")</f>
        <v xml:space="preserve"> </v>
      </c>
      <c r="Q262" s="46">
        <f t="shared" si="83"/>
        <v>0</v>
      </c>
      <c r="R262" s="46" t="str">
        <f>IF(ISNUMBER(NORMSINV(SUM(Q$13:Q262)/Q$317)),NORMSINV(SUM(Q$13:Q262)/Q$317)," ")</f>
        <v xml:space="preserve"> </v>
      </c>
      <c r="S262" s="46">
        <f t="shared" si="84"/>
        <v>0</v>
      </c>
      <c r="T262" s="46" t="str">
        <f>IF(ISNUMBER(NORMSINV(SUM(S$13:S262)/S$317)),NORMSINV(SUM(S$13:S262)/S$317)," ")</f>
        <v xml:space="preserve"> </v>
      </c>
      <c r="U262" s="46">
        <f t="shared" si="85"/>
        <v>0</v>
      </c>
      <c r="V262" s="46" t="str">
        <f>IF(ISNUMBER(NORMSINV(SUM(U$13:U262)/U$317)),NORMSINV(SUM(U$13:U262)/U$317)," ")</f>
        <v xml:space="preserve"> </v>
      </c>
      <c r="W262" s="46">
        <f t="shared" si="86"/>
        <v>0</v>
      </c>
      <c r="X262" s="46" t="str">
        <f>IF(ISNUMBER(NORMSINV(SUM(W$13:W262)/W$317)),NORMSINV(SUM(W$13:W262)/W$317)," ")</f>
        <v xml:space="preserve"> </v>
      </c>
      <c r="Y262" s="46">
        <f t="shared" si="87"/>
        <v>0</v>
      </c>
      <c r="Z262" s="46" t="str">
        <f>IF(ISNUMBER(NORMSINV(SUM(Y$13:Y262)/Y$317)),NORMSINV(SUM(Y$13:Y262)/Y$317)," ")</f>
        <v xml:space="preserve"> </v>
      </c>
      <c r="AA262" s="46">
        <f t="shared" si="88"/>
        <v>0</v>
      </c>
      <c r="AB262" s="46" t="str">
        <f>IF(ISNUMBER(NORMSINV(SUM(AA$13:AA262)/AA$317)),NORMSINV(SUM(AA$13:AA262)/AA$317)," ")</f>
        <v xml:space="preserve"> </v>
      </c>
      <c r="AC262" s="46">
        <f t="shared" si="89"/>
        <v>0</v>
      </c>
      <c r="AD262" s="46" t="str">
        <f>IF(ISNUMBER(NORMSINV(SUM(AC$13:AC262)/AC$317)),NORMSINV(SUM(AC$13:AC262)/AC$317)," ")</f>
        <v xml:space="preserve"> </v>
      </c>
      <c r="AE262" s="46">
        <f t="shared" si="90"/>
        <v>0</v>
      </c>
      <c r="AF262" s="46" t="str">
        <f>IF(ISNUMBER(NORMSINV(SUM(AE$13:AE262)/AE$317)),NORMSINV(SUM(AE$13:AE262)/AE$317)," ")</f>
        <v xml:space="preserve"> </v>
      </c>
      <c r="AG262" s="46">
        <f t="shared" si="91"/>
        <v>0</v>
      </c>
      <c r="AH262" s="46" t="str">
        <f>IF(ISNUMBER(NORMSINV(SUM(AG$13:AG262)/AG$317)),NORMSINV(SUM(AG$13:AG262)/AG$317)," ")</f>
        <v xml:space="preserve"> </v>
      </c>
      <c r="AI262" s="46">
        <f t="shared" si="92"/>
        <v>0</v>
      </c>
      <c r="AJ262" s="46" t="str">
        <f>IF(ISNUMBER(NORMSINV(SUM(AI$13:AI262)/AI$317)),NORMSINV(SUM(AI$13:AI262)/AI$317)," ")</f>
        <v xml:space="preserve"> </v>
      </c>
      <c r="AK262" s="46">
        <f t="shared" si="93"/>
        <v>0</v>
      </c>
      <c r="AL262" s="46" t="str">
        <f>IF(ISNUMBER(NORMSINV(SUM(AK$13:AK262)/AK$317)),NORMSINV(SUM(AK$13:AK262)/AK$317)," ")</f>
        <v xml:space="preserve"> </v>
      </c>
      <c r="AM262" s="6">
        <v>0</v>
      </c>
      <c r="AN262" s="6">
        <v>0</v>
      </c>
      <c r="AO262" s="6">
        <v>0</v>
      </c>
      <c r="AP262" s="6">
        <v>0</v>
      </c>
      <c r="AQ262" s="6">
        <v>0</v>
      </c>
      <c r="AR262" s="6">
        <v>0</v>
      </c>
      <c r="AS262" s="6">
        <v>0</v>
      </c>
      <c r="AT262" s="6">
        <v>0</v>
      </c>
      <c r="AU262" s="6">
        <v>0</v>
      </c>
    </row>
    <row r="263" spans="1:47" x14ac:dyDescent="0.4">
      <c r="A263" s="6">
        <f t="shared" si="78"/>
        <v>5.7071315752147269</v>
      </c>
      <c r="B263" s="6">
        <f>'Aerosol 1'!A267</f>
        <v>301.00641451856916</v>
      </c>
      <c r="C263" t="b">
        <f t="shared" si="79"/>
        <v>1</v>
      </c>
      <c r="E263" s="46">
        <f>'Aerosol 1'!$P267</f>
        <v>0.27135381088384536</v>
      </c>
      <c r="F263" s="46">
        <f>'Aerosol 2'!$P267</f>
        <v>0.27135381088384536</v>
      </c>
      <c r="G263" s="46">
        <f>'Aerosol 3'!$P267</f>
        <v>0.27135381088384536</v>
      </c>
      <c r="H263" s="46">
        <f t="shared" si="80"/>
        <v>0.81406143265153608</v>
      </c>
      <c r="I263" s="46">
        <f>NORMSINV(SUM(H$13:H263)/H$317)</f>
        <v>1.5470907329380146</v>
      </c>
      <c r="J263" s="46">
        <f t="shared" si="75"/>
        <v>0.14653105787727649</v>
      </c>
      <c r="K263" s="46">
        <f t="shared" si="76"/>
        <v>0.40703071632576804</v>
      </c>
      <c r="L263" s="46">
        <f t="shared" si="77"/>
        <v>0.81402887019423009</v>
      </c>
      <c r="M263" s="46">
        <f t="shared" si="81"/>
        <v>1.3675906443972745</v>
      </c>
      <c r="N263" s="46">
        <f>IF(ISNUMBER(NORMSINV(SUM(M$13:M263)/M$317)),NORMSINV(SUM(M$13:M263)/M$317)," ")</f>
        <v>1.5470907329380057</v>
      </c>
      <c r="O263" s="46">
        <f t="shared" si="82"/>
        <v>0</v>
      </c>
      <c r="P263" s="46" t="str">
        <f>IF(ISNUMBER(NORMSINV(SUM(O$13:O263)/O$317)),NORMSINV(SUM(O$13:O263)/O$317)," ")</f>
        <v xml:space="preserve"> </v>
      </c>
      <c r="Q263" s="46">
        <f t="shared" si="83"/>
        <v>0</v>
      </c>
      <c r="R263" s="46" t="str">
        <f>IF(ISNUMBER(NORMSINV(SUM(Q$13:Q263)/Q$317)),NORMSINV(SUM(Q$13:Q263)/Q$317)," ")</f>
        <v xml:space="preserve"> </v>
      </c>
      <c r="S263" s="46">
        <f t="shared" si="84"/>
        <v>0</v>
      </c>
      <c r="T263" s="46" t="str">
        <f>IF(ISNUMBER(NORMSINV(SUM(S$13:S263)/S$317)),NORMSINV(SUM(S$13:S263)/S$317)," ")</f>
        <v xml:space="preserve"> </v>
      </c>
      <c r="U263" s="46">
        <f t="shared" si="85"/>
        <v>0</v>
      </c>
      <c r="V263" s="46" t="str">
        <f>IF(ISNUMBER(NORMSINV(SUM(U$13:U263)/U$317)),NORMSINV(SUM(U$13:U263)/U$317)," ")</f>
        <v xml:space="preserve"> </v>
      </c>
      <c r="W263" s="46">
        <f t="shared" si="86"/>
        <v>0</v>
      </c>
      <c r="X263" s="46" t="str">
        <f>IF(ISNUMBER(NORMSINV(SUM(W$13:W263)/W$317)),NORMSINV(SUM(W$13:W263)/W$317)," ")</f>
        <v xml:space="preserve"> </v>
      </c>
      <c r="Y263" s="46">
        <f t="shared" si="87"/>
        <v>0</v>
      </c>
      <c r="Z263" s="46" t="str">
        <f>IF(ISNUMBER(NORMSINV(SUM(Y$13:Y263)/Y$317)),NORMSINV(SUM(Y$13:Y263)/Y$317)," ")</f>
        <v xml:space="preserve"> </v>
      </c>
      <c r="AA263" s="46">
        <f t="shared" si="88"/>
        <v>0</v>
      </c>
      <c r="AB263" s="46" t="str">
        <f>IF(ISNUMBER(NORMSINV(SUM(AA$13:AA263)/AA$317)),NORMSINV(SUM(AA$13:AA263)/AA$317)," ")</f>
        <v xml:space="preserve"> </v>
      </c>
      <c r="AC263" s="46">
        <f t="shared" si="89"/>
        <v>0</v>
      </c>
      <c r="AD263" s="46" t="str">
        <f>IF(ISNUMBER(NORMSINV(SUM(AC$13:AC263)/AC$317)),NORMSINV(SUM(AC$13:AC263)/AC$317)," ")</f>
        <v xml:space="preserve"> </v>
      </c>
      <c r="AE263" s="46">
        <f t="shared" si="90"/>
        <v>0</v>
      </c>
      <c r="AF263" s="46" t="str">
        <f>IF(ISNUMBER(NORMSINV(SUM(AE$13:AE263)/AE$317)),NORMSINV(SUM(AE$13:AE263)/AE$317)," ")</f>
        <v xml:space="preserve"> </v>
      </c>
      <c r="AG263" s="46">
        <f t="shared" si="91"/>
        <v>0</v>
      </c>
      <c r="AH263" s="46" t="str">
        <f>IF(ISNUMBER(NORMSINV(SUM(AG$13:AG263)/AG$317)),NORMSINV(SUM(AG$13:AG263)/AG$317)," ")</f>
        <v xml:space="preserve"> </v>
      </c>
      <c r="AI263" s="46">
        <f t="shared" si="92"/>
        <v>0</v>
      </c>
      <c r="AJ263" s="46" t="str">
        <f>IF(ISNUMBER(NORMSINV(SUM(AI$13:AI263)/AI$317)),NORMSINV(SUM(AI$13:AI263)/AI$317)," ")</f>
        <v xml:space="preserve"> </v>
      </c>
      <c r="AK263" s="46">
        <f t="shared" si="93"/>
        <v>0</v>
      </c>
      <c r="AL263" s="46" t="str">
        <f>IF(ISNUMBER(NORMSINV(SUM(AK$13:AK263)/AK$317)),NORMSINV(SUM(AK$13:AK263)/AK$317)," ")</f>
        <v xml:space="preserve"> </v>
      </c>
      <c r="AM263" s="6">
        <v>0</v>
      </c>
      <c r="AN263" s="6">
        <v>0</v>
      </c>
      <c r="AO263" s="6">
        <v>0</v>
      </c>
      <c r="AP263" s="6">
        <v>0</v>
      </c>
      <c r="AQ263" s="6">
        <v>0</v>
      </c>
      <c r="AR263" s="6">
        <v>0</v>
      </c>
      <c r="AS263" s="6">
        <v>0</v>
      </c>
      <c r="AT263" s="6">
        <v>0</v>
      </c>
      <c r="AU263" s="6">
        <v>0</v>
      </c>
    </row>
    <row r="264" spans="1:47" x14ac:dyDescent="0.4">
      <c r="A264" s="6">
        <f t="shared" si="78"/>
        <v>5.7416101526459062</v>
      </c>
      <c r="B264" s="6">
        <f>'Aerosol 1'!A268</f>
        <v>311.56567561377102</v>
      </c>
      <c r="C264" t="b">
        <f t="shared" si="79"/>
        <v>1</v>
      </c>
      <c r="E264" s="46">
        <f>'Aerosol 1'!$P268</f>
        <v>0.26292303860659949</v>
      </c>
      <c r="F264" s="46">
        <f>'Aerosol 2'!$P268</f>
        <v>0.26292303860659949</v>
      </c>
      <c r="G264" s="46">
        <f>'Aerosol 3'!$P268</f>
        <v>0.26292303860659949</v>
      </c>
      <c r="H264" s="46">
        <f t="shared" si="80"/>
        <v>0.78876911581979847</v>
      </c>
      <c r="I264" s="46">
        <f>NORMSINV(SUM(H$13:H264)/H$317)</f>
        <v>1.569392618164962</v>
      </c>
      <c r="J264" s="46">
        <f t="shared" si="75"/>
        <v>0.14197844084756372</v>
      </c>
      <c r="K264" s="46">
        <f t="shared" si="76"/>
        <v>0.39438455790989924</v>
      </c>
      <c r="L264" s="46">
        <f t="shared" si="77"/>
        <v>0.78873756505516568</v>
      </c>
      <c r="M264" s="46">
        <f t="shared" si="81"/>
        <v>1.3251005638126285</v>
      </c>
      <c r="N264" s="46">
        <f>IF(ISNUMBER(NORMSINV(SUM(M$13:M264)/M$317)),NORMSINV(SUM(M$13:M264)/M$317)," ")</f>
        <v>1.5693926181649542</v>
      </c>
      <c r="O264" s="46">
        <f t="shared" si="82"/>
        <v>0</v>
      </c>
      <c r="P264" s="46" t="str">
        <f>IF(ISNUMBER(NORMSINV(SUM(O$13:O264)/O$317)),NORMSINV(SUM(O$13:O264)/O$317)," ")</f>
        <v xml:space="preserve"> </v>
      </c>
      <c r="Q264" s="46">
        <f t="shared" si="83"/>
        <v>0</v>
      </c>
      <c r="R264" s="46" t="str">
        <f>IF(ISNUMBER(NORMSINV(SUM(Q$13:Q264)/Q$317)),NORMSINV(SUM(Q$13:Q264)/Q$317)," ")</f>
        <v xml:space="preserve"> </v>
      </c>
      <c r="S264" s="46">
        <f t="shared" si="84"/>
        <v>0</v>
      </c>
      <c r="T264" s="46" t="str">
        <f>IF(ISNUMBER(NORMSINV(SUM(S$13:S264)/S$317)),NORMSINV(SUM(S$13:S264)/S$317)," ")</f>
        <v xml:space="preserve"> </v>
      </c>
      <c r="U264" s="46">
        <f t="shared" si="85"/>
        <v>0</v>
      </c>
      <c r="V264" s="46" t="str">
        <f>IF(ISNUMBER(NORMSINV(SUM(U$13:U264)/U$317)),NORMSINV(SUM(U$13:U264)/U$317)," ")</f>
        <v xml:space="preserve"> </v>
      </c>
      <c r="W264" s="46">
        <f t="shared" si="86"/>
        <v>0</v>
      </c>
      <c r="X264" s="46" t="str">
        <f>IF(ISNUMBER(NORMSINV(SUM(W$13:W264)/W$317)),NORMSINV(SUM(W$13:W264)/W$317)," ")</f>
        <v xml:space="preserve"> </v>
      </c>
      <c r="Y264" s="46">
        <f t="shared" si="87"/>
        <v>0</v>
      </c>
      <c r="Z264" s="46" t="str">
        <f>IF(ISNUMBER(NORMSINV(SUM(Y$13:Y264)/Y$317)),NORMSINV(SUM(Y$13:Y264)/Y$317)," ")</f>
        <v xml:space="preserve"> </v>
      </c>
      <c r="AA264" s="46">
        <f t="shared" si="88"/>
        <v>0</v>
      </c>
      <c r="AB264" s="46" t="str">
        <f>IF(ISNUMBER(NORMSINV(SUM(AA$13:AA264)/AA$317)),NORMSINV(SUM(AA$13:AA264)/AA$317)," ")</f>
        <v xml:space="preserve"> </v>
      </c>
      <c r="AC264" s="46">
        <f t="shared" si="89"/>
        <v>0</v>
      </c>
      <c r="AD264" s="46" t="str">
        <f>IF(ISNUMBER(NORMSINV(SUM(AC$13:AC264)/AC$317)),NORMSINV(SUM(AC$13:AC264)/AC$317)," ")</f>
        <v xml:space="preserve"> </v>
      </c>
      <c r="AE264" s="46">
        <f t="shared" si="90"/>
        <v>0</v>
      </c>
      <c r="AF264" s="46" t="str">
        <f>IF(ISNUMBER(NORMSINV(SUM(AE$13:AE264)/AE$317)),NORMSINV(SUM(AE$13:AE264)/AE$317)," ")</f>
        <v xml:space="preserve"> </v>
      </c>
      <c r="AG264" s="46">
        <f t="shared" si="91"/>
        <v>0</v>
      </c>
      <c r="AH264" s="46" t="str">
        <f>IF(ISNUMBER(NORMSINV(SUM(AG$13:AG264)/AG$317)),NORMSINV(SUM(AG$13:AG264)/AG$317)," ")</f>
        <v xml:space="preserve"> </v>
      </c>
      <c r="AI264" s="46">
        <f t="shared" si="92"/>
        <v>0</v>
      </c>
      <c r="AJ264" s="46" t="str">
        <f>IF(ISNUMBER(NORMSINV(SUM(AI$13:AI264)/AI$317)),NORMSINV(SUM(AI$13:AI264)/AI$317)," ")</f>
        <v xml:space="preserve"> </v>
      </c>
      <c r="AK264" s="46">
        <f t="shared" si="93"/>
        <v>0</v>
      </c>
      <c r="AL264" s="46" t="str">
        <f>IF(ISNUMBER(NORMSINV(SUM(AK$13:AK264)/AK$317)),NORMSINV(SUM(AK$13:AK264)/AK$317)," ")</f>
        <v xml:space="preserve"> </v>
      </c>
      <c r="AM264" s="6">
        <v>0</v>
      </c>
      <c r="AN264" s="6">
        <v>0</v>
      </c>
      <c r="AO264" s="6">
        <v>0</v>
      </c>
      <c r="AP264" s="6">
        <v>0</v>
      </c>
      <c r="AQ264" s="6">
        <v>0</v>
      </c>
      <c r="AR264" s="6">
        <v>0</v>
      </c>
      <c r="AS264" s="6">
        <v>0</v>
      </c>
      <c r="AT264" s="6">
        <v>0</v>
      </c>
      <c r="AU264" s="6">
        <v>0</v>
      </c>
    </row>
    <row r="265" spans="1:47" x14ac:dyDescent="0.4">
      <c r="A265" s="6">
        <f t="shared" si="78"/>
        <v>5.7760887300770847</v>
      </c>
      <c r="B265" s="6">
        <f>'Aerosol 1'!A269</f>
        <v>322.49535404727078</v>
      </c>
      <c r="C265" t="b">
        <f t="shared" si="79"/>
        <v>1</v>
      </c>
      <c r="E265" s="46">
        <f>'Aerosol 1'!$P269</f>
        <v>0.254642814100281</v>
      </c>
      <c r="F265" s="46">
        <f>'Aerosol 2'!$P269</f>
        <v>0.254642814100281</v>
      </c>
      <c r="G265" s="46">
        <f>'Aerosol 3'!$P269</f>
        <v>0.254642814100281</v>
      </c>
      <c r="H265" s="46">
        <f t="shared" si="80"/>
        <v>0.763928442300843</v>
      </c>
      <c r="I265" s="46">
        <f>NORMSINV(SUM(H$13:H265)/H$317)</f>
        <v>1.5917626981701094</v>
      </c>
      <c r="J265" s="46">
        <f t="shared" si="75"/>
        <v>0.13750711961415174</v>
      </c>
      <c r="K265" s="46">
        <f t="shared" si="76"/>
        <v>0.3819642211504215</v>
      </c>
      <c r="L265" s="46">
        <f t="shared" si="77"/>
        <v>0.76389788516315105</v>
      </c>
      <c r="M265" s="46">
        <f t="shared" si="81"/>
        <v>1.2833692259277243</v>
      </c>
      <c r="N265" s="46">
        <f>IF(ISNUMBER(NORMSINV(SUM(M$13:M265)/M$317)),NORMSINV(SUM(M$13:M265)/M$317)," ")</f>
        <v>1.5917626981701016</v>
      </c>
      <c r="O265" s="46">
        <f t="shared" si="82"/>
        <v>0</v>
      </c>
      <c r="P265" s="46" t="str">
        <f>IF(ISNUMBER(NORMSINV(SUM(O$13:O265)/O$317)),NORMSINV(SUM(O$13:O265)/O$317)," ")</f>
        <v xml:space="preserve"> </v>
      </c>
      <c r="Q265" s="46">
        <f t="shared" si="83"/>
        <v>0</v>
      </c>
      <c r="R265" s="46" t="str">
        <f>IF(ISNUMBER(NORMSINV(SUM(Q$13:Q265)/Q$317)),NORMSINV(SUM(Q$13:Q265)/Q$317)," ")</f>
        <v xml:space="preserve"> </v>
      </c>
      <c r="S265" s="46">
        <f t="shared" si="84"/>
        <v>0</v>
      </c>
      <c r="T265" s="46" t="str">
        <f>IF(ISNUMBER(NORMSINV(SUM(S$13:S265)/S$317)),NORMSINV(SUM(S$13:S265)/S$317)," ")</f>
        <v xml:space="preserve"> </v>
      </c>
      <c r="U265" s="46">
        <f t="shared" si="85"/>
        <v>0</v>
      </c>
      <c r="V265" s="46" t="str">
        <f>IF(ISNUMBER(NORMSINV(SUM(U$13:U265)/U$317)),NORMSINV(SUM(U$13:U265)/U$317)," ")</f>
        <v xml:space="preserve"> </v>
      </c>
      <c r="W265" s="46">
        <f t="shared" si="86"/>
        <v>0</v>
      </c>
      <c r="X265" s="46" t="str">
        <f>IF(ISNUMBER(NORMSINV(SUM(W$13:W265)/W$317)),NORMSINV(SUM(W$13:W265)/W$317)," ")</f>
        <v xml:space="preserve"> </v>
      </c>
      <c r="Y265" s="46">
        <f t="shared" si="87"/>
        <v>0</v>
      </c>
      <c r="Z265" s="46" t="str">
        <f>IF(ISNUMBER(NORMSINV(SUM(Y$13:Y265)/Y$317)),NORMSINV(SUM(Y$13:Y265)/Y$317)," ")</f>
        <v xml:space="preserve"> </v>
      </c>
      <c r="AA265" s="46">
        <f t="shared" si="88"/>
        <v>0</v>
      </c>
      <c r="AB265" s="46" t="str">
        <f>IF(ISNUMBER(NORMSINV(SUM(AA$13:AA265)/AA$317)),NORMSINV(SUM(AA$13:AA265)/AA$317)," ")</f>
        <v xml:space="preserve"> </v>
      </c>
      <c r="AC265" s="46">
        <f t="shared" si="89"/>
        <v>0</v>
      </c>
      <c r="AD265" s="46" t="str">
        <f>IF(ISNUMBER(NORMSINV(SUM(AC$13:AC265)/AC$317)),NORMSINV(SUM(AC$13:AC265)/AC$317)," ")</f>
        <v xml:space="preserve"> </v>
      </c>
      <c r="AE265" s="46">
        <f t="shared" si="90"/>
        <v>0</v>
      </c>
      <c r="AF265" s="46" t="str">
        <f>IF(ISNUMBER(NORMSINV(SUM(AE$13:AE265)/AE$317)),NORMSINV(SUM(AE$13:AE265)/AE$317)," ")</f>
        <v xml:space="preserve"> </v>
      </c>
      <c r="AG265" s="46">
        <f t="shared" si="91"/>
        <v>0</v>
      </c>
      <c r="AH265" s="46" t="str">
        <f>IF(ISNUMBER(NORMSINV(SUM(AG$13:AG265)/AG$317)),NORMSINV(SUM(AG$13:AG265)/AG$317)," ")</f>
        <v xml:space="preserve"> </v>
      </c>
      <c r="AI265" s="46">
        <f t="shared" si="92"/>
        <v>0</v>
      </c>
      <c r="AJ265" s="46" t="str">
        <f>IF(ISNUMBER(NORMSINV(SUM(AI$13:AI265)/AI$317)),NORMSINV(SUM(AI$13:AI265)/AI$317)," ")</f>
        <v xml:space="preserve"> </v>
      </c>
      <c r="AK265" s="46">
        <f t="shared" si="93"/>
        <v>0</v>
      </c>
      <c r="AL265" s="46" t="str">
        <f>IF(ISNUMBER(NORMSINV(SUM(AK$13:AK265)/AK$317)),NORMSINV(SUM(AK$13:AK265)/AK$317)," ")</f>
        <v xml:space="preserve"> </v>
      </c>
      <c r="AM265" s="6">
        <v>0</v>
      </c>
      <c r="AN265" s="6">
        <v>0</v>
      </c>
      <c r="AO265" s="6">
        <v>0</v>
      </c>
      <c r="AP265" s="6">
        <v>0</v>
      </c>
      <c r="AQ265" s="6">
        <v>0</v>
      </c>
      <c r="AR265" s="6">
        <v>0</v>
      </c>
      <c r="AS265" s="6">
        <v>0</v>
      </c>
      <c r="AT265" s="6">
        <v>0</v>
      </c>
      <c r="AU265" s="6">
        <v>0</v>
      </c>
    </row>
    <row r="266" spans="1:47" x14ac:dyDescent="0.4">
      <c r="A266" s="6">
        <f t="shared" si="78"/>
        <v>5.8105673075082631</v>
      </c>
      <c r="B266" s="6">
        <f>'Aerosol 1'!A270</f>
        <v>333.80844400524091</v>
      </c>
      <c r="C266" t="b">
        <f t="shared" si="79"/>
        <v>1</v>
      </c>
      <c r="E266" s="46">
        <f>'Aerosol 1'!$P270</f>
        <v>0.24651552314930436</v>
      </c>
      <c r="F266" s="46">
        <f>'Aerosol 2'!$P270</f>
        <v>0.24651552314930436</v>
      </c>
      <c r="G266" s="46">
        <f>'Aerosol 3'!$P270</f>
        <v>0.24651552314930436</v>
      </c>
      <c r="H266" s="46">
        <f t="shared" si="80"/>
        <v>0.73954656944791308</v>
      </c>
      <c r="I266" s="46">
        <f>NORMSINV(SUM(H$13:H266)/H$317)</f>
        <v>1.6142050885636343</v>
      </c>
      <c r="J266" s="46">
        <f t="shared" si="75"/>
        <v>0.13311838250062435</v>
      </c>
      <c r="K266" s="46">
        <f t="shared" si="76"/>
        <v>0.36977328472395654</v>
      </c>
      <c r="L266" s="46">
        <f t="shared" si="77"/>
        <v>0.73951698758513518</v>
      </c>
      <c r="M266" s="46">
        <f t="shared" si="81"/>
        <v>1.242408654809716</v>
      </c>
      <c r="N266" s="46">
        <f>IF(ISNUMBER(NORMSINV(SUM(M$13:M266)/M$317)),NORMSINV(SUM(M$13:M266)/M$317)," ")</f>
        <v>1.614205088563627</v>
      </c>
      <c r="O266" s="46">
        <f t="shared" si="82"/>
        <v>0</v>
      </c>
      <c r="P266" s="46" t="str">
        <f>IF(ISNUMBER(NORMSINV(SUM(O$13:O266)/O$317)),NORMSINV(SUM(O$13:O266)/O$317)," ")</f>
        <v xml:space="preserve"> </v>
      </c>
      <c r="Q266" s="46">
        <f t="shared" si="83"/>
        <v>0</v>
      </c>
      <c r="R266" s="46" t="str">
        <f>IF(ISNUMBER(NORMSINV(SUM(Q$13:Q266)/Q$317)),NORMSINV(SUM(Q$13:Q266)/Q$317)," ")</f>
        <v xml:space="preserve"> </v>
      </c>
      <c r="S266" s="46">
        <f t="shared" si="84"/>
        <v>0</v>
      </c>
      <c r="T266" s="46" t="str">
        <f>IF(ISNUMBER(NORMSINV(SUM(S$13:S266)/S$317)),NORMSINV(SUM(S$13:S266)/S$317)," ")</f>
        <v xml:space="preserve"> </v>
      </c>
      <c r="U266" s="46">
        <f t="shared" si="85"/>
        <v>0</v>
      </c>
      <c r="V266" s="46" t="str">
        <f>IF(ISNUMBER(NORMSINV(SUM(U$13:U266)/U$317)),NORMSINV(SUM(U$13:U266)/U$317)," ")</f>
        <v xml:space="preserve"> </v>
      </c>
      <c r="W266" s="46">
        <f t="shared" si="86"/>
        <v>0</v>
      </c>
      <c r="X266" s="46" t="str">
        <f>IF(ISNUMBER(NORMSINV(SUM(W$13:W266)/W$317)),NORMSINV(SUM(W$13:W266)/W$317)," ")</f>
        <v xml:space="preserve"> </v>
      </c>
      <c r="Y266" s="46">
        <f t="shared" si="87"/>
        <v>0</v>
      </c>
      <c r="Z266" s="46" t="str">
        <f>IF(ISNUMBER(NORMSINV(SUM(Y$13:Y266)/Y$317)),NORMSINV(SUM(Y$13:Y266)/Y$317)," ")</f>
        <v xml:space="preserve"> </v>
      </c>
      <c r="AA266" s="46">
        <f t="shared" si="88"/>
        <v>0</v>
      </c>
      <c r="AB266" s="46" t="str">
        <f>IF(ISNUMBER(NORMSINV(SUM(AA$13:AA266)/AA$317)),NORMSINV(SUM(AA$13:AA266)/AA$317)," ")</f>
        <v xml:space="preserve"> </v>
      </c>
      <c r="AC266" s="46">
        <f t="shared" si="89"/>
        <v>0</v>
      </c>
      <c r="AD266" s="46" t="str">
        <f>IF(ISNUMBER(NORMSINV(SUM(AC$13:AC266)/AC$317)),NORMSINV(SUM(AC$13:AC266)/AC$317)," ")</f>
        <v xml:space="preserve"> </v>
      </c>
      <c r="AE266" s="46">
        <f t="shared" si="90"/>
        <v>0</v>
      </c>
      <c r="AF266" s="46" t="str">
        <f>IF(ISNUMBER(NORMSINV(SUM(AE$13:AE266)/AE$317)),NORMSINV(SUM(AE$13:AE266)/AE$317)," ")</f>
        <v xml:space="preserve"> </v>
      </c>
      <c r="AG266" s="46">
        <f t="shared" si="91"/>
        <v>0</v>
      </c>
      <c r="AH266" s="46" t="str">
        <f>IF(ISNUMBER(NORMSINV(SUM(AG$13:AG266)/AG$317)),NORMSINV(SUM(AG$13:AG266)/AG$317)," ")</f>
        <v xml:space="preserve"> </v>
      </c>
      <c r="AI266" s="46">
        <f t="shared" si="92"/>
        <v>0</v>
      </c>
      <c r="AJ266" s="46" t="str">
        <f>IF(ISNUMBER(NORMSINV(SUM(AI$13:AI266)/AI$317)),NORMSINV(SUM(AI$13:AI266)/AI$317)," ")</f>
        <v xml:space="preserve"> </v>
      </c>
      <c r="AK266" s="46">
        <f t="shared" si="93"/>
        <v>0</v>
      </c>
      <c r="AL266" s="46" t="str">
        <f>IF(ISNUMBER(NORMSINV(SUM(AK$13:AK266)/AK$317)),NORMSINV(SUM(AK$13:AK266)/AK$317)," ")</f>
        <v xml:space="preserve"> </v>
      </c>
      <c r="AM266" s="6">
        <v>0</v>
      </c>
      <c r="AN266" s="6">
        <v>0</v>
      </c>
      <c r="AO266" s="6">
        <v>0</v>
      </c>
      <c r="AP266" s="6">
        <v>0</v>
      </c>
      <c r="AQ266" s="6">
        <v>0</v>
      </c>
      <c r="AR266" s="6">
        <v>0</v>
      </c>
      <c r="AS266" s="6">
        <v>0</v>
      </c>
      <c r="AT266" s="6">
        <v>0</v>
      </c>
      <c r="AU266" s="6">
        <v>0</v>
      </c>
    </row>
    <row r="267" spans="1:47" x14ac:dyDescent="0.4">
      <c r="A267" s="6">
        <f t="shared" si="78"/>
        <v>5.8450458849394424</v>
      </c>
      <c r="B267" s="6">
        <f>'Aerosol 1'!A271</f>
        <v>345.5183955080085</v>
      </c>
      <c r="C267" t="b">
        <f t="shared" si="79"/>
        <v>1</v>
      </c>
      <c r="E267" s="46">
        <f>'Aerosol 1'!$P271</f>
        <v>0.23854327850061363</v>
      </c>
      <c r="F267" s="46">
        <f>'Aerosol 2'!$P271</f>
        <v>0.23854327850061363</v>
      </c>
      <c r="G267" s="46">
        <f>'Aerosol 3'!$P271</f>
        <v>0.23854327850061363</v>
      </c>
      <c r="H267" s="46">
        <f t="shared" si="80"/>
        <v>0.71562983550184089</v>
      </c>
      <c r="I267" s="46">
        <f>NORMSINV(SUM(H$13:H267)/H$317)</f>
        <v>1.6367242058927995</v>
      </c>
      <c r="J267" s="46">
        <f t="shared" si="75"/>
        <v>0.12881337039033136</v>
      </c>
      <c r="K267" s="46">
        <f t="shared" si="76"/>
        <v>0.35781491775092045</v>
      </c>
      <c r="L267" s="46">
        <f t="shared" si="77"/>
        <v>0.71560121030842083</v>
      </c>
      <c r="M267" s="46">
        <f t="shared" si="81"/>
        <v>1.2022294984496726</v>
      </c>
      <c r="N267" s="46">
        <f>IF(ISNUMBER(NORMSINV(SUM(M$13:M267)/M$317)),NORMSINV(SUM(M$13:M267)/M$317)," ")</f>
        <v>1.6367242058927931</v>
      </c>
      <c r="O267" s="46">
        <f t="shared" si="82"/>
        <v>0</v>
      </c>
      <c r="P267" s="46" t="str">
        <f>IF(ISNUMBER(NORMSINV(SUM(O$13:O267)/O$317)),NORMSINV(SUM(O$13:O267)/O$317)," ")</f>
        <v xml:space="preserve"> </v>
      </c>
      <c r="Q267" s="46">
        <f t="shared" si="83"/>
        <v>0</v>
      </c>
      <c r="R267" s="46" t="str">
        <f>IF(ISNUMBER(NORMSINV(SUM(Q$13:Q267)/Q$317)),NORMSINV(SUM(Q$13:Q267)/Q$317)," ")</f>
        <v xml:space="preserve"> </v>
      </c>
      <c r="S267" s="46">
        <f t="shared" si="84"/>
        <v>0</v>
      </c>
      <c r="T267" s="46" t="str">
        <f>IF(ISNUMBER(NORMSINV(SUM(S$13:S267)/S$317)),NORMSINV(SUM(S$13:S267)/S$317)," ")</f>
        <v xml:space="preserve"> </v>
      </c>
      <c r="U267" s="46">
        <f t="shared" si="85"/>
        <v>0</v>
      </c>
      <c r="V267" s="46" t="str">
        <f>IF(ISNUMBER(NORMSINV(SUM(U$13:U267)/U$317)),NORMSINV(SUM(U$13:U267)/U$317)," ")</f>
        <v xml:space="preserve"> </v>
      </c>
      <c r="W267" s="46">
        <f t="shared" si="86"/>
        <v>0</v>
      </c>
      <c r="X267" s="46" t="str">
        <f>IF(ISNUMBER(NORMSINV(SUM(W$13:W267)/W$317)),NORMSINV(SUM(W$13:W267)/W$317)," ")</f>
        <v xml:space="preserve"> </v>
      </c>
      <c r="Y267" s="46">
        <f t="shared" si="87"/>
        <v>0</v>
      </c>
      <c r="Z267" s="46" t="str">
        <f>IF(ISNUMBER(NORMSINV(SUM(Y$13:Y267)/Y$317)),NORMSINV(SUM(Y$13:Y267)/Y$317)," ")</f>
        <v xml:space="preserve"> </v>
      </c>
      <c r="AA267" s="46">
        <f t="shared" si="88"/>
        <v>0</v>
      </c>
      <c r="AB267" s="46" t="str">
        <f>IF(ISNUMBER(NORMSINV(SUM(AA$13:AA267)/AA$317)),NORMSINV(SUM(AA$13:AA267)/AA$317)," ")</f>
        <v xml:space="preserve"> </v>
      </c>
      <c r="AC267" s="46">
        <f t="shared" si="89"/>
        <v>0</v>
      </c>
      <c r="AD267" s="46" t="str">
        <f>IF(ISNUMBER(NORMSINV(SUM(AC$13:AC267)/AC$317)),NORMSINV(SUM(AC$13:AC267)/AC$317)," ")</f>
        <v xml:space="preserve"> </v>
      </c>
      <c r="AE267" s="46">
        <f t="shared" si="90"/>
        <v>0</v>
      </c>
      <c r="AF267" s="46" t="str">
        <f>IF(ISNUMBER(NORMSINV(SUM(AE$13:AE267)/AE$317)),NORMSINV(SUM(AE$13:AE267)/AE$317)," ")</f>
        <v xml:space="preserve"> </v>
      </c>
      <c r="AG267" s="46">
        <f t="shared" si="91"/>
        <v>0</v>
      </c>
      <c r="AH267" s="46" t="str">
        <f>IF(ISNUMBER(NORMSINV(SUM(AG$13:AG267)/AG$317)),NORMSINV(SUM(AG$13:AG267)/AG$317)," ")</f>
        <v xml:space="preserve"> </v>
      </c>
      <c r="AI267" s="46">
        <f t="shared" si="92"/>
        <v>0</v>
      </c>
      <c r="AJ267" s="46" t="str">
        <f>IF(ISNUMBER(NORMSINV(SUM(AI$13:AI267)/AI$317)),NORMSINV(SUM(AI$13:AI267)/AI$317)," ")</f>
        <v xml:space="preserve"> </v>
      </c>
      <c r="AK267" s="46">
        <f t="shared" si="93"/>
        <v>0</v>
      </c>
      <c r="AL267" s="46" t="str">
        <f>IF(ISNUMBER(NORMSINV(SUM(AK$13:AK267)/AK$317)),NORMSINV(SUM(AK$13:AK267)/AK$317)," ")</f>
        <v xml:space="preserve"> </v>
      </c>
      <c r="AM267" s="6">
        <v>0</v>
      </c>
      <c r="AN267" s="6">
        <v>0</v>
      </c>
      <c r="AO267" s="6">
        <v>0</v>
      </c>
      <c r="AP267" s="6">
        <v>0</v>
      </c>
      <c r="AQ267" s="6">
        <v>0</v>
      </c>
      <c r="AR267" s="6">
        <v>0</v>
      </c>
      <c r="AS267" s="6">
        <v>0</v>
      </c>
      <c r="AT267" s="6">
        <v>0</v>
      </c>
      <c r="AU267" s="6">
        <v>0</v>
      </c>
    </row>
    <row r="268" spans="1:47" x14ac:dyDescent="0.4">
      <c r="A268" s="6">
        <f t="shared" si="78"/>
        <v>5.8795244623706209</v>
      </c>
      <c r="B268" s="6">
        <f>'Aerosol 1'!A272</f>
        <v>357.63913040065023</v>
      </c>
      <c r="C268" t="b">
        <f t="shared" si="79"/>
        <v>1</v>
      </c>
      <c r="E268" s="46">
        <f>'Aerosol 1'!$P272</f>
        <v>0.23072792494133187</v>
      </c>
      <c r="F268" s="46">
        <f>'Aerosol 2'!$P272</f>
        <v>0.23072792494133187</v>
      </c>
      <c r="G268" s="46">
        <f>'Aerosol 3'!$P272</f>
        <v>0.23072792494133187</v>
      </c>
      <c r="H268" s="46">
        <f t="shared" si="80"/>
        <v>0.69218377482399562</v>
      </c>
      <c r="I268" s="46">
        <f>NORMSINV(SUM(H$13:H268)/H$317)</f>
        <v>1.6593247944529941</v>
      </c>
      <c r="J268" s="46">
        <f t="shared" si="75"/>
        <v>0.12459307946831923</v>
      </c>
      <c r="K268" s="46">
        <f t="shared" si="76"/>
        <v>0.34609188741199781</v>
      </c>
      <c r="L268" s="46">
        <f t="shared" si="77"/>
        <v>0.69215608747300272</v>
      </c>
      <c r="M268" s="46">
        <f t="shared" si="81"/>
        <v>1.1628410543533199</v>
      </c>
      <c r="N268" s="46">
        <f>IF(ISNUMBER(NORMSINV(SUM(M$13:M268)/M$317)),NORMSINV(SUM(M$13:M268)/M$317)," ")</f>
        <v>1.6593247944529863</v>
      </c>
      <c r="O268" s="46">
        <f t="shared" si="82"/>
        <v>0</v>
      </c>
      <c r="P268" s="46" t="str">
        <f>IF(ISNUMBER(NORMSINV(SUM(O$13:O268)/O$317)),NORMSINV(SUM(O$13:O268)/O$317)," ")</f>
        <v xml:space="preserve"> </v>
      </c>
      <c r="Q268" s="46">
        <f t="shared" si="83"/>
        <v>0</v>
      </c>
      <c r="R268" s="46" t="str">
        <f>IF(ISNUMBER(NORMSINV(SUM(Q$13:Q268)/Q$317)),NORMSINV(SUM(Q$13:Q268)/Q$317)," ")</f>
        <v xml:space="preserve"> </v>
      </c>
      <c r="S268" s="46">
        <f t="shared" si="84"/>
        <v>0</v>
      </c>
      <c r="T268" s="46" t="str">
        <f>IF(ISNUMBER(NORMSINV(SUM(S$13:S268)/S$317)),NORMSINV(SUM(S$13:S268)/S$317)," ")</f>
        <v xml:space="preserve"> </v>
      </c>
      <c r="U268" s="46">
        <f t="shared" si="85"/>
        <v>0</v>
      </c>
      <c r="V268" s="46" t="str">
        <f>IF(ISNUMBER(NORMSINV(SUM(U$13:U268)/U$317)),NORMSINV(SUM(U$13:U268)/U$317)," ")</f>
        <v xml:space="preserve"> </v>
      </c>
      <c r="W268" s="46">
        <f t="shared" si="86"/>
        <v>0</v>
      </c>
      <c r="X268" s="46" t="str">
        <f>IF(ISNUMBER(NORMSINV(SUM(W$13:W268)/W$317)),NORMSINV(SUM(W$13:W268)/W$317)," ")</f>
        <v xml:space="preserve"> </v>
      </c>
      <c r="Y268" s="46">
        <f t="shared" si="87"/>
        <v>0</v>
      </c>
      <c r="Z268" s="46" t="str">
        <f>IF(ISNUMBER(NORMSINV(SUM(Y$13:Y268)/Y$317)),NORMSINV(SUM(Y$13:Y268)/Y$317)," ")</f>
        <v xml:space="preserve"> </v>
      </c>
      <c r="AA268" s="46">
        <f t="shared" si="88"/>
        <v>0</v>
      </c>
      <c r="AB268" s="46" t="str">
        <f>IF(ISNUMBER(NORMSINV(SUM(AA$13:AA268)/AA$317)),NORMSINV(SUM(AA$13:AA268)/AA$317)," ")</f>
        <v xml:space="preserve"> </v>
      </c>
      <c r="AC268" s="46">
        <f t="shared" si="89"/>
        <v>0</v>
      </c>
      <c r="AD268" s="46" t="str">
        <f>IF(ISNUMBER(NORMSINV(SUM(AC$13:AC268)/AC$317)),NORMSINV(SUM(AC$13:AC268)/AC$317)," ")</f>
        <v xml:space="preserve"> </v>
      </c>
      <c r="AE268" s="46">
        <f t="shared" si="90"/>
        <v>0</v>
      </c>
      <c r="AF268" s="46" t="str">
        <f>IF(ISNUMBER(NORMSINV(SUM(AE$13:AE268)/AE$317)),NORMSINV(SUM(AE$13:AE268)/AE$317)," ")</f>
        <v xml:space="preserve"> </v>
      </c>
      <c r="AG268" s="46">
        <f t="shared" si="91"/>
        <v>0</v>
      </c>
      <c r="AH268" s="46" t="str">
        <f>IF(ISNUMBER(NORMSINV(SUM(AG$13:AG268)/AG$317)),NORMSINV(SUM(AG$13:AG268)/AG$317)," ")</f>
        <v xml:space="preserve"> </v>
      </c>
      <c r="AI268" s="46">
        <f t="shared" si="92"/>
        <v>0</v>
      </c>
      <c r="AJ268" s="46" t="str">
        <f>IF(ISNUMBER(NORMSINV(SUM(AI$13:AI268)/AI$317)),NORMSINV(SUM(AI$13:AI268)/AI$317)," ")</f>
        <v xml:space="preserve"> </v>
      </c>
      <c r="AK268" s="46">
        <f t="shared" si="93"/>
        <v>0</v>
      </c>
      <c r="AL268" s="46" t="str">
        <f>IF(ISNUMBER(NORMSINV(SUM(AK$13:AK268)/AK$317)),NORMSINV(SUM(AK$13:AK268)/AK$317)," ")</f>
        <v xml:space="preserve"> </v>
      </c>
      <c r="AM268" s="6">
        <v>0</v>
      </c>
      <c r="AN268" s="6">
        <v>0</v>
      </c>
      <c r="AO268" s="6">
        <v>0</v>
      </c>
      <c r="AP268" s="6">
        <v>0</v>
      </c>
      <c r="AQ268" s="6">
        <v>0</v>
      </c>
      <c r="AR268" s="6">
        <v>0</v>
      </c>
      <c r="AS268" s="6">
        <v>0</v>
      </c>
      <c r="AT268" s="6">
        <v>0</v>
      </c>
      <c r="AU268" s="6">
        <v>0</v>
      </c>
    </row>
    <row r="269" spans="1:47" x14ac:dyDescent="0.4">
      <c r="A269" s="6">
        <f t="shared" si="78"/>
        <v>5.9140030398017993</v>
      </c>
      <c r="B269" s="6">
        <f>'Aerosol 1'!A273</f>
        <v>370.18505890453713</v>
      </c>
      <c r="C269" t="b">
        <f t="shared" si="79"/>
        <v>1</v>
      </c>
      <c r="E269" s="46">
        <f>'Aerosol 1'!$P273</f>
        <v>0.22307104478962447</v>
      </c>
      <c r="F269" s="46">
        <f>'Aerosol 2'!$P273</f>
        <v>0.22307104478962447</v>
      </c>
      <c r="G269" s="46">
        <f>'Aerosol 3'!$P273</f>
        <v>0.22307104478962447</v>
      </c>
      <c r="H269" s="46">
        <f t="shared" si="80"/>
        <v>0.66921313436887342</v>
      </c>
      <c r="I269" s="46">
        <f>NORMSINV(SUM(H$13:H269)/H$317)</f>
        <v>1.682011956024448</v>
      </c>
      <c r="J269" s="46">
        <f t="shared" ref="J269:J314" si="94">F$5*G$5*E269</f>
        <v>0.12045836418639723</v>
      </c>
      <c r="K269" s="46">
        <f t="shared" ref="K269:K314" si="95">F$6*G$6*F269</f>
        <v>0.33460656718443671</v>
      </c>
      <c r="L269" s="46">
        <f t="shared" ref="L269:L314" si="96">F$7*G$7*G269</f>
        <v>0.66918636584349867</v>
      </c>
      <c r="M269" s="46">
        <f t="shared" si="81"/>
        <v>1.1242512972143326</v>
      </c>
      <c r="N269" s="46">
        <f>IF(ISNUMBER(NORMSINV(SUM(M$13:M269)/M$317)),NORMSINV(SUM(M$13:M269)/M$317)," ")</f>
        <v>1.6820119560244413</v>
      </c>
      <c r="O269" s="46">
        <f t="shared" si="82"/>
        <v>0</v>
      </c>
      <c r="P269" s="46" t="str">
        <f>IF(ISNUMBER(NORMSINV(SUM(O$13:O269)/O$317)),NORMSINV(SUM(O$13:O269)/O$317)," ")</f>
        <v xml:space="preserve"> </v>
      </c>
      <c r="Q269" s="46">
        <f t="shared" si="83"/>
        <v>0</v>
      </c>
      <c r="R269" s="46" t="str">
        <f>IF(ISNUMBER(NORMSINV(SUM(Q$13:Q269)/Q$317)),NORMSINV(SUM(Q$13:Q269)/Q$317)," ")</f>
        <v xml:space="preserve"> </v>
      </c>
      <c r="S269" s="46">
        <f t="shared" si="84"/>
        <v>0</v>
      </c>
      <c r="T269" s="46" t="str">
        <f>IF(ISNUMBER(NORMSINV(SUM(S$13:S269)/S$317)),NORMSINV(SUM(S$13:S269)/S$317)," ")</f>
        <v xml:space="preserve"> </v>
      </c>
      <c r="U269" s="46">
        <f t="shared" si="85"/>
        <v>0</v>
      </c>
      <c r="V269" s="46" t="str">
        <f>IF(ISNUMBER(NORMSINV(SUM(U$13:U269)/U$317)),NORMSINV(SUM(U$13:U269)/U$317)," ")</f>
        <v xml:space="preserve"> </v>
      </c>
      <c r="W269" s="46">
        <f t="shared" si="86"/>
        <v>0</v>
      </c>
      <c r="X269" s="46" t="str">
        <f>IF(ISNUMBER(NORMSINV(SUM(W$13:W269)/W$317)),NORMSINV(SUM(W$13:W269)/W$317)," ")</f>
        <v xml:space="preserve"> </v>
      </c>
      <c r="Y269" s="46">
        <f t="shared" si="87"/>
        <v>0</v>
      </c>
      <c r="Z269" s="46" t="str">
        <f>IF(ISNUMBER(NORMSINV(SUM(Y$13:Y269)/Y$317)),NORMSINV(SUM(Y$13:Y269)/Y$317)," ")</f>
        <v xml:space="preserve"> </v>
      </c>
      <c r="AA269" s="46">
        <f t="shared" si="88"/>
        <v>0</v>
      </c>
      <c r="AB269" s="46" t="str">
        <f>IF(ISNUMBER(NORMSINV(SUM(AA$13:AA269)/AA$317)),NORMSINV(SUM(AA$13:AA269)/AA$317)," ")</f>
        <v xml:space="preserve"> </v>
      </c>
      <c r="AC269" s="46">
        <f t="shared" si="89"/>
        <v>0</v>
      </c>
      <c r="AD269" s="46" t="str">
        <f>IF(ISNUMBER(NORMSINV(SUM(AC$13:AC269)/AC$317)),NORMSINV(SUM(AC$13:AC269)/AC$317)," ")</f>
        <v xml:space="preserve"> </v>
      </c>
      <c r="AE269" s="46">
        <f t="shared" si="90"/>
        <v>0</v>
      </c>
      <c r="AF269" s="46" t="str">
        <f>IF(ISNUMBER(NORMSINV(SUM(AE$13:AE269)/AE$317)),NORMSINV(SUM(AE$13:AE269)/AE$317)," ")</f>
        <v xml:space="preserve"> </v>
      </c>
      <c r="AG269" s="46">
        <f t="shared" si="91"/>
        <v>0</v>
      </c>
      <c r="AH269" s="46" t="str">
        <f>IF(ISNUMBER(NORMSINV(SUM(AG$13:AG269)/AG$317)),NORMSINV(SUM(AG$13:AG269)/AG$317)," ")</f>
        <v xml:space="preserve"> </v>
      </c>
      <c r="AI269" s="46">
        <f t="shared" si="92"/>
        <v>0</v>
      </c>
      <c r="AJ269" s="46" t="str">
        <f>IF(ISNUMBER(NORMSINV(SUM(AI$13:AI269)/AI$317)),NORMSINV(SUM(AI$13:AI269)/AI$317)," ")</f>
        <v xml:space="preserve"> </v>
      </c>
      <c r="AK269" s="46">
        <f t="shared" si="93"/>
        <v>0</v>
      </c>
      <c r="AL269" s="46" t="str">
        <f>IF(ISNUMBER(NORMSINV(SUM(AK$13:AK269)/AK$317)),NORMSINV(SUM(AK$13:AK269)/AK$317)," ")</f>
        <v xml:space="preserve"> </v>
      </c>
      <c r="AM269" s="6">
        <v>0</v>
      </c>
      <c r="AN269" s="6">
        <v>0</v>
      </c>
      <c r="AO269" s="6">
        <v>0</v>
      </c>
      <c r="AP269" s="6">
        <v>0</v>
      </c>
      <c r="AQ269" s="6">
        <v>0</v>
      </c>
      <c r="AR269" s="6">
        <v>0</v>
      </c>
      <c r="AS269" s="6">
        <v>0</v>
      </c>
      <c r="AT269" s="6">
        <v>0</v>
      </c>
      <c r="AU269" s="6">
        <v>0</v>
      </c>
    </row>
    <row r="270" spans="1:47" x14ac:dyDescent="0.4">
      <c r="A270" s="6">
        <f t="shared" ref="A270:A314" si="97">LN(B270)</f>
        <v>5.9484816172329777</v>
      </c>
      <c r="B270" s="6">
        <f>'Aerosol 1'!A274</f>
        <v>383.17109674950291</v>
      </c>
      <c r="C270" t="b">
        <f t="shared" ref="C270:C314" si="98">OR(B270&lt;0.001,B270&gt;100)</f>
        <v>1</v>
      </c>
      <c r="E270" s="46">
        <f>'Aerosol 1'!$P274</f>
        <v>0.21557396377098748</v>
      </c>
      <c r="F270" s="46">
        <f>'Aerosol 2'!$P274</f>
        <v>0.21557396377098748</v>
      </c>
      <c r="G270" s="46">
        <f>'Aerosol 3'!$P274</f>
        <v>0.21557396377098748</v>
      </c>
      <c r="H270" s="46">
        <f t="shared" ref="H270:H314" si="99">SUM(E270,F270,G270)</f>
        <v>0.64672189131296243</v>
      </c>
      <c r="I270" s="46">
        <f>NORMSINV(SUM(H$13:H270)/H$317)</f>
        <v>1.7047911829232414</v>
      </c>
      <c r="J270" s="46">
        <f t="shared" si="94"/>
        <v>0.11640994043633325</v>
      </c>
      <c r="K270" s="46">
        <f t="shared" si="95"/>
        <v>0.32336094565648121</v>
      </c>
      <c r="L270" s="46">
        <f t="shared" si="96"/>
        <v>0.64669602243730995</v>
      </c>
      <c r="M270" s="46">
        <f t="shared" ref="M270:M314" si="100">SUM(J270,K270,L270)</f>
        <v>1.0864669085301244</v>
      </c>
      <c r="N270" s="46">
        <f>IF(ISNUMBER(NORMSINV(SUM(M$13:M270)/M$317)),NORMSINV(SUM(M$13:M270)/M$317)," ")</f>
        <v>1.7047911829232338</v>
      </c>
      <c r="O270" s="46">
        <f t="shared" ref="O270:O314" si="101">SUM(U270,AA270,AG270)</f>
        <v>0</v>
      </c>
      <c r="P270" s="46" t="str">
        <f>IF(ISNUMBER(NORMSINV(SUM(O$13:O270)/O$317)),NORMSINV(SUM(O$13:O270)/O$317)," ")</f>
        <v xml:space="preserve"> </v>
      </c>
      <c r="Q270" s="46">
        <f t="shared" ref="Q270:Q314" si="102">SUM(W270,AC270,AI270)</f>
        <v>0</v>
      </c>
      <c r="R270" s="46" t="str">
        <f>IF(ISNUMBER(NORMSINV(SUM(Q$13:Q270)/Q$317)),NORMSINV(SUM(Q$13:Q270)/Q$317)," ")</f>
        <v xml:space="preserve"> </v>
      </c>
      <c r="S270" s="46">
        <f t="shared" ref="S270:S314" si="103">SUM(Y270,AE270,AK270)</f>
        <v>0</v>
      </c>
      <c r="T270" s="46" t="str">
        <f>IF(ISNUMBER(NORMSINV(SUM(S$13:S270)/S$317)),NORMSINV(SUM(S$13:S270)/S$317)," ")</f>
        <v xml:space="preserve"> </v>
      </c>
      <c r="U270" s="46">
        <f t="shared" ref="U270:U314" si="104">IF(C270,0,$J270*AM270)</f>
        <v>0</v>
      </c>
      <c r="V270" s="46" t="str">
        <f>IF(ISNUMBER(NORMSINV(SUM(U$13:U270)/U$317)),NORMSINV(SUM(U$13:U270)/U$317)," ")</f>
        <v xml:space="preserve"> </v>
      </c>
      <c r="W270" s="46">
        <f t="shared" ref="W270:W314" si="105">IF(C270,0,$J270*AN270)</f>
        <v>0</v>
      </c>
      <c r="X270" s="46" t="str">
        <f>IF(ISNUMBER(NORMSINV(SUM(W$13:W270)/W$317)),NORMSINV(SUM(W$13:W270)/W$317)," ")</f>
        <v xml:space="preserve"> </v>
      </c>
      <c r="Y270" s="46">
        <f t="shared" ref="Y270:Y314" si="106">IF(C270,0,$J270*AO270)</f>
        <v>0</v>
      </c>
      <c r="Z270" s="46" t="str">
        <f>IF(ISNUMBER(NORMSINV(SUM(Y$13:Y270)/Y$317)),NORMSINV(SUM(Y$13:Y270)/Y$317)," ")</f>
        <v xml:space="preserve"> </v>
      </c>
      <c r="AA270" s="46">
        <f t="shared" ref="AA270:AA314" si="107">IF(C270,0,$K270*AP270)</f>
        <v>0</v>
      </c>
      <c r="AB270" s="46" t="str">
        <f>IF(ISNUMBER(NORMSINV(SUM(AA$13:AA270)/AA$317)),NORMSINV(SUM(AA$13:AA270)/AA$317)," ")</f>
        <v xml:space="preserve"> </v>
      </c>
      <c r="AC270" s="46">
        <f t="shared" ref="AC270:AC314" si="108">IF(C270,0,$K270*AQ270)</f>
        <v>0</v>
      </c>
      <c r="AD270" s="46" t="str">
        <f>IF(ISNUMBER(NORMSINV(SUM(AC$13:AC270)/AC$317)),NORMSINV(SUM(AC$13:AC270)/AC$317)," ")</f>
        <v xml:space="preserve"> </v>
      </c>
      <c r="AE270" s="46">
        <f t="shared" ref="AE270:AE314" si="109">IF(C270,0,$K270*AR270)</f>
        <v>0</v>
      </c>
      <c r="AF270" s="46" t="str">
        <f>IF(ISNUMBER(NORMSINV(SUM(AE$13:AE270)/AE$317)),NORMSINV(SUM(AE$13:AE270)/AE$317)," ")</f>
        <v xml:space="preserve"> </v>
      </c>
      <c r="AG270" s="46">
        <f t="shared" ref="AG270:AG314" si="110">IF(C270,0,$L270*AS270)</f>
        <v>0</v>
      </c>
      <c r="AH270" s="46" t="str">
        <f>IF(ISNUMBER(NORMSINV(SUM(AG$13:AG270)/AG$317)),NORMSINV(SUM(AG$13:AG270)/AG$317)," ")</f>
        <v xml:space="preserve"> </v>
      </c>
      <c r="AI270" s="46">
        <f t="shared" ref="AI270:AI314" si="111">IF(C270,0,$L270*AT270)</f>
        <v>0</v>
      </c>
      <c r="AJ270" s="46" t="str">
        <f>IF(ISNUMBER(NORMSINV(SUM(AI$13:AI270)/AI$317)),NORMSINV(SUM(AI$13:AI270)/AI$317)," ")</f>
        <v xml:space="preserve"> </v>
      </c>
      <c r="AK270" s="46">
        <f t="shared" ref="AK270:AK314" si="112">IF(C270,0,$L270*AU270)</f>
        <v>0</v>
      </c>
      <c r="AL270" s="46" t="str">
        <f>IF(ISNUMBER(NORMSINV(SUM(AK$13:AK270)/AK$317)),NORMSINV(SUM(AK$13:AK270)/AK$317)," ")</f>
        <v xml:space="preserve"> </v>
      </c>
      <c r="AM270" s="6">
        <v>0</v>
      </c>
      <c r="AN270" s="6">
        <v>0</v>
      </c>
      <c r="AO270" s="6">
        <v>0</v>
      </c>
      <c r="AP270" s="6">
        <v>0</v>
      </c>
      <c r="AQ270" s="6">
        <v>0</v>
      </c>
      <c r="AR270" s="6">
        <v>0</v>
      </c>
      <c r="AS270" s="6">
        <v>0</v>
      </c>
      <c r="AT270" s="6">
        <v>0</v>
      </c>
      <c r="AU270" s="6">
        <v>0</v>
      </c>
    </row>
    <row r="271" spans="1:47" x14ac:dyDescent="0.4">
      <c r="A271" s="6">
        <f t="shared" si="97"/>
        <v>5.9829601946641571</v>
      </c>
      <c r="B271" s="6">
        <f>'Aerosol 1'!A275</f>
        <v>396.61268290700741</v>
      </c>
      <c r="C271" t="b">
        <f t="shared" si="98"/>
        <v>1</v>
      </c>
      <c r="E271" s="46">
        <f>'Aerosol 1'!$P275</f>
        <v>0.20823775725260507</v>
      </c>
      <c r="F271" s="46">
        <f>'Aerosol 2'!$P275</f>
        <v>0.20823775725260507</v>
      </c>
      <c r="G271" s="46">
        <f>'Aerosol 3'!$P275</f>
        <v>0.20823775725260507</v>
      </c>
      <c r="H271" s="46">
        <f t="shared" si="99"/>
        <v>0.62471327175781521</v>
      </c>
      <c r="I271" s="46">
        <f>NORMSINV(SUM(H$13:H271)/H$317)</f>
        <v>1.7276683948170204</v>
      </c>
      <c r="J271" s="46">
        <f t="shared" si="94"/>
        <v>0.11244838891640675</v>
      </c>
      <c r="K271" s="46">
        <f t="shared" si="95"/>
        <v>0.31235663587890761</v>
      </c>
      <c r="L271" s="46">
        <f t="shared" si="96"/>
        <v>0.62468828322694492</v>
      </c>
      <c r="M271" s="46">
        <f t="shared" si="100"/>
        <v>1.0494933080222593</v>
      </c>
      <c r="N271" s="46">
        <f>IF(ISNUMBER(NORMSINV(SUM(M$13:M271)/M$317)),NORMSINV(SUM(M$13:M271)/M$317)," ")</f>
        <v>1.7276683948170133</v>
      </c>
      <c r="O271" s="46">
        <f t="shared" si="101"/>
        <v>0</v>
      </c>
      <c r="P271" s="46" t="str">
        <f>IF(ISNUMBER(NORMSINV(SUM(O$13:O271)/O$317)),NORMSINV(SUM(O$13:O271)/O$317)," ")</f>
        <v xml:space="preserve"> </v>
      </c>
      <c r="Q271" s="46">
        <f t="shared" si="102"/>
        <v>0</v>
      </c>
      <c r="R271" s="46" t="str">
        <f>IF(ISNUMBER(NORMSINV(SUM(Q$13:Q271)/Q$317)),NORMSINV(SUM(Q$13:Q271)/Q$317)," ")</f>
        <v xml:space="preserve"> </v>
      </c>
      <c r="S271" s="46">
        <f t="shared" si="103"/>
        <v>0</v>
      </c>
      <c r="T271" s="46" t="str">
        <f>IF(ISNUMBER(NORMSINV(SUM(S$13:S271)/S$317)),NORMSINV(SUM(S$13:S271)/S$317)," ")</f>
        <v xml:space="preserve"> </v>
      </c>
      <c r="U271" s="46">
        <f t="shared" si="104"/>
        <v>0</v>
      </c>
      <c r="V271" s="46" t="str">
        <f>IF(ISNUMBER(NORMSINV(SUM(U$13:U271)/U$317)),NORMSINV(SUM(U$13:U271)/U$317)," ")</f>
        <v xml:space="preserve"> </v>
      </c>
      <c r="W271" s="46">
        <f t="shared" si="105"/>
        <v>0</v>
      </c>
      <c r="X271" s="46" t="str">
        <f>IF(ISNUMBER(NORMSINV(SUM(W$13:W271)/W$317)),NORMSINV(SUM(W$13:W271)/W$317)," ")</f>
        <v xml:space="preserve"> </v>
      </c>
      <c r="Y271" s="46">
        <f t="shared" si="106"/>
        <v>0</v>
      </c>
      <c r="Z271" s="46" t="str">
        <f>IF(ISNUMBER(NORMSINV(SUM(Y$13:Y271)/Y$317)),NORMSINV(SUM(Y$13:Y271)/Y$317)," ")</f>
        <v xml:space="preserve"> </v>
      </c>
      <c r="AA271" s="46">
        <f t="shared" si="107"/>
        <v>0</v>
      </c>
      <c r="AB271" s="46" t="str">
        <f>IF(ISNUMBER(NORMSINV(SUM(AA$13:AA271)/AA$317)),NORMSINV(SUM(AA$13:AA271)/AA$317)," ")</f>
        <v xml:space="preserve"> </v>
      </c>
      <c r="AC271" s="46">
        <f t="shared" si="108"/>
        <v>0</v>
      </c>
      <c r="AD271" s="46" t="str">
        <f>IF(ISNUMBER(NORMSINV(SUM(AC$13:AC271)/AC$317)),NORMSINV(SUM(AC$13:AC271)/AC$317)," ")</f>
        <v xml:space="preserve"> </v>
      </c>
      <c r="AE271" s="46">
        <f t="shared" si="109"/>
        <v>0</v>
      </c>
      <c r="AF271" s="46" t="str">
        <f>IF(ISNUMBER(NORMSINV(SUM(AE$13:AE271)/AE$317)),NORMSINV(SUM(AE$13:AE271)/AE$317)," ")</f>
        <v xml:space="preserve"> </v>
      </c>
      <c r="AG271" s="46">
        <f t="shared" si="110"/>
        <v>0</v>
      </c>
      <c r="AH271" s="46" t="str">
        <f>IF(ISNUMBER(NORMSINV(SUM(AG$13:AG271)/AG$317)),NORMSINV(SUM(AG$13:AG271)/AG$317)," ")</f>
        <v xml:space="preserve"> </v>
      </c>
      <c r="AI271" s="46">
        <f t="shared" si="111"/>
        <v>0</v>
      </c>
      <c r="AJ271" s="46" t="str">
        <f>IF(ISNUMBER(NORMSINV(SUM(AI$13:AI271)/AI$317)),NORMSINV(SUM(AI$13:AI271)/AI$317)," ")</f>
        <v xml:space="preserve"> </v>
      </c>
      <c r="AK271" s="46">
        <f t="shared" si="112"/>
        <v>0</v>
      </c>
      <c r="AL271" s="46" t="str">
        <f>IF(ISNUMBER(NORMSINV(SUM(AK$13:AK271)/AK$317)),NORMSINV(SUM(AK$13:AK271)/AK$317)," ")</f>
        <v xml:space="preserve"> </v>
      </c>
      <c r="AM271" s="6">
        <v>0</v>
      </c>
      <c r="AN271" s="6">
        <v>0</v>
      </c>
      <c r="AO271" s="6">
        <v>0</v>
      </c>
      <c r="AP271" s="6">
        <v>0</v>
      </c>
      <c r="AQ271" s="6">
        <v>0</v>
      </c>
      <c r="AR271" s="6">
        <v>0</v>
      </c>
      <c r="AS271" s="6">
        <v>0</v>
      </c>
      <c r="AT271" s="6">
        <v>0</v>
      </c>
      <c r="AU271" s="6">
        <v>0</v>
      </c>
    </row>
    <row r="272" spans="1:47" x14ac:dyDescent="0.4">
      <c r="A272" s="6">
        <f t="shared" si="97"/>
        <v>6.0174387720953355</v>
      </c>
      <c r="B272" s="6">
        <f>'Aerosol 1'!A276</f>
        <v>410.52579794537525</v>
      </c>
      <c r="C272" t="b">
        <f t="shared" si="98"/>
        <v>1</v>
      </c>
      <c r="E272" s="46">
        <f>'Aerosol 1'!$P276</f>
        <v>0.2010632568074544</v>
      </c>
      <c r="F272" s="46">
        <f>'Aerosol 2'!$P276</f>
        <v>0.2010632568074544</v>
      </c>
      <c r="G272" s="46">
        <f>'Aerosol 3'!$P276</f>
        <v>0.2010632568074544</v>
      </c>
      <c r="H272" s="46">
        <f t="shared" si="99"/>
        <v>0.60318977042236321</v>
      </c>
      <c r="I272" s="46">
        <f>NORMSINV(SUM(H$13:H272)/H$317)</f>
        <v>1.7506499798291792</v>
      </c>
      <c r="J272" s="46">
        <f t="shared" si="94"/>
        <v>0.10857415867602539</v>
      </c>
      <c r="K272" s="46">
        <f t="shared" si="95"/>
        <v>0.30159488521118161</v>
      </c>
      <c r="L272" s="46">
        <f t="shared" si="96"/>
        <v>0.60316564283154639</v>
      </c>
      <c r="M272" s="46">
        <f t="shared" si="100"/>
        <v>1.0133346867187534</v>
      </c>
      <c r="N272" s="46">
        <f>IF(ISNUMBER(NORMSINV(SUM(M$13:M272)/M$317)),NORMSINV(SUM(M$13:M272)/M$317)," ")</f>
        <v>1.7506499798291704</v>
      </c>
      <c r="O272" s="46">
        <f t="shared" si="101"/>
        <v>0</v>
      </c>
      <c r="P272" s="46" t="str">
        <f>IF(ISNUMBER(NORMSINV(SUM(O$13:O272)/O$317)),NORMSINV(SUM(O$13:O272)/O$317)," ")</f>
        <v xml:space="preserve"> </v>
      </c>
      <c r="Q272" s="46">
        <f t="shared" si="102"/>
        <v>0</v>
      </c>
      <c r="R272" s="46" t="str">
        <f>IF(ISNUMBER(NORMSINV(SUM(Q$13:Q272)/Q$317)),NORMSINV(SUM(Q$13:Q272)/Q$317)," ")</f>
        <v xml:space="preserve"> </v>
      </c>
      <c r="S272" s="46">
        <f t="shared" si="103"/>
        <v>0</v>
      </c>
      <c r="T272" s="46" t="str">
        <f>IF(ISNUMBER(NORMSINV(SUM(S$13:S272)/S$317)),NORMSINV(SUM(S$13:S272)/S$317)," ")</f>
        <v xml:space="preserve"> </v>
      </c>
      <c r="U272" s="46">
        <f t="shared" si="104"/>
        <v>0</v>
      </c>
      <c r="V272" s="46" t="str">
        <f>IF(ISNUMBER(NORMSINV(SUM(U$13:U272)/U$317)),NORMSINV(SUM(U$13:U272)/U$317)," ")</f>
        <v xml:space="preserve"> </v>
      </c>
      <c r="W272" s="46">
        <f t="shared" si="105"/>
        <v>0</v>
      </c>
      <c r="X272" s="46" t="str">
        <f>IF(ISNUMBER(NORMSINV(SUM(W$13:W272)/W$317)),NORMSINV(SUM(W$13:W272)/W$317)," ")</f>
        <v xml:space="preserve"> </v>
      </c>
      <c r="Y272" s="46">
        <f t="shared" si="106"/>
        <v>0</v>
      </c>
      <c r="Z272" s="46" t="str">
        <f>IF(ISNUMBER(NORMSINV(SUM(Y$13:Y272)/Y$317)),NORMSINV(SUM(Y$13:Y272)/Y$317)," ")</f>
        <v xml:space="preserve"> </v>
      </c>
      <c r="AA272" s="46">
        <f t="shared" si="107"/>
        <v>0</v>
      </c>
      <c r="AB272" s="46" t="str">
        <f>IF(ISNUMBER(NORMSINV(SUM(AA$13:AA272)/AA$317)),NORMSINV(SUM(AA$13:AA272)/AA$317)," ")</f>
        <v xml:space="preserve"> </v>
      </c>
      <c r="AC272" s="46">
        <f t="shared" si="108"/>
        <v>0</v>
      </c>
      <c r="AD272" s="46" t="str">
        <f>IF(ISNUMBER(NORMSINV(SUM(AC$13:AC272)/AC$317)),NORMSINV(SUM(AC$13:AC272)/AC$317)," ")</f>
        <v xml:space="preserve"> </v>
      </c>
      <c r="AE272" s="46">
        <f t="shared" si="109"/>
        <v>0</v>
      </c>
      <c r="AF272" s="46" t="str">
        <f>IF(ISNUMBER(NORMSINV(SUM(AE$13:AE272)/AE$317)),NORMSINV(SUM(AE$13:AE272)/AE$317)," ")</f>
        <v xml:space="preserve"> </v>
      </c>
      <c r="AG272" s="46">
        <f t="shared" si="110"/>
        <v>0</v>
      </c>
      <c r="AH272" s="46" t="str">
        <f>IF(ISNUMBER(NORMSINV(SUM(AG$13:AG272)/AG$317)),NORMSINV(SUM(AG$13:AG272)/AG$317)," ")</f>
        <v xml:space="preserve"> </v>
      </c>
      <c r="AI272" s="46">
        <f t="shared" si="111"/>
        <v>0</v>
      </c>
      <c r="AJ272" s="46" t="str">
        <f>IF(ISNUMBER(NORMSINV(SUM(AI$13:AI272)/AI$317)),NORMSINV(SUM(AI$13:AI272)/AI$317)," ")</f>
        <v xml:space="preserve"> </v>
      </c>
      <c r="AK272" s="46">
        <f t="shared" si="112"/>
        <v>0</v>
      </c>
      <c r="AL272" s="46" t="str">
        <f>IF(ISNUMBER(NORMSINV(SUM(AK$13:AK272)/AK$317)),NORMSINV(SUM(AK$13:AK272)/AK$317)," ")</f>
        <v xml:space="preserve"> </v>
      </c>
      <c r="AM272" s="6">
        <v>0</v>
      </c>
      <c r="AN272" s="6">
        <v>0</v>
      </c>
      <c r="AO272" s="6">
        <v>0</v>
      </c>
      <c r="AP272" s="6">
        <v>0</v>
      </c>
      <c r="AQ272" s="6">
        <v>0</v>
      </c>
      <c r="AR272" s="6">
        <v>0</v>
      </c>
      <c r="AS272" s="6">
        <v>0</v>
      </c>
      <c r="AT272" s="6">
        <v>0</v>
      </c>
      <c r="AU272" s="6">
        <v>0</v>
      </c>
    </row>
    <row r="273" spans="1:47" x14ac:dyDescent="0.4">
      <c r="A273" s="6">
        <f t="shared" si="97"/>
        <v>6.0519173495265148</v>
      </c>
      <c r="B273" s="6">
        <f>'Aerosol 1'!A277</f>
        <v>424.92698302893729</v>
      </c>
      <c r="C273" t="b">
        <f t="shared" si="98"/>
        <v>1</v>
      </c>
      <c r="E273" s="46">
        <f>'Aerosol 1'!$P277</f>
        <v>0.19405105708032444</v>
      </c>
      <c r="F273" s="46">
        <f>'Aerosol 2'!$P277</f>
        <v>0.19405105708032444</v>
      </c>
      <c r="G273" s="46">
        <f>'Aerosol 3'!$P277</f>
        <v>0.19405105708032444</v>
      </c>
      <c r="H273" s="46">
        <f t="shared" si="99"/>
        <v>0.58215317124097332</v>
      </c>
      <c r="I273" s="46">
        <f>NORMSINV(SUM(H$13:H273)/H$317)</f>
        <v>1.7737428405425582</v>
      </c>
      <c r="J273" s="46">
        <f t="shared" si="94"/>
        <v>0.1047875708233752</v>
      </c>
      <c r="K273" s="46">
        <f t="shared" si="95"/>
        <v>0.29107658562048666</v>
      </c>
      <c r="L273" s="46">
        <f t="shared" si="96"/>
        <v>0.58212988511412367</v>
      </c>
      <c r="M273" s="46">
        <f t="shared" si="100"/>
        <v>0.97799404155798553</v>
      </c>
      <c r="N273" s="46">
        <f>IF(ISNUMBER(NORMSINV(SUM(M$13:M273)/M$317)),NORMSINV(SUM(M$13:M273)/M$317)," ")</f>
        <v>1.7737428405425486</v>
      </c>
      <c r="O273" s="46">
        <f t="shared" si="101"/>
        <v>0</v>
      </c>
      <c r="P273" s="46" t="str">
        <f>IF(ISNUMBER(NORMSINV(SUM(O$13:O273)/O$317)),NORMSINV(SUM(O$13:O273)/O$317)," ")</f>
        <v xml:space="preserve"> </v>
      </c>
      <c r="Q273" s="46">
        <f t="shared" si="102"/>
        <v>0</v>
      </c>
      <c r="R273" s="46" t="str">
        <f>IF(ISNUMBER(NORMSINV(SUM(Q$13:Q273)/Q$317)),NORMSINV(SUM(Q$13:Q273)/Q$317)," ")</f>
        <v xml:space="preserve"> </v>
      </c>
      <c r="S273" s="46">
        <f t="shared" si="103"/>
        <v>0</v>
      </c>
      <c r="T273" s="46" t="str">
        <f>IF(ISNUMBER(NORMSINV(SUM(S$13:S273)/S$317)),NORMSINV(SUM(S$13:S273)/S$317)," ")</f>
        <v xml:space="preserve"> </v>
      </c>
      <c r="U273" s="46">
        <f t="shared" si="104"/>
        <v>0</v>
      </c>
      <c r="V273" s="46" t="str">
        <f>IF(ISNUMBER(NORMSINV(SUM(U$13:U273)/U$317)),NORMSINV(SUM(U$13:U273)/U$317)," ")</f>
        <v xml:space="preserve"> </v>
      </c>
      <c r="W273" s="46">
        <f t="shared" si="105"/>
        <v>0</v>
      </c>
      <c r="X273" s="46" t="str">
        <f>IF(ISNUMBER(NORMSINV(SUM(W$13:W273)/W$317)),NORMSINV(SUM(W$13:W273)/W$317)," ")</f>
        <v xml:space="preserve"> </v>
      </c>
      <c r="Y273" s="46">
        <f t="shared" si="106"/>
        <v>0</v>
      </c>
      <c r="Z273" s="46" t="str">
        <f>IF(ISNUMBER(NORMSINV(SUM(Y$13:Y273)/Y$317)),NORMSINV(SUM(Y$13:Y273)/Y$317)," ")</f>
        <v xml:space="preserve"> </v>
      </c>
      <c r="AA273" s="46">
        <f t="shared" si="107"/>
        <v>0</v>
      </c>
      <c r="AB273" s="46" t="str">
        <f>IF(ISNUMBER(NORMSINV(SUM(AA$13:AA273)/AA$317)),NORMSINV(SUM(AA$13:AA273)/AA$317)," ")</f>
        <v xml:space="preserve"> </v>
      </c>
      <c r="AC273" s="46">
        <f t="shared" si="108"/>
        <v>0</v>
      </c>
      <c r="AD273" s="46" t="str">
        <f>IF(ISNUMBER(NORMSINV(SUM(AC$13:AC273)/AC$317)),NORMSINV(SUM(AC$13:AC273)/AC$317)," ")</f>
        <v xml:space="preserve"> </v>
      </c>
      <c r="AE273" s="46">
        <f t="shared" si="109"/>
        <v>0</v>
      </c>
      <c r="AF273" s="46" t="str">
        <f>IF(ISNUMBER(NORMSINV(SUM(AE$13:AE273)/AE$317)),NORMSINV(SUM(AE$13:AE273)/AE$317)," ")</f>
        <v xml:space="preserve"> </v>
      </c>
      <c r="AG273" s="46">
        <f t="shared" si="110"/>
        <v>0</v>
      </c>
      <c r="AH273" s="46" t="str">
        <f>IF(ISNUMBER(NORMSINV(SUM(AG$13:AG273)/AG$317)),NORMSINV(SUM(AG$13:AG273)/AG$317)," ")</f>
        <v xml:space="preserve"> </v>
      </c>
      <c r="AI273" s="46">
        <f t="shared" si="111"/>
        <v>0</v>
      </c>
      <c r="AJ273" s="46" t="str">
        <f>IF(ISNUMBER(NORMSINV(SUM(AI$13:AI273)/AI$317)),NORMSINV(SUM(AI$13:AI273)/AI$317)," ")</f>
        <v xml:space="preserve"> </v>
      </c>
      <c r="AK273" s="46">
        <f t="shared" si="112"/>
        <v>0</v>
      </c>
      <c r="AL273" s="46" t="str">
        <f>IF(ISNUMBER(NORMSINV(SUM(AK$13:AK273)/AK$317)),NORMSINV(SUM(AK$13:AK273)/AK$317)," ")</f>
        <v xml:space="preserve"> </v>
      </c>
      <c r="AM273" s="6">
        <v>0</v>
      </c>
      <c r="AN273" s="6">
        <v>0</v>
      </c>
      <c r="AO273" s="6">
        <v>0</v>
      </c>
      <c r="AP273" s="6">
        <v>0</v>
      </c>
      <c r="AQ273" s="6">
        <v>0</v>
      </c>
      <c r="AR273" s="6">
        <v>0</v>
      </c>
      <c r="AS273" s="6">
        <v>0</v>
      </c>
      <c r="AT273" s="6">
        <v>0</v>
      </c>
      <c r="AU273" s="6">
        <v>0</v>
      </c>
    </row>
    <row r="274" spans="1:47" x14ac:dyDescent="0.4">
      <c r="A274" s="6">
        <f t="shared" si="97"/>
        <v>6.0863959269576933</v>
      </c>
      <c r="B274" s="6">
        <f>'Aerosol 1'!A278</f>
        <v>439.8333595836537</v>
      </c>
      <c r="C274" t="b">
        <f t="shared" si="98"/>
        <v>1</v>
      </c>
      <c r="E274" s="46">
        <f>'Aerosol 1'!$P278</f>
        <v>0.18720152292773795</v>
      </c>
      <c r="F274" s="46">
        <f>'Aerosol 2'!$P278</f>
        <v>0.18720152292773795</v>
      </c>
      <c r="G274" s="46">
        <f>'Aerosol 3'!$P278</f>
        <v>0.18720152292773795</v>
      </c>
      <c r="H274" s="46">
        <f t="shared" si="99"/>
        <v>0.56160456878321385</v>
      </c>
      <c r="I274" s="46">
        <f>NORMSINV(SUM(H$13:H274)/H$317)</f>
        <v>1.7969544456182254</v>
      </c>
      <c r="J274" s="46">
        <f t="shared" si="94"/>
        <v>0.10108882238097849</v>
      </c>
      <c r="K274" s="46">
        <f t="shared" si="95"/>
        <v>0.28080228439160693</v>
      </c>
      <c r="L274" s="46">
        <f t="shared" si="96"/>
        <v>0.56158210460046254</v>
      </c>
      <c r="M274" s="46">
        <f t="shared" si="100"/>
        <v>0.94347321137304796</v>
      </c>
      <c r="N274" s="46">
        <f>IF(ISNUMBER(NORMSINV(SUM(M$13:M274)/M$317)),NORMSINV(SUM(M$13:M274)/M$317)," ")</f>
        <v>1.7969544456182156</v>
      </c>
      <c r="O274" s="46">
        <f t="shared" si="101"/>
        <v>0</v>
      </c>
      <c r="P274" s="46" t="str">
        <f>IF(ISNUMBER(NORMSINV(SUM(O$13:O274)/O$317)),NORMSINV(SUM(O$13:O274)/O$317)," ")</f>
        <v xml:space="preserve"> </v>
      </c>
      <c r="Q274" s="46">
        <f t="shared" si="102"/>
        <v>0</v>
      </c>
      <c r="R274" s="46" t="str">
        <f>IF(ISNUMBER(NORMSINV(SUM(Q$13:Q274)/Q$317)),NORMSINV(SUM(Q$13:Q274)/Q$317)," ")</f>
        <v xml:space="preserve"> </v>
      </c>
      <c r="S274" s="46">
        <f t="shared" si="103"/>
        <v>0</v>
      </c>
      <c r="T274" s="46" t="str">
        <f>IF(ISNUMBER(NORMSINV(SUM(S$13:S274)/S$317)),NORMSINV(SUM(S$13:S274)/S$317)," ")</f>
        <v xml:space="preserve"> </v>
      </c>
      <c r="U274" s="46">
        <f t="shared" si="104"/>
        <v>0</v>
      </c>
      <c r="V274" s="46" t="str">
        <f>IF(ISNUMBER(NORMSINV(SUM(U$13:U274)/U$317)),NORMSINV(SUM(U$13:U274)/U$317)," ")</f>
        <v xml:space="preserve"> </v>
      </c>
      <c r="W274" s="46">
        <f t="shared" si="105"/>
        <v>0</v>
      </c>
      <c r="X274" s="46" t="str">
        <f>IF(ISNUMBER(NORMSINV(SUM(W$13:W274)/W$317)),NORMSINV(SUM(W$13:W274)/W$317)," ")</f>
        <v xml:space="preserve"> </v>
      </c>
      <c r="Y274" s="46">
        <f t="shared" si="106"/>
        <v>0</v>
      </c>
      <c r="Z274" s="46" t="str">
        <f>IF(ISNUMBER(NORMSINV(SUM(Y$13:Y274)/Y$317)),NORMSINV(SUM(Y$13:Y274)/Y$317)," ")</f>
        <v xml:space="preserve"> </v>
      </c>
      <c r="AA274" s="46">
        <f t="shared" si="107"/>
        <v>0</v>
      </c>
      <c r="AB274" s="46" t="str">
        <f>IF(ISNUMBER(NORMSINV(SUM(AA$13:AA274)/AA$317)),NORMSINV(SUM(AA$13:AA274)/AA$317)," ")</f>
        <v xml:space="preserve"> </v>
      </c>
      <c r="AC274" s="46">
        <f t="shared" si="108"/>
        <v>0</v>
      </c>
      <c r="AD274" s="46" t="str">
        <f>IF(ISNUMBER(NORMSINV(SUM(AC$13:AC274)/AC$317)),NORMSINV(SUM(AC$13:AC274)/AC$317)," ")</f>
        <v xml:space="preserve"> </v>
      </c>
      <c r="AE274" s="46">
        <f t="shared" si="109"/>
        <v>0</v>
      </c>
      <c r="AF274" s="46" t="str">
        <f>IF(ISNUMBER(NORMSINV(SUM(AE$13:AE274)/AE$317)),NORMSINV(SUM(AE$13:AE274)/AE$317)," ")</f>
        <v xml:space="preserve"> </v>
      </c>
      <c r="AG274" s="46">
        <f t="shared" si="110"/>
        <v>0</v>
      </c>
      <c r="AH274" s="46" t="str">
        <f>IF(ISNUMBER(NORMSINV(SUM(AG$13:AG274)/AG$317)),NORMSINV(SUM(AG$13:AG274)/AG$317)," ")</f>
        <v xml:space="preserve"> </v>
      </c>
      <c r="AI274" s="46">
        <f t="shared" si="111"/>
        <v>0</v>
      </c>
      <c r="AJ274" s="46" t="str">
        <f>IF(ISNUMBER(NORMSINV(SUM(AI$13:AI274)/AI$317)),NORMSINV(SUM(AI$13:AI274)/AI$317)," ")</f>
        <v xml:space="preserve"> </v>
      </c>
      <c r="AK274" s="46">
        <f t="shared" si="112"/>
        <v>0</v>
      </c>
      <c r="AL274" s="46" t="str">
        <f>IF(ISNUMBER(NORMSINV(SUM(AK$13:AK274)/AK$317)),NORMSINV(SUM(AK$13:AK274)/AK$317)," ")</f>
        <v xml:space="preserve"> </v>
      </c>
      <c r="AM274" s="6">
        <v>0</v>
      </c>
      <c r="AN274" s="6">
        <v>0</v>
      </c>
      <c r="AO274" s="6">
        <v>0</v>
      </c>
      <c r="AP274" s="6">
        <v>0</v>
      </c>
      <c r="AQ274" s="6">
        <v>0</v>
      </c>
      <c r="AR274" s="6">
        <v>0</v>
      </c>
      <c r="AS274" s="6">
        <v>0</v>
      </c>
      <c r="AT274" s="6">
        <v>0</v>
      </c>
      <c r="AU274" s="6">
        <v>0</v>
      </c>
    </row>
    <row r="275" spans="1:47" x14ac:dyDescent="0.4">
      <c r="A275" s="6">
        <f t="shared" si="97"/>
        <v>6.1208745043888726</v>
      </c>
      <c r="B275" s="6">
        <f>'Aerosol 1'!A279</f>
        <v>455.26264965261038</v>
      </c>
      <c r="C275" t="b">
        <f t="shared" si="98"/>
        <v>1</v>
      </c>
      <c r="E275" s="46">
        <f>'Aerosol 1'!$P279</f>
        <v>0.18051479680396554</v>
      </c>
      <c r="F275" s="46">
        <f>'Aerosol 2'!$P279</f>
        <v>0.18051479680396554</v>
      </c>
      <c r="G275" s="46">
        <f>'Aerosol 3'!$P279</f>
        <v>0.18051479680396554</v>
      </c>
      <c r="H275" s="46">
        <f t="shared" si="99"/>
        <v>0.54154439041189661</v>
      </c>
      <c r="I275" s="46">
        <f>NORMSINV(SUM(H$13:H275)/H$317)</f>
        <v>1.8202928878702447</v>
      </c>
      <c r="J275" s="46">
        <f t="shared" si="94"/>
        <v>9.7477990274141391E-2</v>
      </c>
      <c r="K275" s="46">
        <f t="shared" si="95"/>
        <v>0.27077219520594831</v>
      </c>
      <c r="L275" s="46">
        <f t="shared" si="96"/>
        <v>0.54152272863628015</v>
      </c>
      <c r="M275" s="46">
        <f t="shared" si="100"/>
        <v>0.90977291411636985</v>
      </c>
      <c r="N275" s="46">
        <f>IF(ISNUMBER(NORMSINV(SUM(M$13:M275)/M$317)),NORMSINV(SUM(M$13:M275)/M$317)," ")</f>
        <v>1.8202928878702342</v>
      </c>
      <c r="O275" s="46">
        <f t="shared" si="101"/>
        <v>0</v>
      </c>
      <c r="P275" s="46" t="str">
        <f>IF(ISNUMBER(NORMSINV(SUM(O$13:O275)/O$317)),NORMSINV(SUM(O$13:O275)/O$317)," ")</f>
        <v xml:space="preserve"> </v>
      </c>
      <c r="Q275" s="46">
        <f t="shared" si="102"/>
        <v>0</v>
      </c>
      <c r="R275" s="46" t="str">
        <f>IF(ISNUMBER(NORMSINV(SUM(Q$13:Q275)/Q$317)),NORMSINV(SUM(Q$13:Q275)/Q$317)," ")</f>
        <v xml:space="preserve"> </v>
      </c>
      <c r="S275" s="46">
        <f t="shared" si="103"/>
        <v>0</v>
      </c>
      <c r="T275" s="46" t="str">
        <f>IF(ISNUMBER(NORMSINV(SUM(S$13:S275)/S$317)),NORMSINV(SUM(S$13:S275)/S$317)," ")</f>
        <v xml:space="preserve"> </v>
      </c>
      <c r="U275" s="46">
        <f t="shared" si="104"/>
        <v>0</v>
      </c>
      <c r="V275" s="46" t="str">
        <f>IF(ISNUMBER(NORMSINV(SUM(U$13:U275)/U$317)),NORMSINV(SUM(U$13:U275)/U$317)," ")</f>
        <v xml:space="preserve"> </v>
      </c>
      <c r="W275" s="46">
        <f t="shared" si="105"/>
        <v>0</v>
      </c>
      <c r="X275" s="46" t="str">
        <f>IF(ISNUMBER(NORMSINV(SUM(W$13:W275)/W$317)),NORMSINV(SUM(W$13:W275)/W$317)," ")</f>
        <v xml:space="preserve"> </v>
      </c>
      <c r="Y275" s="46">
        <f t="shared" si="106"/>
        <v>0</v>
      </c>
      <c r="Z275" s="46" t="str">
        <f>IF(ISNUMBER(NORMSINV(SUM(Y$13:Y275)/Y$317)),NORMSINV(SUM(Y$13:Y275)/Y$317)," ")</f>
        <v xml:space="preserve"> </v>
      </c>
      <c r="AA275" s="46">
        <f t="shared" si="107"/>
        <v>0</v>
      </c>
      <c r="AB275" s="46" t="str">
        <f>IF(ISNUMBER(NORMSINV(SUM(AA$13:AA275)/AA$317)),NORMSINV(SUM(AA$13:AA275)/AA$317)," ")</f>
        <v xml:space="preserve"> </v>
      </c>
      <c r="AC275" s="46">
        <f t="shared" si="108"/>
        <v>0</v>
      </c>
      <c r="AD275" s="46" t="str">
        <f>IF(ISNUMBER(NORMSINV(SUM(AC$13:AC275)/AC$317)),NORMSINV(SUM(AC$13:AC275)/AC$317)," ")</f>
        <v xml:space="preserve"> </v>
      </c>
      <c r="AE275" s="46">
        <f t="shared" si="109"/>
        <v>0</v>
      </c>
      <c r="AF275" s="46" t="str">
        <f>IF(ISNUMBER(NORMSINV(SUM(AE$13:AE275)/AE$317)),NORMSINV(SUM(AE$13:AE275)/AE$317)," ")</f>
        <v xml:space="preserve"> </v>
      </c>
      <c r="AG275" s="46">
        <f t="shared" si="110"/>
        <v>0</v>
      </c>
      <c r="AH275" s="46" t="str">
        <f>IF(ISNUMBER(NORMSINV(SUM(AG$13:AG275)/AG$317)),NORMSINV(SUM(AG$13:AG275)/AG$317)," ")</f>
        <v xml:space="preserve"> </v>
      </c>
      <c r="AI275" s="46">
        <f t="shared" si="111"/>
        <v>0</v>
      </c>
      <c r="AJ275" s="46" t="str">
        <f>IF(ISNUMBER(NORMSINV(SUM(AI$13:AI275)/AI$317)),NORMSINV(SUM(AI$13:AI275)/AI$317)," ")</f>
        <v xml:space="preserve"> </v>
      </c>
      <c r="AK275" s="46">
        <f t="shared" si="112"/>
        <v>0</v>
      </c>
      <c r="AL275" s="46" t="str">
        <f>IF(ISNUMBER(NORMSINV(SUM(AK$13:AK275)/AK$317)),NORMSINV(SUM(AK$13:AK275)/AK$317)," ")</f>
        <v xml:space="preserve"> </v>
      </c>
      <c r="AM275" s="6">
        <v>0</v>
      </c>
      <c r="AN275" s="6">
        <v>0</v>
      </c>
      <c r="AO275" s="6">
        <v>0</v>
      </c>
      <c r="AP275" s="6">
        <v>0</v>
      </c>
      <c r="AQ275" s="6">
        <v>0</v>
      </c>
      <c r="AR275" s="6">
        <v>0</v>
      </c>
      <c r="AS275" s="6">
        <v>0</v>
      </c>
      <c r="AT275" s="6">
        <v>0</v>
      </c>
      <c r="AU275" s="6">
        <v>0</v>
      </c>
    </row>
    <row r="276" spans="1:47" x14ac:dyDescent="0.4">
      <c r="A276" s="6">
        <f t="shared" si="97"/>
        <v>6.155353081820051</v>
      </c>
      <c r="B276" s="6">
        <f>'Aerosol 1'!A280</f>
        <v>471.23319696557684</v>
      </c>
      <c r="C276" t="b">
        <f t="shared" si="98"/>
        <v>1</v>
      </c>
      <c r="E276" s="46">
        <f>'Aerosol 1'!$P280</f>
        <v>0.17399080636536501</v>
      </c>
      <c r="F276" s="46">
        <f>'Aerosol 2'!$P280</f>
        <v>0.17399080636536501</v>
      </c>
      <c r="G276" s="46">
        <f>'Aerosol 3'!$P280</f>
        <v>0.17399080636536501</v>
      </c>
      <c r="H276" s="46">
        <f t="shared" si="99"/>
        <v>0.52197241909609504</v>
      </c>
      <c r="I276" s="46">
        <f>NORMSINV(SUM(H$13:H276)/H$317)</f>
        <v>1.8437669497886751</v>
      </c>
      <c r="J276" s="46">
        <f t="shared" si="94"/>
        <v>9.3955035437297107E-2</v>
      </c>
      <c r="K276" s="46">
        <f t="shared" si="95"/>
        <v>0.26098620954804752</v>
      </c>
      <c r="L276" s="46">
        <f t="shared" si="96"/>
        <v>0.52195154019933121</v>
      </c>
      <c r="M276" s="46">
        <f t="shared" si="100"/>
        <v>0.87689278518467584</v>
      </c>
      <c r="N276" s="46">
        <f>IF(ISNUMBER(NORMSINV(SUM(M$13:M276)/M$317)),NORMSINV(SUM(M$13:M276)/M$317)," ")</f>
        <v>1.8437669497886664</v>
      </c>
      <c r="O276" s="46">
        <f t="shared" si="101"/>
        <v>0</v>
      </c>
      <c r="P276" s="46" t="str">
        <f>IF(ISNUMBER(NORMSINV(SUM(O$13:O276)/O$317)),NORMSINV(SUM(O$13:O276)/O$317)," ")</f>
        <v xml:space="preserve"> </v>
      </c>
      <c r="Q276" s="46">
        <f t="shared" si="102"/>
        <v>0</v>
      </c>
      <c r="R276" s="46" t="str">
        <f>IF(ISNUMBER(NORMSINV(SUM(Q$13:Q276)/Q$317)),NORMSINV(SUM(Q$13:Q276)/Q$317)," ")</f>
        <v xml:space="preserve"> </v>
      </c>
      <c r="S276" s="46">
        <f t="shared" si="103"/>
        <v>0</v>
      </c>
      <c r="T276" s="46" t="str">
        <f>IF(ISNUMBER(NORMSINV(SUM(S$13:S276)/S$317)),NORMSINV(SUM(S$13:S276)/S$317)," ")</f>
        <v xml:space="preserve"> </v>
      </c>
      <c r="U276" s="46">
        <f t="shared" si="104"/>
        <v>0</v>
      </c>
      <c r="V276" s="46" t="str">
        <f>IF(ISNUMBER(NORMSINV(SUM(U$13:U276)/U$317)),NORMSINV(SUM(U$13:U276)/U$317)," ")</f>
        <v xml:space="preserve"> </v>
      </c>
      <c r="W276" s="46">
        <f t="shared" si="105"/>
        <v>0</v>
      </c>
      <c r="X276" s="46" t="str">
        <f>IF(ISNUMBER(NORMSINV(SUM(W$13:W276)/W$317)),NORMSINV(SUM(W$13:W276)/W$317)," ")</f>
        <v xml:space="preserve"> </v>
      </c>
      <c r="Y276" s="46">
        <f t="shared" si="106"/>
        <v>0</v>
      </c>
      <c r="Z276" s="46" t="str">
        <f>IF(ISNUMBER(NORMSINV(SUM(Y$13:Y276)/Y$317)),NORMSINV(SUM(Y$13:Y276)/Y$317)," ")</f>
        <v xml:space="preserve"> </v>
      </c>
      <c r="AA276" s="46">
        <f t="shared" si="107"/>
        <v>0</v>
      </c>
      <c r="AB276" s="46" t="str">
        <f>IF(ISNUMBER(NORMSINV(SUM(AA$13:AA276)/AA$317)),NORMSINV(SUM(AA$13:AA276)/AA$317)," ")</f>
        <v xml:space="preserve"> </v>
      </c>
      <c r="AC276" s="46">
        <f t="shared" si="108"/>
        <v>0</v>
      </c>
      <c r="AD276" s="46" t="str">
        <f>IF(ISNUMBER(NORMSINV(SUM(AC$13:AC276)/AC$317)),NORMSINV(SUM(AC$13:AC276)/AC$317)," ")</f>
        <v xml:space="preserve"> </v>
      </c>
      <c r="AE276" s="46">
        <f t="shared" si="109"/>
        <v>0</v>
      </c>
      <c r="AF276" s="46" t="str">
        <f>IF(ISNUMBER(NORMSINV(SUM(AE$13:AE276)/AE$317)),NORMSINV(SUM(AE$13:AE276)/AE$317)," ")</f>
        <v xml:space="preserve"> </v>
      </c>
      <c r="AG276" s="46">
        <f t="shared" si="110"/>
        <v>0</v>
      </c>
      <c r="AH276" s="46" t="str">
        <f>IF(ISNUMBER(NORMSINV(SUM(AG$13:AG276)/AG$317)),NORMSINV(SUM(AG$13:AG276)/AG$317)," ")</f>
        <v xml:space="preserve"> </v>
      </c>
      <c r="AI276" s="46">
        <f t="shared" si="111"/>
        <v>0</v>
      </c>
      <c r="AJ276" s="46" t="str">
        <f>IF(ISNUMBER(NORMSINV(SUM(AI$13:AI276)/AI$317)),NORMSINV(SUM(AI$13:AI276)/AI$317)," ")</f>
        <v xml:space="preserve"> </v>
      </c>
      <c r="AK276" s="46">
        <f t="shared" si="112"/>
        <v>0</v>
      </c>
      <c r="AL276" s="46" t="str">
        <f>IF(ISNUMBER(NORMSINV(SUM(AK$13:AK276)/AK$317)),NORMSINV(SUM(AK$13:AK276)/AK$317)," ")</f>
        <v xml:space="preserve"> </v>
      </c>
      <c r="AM276" s="6">
        <v>0</v>
      </c>
      <c r="AN276" s="6">
        <v>0</v>
      </c>
      <c r="AO276" s="6">
        <v>0</v>
      </c>
      <c r="AP276" s="6">
        <v>0</v>
      </c>
      <c r="AQ276" s="6">
        <v>0</v>
      </c>
      <c r="AR276" s="6">
        <v>0</v>
      </c>
      <c r="AS276" s="6">
        <v>0</v>
      </c>
      <c r="AT276" s="6">
        <v>0</v>
      </c>
      <c r="AU276" s="6">
        <v>0</v>
      </c>
    </row>
    <row r="277" spans="1:47" x14ac:dyDescent="0.4">
      <c r="A277" s="6">
        <f t="shared" si="97"/>
        <v>6.1898316592512295</v>
      </c>
      <c r="B277" s="6">
        <f>'Aerosol 1'!A281</f>
        <v>487.76398874768722</v>
      </c>
      <c r="C277" t="b">
        <f t="shared" si="98"/>
        <v>1</v>
      </c>
      <c r="E277" s="46">
        <f>'Aerosol 1'!$P281</f>
        <v>0.16762927226612323</v>
      </c>
      <c r="F277" s="46">
        <f>'Aerosol 2'!$P281</f>
        <v>0.16762927226612323</v>
      </c>
      <c r="G277" s="46">
        <f>'Aerosol 3'!$P281</f>
        <v>0.16762927226612323</v>
      </c>
      <c r="H277" s="46">
        <f t="shared" si="99"/>
        <v>0.50288781679836969</v>
      </c>
      <c r="I277" s="46">
        <f>NORMSINV(SUM(H$13:H277)/H$317)</f>
        <v>1.867386177686317</v>
      </c>
      <c r="J277" s="46">
        <f t="shared" si="94"/>
        <v>9.0519807023706544E-2</v>
      </c>
      <c r="K277" s="46">
        <f t="shared" si="95"/>
        <v>0.25144390839918485</v>
      </c>
      <c r="L277" s="46">
        <f t="shared" si="96"/>
        <v>0.5028677012856978</v>
      </c>
      <c r="M277" s="46">
        <f t="shared" si="100"/>
        <v>0.84483141670858919</v>
      </c>
      <c r="N277" s="46">
        <f>IF(ISNUMBER(NORMSINV(SUM(M$13:M277)/M$317)),NORMSINV(SUM(M$13:M277)/M$317)," ")</f>
        <v>1.8673861776863088</v>
      </c>
      <c r="O277" s="46">
        <f t="shared" si="101"/>
        <v>0</v>
      </c>
      <c r="P277" s="46" t="str">
        <f>IF(ISNUMBER(NORMSINV(SUM(O$13:O277)/O$317)),NORMSINV(SUM(O$13:O277)/O$317)," ")</f>
        <v xml:space="preserve"> </v>
      </c>
      <c r="Q277" s="46">
        <f t="shared" si="102"/>
        <v>0</v>
      </c>
      <c r="R277" s="46" t="str">
        <f>IF(ISNUMBER(NORMSINV(SUM(Q$13:Q277)/Q$317)),NORMSINV(SUM(Q$13:Q277)/Q$317)," ")</f>
        <v xml:space="preserve"> </v>
      </c>
      <c r="S277" s="46">
        <f t="shared" si="103"/>
        <v>0</v>
      </c>
      <c r="T277" s="46" t="str">
        <f>IF(ISNUMBER(NORMSINV(SUM(S$13:S277)/S$317)),NORMSINV(SUM(S$13:S277)/S$317)," ")</f>
        <v xml:space="preserve"> </v>
      </c>
      <c r="U277" s="46">
        <f t="shared" si="104"/>
        <v>0</v>
      </c>
      <c r="V277" s="46" t="str">
        <f>IF(ISNUMBER(NORMSINV(SUM(U$13:U277)/U$317)),NORMSINV(SUM(U$13:U277)/U$317)," ")</f>
        <v xml:space="preserve"> </v>
      </c>
      <c r="W277" s="46">
        <f t="shared" si="105"/>
        <v>0</v>
      </c>
      <c r="X277" s="46" t="str">
        <f>IF(ISNUMBER(NORMSINV(SUM(W$13:W277)/W$317)),NORMSINV(SUM(W$13:W277)/W$317)," ")</f>
        <v xml:space="preserve"> </v>
      </c>
      <c r="Y277" s="46">
        <f t="shared" si="106"/>
        <v>0</v>
      </c>
      <c r="Z277" s="46" t="str">
        <f>IF(ISNUMBER(NORMSINV(SUM(Y$13:Y277)/Y$317)),NORMSINV(SUM(Y$13:Y277)/Y$317)," ")</f>
        <v xml:space="preserve"> </v>
      </c>
      <c r="AA277" s="46">
        <f t="shared" si="107"/>
        <v>0</v>
      </c>
      <c r="AB277" s="46" t="str">
        <f>IF(ISNUMBER(NORMSINV(SUM(AA$13:AA277)/AA$317)),NORMSINV(SUM(AA$13:AA277)/AA$317)," ")</f>
        <v xml:space="preserve"> </v>
      </c>
      <c r="AC277" s="46">
        <f t="shared" si="108"/>
        <v>0</v>
      </c>
      <c r="AD277" s="46" t="str">
        <f>IF(ISNUMBER(NORMSINV(SUM(AC$13:AC277)/AC$317)),NORMSINV(SUM(AC$13:AC277)/AC$317)," ")</f>
        <v xml:space="preserve"> </v>
      </c>
      <c r="AE277" s="46">
        <f t="shared" si="109"/>
        <v>0</v>
      </c>
      <c r="AF277" s="46" t="str">
        <f>IF(ISNUMBER(NORMSINV(SUM(AE$13:AE277)/AE$317)),NORMSINV(SUM(AE$13:AE277)/AE$317)," ")</f>
        <v xml:space="preserve"> </v>
      </c>
      <c r="AG277" s="46">
        <f t="shared" si="110"/>
        <v>0</v>
      </c>
      <c r="AH277" s="46" t="str">
        <f>IF(ISNUMBER(NORMSINV(SUM(AG$13:AG277)/AG$317)),NORMSINV(SUM(AG$13:AG277)/AG$317)," ")</f>
        <v xml:space="preserve"> </v>
      </c>
      <c r="AI277" s="46">
        <f t="shared" si="111"/>
        <v>0</v>
      </c>
      <c r="AJ277" s="46" t="str">
        <f>IF(ISNUMBER(NORMSINV(SUM(AI$13:AI277)/AI$317)),NORMSINV(SUM(AI$13:AI277)/AI$317)," ")</f>
        <v xml:space="preserve"> </v>
      </c>
      <c r="AK277" s="46">
        <f t="shared" si="112"/>
        <v>0</v>
      </c>
      <c r="AL277" s="46" t="str">
        <f>IF(ISNUMBER(NORMSINV(SUM(AK$13:AK277)/AK$317)),NORMSINV(SUM(AK$13:AK277)/AK$317)," ")</f>
        <v xml:space="preserve"> </v>
      </c>
      <c r="AM277" s="6">
        <v>0</v>
      </c>
      <c r="AN277" s="6">
        <v>0</v>
      </c>
      <c r="AO277" s="6">
        <v>0</v>
      </c>
      <c r="AP277" s="6">
        <v>0</v>
      </c>
      <c r="AQ277" s="6">
        <v>0</v>
      </c>
      <c r="AR277" s="6">
        <v>0</v>
      </c>
      <c r="AS277" s="6">
        <v>0</v>
      </c>
      <c r="AT277" s="6">
        <v>0</v>
      </c>
      <c r="AU277" s="6">
        <v>0</v>
      </c>
    </row>
    <row r="278" spans="1:47" x14ac:dyDescent="0.4">
      <c r="A278" s="6">
        <f t="shared" si="97"/>
        <v>6.2243102366824079</v>
      </c>
      <c r="B278" s="6">
        <f>'Aerosol 1'!A282</f>
        <v>504.87467829316228</v>
      </c>
      <c r="C278" t="b">
        <f t="shared" si="98"/>
        <v>1</v>
      </c>
      <c r="E278" s="46">
        <f>'Aerosol 1'!$P282</f>
        <v>0.16142971611794454</v>
      </c>
      <c r="F278" s="46">
        <f>'Aerosol 2'!$P282</f>
        <v>0.16142971611794454</v>
      </c>
      <c r="G278" s="46">
        <f>'Aerosol 3'!$P282</f>
        <v>0.16142971611794454</v>
      </c>
      <c r="H278" s="46">
        <f t="shared" si="99"/>
        <v>0.48428914835383363</v>
      </c>
      <c r="I278" s="46">
        <f>NORMSINV(SUM(H$13:H278)/H$317)</f>
        <v>1.8911609658677704</v>
      </c>
      <c r="J278" s="46">
        <f t="shared" si="94"/>
        <v>8.7172046703690054E-2</v>
      </c>
      <c r="K278" s="46">
        <f t="shared" si="95"/>
        <v>0.24214457417691682</v>
      </c>
      <c r="L278" s="46">
        <f t="shared" si="96"/>
        <v>0.48426977678789951</v>
      </c>
      <c r="M278" s="46">
        <f t="shared" si="100"/>
        <v>0.81358639766850638</v>
      </c>
      <c r="N278" s="46">
        <f>IF(ISNUMBER(NORMSINV(SUM(M$13:M278)/M$317)),NORMSINV(SUM(M$13:M278)/M$317)," ")</f>
        <v>1.8911609658677642</v>
      </c>
      <c r="O278" s="46">
        <f t="shared" si="101"/>
        <v>0</v>
      </c>
      <c r="P278" s="46" t="str">
        <f>IF(ISNUMBER(NORMSINV(SUM(O$13:O278)/O$317)),NORMSINV(SUM(O$13:O278)/O$317)," ")</f>
        <v xml:space="preserve"> </v>
      </c>
      <c r="Q278" s="46">
        <f t="shared" si="102"/>
        <v>0</v>
      </c>
      <c r="R278" s="46" t="str">
        <f>IF(ISNUMBER(NORMSINV(SUM(Q$13:Q278)/Q$317)),NORMSINV(SUM(Q$13:Q278)/Q$317)," ")</f>
        <v xml:space="preserve"> </v>
      </c>
      <c r="S278" s="46">
        <f t="shared" si="103"/>
        <v>0</v>
      </c>
      <c r="T278" s="46" t="str">
        <f>IF(ISNUMBER(NORMSINV(SUM(S$13:S278)/S$317)),NORMSINV(SUM(S$13:S278)/S$317)," ")</f>
        <v xml:space="preserve"> </v>
      </c>
      <c r="U278" s="46">
        <f t="shared" si="104"/>
        <v>0</v>
      </c>
      <c r="V278" s="46" t="str">
        <f>IF(ISNUMBER(NORMSINV(SUM(U$13:U278)/U$317)),NORMSINV(SUM(U$13:U278)/U$317)," ")</f>
        <v xml:space="preserve"> </v>
      </c>
      <c r="W278" s="46">
        <f t="shared" si="105"/>
        <v>0</v>
      </c>
      <c r="X278" s="46" t="str">
        <f>IF(ISNUMBER(NORMSINV(SUM(W$13:W278)/W$317)),NORMSINV(SUM(W$13:W278)/W$317)," ")</f>
        <v xml:space="preserve"> </v>
      </c>
      <c r="Y278" s="46">
        <f t="shared" si="106"/>
        <v>0</v>
      </c>
      <c r="Z278" s="46" t="str">
        <f>IF(ISNUMBER(NORMSINV(SUM(Y$13:Y278)/Y$317)),NORMSINV(SUM(Y$13:Y278)/Y$317)," ")</f>
        <v xml:space="preserve"> </v>
      </c>
      <c r="AA278" s="46">
        <f t="shared" si="107"/>
        <v>0</v>
      </c>
      <c r="AB278" s="46" t="str">
        <f>IF(ISNUMBER(NORMSINV(SUM(AA$13:AA278)/AA$317)),NORMSINV(SUM(AA$13:AA278)/AA$317)," ")</f>
        <v xml:space="preserve"> </v>
      </c>
      <c r="AC278" s="46">
        <f t="shared" si="108"/>
        <v>0</v>
      </c>
      <c r="AD278" s="46" t="str">
        <f>IF(ISNUMBER(NORMSINV(SUM(AC$13:AC278)/AC$317)),NORMSINV(SUM(AC$13:AC278)/AC$317)," ")</f>
        <v xml:space="preserve"> </v>
      </c>
      <c r="AE278" s="46">
        <f t="shared" si="109"/>
        <v>0</v>
      </c>
      <c r="AF278" s="46" t="str">
        <f>IF(ISNUMBER(NORMSINV(SUM(AE$13:AE278)/AE$317)),NORMSINV(SUM(AE$13:AE278)/AE$317)," ")</f>
        <v xml:space="preserve"> </v>
      </c>
      <c r="AG278" s="46">
        <f t="shared" si="110"/>
        <v>0</v>
      </c>
      <c r="AH278" s="46" t="str">
        <f>IF(ISNUMBER(NORMSINV(SUM(AG$13:AG278)/AG$317)),NORMSINV(SUM(AG$13:AG278)/AG$317)," ")</f>
        <v xml:space="preserve"> </v>
      </c>
      <c r="AI278" s="46">
        <f t="shared" si="111"/>
        <v>0</v>
      </c>
      <c r="AJ278" s="46" t="str">
        <f>IF(ISNUMBER(NORMSINV(SUM(AI$13:AI278)/AI$317)),NORMSINV(SUM(AI$13:AI278)/AI$317)," ")</f>
        <v xml:space="preserve"> </v>
      </c>
      <c r="AK278" s="46">
        <f t="shared" si="112"/>
        <v>0</v>
      </c>
      <c r="AL278" s="46" t="str">
        <f>IF(ISNUMBER(NORMSINV(SUM(AK$13:AK278)/AK$317)),NORMSINV(SUM(AK$13:AK278)/AK$317)," ")</f>
        <v xml:space="preserve"> </v>
      </c>
      <c r="AM278" s="6">
        <v>0</v>
      </c>
      <c r="AN278" s="6">
        <v>0</v>
      </c>
      <c r="AO278" s="6">
        <v>0</v>
      </c>
      <c r="AP278" s="6">
        <v>0</v>
      </c>
      <c r="AQ278" s="6">
        <v>0</v>
      </c>
      <c r="AR278" s="6">
        <v>0</v>
      </c>
      <c r="AS278" s="6">
        <v>0</v>
      </c>
      <c r="AT278" s="6">
        <v>0</v>
      </c>
      <c r="AU278" s="6">
        <v>0</v>
      </c>
    </row>
    <row r="279" spans="1:47" x14ac:dyDescent="0.4">
      <c r="A279" s="6">
        <f t="shared" si="97"/>
        <v>6.2587888141135872</v>
      </c>
      <c r="B279" s="6">
        <f>'Aerosol 1'!A283</f>
        <v>522.58560833091622</v>
      </c>
      <c r="C279" t="b">
        <f t="shared" si="98"/>
        <v>1</v>
      </c>
      <c r="E279" s="46">
        <f>'Aerosol 1'!$P283</f>
        <v>0.15539146858786212</v>
      </c>
      <c r="F279" s="46">
        <f>'Aerosol 2'!$P283</f>
        <v>0.15539146858786212</v>
      </c>
      <c r="G279" s="46">
        <f>'Aerosol 3'!$P283</f>
        <v>0.15539146858786212</v>
      </c>
      <c r="H279" s="46">
        <f t="shared" si="99"/>
        <v>0.46617440576358637</v>
      </c>
      <c r="I279" s="46">
        <f>NORMSINV(SUM(H$13:H279)/H$317)</f>
        <v>1.9151026524925097</v>
      </c>
      <c r="J279" s="46">
        <f t="shared" si="94"/>
        <v>8.3911393037445547E-2</v>
      </c>
      <c r="K279" s="46">
        <f t="shared" si="95"/>
        <v>0.23308720288179319</v>
      </c>
      <c r="L279" s="46">
        <f t="shared" si="96"/>
        <v>0.46615575878735582</v>
      </c>
      <c r="M279" s="46">
        <f t="shared" si="100"/>
        <v>0.78315435470659456</v>
      </c>
      <c r="N279" s="46">
        <f>IF(ISNUMBER(NORMSINV(SUM(M$13:M279)/M$317)),NORMSINV(SUM(M$13:M279)/M$317)," ")</f>
        <v>1.915102652492503</v>
      </c>
      <c r="O279" s="46">
        <f t="shared" si="101"/>
        <v>0</v>
      </c>
      <c r="P279" s="46" t="str">
        <f>IF(ISNUMBER(NORMSINV(SUM(O$13:O279)/O$317)),NORMSINV(SUM(O$13:O279)/O$317)," ")</f>
        <v xml:space="preserve"> </v>
      </c>
      <c r="Q279" s="46">
        <f t="shared" si="102"/>
        <v>0</v>
      </c>
      <c r="R279" s="46" t="str">
        <f>IF(ISNUMBER(NORMSINV(SUM(Q$13:Q279)/Q$317)),NORMSINV(SUM(Q$13:Q279)/Q$317)," ")</f>
        <v xml:space="preserve"> </v>
      </c>
      <c r="S279" s="46">
        <f t="shared" si="103"/>
        <v>0</v>
      </c>
      <c r="T279" s="46" t="str">
        <f>IF(ISNUMBER(NORMSINV(SUM(S$13:S279)/S$317)),NORMSINV(SUM(S$13:S279)/S$317)," ")</f>
        <v xml:space="preserve"> </v>
      </c>
      <c r="U279" s="46">
        <f t="shared" si="104"/>
        <v>0</v>
      </c>
      <c r="V279" s="46" t="str">
        <f>IF(ISNUMBER(NORMSINV(SUM(U$13:U279)/U$317)),NORMSINV(SUM(U$13:U279)/U$317)," ")</f>
        <v xml:space="preserve"> </v>
      </c>
      <c r="W279" s="46">
        <f t="shared" si="105"/>
        <v>0</v>
      </c>
      <c r="X279" s="46" t="str">
        <f>IF(ISNUMBER(NORMSINV(SUM(W$13:W279)/W$317)),NORMSINV(SUM(W$13:W279)/W$317)," ")</f>
        <v xml:space="preserve"> </v>
      </c>
      <c r="Y279" s="46">
        <f t="shared" si="106"/>
        <v>0</v>
      </c>
      <c r="Z279" s="46" t="str">
        <f>IF(ISNUMBER(NORMSINV(SUM(Y$13:Y279)/Y$317)),NORMSINV(SUM(Y$13:Y279)/Y$317)," ")</f>
        <v xml:space="preserve"> </v>
      </c>
      <c r="AA279" s="46">
        <f t="shared" si="107"/>
        <v>0</v>
      </c>
      <c r="AB279" s="46" t="str">
        <f>IF(ISNUMBER(NORMSINV(SUM(AA$13:AA279)/AA$317)),NORMSINV(SUM(AA$13:AA279)/AA$317)," ")</f>
        <v xml:space="preserve"> </v>
      </c>
      <c r="AC279" s="46">
        <f t="shared" si="108"/>
        <v>0</v>
      </c>
      <c r="AD279" s="46" t="str">
        <f>IF(ISNUMBER(NORMSINV(SUM(AC$13:AC279)/AC$317)),NORMSINV(SUM(AC$13:AC279)/AC$317)," ")</f>
        <v xml:space="preserve"> </v>
      </c>
      <c r="AE279" s="46">
        <f t="shared" si="109"/>
        <v>0</v>
      </c>
      <c r="AF279" s="46" t="str">
        <f>IF(ISNUMBER(NORMSINV(SUM(AE$13:AE279)/AE$317)),NORMSINV(SUM(AE$13:AE279)/AE$317)," ")</f>
        <v xml:space="preserve"> </v>
      </c>
      <c r="AG279" s="46">
        <f t="shared" si="110"/>
        <v>0</v>
      </c>
      <c r="AH279" s="46" t="str">
        <f>IF(ISNUMBER(NORMSINV(SUM(AG$13:AG279)/AG$317)),NORMSINV(SUM(AG$13:AG279)/AG$317)," ")</f>
        <v xml:space="preserve"> </v>
      </c>
      <c r="AI279" s="46">
        <f t="shared" si="111"/>
        <v>0</v>
      </c>
      <c r="AJ279" s="46" t="str">
        <f>IF(ISNUMBER(NORMSINV(SUM(AI$13:AI279)/AI$317)),NORMSINV(SUM(AI$13:AI279)/AI$317)," ")</f>
        <v xml:space="preserve"> </v>
      </c>
      <c r="AK279" s="46">
        <f t="shared" si="112"/>
        <v>0</v>
      </c>
      <c r="AL279" s="46" t="str">
        <f>IF(ISNUMBER(NORMSINV(SUM(AK$13:AK279)/AK$317)),NORMSINV(SUM(AK$13:AK279)/AK$317)," ")</f>
        <v xml:space="preserve"> </v>
      </c>
      <c r="AM279" s="6">
        <v>0</v>
      </c>
      <c r="AN279" s="6">
        <v>0</v>
      </c>
      <c r="AO279" s="6">
        <v>0</v>
      </c>
      <c r="AP279" s="6">
        <v>0</v>
      </c>
      <c r="AQ279" s="6">
        <v>0</v>
      </c>
      <c r="AR279" s="6">
        <v>0</v>
      </c>
      <c r="AS279" s="6">
        <v>0</v>
      </c>
      <c r="AT279" s="6">
        <v>0</v>
      </c>
      <c r="AU279" s="6">
        <v>0</v>
      </c>
    </row>
    <row r="280" spans="1:47" x14ac:dyDescent="0.4">
      <c r="A280" s="6">
        <f t="shared" si="97"/>
        <v>6.2932673915447657</v>
      </c>
      <c r="B280" s="6">
        <f>'Aerosol 1'!A284</f>
        <v>540.91783520982381</v>
      </c>
      <c r="C280" t="b">
        <f t="shared" si="98"/>
        <v>1</v>
      </c>
      <c r="E280" s="46">
        <f>'Aerosol 1'!$P284</f>
        <v>0.14951367760765999</v>
      </c>
      <c r="F280" s="46">
        <f>'Aerosol 2'!$P284</f>
        <v>0.14951367760765999</v>
      </c>
      <c r="G280" s="46">
        <f>'Aerosol 3'!$P284</f>
        <v>0.14951367760765999</v>
      </c>
      <c r="H280" s="46">
        <f t="shared" si="99"/>
        <v>0.44854103282297997</v>
      </c>
      <c r="I280" s="46">
        <f>NORMSINV(SUM(H$13:H280)/H$317)</f>
        <v>1.9392236291393021</v>
      </c>
      <c r="J280" s="46">
        <f t="shared" si="94"/>
        <v>8.0737385908136394E-2</v>
      </c>
      <c r="K280" s="46">
        <f t="shared" si="95"/>
        <v>0.22427051641148998</v>
      </c>
      <c r="L280" s="46">
        <f t="shared" si="96"/>
        <v>0.44852309118166706</v>
      </c>
      <c r="M280" s="46">
        <f t="shared" si="100"/>
        <v>0.75353099350129349</v>
      </c>
      <c r="N280" s="46">
        <f>IF(ISNUMBER(NORMSINV(SUM(M$13:M280)/M$317)),NORMSINV(SUM(M$13:M280)/M$317)," ")</f>
        <v>1.9392236291392952</v>
      </c>
      <c r="O280" s="46">
        <f t="shared" si="101"/>
        <v>0</v>
      </c>
      <c r="P280" s="46" t="str">
        <f>IF(ISNUMBER(NORMSINV(SUM(O$13:O280)/O$317)),NORMSINV(SUM(O$13:O280)/O$317)," ")</f>
        <v xml:space="preserve"> </v>
      </c>
      <c r="Q280" s="46">
        <f t="shared" si="102"/>
        <v>0</v>
      </c>
      <c r="R280" s="46" t="str">
        <f>IF(ISNUMBER(NORMSINV(SUM(Q$13:Q280)/Q$317)),NORMSINV(SUM(Q$13:Q280)/Q$317)," ")</f>
        <v xml:space="preserve"> </v>
      </c>
      <c r="S280" s="46">
        <f t="shared" si="103"/>
        <v>0</v>
      </c>
      <c r="T280" s="46" t="str">
        <f>IF(ISNUMBER(NORMSINV(SUM(S$13:S280)/S$317)),NORMSINV(SUM(S$13:S280)/S$317)," ")</f>
        <v xml:space="preserve"> </v>
      </c>
      <c r="U280" s="46">
        <f t="shared" si="104"/>
        <v>0</v>
      </c>
      <c r="V280" s="46" t="str">
        <f>IF(ISNUMBER(NORMSINV(SUM(U$13:U280)/U$317)),NORMSINV(SUM(U$13:U280)/U$317)," ")</f>
        <v xml:space="preserve"> </v>
      </c>
      <c r="W280" s="46">
        <f t="shared" si="105"/>
        <v>0</v>
      </c>
      <c r="X280" s="46" t="str">
        <f>IF(ISNUMBER(NORMSINV(SUM(W$13:W280)/W$317)),NORMSINV(SUM(W$13:W280)/W$317)," ")</f>
        <v xml:space="preserve"> </v>
      </c>
      <c r="Y280" s="46">
        <f t="shared" si="106"/>
        <v>0</v>
      </c>
      <c r="Z280" s="46" t="str">
        <f>IF(ISNUMBER(NORMSINV(SUM(Y$13:Y280)/Y$317)),NORMSINV(SUM(Y$13:Y280)/Y$317)," ")</f>
        <v xml:space="preserve"> </v>
      </c>
      <c r="AA280" s="46">
        <f t="shared" si="107"/>
        <v>0</v>
      </c>
      <c r="AB280" s="46" t="str">
        <f>IF(ISNUMBER(NORMSINV(SUM(AA$13:AA280)/AA$317)),NORMSINV(SUM(AA$13:AA280)/AA$317)," ")</f>
        <v xml:space="preserve"> </v>
      </c>
      <c r="AC280" s="46">
        <f t="shared" si="108"/>
        <v>0</v>
      </c>
      <c r="AD280" s="46" t="str">
        <f>IF(ISNUMBER(NORMSINV(SUM(AC$13:AC280)/AC$317)),NORMSINV(SUM(AC$13:AC280)/AC$317)," ")</f>
        <v xml:space="preserve"> </v>
      </c>
      <c r="AE280" s="46">
        <f t="shared" si="109"/>
        <v>0</v>
      </c>
      <c r="AF280" s="46" t="str">
        <f>IF(ISNUMBER(NORMSINV(SUM(AE$13:AE280)/AE$317)),NORMSINV(SUM(AE$13:AE280)/AE$317)," ")</f>
        <v xml:space="preserve"> </v>
      </c>
      <c r="AG280" s="46">
        <f t="shared" si="110"/>
        <v>0</v>
      </c>
      <c r="AH280" s="46" t="str">
        <f>IF(ISNUMBER(NORMSINV(SUM(AG$13:AG280)/AG$317)),NORMSINV(SUM(AG$13:AG280)/AG$317)," ")</f>
        <v xml:space="preserve"> </v>
      </c>
      <c r="AI280" s="46">
        <f t="shared" si="111"/>
        <v>0</v>
      </c>
      <c r="AJ280" s="46" t="str">
        <f>IF(ISNUMBER(NORMSINV(SUM(AI$13:AI280)/AI$317)),NORMSINV(SUM(AI$13:AI280)/AI$317)," ")</f>
        <v xml:space="preserve"> </v>
      </c>
      <c r="AK280" s="46">
        <f t="shared" si="112"/>
        <v>0</v>
      </c>
      <c r="AL280" s="46" t="str">
        <f>IF(ISNUMBER(NORMSINV(SUM(AK$13:AK280)/AK$317)),NORMSINV(SUM(AK$13:AK280)/AK$317)," ")</f>
        <v xml:space="preserve"> </v>
      </c>
      <c r="AM280" s="6">
        <v>0</v>
      </c>
      <c r="AN280" s="6">
        <v>0</v>
      </c>
      <c r="AO280" s="6">
        <v>0</v>
      </c>
      <c r="AP280" s="6">
        <v>0</v>
      </c>
      <c r="AQ280" s="6">
        <v>0</v>
      </c>
      <c r="AR280" s="6">
        <v>0</v>
      </c>
      <c r="AS280" s="6">
        <v>0</v>
      </c>
      <c r="AT280" s="6">
        <v>0</v>
      </c>
      <c r="AU280" s="6">
        <v>0</v>
      </c>
    </row>
    <row r="281" spans="1:47" x14ac:dyDescent="0.4">
      <c r="A281" s="6">
        <f t="shared" si="97"/>
        <v>6.327745968975945</v>
      </c>
      <c r="B281" s="6">
        <f>'Aerosol 1'!A285</f>
        <v>559.89315393240724</v>
      </c>
      <c r="C281" t="b">
        <f t="shared" si="98"/>
        <v>1</v>
      </c>
      <c r="E281" s="46">
        <f>'Aerosol 1'!$P285</f>
        <v>0.143795316670281</v>
      </c>
      <c r="F281" s="46">
        <f>'Aerosol 2'!$P285</f>
        <v>0.143795316670281</v>
      </c>
      <c r="G281" s="46">
        <f>'Aerosol 3'!$P285</f>
        <v>0.143795316670281</v>
      </c>
      <c r="H281" s="46">
        <f t="shared" si="99"/>
        <v>0.43138595001084301</v>
      </c>
      <c r="I281" s="46">
        <f>NORMSINV(SUM(H$13:H281)/H$317)</f>
        <v>1.9635374664948251</v>
      </c>
      <c r="J281" s="46">
        <f t="shared" si="94"/>
        <v>7.7649471001951742E-2</v>
      </c>
      <c r="K281" s="46">
        <f t="shared" si="95"/>
        <v>0.21569297500542151</v>
      </c>
      <c r="L281" s="46">
        <f t="shared" si="96"/>
        <v>0.4313686945728426</v>
      </c>
      <c r="M281" s="46">
        <f t="shared" si="100"/>
        <v>0.7247111405802158</v>
      </c>
      <c r="N281" s="46">
        <f>IF(ISNUMBER(NORMSINV(SUM(M$13:M281)/M$317)),NORMSINV(SUM(M$13:M281)/M$317)," ")</f>
        <v>1.9635374664948169</v>
      </c>
      <c r="O281" s="46">
        <f t="shared" si="101"/>
        <v>0</v>
      </c>
      <c r="P281" s="46" t="str">
        <f>IF(ISNUMBER(NORMSINV(SUM(O$13:O281)/O$317)),NORMSINV(SUM(O$13:O281)/O$317)," ")</f>
        <v xml:space="preserve"> </v>
      </c>
      <c r="Q281" s="46">
        <f t="shared" si="102"/>
        <v>0</v>
      </c>
      <c r="R281" s="46" t="str">
        <f>IF(ISNUMBER(NORMSINV(SUM(Q$13:Q281)/Q$317)),NORMSINV(SUM(Q$13:Q281)/Q$317)," ")</f>
        <v xml:space="preserve"> </v>
      </c>
      <c r="S281" s="46">
        <f t="shared" si="103"/>
        <v>0</v>
      </c>
      <c r="T281" s="46" t="str">
        <f>IF(ISNUMBER(NORMSINV(SUM(S$13:S281)/S$317)),NORMSINV(SUM(S$13:S281)/S$317)," ")</f>
        <v xml:space="preserve"> </v>
      </c>
      <c r="U281" s="46">
        <f t="shared" si="104"/>
        <v>0</v>
      </c>
      <c r="V281" s="46" t="str">
        <f>IF(ISNUMBER(NORMSINV(SUM(U$13:U281)/U$317)),NORMSINV(SUM(U$13:U281)/U$317)," ")</f>
        <v xml:space="preserve"> </v>
      </c>
      <c r="W281" s="46">
        <f t="shared" si="105"/>
        <v>0</v>
      </c>
      <c r="X281" s="46" t="str">
        <f>IF(ISNUMBER(NORMSINV(SUM(W$13:W281)/W$317)),NORMSINV(SUM(W$13:W281)/W$317)," ")</f>
        <v xml:space="preserve"> </v>
      </c>
      <c r="Y281" s="46">
        <f t="shared" si="106"/>
        <v>0</v>
      </c>
      <c r="Z281" s="46" t="str">
        <f>IF(ISNUMBER(NORMSINV(SUM(Y$13:Y281)/Y$317)),NORMSINV(SUM(Y$13:Y281)/Y$317)," ")</f>
        <v xml:space="preserve"> </v>
      </c>
      <c r="AA281" s="46">
        <f t="shared" si="107"/>
        <v>0</v>
      </c>
      <c r="AB281" s="46" t="str">
        <f>IF(ISNUMBER(NORMSINV(SUM(AA$13:AA281)/AA$317)),NORMSINV(SUM(AA$13:AA281)/AA$317)," ")</f>
        <v xml:space="preserve"> </v>
      </c>
      <c r="AC281" s="46">
        <f t="shared" si="108"/>
        <v>0</v>
      </c>
      <c r="AD281" s="46" t="str">
        <f>IF(ISNUMBER(NORMSINV(SUM(AC$13:AC281)/AC$317)),NORMSINV(SUM(AC$13:AC281)/AC$317)," ")</f>
        <v xml:space="preserve"> </v>
      </c>
      <c r="AE281" s="46">
        <f t="shared" si="109"/>
        <v>0</v>
      </c>
      <c r="AF281" s="46" t="str">
        <f>IF(ISNUMBER(NORMSINV(SUM(AE$13:AE281)/AE$317)),NORMSINV(SUM(AE$13:AE281)/AE$317)," ")</f>
        <v xml:space="preserve"> </v>
      </c>
      <c r="AG281" s="46">
        <f t="shared" si="110"/>
        <v>0</v>
      </c>
      <c r="AH281" s="46" t="str">
        <f>IF(ISNUMBER(NORMSINV(SUM(AG$13:AG281)/AG$317)),NORMSINV(SUM(AG$13:AG281)/AG$317)," ")</f>
        <v xml:space="preserve"> </v>
      </c>
      <c r="AI281" s="46">
        <f t="shared" si="111"/>
        <v>0</v>
      </c>
      <c r="AJ281" s="46" t="str">
        <f>IF(ISNUMBER(NORMSINV(SUM(AI$13:AI281)/AI$317)),NORMSINV(SUM(AI$13:AI281)/AI$317)," ")</f>
        <v xml:space="preserve"> </v>
      </c>
      <c r="AK281" s="46">
        <f t="shared" si="112"/>
        <v>0</v>
      </c>
      <c r="AL281" s="46" t="str">
        <f>IF(ISNUMBER(NORMSINV(SUM(AK$13:AK281)/AK$317)),NORMSINV(SUM(AK$13:AK281)/AK$317)," ")</f>
        <v xml:space="preserve"> </v>
      </c>
      <c r="AM281" s="6">
        <v>0</v>
      </c>
      <c r="AN281" s="6">
        <v>0</v>
      </c>
      <c r="AO281" s="6">
        <v>0</v>
      </c>
      <c r="AP281" s="6">
        <v>0</v>
      </c>
      <c r="AQ281" s="6">
        <v>0</v>
      </c>
      <c r="AR281" s="6">
        <v>0</v>
      </c>
      <c r="AS281" s="6">
        <v>0</v>
      </c>
      <c r="AT281" s="6">
        <v>0</v>
      </c>
      <c r="AU281" s="6">
        <v>0</v>
      </c>
    </row>
    <row r="282" spans="1:47" x14ac:dyDescent="0.4">
      <c r="A282" s="6">
        <f t="shared" si="97"/>
        <v>6.3622245464071234</v>
      </c>
      <c r="B282" s="6">
        <f>'Aerosol 1'!A286</f>
        <v>579.53412406669474</v>
      </c>
      <c r="C282" t="b">
        <f t="shared" si="98"/>
        <v>1</v>
      </c>
      <c r="E282" s="46">
        <f>'Aerosol 1'!$P286</f>
        <v>0.1382351931880188</v>
      </c>
      <c r="F282" s="46">
        <f>'Aerosol 2'!$P286</f>
        <v>0.1382351931880188</v>
      </c>
      <c r="G282" s="46">
        <f>'Aerosol 3'!$P286</f>
        <v>0.1382351931880188</v>
      </c>
      <c r="H282" s="46">
        <f t="shared" si="99"/>
        <v>0.4147055795640564</v>
      </c>
      <c r="I282" s="46">
        <f>NORMSINV(SUM(H$13:H282)/H$317)</f>
        <v>1.988059059105908</v>
      </c>
      <c r="J282" s="46">
        <f t="shared" si="94"/>
        <v>7.4647004321530153E-2</v>
      </c>
      <c r="K282" s="46">
        <f t="shared" si="95"/>
        <v>0.2073527897820282</v>
      </c>
      <c r="L282" s="46">
        <f t="shared" si="96"/>
        <v>0.41468899134087384</v>
      </c>
      <c r="M282" s="46">
        <f t="shared" si="100"/>
        <v>0.69668878544443213</v>
      </c>
      <c r="N282" s="46">
        <f>IF(ISNUMBER(NORMSINV(SUM(M$13:M282)/M$317)),NORMSINV(SUM(M$13:M282)/M$317)," ")</f>
        <v>1.988059059105902</v>
      </c>
      <c r="O282" s="46">
        <f t="shared" si="101"/>
        <v>0</v>
      </c>
      <c r="P282" s="46" t="str">
        <f>IF(ISNUMBER(NORMSINV(SUM(O$13:O282)/O$317)),NORMSINV(SUM(O$13:O282)/O$317)," ")</f>
        <v xml:space="preserve"> </v>
      </c>
      <c r="Q282" s="46">
        <f t="shared" si="102"/>
        <v>0</v>
      </c>
      <c r="R282" s="46" t="str">
        <f>IF(ISNUMBER(NORMSINV(SUM(Q$13:Q282)/Q$317)),NORMSINV(SUM(Q$13:Q282)/Q$317)," ")</f>
        <v xml:space="preserve"> </v>
      </c>
      <c r="S282" s="46">
        <f t="shared" si="103"/>
        <v>0</v>
      </c>
      <c r="T282" s="46" t="str">
        <f>IF(ISNUMBER(NORMSINV(SUM(S$13:S282)/S$317)),NORMSINV(SUM(S$13:S282)/S$317)," ")</f>
        <v xml:space="preserve"> </v>
      </c>
      <c r="U282" s="46">
        <f t="shared" si="104"/>
        <v>0</v>
      </c>
      <c r="V282" s="46" t="str">
        <f>IF(ISNUMBER(NORMSINV(SUM(U$13:U282)/U$317)),NORMSINV(SUM(U$13:U282)/U$317)," ")</f>
        <v xml:space="preserve"> </v>
      </c>
      <c r="W282" s="46">
        <f t="shared" si="105"/>
        <v>0</v>
      </c>
      <c r="X282" s="46" t="str">
        <f>IF(ISNUMBER(NORMSINV(SUM(W$13:W282)/W$317)),NORMSINV(SUM(W$13:W282)/W$317)," ")</f>
        <v xml:space="preserve"> </v>
      </c>
      <c r="Y282" s="46">
        <f t="shared" si="106"/>
        <v>0</v>
      </c>
      <c r="Z282" s="46" t="str">
        <f>IF(ISNUMBER(NORMSINV(SUM(Y$13:Y282)/Y$317)),NORMSINV(SUM(Y$13:Y282)/Y$317)," ")</f>
        <v xml:space="preserve"> </v>
      </c>
      <c r="AA282" s="46">
        <f t="shared" si="107"/>
        <v>0</v>
      </c>
      <c r="AB282" s="46" t="str">
        <f>IF(ISNUMBER(NORMSINV(SUM(AA$13:AA282)/AA$317)),NORMSINV(SUM(AA$13:AA282)/AA$317)," ")</f>
        <v xml:space="preserve"> </v>
      </c>
      <c r="AC282" s="46">
        <f t="shared" si="108"/>
        <v>0</v>
      </c>
      <c r="AD282" s="46" t="str">
        <f>IF(ISNUMBER(NORMSINV(SUM(AC$13:AC282)/AC$317)),NORMSINV(SUM(AC$13:AC282)/AC$317)," ")</f>
        <v xml:space="preserve"> </v>
      </c>
      <c r="AE282" s="46">
        <f t="shared" si="109"/>
        <v>0</v>
      </c>
      <c r="AF282" s="46" t="str">
        <f>IF(ISNUMBER(NORMSINV(SUM(AE$13:AE282)/AE$317)),NORMSINV(SUM(AE$13:AE282)/AE$317)," ")</f>
        <v xml:space="preserve"> </v>
      </c>
      <c r="AG282" s="46">
        <f t="shared" si="110"/>
        <v>0</v>
      </c>
      <c r="AH282" s="46" t="str">
        <f>IF(ISNUMBER(NORMSINV(SUM(AG$13:AG282)/AG$317)),NORMSINV(SUM(AG$13:AG282)/AG$317)," ")</f>
        <v xml:space="preserve"> </v>
      </c>
      <c r="AI282" s="46">
        <f t="shared" si="111"/>
        <v>0</v>
      </c>
      <c r="AJ282" s="46" t="str">
        <f>IF(ISNUMBER(NORMSINV(SUM(AI$13:AI282)/AI$317)),NORMSINV(SUM(AI$13:AI282)/AI$317)," ")</f>
        <v xml:space="preserve"> </v>
      </c>
      <c r="AK282" s="46">
        <f t="shared" si="112"/>
        <v>0</v>
      </c>
      <c r="AL282" s="46" t="str">
        <f>IF(ISNUMBER(NORMSINV(SUM(AK$13:AK282)/AK$317)),NORMSINV(SUM(AK$13:AK282)/AK$317)," ")</f>
        <v xml:space="preserve"> </v>
      </c>
      <c r="AM282" s="6">
        <v>0</v>
      </c>
      <c r="AN282" s="6">
        <v>0</v>
      </c>
      <c r="AO282" s="6">
        <v>0</v>
      </c>
      <c r="AP282" s="6">
        <v>0</v>
      </c>
      <c r="AQ282" s="6">
        <v>0</v>
      </c>
      <c r="AR282" s="6">
        <v>0</v>
      </c>
      <c r="AS282" s="6">
        <v>0</v>
      </c>
      <c r="AT282" s="6">
        <v>0</v>
      </c>
      <c r="AU282" s="6">
        <v>0</v>
      </c>
    </row>
    <row r="283" spans="1:47" x14ac:dyDescent="0.4">
      <c r="A283" s="6">
        <f t="shared" si="97"/>
        <v>6.3967031238383019</v>
      </c>
      <c r="B283" s="6">
        <f>'Aerosol 1'!A287</f>
        <v>599.86409656707042</v>
      </c>
      <c r="C283" t="b">
        <f t="shared" si="98"/>
        <v>1</v>
      </c>
      <c r="E283" s="46">
        <f>'Aerosol 1'!$P287</f>
        <v>0.13283195688912341</v>
      </c>
      <c r="F283" s="46">
        <f>'Aerosol 2'!$P287</f>
        <v>0.13283195688912341</v>
      </c>
      <c r="G283" s="46">
        <f>'Aerosol 3'!$P287</f>
        <v>0.13283195688912341</v>
      </c>
      <c r="H283" s="46">
        <f t="shared" si="99"/>
        <v>0.39849587066737024</v>
      </c>
      <c r="I283" s="46">
        <f>NORMSINV(SUM(H$13:H283)/H$317)</f>
        <v>2.012804792781981</v>
      </c>
      <c r="J283" s="46">
        <f t="shared" si="94"/>
        <v>7.1729256720126644E-2</v>
      </c>
      <c r="K283" s="46">
        <f t="shared" si="95"/>
        <v>0.19924793533368512</v>
      </c>
      <c r="L283" s="46">
        <f t="shared" si="96"/>
        <v>0.39847993083254357</v>
      </c>
      <c r="M283" s="46">
        <f t="shared" si="100"/>
        <v>0.66945712288635528</v>
      </c>
      <c r="N283" s="46">
        <f>IF(ISNUMBER(NORMSINV(SUM(M$13:M283)/M$317)),NORMSINV(SUM(M$13:M283)/M$317)," ")</f>
        <v>2.0128047927819726</v>
      </c>
      <c r="O283" s="46">
        <f t="shared" si="101"/>
        <v>0</v>
      </c>
      <c r="P283" s="46" t="str">
        <f>IF(ISNUMBER(NORMSINV(SUM(O$13:O283)/O$317)),NORMSINV(SUM(O$13:O283)/O$317)," ")</f>
        <v xml:space="preserve"> </v>
      </c>
      <c r="Q283" s="46">
        <f t="shared" si="102"/>
        <v>0</v>
      </c>
      <c r="R283" s="46" t="str">
        <f>IF(ISNUMBER(NORMSINV(SUM(Q$13:Q283)/Q$317)),NORMSINV(SUM(Q$13:Q283)/Q$317)," ")</f>
        <v xml:space="preserve"> </v>
      </c>
      <c r="S283" s="46">
        <f t="shared" si="103"/>
        <v>0</v>
      </c>
      <c r="T283" s="46" t="str">
        <f>IF(ISNUMBER(NORMSINV(SUM(S$13:S283)/S$317)),NORMSINV(SUM(S$13:S283)/S$317)," ")</f>
        <v xml:space="preserve"> </v>
      </c>
      <c r="U283" s="46">
        <f t="shared" si="104"/>
        <v>0</v>
      </c>
      <c r="V283" s="46" t="str">
        <f>IF(ISNUMBER(NORMSINV(SUM(U$13:U283)/U$317)),NORMSINV(SUM(U$13:U283)/U$317)," ")</f>
        <v xml:space="preserve"> </v>
      </c>
      <c r="W283" s="46">
        <f t="shared" si="105"/>
        <v>0</v>
      </c>
      <c r="X283" s="46" t="str">
        <f>IF(ISNUMBER(NORMSINV(SUM(W$13:W283)/W$317)),NORMSINV(SUM(W$13:W283)/W$317)," ")</f>
        <v xml:space="preserve"> </v>
      </c>
      <c r="Y283" s="46">
        <f t="shared" si="106"/>
        <v>0</v>
      </c>
      <c r="Z283" s="46" t="str">
        <f>IF(ISNUMBER(NORMSINV(SUM(Y$13:Y283)/Y$317)),NORMSINV(SUM(Y$13:Y283)/Y$317)," ")</f>
        <v xml:space="preserve"> </v>
      </c>
      <c r="AA283" s="46">
        <f t="shared" si="107"/>
        <v>0</v>
      </c>
      <c r="AB283" s="46" t="str">
        <f>IF(ISNUMBER(NORMSINV(SUM(AA$13:AA283)/AA$317)),NORMSINV(SUM(AA$13:AA283)/AA$317)," ")</f>
        <v xml:space="preserve"> </v>
      </c>
      <c r="AC283" s="46">
        <f t="shared" si="108"/>
        <v>0</v>
      </c>
      <c r="AD283" s="46" t="str">
        <f>IF(ISNUMBER(NORMSINV(SUM(AC$13:AC283)/AC$317)),NORMSINV(SUM(AC$13:AC283)/AC$317)," ")</f>
        <v xml:space="preserve"> </v>
      </c>
      <c r="AE283" s="46">
        <f t="shared" si="109"/>
        <v>0</v>
      </c>
      <c r="AF283" s="46" t="str">
        <f>IF(ISNUMBER(NORMSINV(SUM(AE$13:AE283)/AE$317)),NORMSINV(SUM(AE$13:AE283)/AE$317)," ")</f>
        <v xml:space="preserve"> </v>
      </c>
      <c r="AG283" s="46">
        <f t="shared" si="110"/>
        <v>0</v>
      </c>
      <c r="AH283" s="46" t="str">
        <f>IF(ISNUMBER(NORMSINV(SUM(AG$13:AG283)/AG$317)),NORMSINV(SUM(AG$13:AG283)/AG$317)," ")</f>
        <v xml:space="preserve"> </v>
      </c>
      <c r="AI283" s="46">
        <f t="shared" si="111"/>
        <v>0</v>
      </c>
      <c r="AJ283" s="46" t="str">
        <f>IF(ISNUMBER(NORMSINV(SUM(AI$13:AI283)/AI$317)),NORMSINV(SUM(AI$13:AI283)/AI$317)," ")</f>
        <v xml:space="preserve"> </v>
      </c>
      <c r="AK283" s="46">
        <f t="shared" si="112"/>
        <v>0</v>
      </c>
      <c r="AL283" s="46" t="str">
        <f>IF(ISNUMBER(NORMSINV(SUM(AK$13:AK283)/AK$317)),NORMSINV(SUM(AK$13:AK283)/AK$317)," ")</f>
        <v xml:space="preserve"> </v>
      </c>
      <c r="AM283" s="6">
        <v>0</v>
      </c>
      <c r="AN283" s="6">
        <v>0</v>
      </c>
      <c r="AO283" s="6">
        <v>0</v>
      </c>
      <c r="AP283" s="6">
        <v>0</v>
      </c>
      <c r="AQ283" s="6">
        <v>0</v>
      </c>
      <c r="AR283" s="6">
        <v>0</v>
      </c>
      <c r="AS283" s="6">
        <v>0</v>
      </c>
      <c r="AT283" s="6">
        <v>0</v>
      </c>
      <c r="AU283" s="6">
        <v>0</v>
      </c>
    </row>
    <row r="284" spans="1:47" x14ac:dyDescent="0.4">
      <c r="A284" s="6">
        <f t="shared" si="97"/>
        <v>6.4311817012694812</v>
      </c>
      <c r="B284" s="6">
        <f>'Aerosol 1'!A288</f>
        <v>620.90724153599047</v>
      </c>
      <c r="C284" t="b">
        <f t="shared" si="98"/>
        <v>1</v>
      </c>
      <c r="E284" s="46">
        <f>'Aerosol 1'!$P288</f>
        <v>0.12758410822948374</v>
      </c>
      <c r="F284" s="46">
        <f>'Aerosol 2'!$P288</f>
        <v>0.12758410822948374</v>
      </c>
      <c r="G284" s="46">
        <f>'Aerosol 3'!$P288</f>
        <v>0.12758410822948374</v>
      </c>
      <c r="H284" s="46">
        <f t="shared" si="99"/>
        <v>0.38275232468845122</v>
      </c>
      <c r="I284" s="46">
        <f>NORMSINV(SUM(H$13:H284)/H$317)</f>
        <v>2.0377927390494337</v>
      </c>
      <c r="J284" s="46">
        <f t="shared" si="94"/>
        <v>6.8895418443921219E-2</v>
      </c>
      <c r="K284" s="46">
        <f t="shared" si="95"/>
        <v>0.19137616234422561</v>
      </c>
      <c r="L284" s="46">
        <f t="shared" si="96"/>
        <v>0.38273701459546366</v>
      </c>
      <c r="M284" s="46">
        <f t="shared" si="100"/>
        <v>0.64300859538361044</v>
      </c>
      <c r="N284" s="46">
        <f>IF(ISNUMBER(NORMSINV(SUM(M$13:M284)/M$317)),NORMSINV(SUM(M$13:M284)/M$317)," ")</f>
        <v>2.0377927390494248</v>
      </c>
      <c r="O284" s="46">
        <f t="shared" si="101"/>
        <v>0</v>
      </c>
      <c r="P284" s="46" t="str">
        <f>IF(ISNUMBER(NORMSINV(SUM(O$13:O284)/O$317)),NORMSINV(SUM(O$13:O284)/O$317)," ")</f>
        <v xml:space="preserve"> </v>
      </c>
      <c r="Q284" s="46">
        <f t="shared" si="102"/>
        <v>0</v>
      </c>
      <c r="R284" s="46" t="str">
        <f>IF(ISNUMBER(NORMSINV(SUM(Q$13:Q284)/Q$317)),NORMSINV(SUM(Q$13:Q284)/Q$317)," ")</f>
        <v xml:space="preserve"> </v>
      </c>
      <c r="S284" s="46">
        <f t="shared" si="103"/>
        <v>0</v>
      </c>
      <c r="T284" s="46" t="str">
        <f>IF(ISNUMBER(NORMSINV(SUM(S$13:S284)/S$317)),NORMSINV(SUM(S$13:S284)/S$317)," ")</f>
        <v xml:space="preserve"> </v>
      </c>
      <c r="U284" s="46">
        <f t="shared" si="104"/>
        <v>0</v>
      </c>
      <c r="V284" s="46" t="str">
        <f>IF(ISNUMBER(NORMSINV(SUM(U$13:U284)/U$317)),NORMSINV(SUM(U$13:U284)/U$317)," ")</f>
        <v xml:space="preserve"> </v>
      </c>
      <c r="W284" s="46">
        <f t="shared" si="105"/>
        <v>0</v>
      </c>
      <c r="X284" s="46" t="str">
        <f>IF(ISNUMBER(NORMSINV(SUM(W$13:W284)/W$317)),NORMSINV(SUM(W$13:W284)/W$317)," ")</f>
        <v xml:space="preserve"> </v>
      </c>
      <c r="Y284" s="46">
        <f t="shared" si="106"/>
        <v>0</v>
      </c>
      <c r="Z284" s="46" t="str">
        <f>IF(ISNUMBER(NORMSINV(SUM(Y$13:Y284)/Y$317)),NORMSINV(SUM(Y$13:Y284)/Y$317)," ")</f>
        <v xml:space="preserve"> </v>
      </c>
      <c r="AA284" s="46">
        <f t="shared" si="107"/>
        <v>0</v>
      </c>
      <c r="AB284" s="46" t="str">
        <f>IF(ISNUMBER(NORMSINV(SUM(AA$13:AA284)/AA$317)),NORMSINV(SUM(AA$13:AA284)/AA$317)," ")</f>
        <v xml:space="preserve"> </v>
      </c>
      <c r="AC284" s="46">
        <f t="shared" si="108"/>
        <v>0</v>
      </c>
      <c r="AD284" s="46" t="str">
        <f>IF(ISNUMBER(NORMSINV(SUM(AC$13:AC284)/AC$317)),NORMSINV(SUM(AC$13:AC284)/AC$317)," ")</f>
        <v xml:space="preserve"> </v>
      </c>
      <c r="AE284" s="46">
        <f t="shared" si="109"/>
        <v>0</v>
      </c>
      <c r="AF284" s="46" t="str">
        <f>IF(ISNUMBER(NORMSINV(SUM(AE$13:AE284)/AE$317)),NORMSINV(SUM(AE$13:AE284)/AE$317)," ")</f>
        <v xml:space="preserve"> </v>
      </c>
      <c r="AG284" s="46">
        <f t="shared" si="110"/>
        <v>0</v>
      </c>
      <c r="AH284" s="46" t="str">
        <f>IF(ISNUMBER(NORMSINV(SUM(AG$13:AG284)/AG$317)),NORMSINV(SUM(AG$13:AG284)/AG$317)," ")</f>
        <v xml:space="preserve"> </v>
      </c>
      <c r="AI284" s="46">
        <f t="shared" si="111"/>
        <v>0</v>
      </c>
      <c r="AJ284" s="46" t="str">
        <f>IF(ISNUMBER(NORMSINV(SUM(AI$13:AI284)/AI$317)),NORMSINV(SUM(AI$13:AI284)/AI$317)," ")</f>
        <v xml:space="preserve"> </v>
      </c>
      <c r="AK284" s="46">
        <f t="shared" si="112"/>
        <v>0</v>
      </c>
      <c r="AL284" s="46" t="str">
        <f>IF(ISNUMBER(NORMSINV(SUM(AK$13:AK284)/AK$317)),NORMSINV(SUM(AK$13:AK284)/AK$317)," ")</f>
        <v xml:space="preserve"> </v>
      </c>
      <c r="AM284" s="6">
        <v>0</v>
      </c>
      <c r="AN284" s="6">
        <v>0</v>
      </c>
      <c r="AO284" s="6">
        <v>0</v>
      </c>
      <c r="AP284" s="6">
        <v>0</v>
      </c>
      <c r="AQ284" s="6">
        <v>0</v>
      </c>
      <c r="AR284" s="6">
        <v>0</v>
      </c>
      <c r="AS284" s="6">
        <v>0</v>
      </c>
      <c r="AT284" s="6">
        <v>0</v>
      </c>
      <c r="AU284" s="6">
        <v>0</v>
      </c>
    </row>
    <row r="285" spans="1:47" x14ac:dyDescent="0.4">
      <c r="A285" s="6">
        <f t="shared" si="97"/>
        <v>6.4656602787006596</v>
      </c>
      <c r="B285" s="6">
        <f>'Aerosol 1'!A289</f>
        <v>642.68857695957649</v>
      </c>
      <c r="C285" t="b">
        <f t="shared" si="98"/>
        <v>1</v>
      </c>
      <c r="E285" s="46">
        <f>'Aerosol 1'!$P289</f>
        <v>0.12249000679718236</v>
      </c>
      <c r="F285" s="46">
        <f>'Aerosol 2'!$P289</f>
        <v>0.12249000679718236</v>
      </c>
      <c r="G285" s="46">
        <f>'Aerosol 3'!$P289</f>
        <v>0.12249000679718236</v>
      </c>
      <c r="H285" s="46">
        <f t="shared" si="99"/>
        <v>0.36747002039154708</v>
      </c>
      <c r="I285" s="46">
        <f>NORMSINV(SUM(H$13:H285)/H$317)</f>
        <v>2.063042882094352</v>
      </c>
      <c r="J285" s="46">
        <f t="shared" si="94"/>
        <v>6.6144603670478475E-2</v>
      </c>
      <c r="K285" s="46">
        <f t="shared" si="95"/>
        <v>0.18373501019577354</v>
      </c>
      <c r="L285" s="46">
        <f t="shared" si="96"/>
        <v>0.36745532159073141</v>
      </c>
      <c r="M285" s="46">
        <f t="shared" si="100"/>
        <v>0.61733493545698348</v>
      </c>
      <c r="N285" s="46">
        <f>IF(ISNUMBER(NORMSINV(SUM(M$13:M285)/M$317)),NORMSINV(SUM(M$13:M285)/M$317)," ")</f>
        <v>2.0630428820943458</v>
      </c>
      <c r="O285" s="46">
        <f t="shared" si="101"/>
        <v>0</v>
      </c>
      <c r="P285" s="46" t="str">
        <f>IF(ISNUMBER(NORMSINV(SUM(O$13:O285)/O$317)),NORMSINV(SUM(O$13:O285)/O$317)," ")</f>
        <v xml:space="preserve"> </v>
      </c>
      <c r="Q285" s="46">
        <f t="shared" si="102"/>
        <v>0</v>
      </c>
      <c r="R285" s="46" t="str">
        <f>IF(ISNUMBER(NORMSINV(SUM(Q$13:Q285)/Q$317)),NORMSINV(SUM(Q$13:Q285)/Q$317)," ")</f>
        <v xml:space="preserve"> </v>
      </c>
      <c r="S285" s="46">
        <f t="shared" si="103"/>
        <v>0</v>
      </c>
      <c r="T285" s="46" t="str">
        <f>IF(ISNUMBER(NORMSINV(SUM(S$13:S285)/S$317)),NORMSINV(SUM(S$13:S285)/S$317)," ")</f>
        <v xml:space="preserve"> </v>
      </c>
      <c r="U285" s="46">
        <f t="shared" si="104"/>
        <v>0</v>
      </c>
      <c r="V285" s="46" t="str">
        <f>IF(ISNUMBER(NORMSINV(SUM(U$13:U285)/U$317)),NORMSINV(SUM(U$13:U285)/U$317)," ")</f>
        <v xml:space="preserve"> </v>
      </c>
      <c r="W285" s="46">
        <f t="shared" si="105"/>
        <v>0</v>
      </c>
      <c r="X285" s="46" t="str">
        <f>IF(ISNUMBER(NORMSINV(SUM(W$13:W285)/W$317)),NORMSINV(SUM(W$13:W285)/W$317)," ")</f>
        <v xml:space="preserve"> </v>
      </c>
      <c r="Y285" s="46">
        <f t="shared" si="106"/>
        <v>0</v>
      </c>
      <c r="Z285" s="46" t="str">
        <f>IF(ISNUMBER(NORMSINV(SUM(Y$13:Y285)/Y$317)),NORMSINV(SUM(Y$13:Y285)/Y$317)," ")</f>
        <v xml:space="preserve"> </v>
      </c>
      <c r="AA285" s="46">
        <f t="shared" si="107"/>
        <v>0</v>
      </c>
      <c r="AB285" s="46" t="str">
        <f>IF(ISNUMBER(NORMSINV(SUM(AA$13:AA285)/AA$317)),NORMSINV(SUM(AA$13:AA285)/AA$317)," ")</f>
        <v xml:space="preserve"> </v>
      </c>
      <c r="AC285" s="46">
        <f t="shared" si="108"/>
        <v>0</v>
      </c>
      <c r="AD285" s="46" t="str">
        <f>IF(ISNUMBER(NORMSINV(SUM(AC$13:AC285)/AC$317)),NORMSINV(SUM(AC$13:AC285)/AC$317)," ")</f>
        <v xml:space="preserve"> </v>
      </c>
      <c r="AE285" s="46">
        <f t="shared" si="109"/>
        <v>0</v>
      </c>
      <c r="AF285" s="46" t="str">
        <f>IF(ISNUMBER(NORMSINV(SUM(AE$13:AE285)/AE$317)),NORMSINV(SUM(AE$13:AE285)/AE$317)," ")</f>
        <v xml:space="preserve"> </v>
      </c>
      <c r="AG285" s="46">
        <f t="shared" si="110"/>
        <v>0</v>
      </c>
      <c r="AH285" s="46" t="str">
        <f>IF(ISNUMBER(NORMSINV(SUM(AG$13:AG285)/AG$317)),NORMSINV(SUM(AG$13:AG285)/AG$317)," ")</f>
        <v xml:space="preserve"> </v>
      </c>
      <c r="AI285" s="46">
        <f t="shared" si="111"/>
        <v>0</v>
      </c>
      <c r="AJ285" s="46" t="str">
        <f>IF(ISNUMBER(NORMSINV(SUM(AI$13:AI285)/AI$317)),NORMSINV(SUM(AI$13:AI285)/AI$317)," ")</f>
        <v xml:space="preserve"> </v>
      </c>
      <c r="AK285" s="46">
        <f t="shared" si="112"/>
        <v>0</v>
      </c>
      <c r="AL285" s="46" t="str">
        <f>IF(ISNUMBER(NORMSINV(SUM(AK$13:AK285)/AK$317)),NORMSINV(SUM(AK$13:AK285)/AK$317)," ")</f>
        <v xml:space="preserve"> </v>
      </c>
      <c r="AM285" s="6">
        <v>0</v>
      </c>
      <c r="AN285" s="6">
        <v>0</v>
      </c>
      <c r="AO285" s="6">
        <v>0</v>
      </c>
      <c r="AP285" s="6">
        <v>0</v>
      </c>
      <c r="AQ285" s="6">
        <v>0</v>
      </c>
      <c r="AR285" s="6">
        <v>0</v>
      </c>
      <c r="AS285" s="6">
        <v>0</v>
      </c>
      <c r="AT285" s="6">
        <v>0</v>
      </c>
      <c r="AU285" s="6">
        <v>0</v>
      </c>
    </row>
    <row r="286" spans="1:47" x14ac:dyDescent="0.4">
      <c r="A286" s="6">
        <f t="shared" si="97"/>
        <v>6.5001388561318389</v>
      </c>
      <c r="B286" s="6">
        <f>'Aerosol 1'!A290</f>
        <v>665.23399845125459</v>
      </c>
      <c r="C286" t="b">
        <f t="shared" si="98"/>
        <v>1</v>
      </c>
      <c r="E286" s="46">
        <f>'Aerosol 1'!$P290</f>
        <v>0.11754787968885072</v>
      </c>
      <c r="F286" s="46">
        <f>'Aerosol 2'!$P290</f>
        <v>0.11754787968885072</v>
      </c>
      <c r="G286" s="46">
        <f>'Aerosol 3'!$P290</f>
        <v>0.11754787968885072</v>
      </c>
      <c r="H286" s="46">
        <f t="shared" si="99"/>
        <v>0.35264363906655216</v>
      </c>
      <c r="I286" s="46">
        <f>NORMSINV(SUM(H$13:H286)/H$317)</f>
        <v>2.088577384952842</v>
      </c>
      <c r="J286" s="46">
        <f t="shared" si="94"/>
        <v>6.3475855031979389E-2</v>
      </c>
      <c r="K286" s="46">
        <f t="shared" si="95"/>
        <v>0.17632181953327608</v>
      </c>
      <c r="L286" s="46">
        <f t="shared" si="96"/>
        <v>0.35262953332098951</v>
      </c>
      <c r="M286" s="46">
        <f t="shared" si="100"/>
        <v>0.59242720788624492</v>
      </c>
      <c r="N286" s="46">
        <f>IF(ISNUMBER(NORMSINV(SUM(M$13:M286)/M$317)),NORMSINV(SUM(M$13:M286)/M$317)," ")</f>
        <v>2.0885773849528317</v>
      </c>
      <c r="O286" s="46">
        <f t="shared" si="101"/>
        <v>0</v>
      </c>
      <c r="P286" s="46" t="str">
        <f>IF(ISNUMBER(NORMSINV(SUM(O$13:O286)/O$317)),NORMSINV(SUM(O$13:O286)/O$317)," ")</f>
        <v xml:space="preserve"> </v>
      </c>
      <c r="Q286" s="46">
        <f t="shared" si="102"/>
        <v>0</v>
      </c>
      <c r="R286" s="46" t="str">
        <f>IF(ISNUMBER(NORMSINV(SUM(Q$13:Q286)/Q$317)),NORMSINV(SUM(Q$13:Q286)/Q$317)," ")</f>
        <v xml:space="preserve"> </v>
      </c>
      <c r="S286" s="46">
        <f t="shared" si="103"/>
        <v>0</v>
      </c>
      <c r="T286" s="46" t="str">
        <f>IF(ISNUMBER(NORMSINV(SUM(S$13:S286)/S$317)),NORMSINV(SUM(S$13:S286)/S$317)," ")</f>
        <v xml:space="preserve"> </v>
      </c>
      <c r="U286" s="46">
        <f t="shared" si="104"/>
        <v>0</v>
      </c>
      <c r="V286" s="46" t="str">
        <f>IF(ISNUMBER(NORMSINV(SUM(U$13:U286)/U$317)),NORMSINV(SUM(U$13:U286)/U$317)," ")</f>
        <v xml:space="preserve"> </v>
      </c>
      <c r="W286" s="46">
        <f t="shared" si="105"/>
        <v>0</v>
      </c>
      <c r="X286" s="46" t="str">
        <f>IF(ISNUMBER(NORMSINV(SUM(W$13:W286)/W$317)),NORMSINV(SUM(W$13:W286)/W$317)," ")</f>
        <v xml:space="preserve"> </v>
      </c>
      <c r="Y286" s="46">
        <f t="shared" si="106"/>
        <v>0</v>
      </c>
      <c r="Z286" s="46" t="str">
        <f>IF(ISNUMBER(NORMSINV(SUM(Y$13:Y286)/Y$317)),NORMSINV(SUM(Y$13:Y286)/Y$317)," ")</f>
        <v xml:space="preserve"> </v>
      </c>
      <c r="AA286" s="46">
        <f t="shared" si="107"/>
        <v>0</v>
      </c>
      <c r="AB286" s="46" t="str">
        <f>IF(ISNUMBER(NORMSINV(SUM(AA$13:AA286)/AA$317)),NORMSINV(SUM(AA$13:AA286)/AA$317)," ")</f>
        <v xml:space="preserve"> </v>
      </c>
      <c r="AC286" s="46">
        <f t="shared" si="108"/>
        <v>0</v>
      </c>
      <c r="AD286" s="46" t="str">
        <f>IF(ISNUMBER(NORMSINV(SUM(AC$13:AC286)/AC$317)),NORMSINV(SUM(AC$13:AC286)/AC$317)," ")</f>
        <v xml:space="preserve"> </v>
      </c>
      <c r="AE286" s="46">
        <f t="shared" si="109"/>
        <v>0</v>
      </c>
      <c r="AF286" s="46" t="str">
        <f>IF(ISNUMBER(NORMSINV(SUM(AE$13:AE286)/AE$317)),NORMSINV(SUM(AE$13:AE286)/AE$317)," ")</f>
        <v xml:space="preserve"> </v>
      </c>
      <c r="AG286" s="46">
        <f t="shared" si="110"/>
        <v>0</v>
      </c>
      <c r="AH286" s="46" t="str">
        <f>IF(ISNUMBER(NORMSINV(SUM(AG$13:AG286)/AG$317)),NORMSINV(SUM(AG$13:AG286)/AG$317)," ")</f>
        <v xml:space="preserve"> </v>
      </c>
      <c r="AI286" s="46">
        <f t="shared" si="111"/>
        <v>0</v>
      </c>
      <c r="AJ286" s="46" t="str">
        <f>IF(ISNUMBER(NORMSINV(SUM(AI$13:AI286)/AI$317)),NORMSINV(SUM(AI$13:AI286)/AI$317)," ")</f>
        <v xml:space="preserve"> </v>
      </c>
      <c r="AK286" s="46">
        <f t="shared" si="112"/>
        <v>0</v>
      </c>
      <c r="AL286" s="46" t="str">
        <f>IF(ISNUMBER(NORMSINV(SUM(AK$13:AK286)/AK$317)),NORMSINV(SUM(AK$13:AK286)/AK$317)," ")</f>
        <v xml:space="preserve"> </v>
      </c>
      <c r="AM286" s="6">
        <v>0</v>
      </c>
      <c r="AN286" s="6">
        <v>0</v>
      </c>
      <c r="AO286" s="6">
        <v>0</v>
      </c>
      <c r="AP286" s="6">
        <v>0</v>
      </c>
      <c r="AQ286" s="6">
        <v>0</v>
      </c>
      <c r="AR286" s="6">
        <v>0</v>
      </c>
      <c r="AS286" s="6">
        <v>0</v>
      </c>
      <c r="AT286" s="6">
        <v>0</v>
      </c>
      <c r="AU286" s="6">
        <v>0</v>
      </c>
    </row>
    <row r="287" spans="1:47" x14ac:dyDescent="0.4">
      <c r="A287" s="6">
        <f t="shared" si="97"/>
        <v>6.5346174335630174</v>
      </c>
      <c r="B287" s="6">
        <f>'Aerosol 1'!A291</f>
        <v>688.57031003878853</v>
      </c>
      <c r="C287" t="b">
        <f t="shared" si="98"/>
        <v>1</v>
      </c>
      <c r="E287" s="46">
        <f>'Aerosol 1'!$P291</f>
        <v>0.11275582983698573</v>
      </c>
      <c r="F287" s="46">
        <f>'Aerosol 2'!$P291</f>
        <v>0.11275582983698573</v>
      </c>
      <c r="G287" s="46">
        <f>'Aerosol 3'!$P291</f>
        <v>0.11275582983698573</v>
      </c>
      <c r="H287" s="46">
        <f t="shared" si="99"/>
        <v>0.3382674895109572</v>
      </c>
      <c r="I287" s="46">
        <f>NORMSINV(SUM(H$13:H287)/H$317)</f>
        <v>2.1144209034125629</v>
      </c>
      <c r="J287" s="46">
        <f t="shared" si="94"/>
        <v>6.0888148111972303E-2</v>
      </c>
      <c r="K287" s="46">
        <f t="shared" si="95"/>
        <v>0.1691337447554786</v>
      </c>
      <c r="L287" s="46">
        <f t="shared" si="96"/>
        <v>0.33825395881137676</v>
      </c>
      <c r="M287" s="46">
        <f t="shared" si="100"/>
        <v>0.56827585167882766</v>
      </c>
      <c r="N287" s="46">
        <f>IF(ISNUMBER(NORMSINV(SUM(M$13:M287)/M$317)),NORMSINV(SUM(M$13:M287)/M$317)," ")</f>
        <v>2.1144209034125554</v>
      </c>
      <c r="O287" s="46">
        <f t="shared" si="101"/>
        <v>0</v>
      </c>
      <c r="P287" s="46" t="str">
        <f>IF(ISNUMBER(NORMSINV(SUM(O$13:O287)/O$317)),NORMSINV(SUM(O$13:O287)/O$317)," ")</f>
        <v xml:space="preserve"> </v>
      </c>
      <c r="Q287" s="46">
        <f t="shared" si="102"/>
        <v>0</v>
      </c>
      <c r="R287" s="46" t="str">
        <f>IF(ISNUMBER(NORMSINV(SUM(Q$13:Q287)/Q$317)),NORMSINV(SUM(Q$13:Q287)/Q$317)," ")</f>
        <v xml:space="preserve"> </v>
      </c>
      <c r="S287" s="46">
        <f t="shared" si="103"/>
        <v>0</v>
      </c>
      <c r="T287" s="46" t="str">
        <f>IF(ISNUMBER(NORMSINV(SUM(S$13:S287)/S$317)),NORMSINV(SUM(S$13:S287)/S$317)," ")</f>
        <v xml:space="preserve"> </v>
      </c>
      <c r="U287" s="46">
        <f t="shared" si="104"/>
        <v>0</v>
      </c>
      <c r="V287" s="46" t="str">
        <f>IF(ISNUMBER(NORMSINV(SUM(U$13:U287)/U$317)),NORMSINV(SUM(U$13:U287)/U$317)," ")</f>
        <v xml:space="preserve"> </v>
      </c>
      <c r="W287" s="46">
        <f t="shared" si="105"/>
        <v>0</v>
      </c>
      <c r="X287" s="46" t="str">
        <f>IF(ISNUMBER(NORMSINV(SUM(W$13:W287)/W$317)),NORMSINV(SUM(W$13:W287)/W$317)," ")</f>
        <v xml:space="preserve"> </v>
      </c>
      <c r="Y287" s="46">
        <f t="shared" si="106"/>
        <v>0</v>
      </c>
      <c r="Z287" s="46" t="str">
        <f>IF(ISNUMBER(NORMSINV(SUM(Y$13:Y287)/Y$317)),NORMSINV(SUM(Y$13:Y287)/Y$317)," ")</f>
        <v xml:space="preserve"> </v>
      </c>
      <c r="AA287" s="46">
        <f t="shared" si="107"/>
        <v>0</v>
      </c>
      <c r="AB287" s="46" t="str">
        <f>IF(ISNUMBER(NORMSINV(SUM(AA$13:AA287)/AA$317)),NORMSINV(SUM(AA$13:AA287)/AA$317)," ")</f>
        <v xml:space="preserve"> </v>
      </c>
      <c r="AC287" s="46">
        <f t="shared" si="108"/>
        <v>0</v>
      </c>
      <c r="AD287" s="46" t="str">
        <f>IF(ISNUMBER(NORMSINV(SUM(AC$13:AC287)/AC$317)),NORMSINV(SUM(AC$13:AC287)/AC$317)," ")</f>
        <v xml:space="preserve"> </v>
      </c>
      <c r="AE287" s="46">
        <f t="shared" si="109"/>
        <v>0</v>
      </c>
      <c r="AF287" s="46" t="str">
        <f>IF(ISNUMBER(NORMSINV(SUM(AE$13:AE287)/AE$317)),NORMSINV(SUM(AE$13:AE287)/AE$317)," ")</f>
        <v xml:space="preserve"> </v>
      </c>
      <c r="AG287" s="46">
        <f t="shared" si="110"/>
        <v>0</v>
      </c>
      <c r="AH287" s="46" t="str">
        <f>IF(ISNUMBER(NORMSINV(SUM(AG$13:AG287)/AG$317)),NORMSINV(SUM(AG$13:AG287)/AG$317)," ")</f>
        <v xml:space="preserve"> </v>
      </c>
      <c r="AI287" s="46">
        <f t="shared" si="111"/>
        <v>0</v>
      </c>
      <c r="AJ287" s="46" t="str">
        <f>IF(ISNUMBER(NORMSINV(SUM(AI$13:AI287)/AI$317)),NORMSINV(SUM(AI$13:AI287)/AI$317)," ")</f>
        <v xml:space="preserve"> </v>
      </c>
      <c r="AK287" s="46">
        <f t="shared" si="112"/>
        <v>0</v>
      </c>
      <c r="AL287" s="46" t="str">
        <f>IF(ISNUMBER(NORMSINV(SUM(AK$13:AK287)/AK$317)),NORMSINV(SUM(AK$13:AK287)/AK$317)," ")</f>
        <v xml:space="preserve"> </v>
      </c>
      <c r="AM287" s="6">
        <v>0</v>
      </c>
      <c r="AN287" s="6">
        <v>0</v>
      </c>
      <c r="AO287" s="6">
        <v>0</v>
      </c>
      <c r="AP287" s="6">
        <v>0</v>
      </c>
      <c r="AQ287" s="6">
        <v>0</v>
      </c>
      <c r="AR287" s="6">
        <v>0</v>
      </c>
      <c r="AS287" s="6">
        <v>0</v>
      </c>
      <c r="AT287" s="6">
        <v>0</v>
      </c>
      <c r="AU287" s="6">
        <v>0</v>
      </c>
    </row>
    <row r="288" spans="1:47" x14ac:dyDescent="0.4">
      <c r="A288" s="6">
        <f t="shared" si="97"/>
        <v>6.5690960109941958</v>
      </c>
      <c r="B288" s="6">
        <f>'Aerosol 1'!A292</f>
        <v>712.72525603132635</v>
      </c>
      <c r="C288" t="b">
        <f t="shared" si="98"/>
        <v>1</v>
      </c>
      <c r="E288" s="46">
        <f>'Aerosol 1'!$P292</f>
        <v>0.10811184426915421</v>
      </c>
      <c r="F288" s="46">
        <f>'Aerosol 2'!$P292</f>
        <v>0.10811184426915421</v>
      </c>
      <c r="G288" s="46">
        <f>'Aerosol 3'!$P292</f>
        <v>0.10811184426915421</v>
      </c>
      <c r="H288" s="46">
        <f t="shared" si="99"/>
        <v>0.32433553280746263</v>
      </c>
      <c r="I288" s="46">
        <f>NORMSINV(SUM(H$13:H288)/H$317)</f>
        <v>2.1406009583043017</v>
      </c>
      <c r="J288" s="46">
        <f t="shared" si="94"/>
        <v>5.8380395905343281E-2</v>
      </c>
      <c r="K288" s="46">
        <f t="shared" si="95"/>
        <v>0.16216776640373132</v>
      </c>
      <c r="L288" s="46">
        <f t="shared" si="96"/>
        <v>0.32432255938615034</v>
      </c>
      <c r="M288" s="46">
        <f t="shared" si="100"/>
        <v>0.54487072169522488</v>
      </c>
      <c r="N288" s="46">
        <f>IF(ISNUMBER(NORMSINV(SUM(M$13:M288)/M$317)),NORMSINV(SUM(M$13:M288)/M$317)," ")</f>
        <v>2.1406009583042898</v>
      </c>
      <c r="O288" s="46">
        <f t="shared" si="101"/>
        <v>0</v>
      </c>
      <c r="P288" s="46" t="str">
        <f>IF(ISNUMBER(NORMSINV(SUM(O$13:O288)/O$317)),NORMSINV(SUM(O$13:O288)/O$317)," ")</f>
        <v xml:space="preserve"> </v>
      </c>
      <c r="Q288" s="46">
        <f t="shared" si="102"/>
        <v>0</v>
      </c>
      <c r="R288" s="46" t="str">
        <f>IF(ISNUMBER(NORMSINV(SUM(Q$13:Q288)/Q$317)),NORMSINV(SUM(Q$13:Q288)/Q$317)," ")</f>
        <v xml:space="preserve"> </v>
      </c>
      <c r="S288" s="46">
        <f t="shared" si="103"/>
        <v>0</v>
      </c>
      <c r="T288" s="46" t="str">
        <f>IF(ISNUMBER(NORMSINV(SUM(S$13:S288)/S$317)),NORMSINV(SUM(S$13:S288)/S$317)," ")</f>
        <v xml:space="preserve"> </v>
      </c>
      <c r="U288" s="46">
        <f t="shared" si="104"/>
        <v>0</v>
      </c>
      <c r="V288" s="46" t="str">
        <f>IF(ISNUMBER(NORMSINV(SUM(U$13:U288)/U$317)),NORMSINV(SUM(U$13:U288)/U$317)," ")</f>
        <v xml:space="preserve"> </v>
      </c>
      <c r="W288" s="46">
        <f t="shared" si="105"/>
        <v>0</v>
      </c>
      <c r="X288" s="46" t="str">
        <f>IF(ISNUMBER(NORMSINV(SUM(W$13:W288)/W$317)),NORMSINV(SUM(W$13:W288)/W$317)," ")</f>
        <v xml:space="preserve"> </v>
      </c>
      <c r="Y288" s="46">
        <f t="shared" si="106"/>
        <v>0</v>
      </c>
      <c r="Z288" s="46" t="str">
        <f>IF(ISNUMBER(NORMSINV(SUM(Y$13:Y288)/Y$317)),NORMSINV(SUM(Y$13:Y288)/Y$317)," ")</f>
        <v xml:space="preserve"> </v>
      </c>
      <c r="AA288" s="46">
        <f t="shared" si="107"/>
        <v>0</v>
      </c>
      <c r="AB288" s="46" t="str">
        <f>IF(ISNUMBER(NORMSINV(SUM(AA$13:AA288)/AA$317)),NORMSINV(SUM(AA$13:AA288)/AA$317)," ")</f>
        <v xml:space="preserve"> </v>
      </c>
      <c r="AC288" s="46">
        <f t="shared" si="108"/>
        <v>0</v>
      </c>
      <c r="AD288" s="46" t="str">
        <f>IF(ISNUMBER(NORMSINV(SUM(AC$13:AC288)/AC$317)),NORMSINV(SUM(AC$13:AC288)/AC$317)," ")</f>
        <v xml:space="preserve"> </v>
      </c>
      <c r="AE288" s="46">
        <f t="shared" si="109"/>
        <v>0</v>
      </c>
      <c r="AF288" s="46" t="str">
        <f>IF(ISNUMBER(NORMSINV(SUM(AE$13:AE288)/AE$317)),NORMSINV(SUM(AE$13:AE288)/AE$317)," ")</f>
        <v xml:space="preserve"> </v>
      </c>
      <c r="AG288" s="46">
        <f t="shared" si="110"/>
        <v>0</v>
      </c>
      <c r="AH288" s="46" t="str">
        <f>IF(ISNUMBER(NORMSINV(SUM(AG$13:AG288)/AG$317)),NORMSINV(SUM(AG$13:AG288)/AG$317)," ")</f>
        <v xml:space="preserve"> </v>
      </c>
      <c r="AI288" s="46">
        <f t="shared" si="111"/>
        <v>0</v>
      </c>
      <c r="AJ288" s="46" t="str">
        <f>IF(ISNUMBER(NORMSINV(SUM(AI$13:AI288)/AI$317)),NORMSINV(SUM(AI$13:AI288)/AI$317)," ")</f>
        <v xml:space="preserve"> </v>
      </c>
      <c r="AK288" s="46">
        <f t="shared" si="112"/>
        <v>0</v>
      </c>
      <c r="AL288" s="46" t="str">
        <f>IF(ISNUMBER(NORMSINV(SUM(AK$13:AK288)/AK$317)),NORMSINV(SUM(AK$13:AK288)/AK$317)," ")</f>
        <v xml:space="preserve"> </v>
      </c>
      <c r="AM288" s="6">
        <v>0</v>
      </c>
      <c r="AN288" s="6">
        <v>0</v>
      </c>
      <c r="AO288" s="6">
        <v>0</v>
      </c>
      <c r="AP288" s="6">
        <v>0</v>
      </c>
      <c r="AQ288" s="6">
        <v>0</v>
      </c>
      <c r="AR288" s="6">
        <v>0</v>
      </c>
      <c r="AS288" s="6">
        <v>0</v>
      </c>
      <c r="AT288" s="6">
        <v>0</v>
      </c>
      <c r="AU288" s="6">
        <v>0</v>
      </c>
    </row>
    <row r="289" spans="1:47" x14ac:dyDescent="0.4">
      <c r="A289" s="6">
        <f t="shared" si="97"/>
        <v>6.6035745884253751</v>
      </c>
      <c r="B289" s="6">
        <f>'Aerosol 1'!A293</f>
        <v>737.72755400433221</v>
      </c>
      <c r="C289" t="b">
        <f t="shared" si="98"/>
        <v>1</v>
      </c>
      <c r="E289" s="46">
        <f>'Aerosol 1'!$P293</f>
        <v>0.10361380228042227</v>
      </c>
      <c r="F289" s="46">
        <f>'Aerosol 2'!$P293</f>
        <v>0.10361380228042227</v>
      </c>
      <c r="G289" s="46">
        <f>'Aerosol 3'!$P293</f>
        <v>0.10361380228042227</v>
      </c>
      <c r="H289" s="46">
        <f t="shared" si="99"/>
        <v>0.31084140684126682</v>
      </c>
      <c r="I289" s="46">
        <f>NORMSINV(SUM(H$13:H289)/H$317)</f>
        <v>2.1671483797665809</v>
      </c>
      <c r="J289" s="46">
        <f t="shared" si="94"/>
        <v>5.5951453231428035E-2</v>
      </c>
      <c r="K289" s="46">
        <f t="shared" si="95"/>
        <v>0.15542070342063341</v>
      </c>
      <c r="L289" s="46">
        <f t="shared" si="96"/>
        <v>0.3108289731849932</v>
      </c>
      <c r="M289" s="46">
        <f t="shared" si="100"/>
        <v>0.52220112983705458</v>
      </c>
      <c r="N289" s="46">
        <f>IF(ISNUMBER(NORMSINV(SUM(M$13:M289)/M$317)),NORMSINV(SUM(M$13:M289)/M$317)," ")</f>
        <v>2.1671483797665689</v>
      </c>
      <c r="O289" s="46">
        <f t="shared" si="101"/>
        <v>0</v>
      </c>
      <c r="P289" s="46" t="str">
        <f>IF(ISNUMBER(NORMSINV(SUM(O$13:O289)/O$317)),NORMSINV(SUM(O$13:O289)/O$317)," ")</f>
        <v xml:space="preserve"> </v>
      </c>
      <c r="Q289" s="46">
        <f t="shared" si="102"/>
        <v>0</v>
      </c>
      <c r="R289" s="46" t="str">
        <f>IF(ISNUMBER(NORMSINV(SUM(Q$13:Q289)/Q$317)),NORMSINV(SUM(Q$13:Q289)/Q$317)," ")</f>
        <v xml:space="preserve"> </v>
      </c>
      <c r="S289" s="46">
        <f t="shared" si="103"/>
        <v>0</v>
      </c>
      <c r="T289" s="46" t="str">
        <f>IF(ISNUMBER(NORMSINV(SUM(S$13:S289)/S$317)),NORMSINV(SUM(S$13:S289)/S$317)," ")</f>
        <v xml:space="preserve"> </v>
      </c>
      <c r="U289" s="46">
        <f t="shared" si="104"/>
        <v>0</v>
      </c>
      <c r="V289" s="46" t="str">
        <f>IF(ISNUMBER(NORMSINV(SUM(U$13:U289)/U$317)),NORMSINV(SUM(U$13:U289)/U$317)," ")</f>
        <v xml:space="preserve"> </v>
      </c>
      <c r="W289" s="46">
        <f t="shared" si="105"/>
        <v>0</v>
      </c>
      <c r="X289" s="46" t="str">
        <f>IF(ISNUMBER(NORMSINV(SUM(W$13:W289)/W$317)),NORMSINV(SUM(W$13:W289)/W$317)," ")</f>
        <v xml:space="preserve"> </v>
      </c>
      <c r="Y289" s="46">
        <f t="shared" si="106"/>
        <v>0</v>
      </c>
      <c r="Z289" s="46" t="str">
        <f>IF(ISNUMBER(NORMSINV(SUM(Y$13:Y289)/Y$317)),NORMSINV(SUM(Y$13:Y289)/Y$317)," ")</f>
        <v xml:space="preserve"> </v>
      </c>
      <c r="AA289" s="46">
        <f t="shared" si="107"/>
        <v>0</v>
      </c>
      <c r="AB289" s="46" t="str">
        <f>IF(ISNUMBER(NORMSINV(SUM(AA$13:AA289)/AA$317)),NORMSINV(SUM(AA$13:AA289)/AA$317)," ")</f>
        <v xml:space="preserve"> </v>
      </c>
      <c r="AC289" s="46">
        <f t="shared" si="108"/>
        <v>0</v>
      </c>
      <c r="AD289" s="46" t="str">
        <f>IF(ISNUMBER(NORMSINV(SUM(AC$13:AC289)/AC$317)),NORMSINV(SUM(AC$13:AC289)/AC$317)," ")</f>
        <v xml:space="preserve"> </v>
      </c>
      <c r="AE289" s="46">
        <f t="shared" si="109"/>
        <v>0</v>
      </c>
      <c r="AF289" s="46" t="str">
        <f>IF(ISNUMBER(NORMSINV(SUM(AE$13:AE289)/AE$317)),NORMSINV(SUM(AE$13:AE289)/AE$317)," ")</f>
        <v xml:space="preserve"> </v>
      </c>
      <c r="AG289" s="46">
        <f t="shared" si="110"/>
        <v>0</v>
      </c>
      <c r="AH289" s="46" t="str">
        <f>IF(ISNUMBER(NORMSINV(SUM(AG$13:AG289)/AG$317)),NORMSINV(SUM(AG$13:AG289)/AG$317)," ")</f>
        <v xml:space="preserve"> </v>
      </c>
      <c r="AI289" s="46">
        <f t="shared" si="111"/>
        <v>0</v>
      </c>
      <c r="AJ289" s="46" t="str">
        <f>IF(ISNUMBER(NORMSINV(SUM(AI$13:AI289)/AI$317)),NORMSINV(SUM(AI$13:AI289)/AI$317)," ")</f>
        <v xml:space="preserve"> </v>
      </c>
      <c r="AK289" s="46">
        <f t="shared" si="112"/>
        <v>0</v>
      </c>
      <c r="AL289" s="46" t="str">
        <f>IF(ISNUMBER(NORMSINV(SUM(AK$13:AK289)/AK$317)),NORMSINV(SUM(AK$13:AK289)/AK$317)," ")</f>
        <v xml:space="preserve"> </v>
      </c>
      <c r="AM289" s="6">
        <v>0</v>
      </c>
      <c r="AN289" s="6">
        <v>0</v>
      </c>
      <c r="AO289" s="6">
        <v>0</v>
      </c>
      <c r="AP289" s="6">
        <v>0</v>
      </c>
      <c r="AQ289" s="6">
        <v>0</v>
      </c>
      <c r="AR289" s="6">
        <v>0</v>
      </c>
      <c r="AS289" s="6">
        <v>0</v>
      </c>
      <c r="AT289" s="6">
        <v>0</v>
      </c>
      <c r="AU289" s="6">
        <v>0</v>
      </c>
    </row>
    <row r="290" spans="1:47" x14ac:dyDescent="0.4">
      <c r="A290" s="6">
        <f t="shared" si="97"/>
        <v>6.6380531658565536</v>
      </c>
      <c r="B290" s="6">
        <f>'Aerosol 1'!A294</f>
        <v>763.6069289416248</v>
      </c>
      <c r="C290" t="b">
        <f t="shared" si="98"/>
        <v>1</v>
      </c>
      <c r="E290" s="46">
        <f>'Aerosol 1'!$P294</f>
        <v>9.9259483501590307E-2</v>
      </c>
      <c r="F290" s="46">
        <f>'Aerosol 2'!$P294</f>
        <v>9.9259483501590307E-2</v>
      </c>
      <c r="G290" s="46">
        <f>'Aerosol 3'!$P294</f>
        <v>9.9259483501590307E-2</v>
      </c>
      <c r="H290" s="46">
        <f t="shared" si="99"/>
        <v>0.29777845050477092</v>
      </c>
      <c r="I290" s="46">
        <f>NORMSINV(SUM(H$13:H290)/H$317)</f>
        <v>2.1940978409118976</v>
      </c>
      <c r="J290" s="46">
        <f t="shared" si="94"/>
        <v>5.3600121090858772E-2</v>
      </c>
      <c r="K290" s="46">
        <f t="shared" si="95"/>
        <v>0.14888922525238546</v>
      </c>
      <c r="L290" s="46">
        <f t="shared" si="96"/>
        <v>0.29776653936675074</v>
      </c>
      <c r="M290" s="46">
        <f t="shared" si="100"/>
        <v>0.50025588570999502</v>
      </c>
      <c r="N290" s="46">
        <f>IF(ISNUMBER(NORMSINV(SUM(M$13:M290)/M$317)),NORMSINV(SUM(M$13:M290)/M$317)," ")</f>
        <v>2.1940978409118856</v>
      </c>
      <c r="O290" s="46">
        <f t="shared" si="101"/>
        <v>0</v>
      </c>
      <c r="P290" s="46" t="str">
        <f>IF(ISNUMBER(NORMSINV(SUM(O$13:O290)/O$317)),NORMSINV(SUM(O$13:O290)/O$317)," ")</f>
        <v xml:space="preserve"> </v>
      </c>
      <c r="Q290" s="46">
        <f t="shared" si="102"/>
        <v>0</v>
      </c>
      <c r="R290" s="46" t="str">
        <f>IF(ISNUMBER(NORMSINV(SUM(Q$13:Q290)/Q$317)),NORMSINV(SUM(Q$13:Q290)/Q$317)," ")</f>
        <v xml:space="preserve"> </v>
      </c>
      <c r="S290" s="46">
        <f t="shared" si="103"/>
        <v>0</v>
      </c>
      <c r="T290" s="46" t="str">
        <f>IF(ISNUMBER(NORMSINV(SUM(S$13:S290)/S$317)),NORMSINV(SUM(S$13:S290)/S$317)," ")</f>
        <v xml:space="preserve"> </v>
      </c>
      <c r="U290" s="46">
        <f t="shared" si="104"/>
        <v>0</v>
      </c>
      <c r="V290" s="46" t="str">
        <f>IF(ISNUMBER(NORMSINV(SUM(U$13:U290)/U$317)),NORMSINV(SUM(U$13:U290)/U$317)," ")</f>
        <v xml:space="preserve"> </v>
      </c>
      <c r="W290" s="46">
        <f t="shared" si="105"/>
        <v>0</v>
      </c>
      <c r="X290" s="46" t="str">
        <f>IF(ISNUMBER(NORMSINV(SUM(W$13:W290)/W$317)),NORMSINV(SUM(W$13:W290)/W$317)," ")</f>
        <v xml:space="preserve"> </v>
      </c>
      <c r="Y290" s="46">
        <f t="shared" si="106"/>
        <v>0</v>
      </c>
      <c r="Z290" s="46" t="str">
        <f>IF(ISNUMBER(NORMSINV(SUM(Y$13:Y290)/Y$317)),NORMSINV(SUM(Y$13:Y290)/Y$317)," ")</f>
        <v xml:space="preserve"> </v>
      </c>
      <c r="AA290" s="46">
        <f t="shared" si="107"/>
        <v>0</v>
      </c>
      <c r="AB290" s="46" t="str">
        <f>IF(ISNUMBER(NORMSINV(SUM(AA$13:AA290)/AA$317)),NORMSINV(SUM(AA$13:AA290)/AA$317)," ")</f>
        <v xml:space="preserve"> </v>
      </c>
      <c r="AC290" s="46">
        <f t="shared" si="108"/>
        <v>0</v>
      </c>
      <c r="AD290" s="46" t="str">
        <f>IF(ISNUMBER(NORMSINV(SUM(AC$13:AC290)/AC$317)),NORMSINV(SUM(AC$13:AC290)/AC$317)," ")</f>
        <v xml:space="preserve"> </v>
      </c>
      <c r="AE290" s="46">
        <f t="shared" si="109"/>
        <v>0</v>
      </c>
      <c r="AF290" s="46" t="str">
        <f>IF(ISNUMBER(NORMSINV(SUM(AE$13:AE290)/AE$317)),NORMSINV(SUM(AE$13:AE290)/AE$317)," ")</f>
        <v xml:space="preserve"> </v>
      </c>
      <c r="AG290" s="46">
        <f t="shared" si="110"/>
        <v>0</v>
      </c>
      <c r="AH290" s="46" t="str">
        <f>IF(ISNUMBER(NORMSINV(SUM(AG$13:AG290)/AG$317)),NORMSINV(SUM(AG$13:AG290)/AG$317)," ")</f>
        <v xml:space="preserve"> </v>
      </c>
      <c r="AI290" s="46">
        <f t="shared" si="111"/>
        <v>0</v>
      </c>
      <c r="AJ290" s="46" t="str">
        <f>IF(ISNUMBER(NORMSINV(SUM(AI$13:AI290)/AI$317)),NORMSINV(SUM(AI$13:AI290)/AI$317)," ")</f>
        <v xml:space="preserve"> </v>
      </c>
      <c r="AK290" s="46">
        <f t="shared" si="112"/>
        <v>0</v>
      </c>
      <c r="AL290" s="46" t="str">
        <f>IF(ISNUMBER(NORMSINV(SUM(AK$13:AK290)/AK$317)),NORMSINV(SUM(AK$13:AK290)/AK$317)," ")</f>
        <v xml:space="preserve"> </v>
      </c>
      <c r="AM290" s="6">
        <v>0</v>
      </c>
      <c r="AN290" s="6">
        <v>0</v>
      </c>
      <c r="AO290" s="6">
        <v>0</v>
      </c>
      <c r="AP290" s="6">
        <v>0</v>
      </c>
      <c r="AQ290" s="6">
        <v>0</v>
      </c>
      <c r="AR290" s="6">
        <v>0</v>
      </c>
      <c r="AS290" s="6">
        <v>0</v>
      </c>
      <c r="AT290" s="6">
        <v>0</v>
      </c>
      <c r="AU290" s="6">
        <v>0</v>
      </c>
    </row>
    <row r="291" spans="1:47" x14ac:dyDescent="0.4">
      <c r="A291" s="6">
        <f t="shared" si="97"/>
        <v>6.672531743287732</v>
      </c>
      <c r="B291" s="6">
        <f>'Aerosol 1'!A295</f>
        <v>790.39414857511952</v>
      </c>
      <c r="C291" t="b">
        <f t="shared" si="98"/>
        <v>1</v>
      </c>
      <c r="E291" s="46">
        <f>'Aerosol 1'!$P295</f>
        <v>9.5046575846846615E-2</v>
      </c>
      <c r="F291" s="46">
        <f>'Aerosol 2'!$P295</f>
        <v>9.5046575846846615E-2</v>
      </c>
      <c r="G291" s="46">
        <f>'Aerosol 3'!$P295</f>
        <v>9.5046575846846615E-2</v>
      </c>
      <c r="H291" s="46">
        <f t="shared" si="99"/>
        <v>0.28513972754053984</v>
      </c>
      <c r="I291" s="46">
        <f>NORMSINV(SUM(H$13:H291)/H$317)</f>
        <v>2.221488503467075</v>
      </c>
      <c r="J291" s="46">
        <f t="shared" si="94"/>
        <v>5.1325150957297172E-2</v>
      </c>
      <c r="K291" s="46">
        <f t="shared" si="95"/>
        <v>0.14256986377026992</v>
      </c>
      <c r="L291" s="46">
        <f t="shared" si="96"/>
        <v>0.28512832195143822</v>
      </c>
      <c r="M291" s="46">
        <f t="shared" si="100"/>
        <v>0.47902333667900532</v>
      </c>
      <c r="N291" s="46">
        <f>IF(ISNUMBER(NORMSINV(SUM(M$13:M291)/M$317)),NORMSINV(SUM(M$13:M291)/M$317)," ")</f>
        <v>2.2214885034670622</v>
      </c>
      <c r="O291" s="46">
        <f t="shared" si="101"/>
        <v>0</v>
      </c>
      <c r="P291" s="46" t="str">
        <f>IF(ISNUMBER(NORMSINV(SUM(O$13:O291)/O$317)),NORMSINV(SUM(O$13:O291)/O$317)," ")</f>
        <v xml:space="preserve"> </v>
      </c>
      <c r="Q291" s="46">
        <f t="shared" si="102"/>
        <v>0</v>
      </c>
      <c r="R291" s="46" t="str">
        <f>IF(ISNUMBER(NORMSINV(SUM(Q$13:Q291)/Q$317)),NORMSINV(SUM(Q$13:Q291)/Q$317)," ")</f>
        <v xml:space="preserve"> </v>
      </c>
      <c r="S291" s="46">
        <f t="shared" si="103"/>
        <v>0</v>
      </c>
      <c r="T291" s="46" t="str">
        <f>IF(ISNUMBER(NORMSINV(SUM(S$13:S291)/S$317)),NORMSINV(SUM(S$13:S291)/S$317)," ")</f>
        <v xml:space="preserve"> </v>
      </c>
      <c r="U291" s="46">
        <f t="shared" si="104"/>
        <v>0</v>
      </c>
      <c r="V291" s="46" t="str">
        <f>IF(ISNUMBER(NORMSINV(SUM(U$13:U291)/U$317)),NORMSINV(SUM(U$13:U291)/U$317)," ")</f>
        <v xml:space="preserve"> </v>
      </c>
      <c r="W291" s="46">
        <f t="shared" si="105"/>
        <v>0</v>
      </c>
      <c r="X291" s="46" t="str">
        <f>IF(ISNUMBER(NORMSINV(SUM(W$13:W291)/W$317)),NORMSINV(SUM(W$13:W291)/W$317)," ")</f>
        <v xml:space="preserve"> </v>
      </c>
      <c r="Y291" s="46">
        <f t="shared" si="106"/>
        <v>0</v>
      </c>
      <c r="Z291" s="46" t="str">
        <f>IF(ISNUMBER(NORMSINV(SUM(Y$13:Y291)/Y$317)),NORMSINV(SUM(Y$13:Y291)/Y$317)," ")</f>
        <v xml:space="preserve"> </v>
      </c>
      <c r="AA291" s="46">
        <f t="shared" si="107"/>
        <v>0</v>
      </c>
      <c r="AB291" s="46" t="str">
        <f>IF(ISNUMBER(NORMSINV(SUM(AA$13:AA291)/AA$317)),NORMSINV(SUM(AA$13:AA291)/AA$317)," ")</f>
        <v xml:space="preserve"> </v>
      </c>
      <c r="AC291" s="46">
        <f t="shared" si="108"/>
        <v>0</v>
      </c>
      <c r="AD291" s="46" t="str">
        <f>IF(ISNUMBER(NORMSINV(SUM(AC$13:AC291)/AC$317)),NORMSINV(SUM(AC$13:AC291)/AC$317)," ")</f>
        <v xml:space="preserve"> </v>
      </c>
      <c r="AE291" s="46">
        <f t="shared" si="109"/>
        <v>0</v>
      </c>
      <c r="AF291" s="46" t="str">
        <f>IF(ISNUMBER(NORMSINV(SUM(AE$13:AE291)/AE$317)),NORMSINV(SUM(AE$13:AE291)/AE$317)," ")</f>
        <v xml:space="preserve"> </v>
      </c>
      <c r="AG291" s="46">
        <f t="shared" si="110"/>
        <v>0</v>
      </c>
      <c r="AH291" s="46" t="str">
        <f>IF(ISNUMBER(NORMSINV(SUM(AG$13:AG291)/AG$317)),NORMSINV(SUM(AG$13:AG291)/AG$317)," ")</f>
        <v xml:space="preserve"> </v>
      </c>
      <c r="AI291" s="46">
        <f t="shared" si="111"/>
        <v>0</v>
      </c>
      <c r="AJ291" s="46" t="str">
        <f>IF(ISNUMBER(NORMSINV(SUM(AI$13:AI291)/AI$317)),NORMSINV(SUM(AI$13:AI291)/AI$317)," ")</f>
        <v xml:space="preserve"> </v>
      </c>
      <c r="AK291" s="46">
        <f t="shared" si="112"/>
        <v>0</v>
      </c>
      <c r="AL291" s="46" t="str">
        <f>IF(ISNUMBER(NORMSINV(SUM(AK$13:AK291)/AK$317)),NORMSINV(SUM(AK$13:AK291)/AK$317)," ")</f>
        <v xml:space="preserve"> </v>
      </c>
      <c r="AM291" s="6">
        <v>0</v>
      </c>
      <c r="AN291" s="6">
        <v>0</v>
      </c>
      <c r="AO291" s="6">
        <v>0</v>
      </c>
      <c r="AP291" s="6">
        <v>0</v>
      </c>
      <c r="AQ291" s="6">
        <v>0</v>
      </c>
      <c r="AR291" s="6">
        <v>0</v>
      </c>
      <c r="AS291" s="6">
        <v>0</v>
      </c>
      <c r="AT291" s="6">
        <v>0</v>
      </c>
      <c r="AU291" s="6">
        <v>0</v>
      </c>
    </row>
    <row r="292" spans="1:47" x14ac:dyDescent="0.4">
      <c r="A292" s="6">
        <f t="shared" si="97"/>
        <v>6.7070103207189105</v>
      </c>
      <c r="B292" s="6">
        <f>'Aerosol 1'!A296</f>
        <v>818.1210599642767</v>
      </c>
      <c r="C292" t="b">
        <f t="shared" si="98"/>
        <v>1</v>
      </c>
      <c r="E292" s="46">
        <f>'Aerosol 1'!$P296</f>
        <v>9.0972683325285519E-2</v>
      </c>
      <c r="F292" s="46">
        <f>'Aerosol 2'!$P296</f>
        <v>9.0972683325285519E-2</v>
      </c>
      <c r="G292" s="46">
        <f>'Aerosol 3'!$P296</f>
        <v>9.0972683325285519E-2</v>
      </c>
      <c r="H292" s="46">
        <f t="shared" si="99"/>
        <v>0.27291804997585656</v>
      </c>
      <c r="I292" s="46">
        <f>NORMSINV(SUM(H$13:H292)/H$317)</f>
        <v>2.2493648049191473</v>
      </c>
      <c r="J292" s="46">
        <f t="shared" si="94"/>
        <v>4.912524899565418E-2</v>
      </c>
      <c r="K292" s="46">
        <f t="shared" si="95"/>
        <v>0.13645902498792828</v>
      </c>
      <c r="L292" s="46">
        <f t="shared" si="96"/>
        <v>0.27290713325385751</v>
      </c>
      <c r="M292" s="46">
        <f t="shared" si="100"/>
        <v>0.45849140723743997</v>
      </c>
      <c r="N292" s="46">
        <f>IF(ISNUMBER(NORMSINV(SUM(M$13:M292)/M$317)),NORMSINV(SUM(M$13:M292)/M$317)," ")</f>
        <v>2.2493648049191366</v>
      </c>
      <c r="O292" s="46">
        <f t="shared" si="101"/>
        <v>0</v>
      </c>
      <c r="P292" s="46" t="str">
        <f>IF(ISNUMBER(NORMSINV(SUM(O$13:O292)/O$317)),NORMSINV(SUM(O$13:O292)/O$317)," ")</f>
        <v xml:space="preserve"> </v>
      </c>
      <c r="Q292" s="46">
        <f t="shared" si="102"/>
        <v>0</v>
      </c>
      <c r="R292" s="46" t="str">
        <f>IF(ISNUMBER(NORMSINV(SUM(Q$13:Q292)/Q$317)),NORMSINV(SUM(Q$13:Q292)/Q$317)," ")</f>
        <v xml:space="preserve"> </v>
      </c>
      <c r="S292" s="46">
        <f t="shared" si="103"/>
        <v>0</v>
      </c>
      <c r="T292" s="46" t="str">
        <f>IF(ISNUMBER(NORMSINV(SUM(S$13:S292)/S$317)),NORMSINV(SUM(S$13:S292)/S$317)," ")</f>
        <v xml:space="preserve"> </v>
      </c>
      <c r="U292" s="46">
        <f t="shared" si="104"/>
        <v>0</v>
      </c>
      <c r="V292" s="46" t="str">
        <f>IF(ISNUMBER(NORMSINV(SUM(U$13:U292)/U$317)),NORMSINV(SUM(U$13:U292)/U$317)," ")</f>
        <v xml:space="preserve"> </v>
      </c>
      <c r="W292" s="46">
        <f t="shared" si="105"/>
        <v>0</v>
      </c>
      <c r="X292" s="46" t="str">
        <f>IF(ISNUMBER(NORMSINV(SUM(W$13:W292)/W$317)),NORMSINV(SUM(W$13:W292)/W$317)," ")</f>
        <v xml:space="preserve"> </v>
      </c>
      <c r="Y292" s="46">
        <f t="shared" si="106"/>
        <v>0</v>
      </c>
      <c r="Z292" s="46" t="str">
        <f>IF(ISNUMBER(NORMSINV(SUM(Y$13:Y292)/Y$317)),NORMSINV(SUM(Y$13:Y292)/Y$317)," ")</f>
        <v xml:space="preserve"> </v>
      </c>
      <c r="AA292" s="46">
        <f t="shared" si="107"/>
        <v>0</v>
      </c>
      <c r="AB292" s="46" t="str">
        <f>IF(ISNUMBER(NORMSINV(SUM(AA$13:AA292)/AA$317)),NORMSINV(SUM(AA$13:AA292)/AA$317)," ")</f>
        <v xml:space="preserve"> </v>
      </c>
      <c r="AC292" s="46">
        <f t="shared" si="108"/>
        <v>0</v>
      </c>
      <c r="AD292" s="46" t="str">
        <f>IF(ISNUMBER(NORMSINV(SUM(AC$13:AC292)/AC$317)),NORMSINV(SUM(AC$13:AC292)/AC$317)," ")</f>
        <v xml:space="preserve"> </v>
      </c>
      <c r="AE292" s="46">
        <f t="shared" si="109"/>
        <v>0</v>
      </c>
      <c r="AF292" s="46" t="str">
        <f>IF(ISNUMBER(NORMSINV(SUM(AE$13:AE292)/AE$317)),NORMSINV(SUM(AE$13:AE292)/AE$317)," ")</f>
        <v xml:space="preserve"> </v>
      </c>
      <c r="AG292" s="46">
        <f t="shared" si="110"/>
        <v>0</v>
      </c>
      <c r="AH292" s="46" t="str">
        <f>IF(ISNUMBER(NORMSINV(SUM(AG$13:AG292)/AG$317)),NORMSINV(SUM(AG$13:AG292)/AG$317)," ")</f>
        <v xml:space="preserve"> </v>
      </c>
      <c r="AI292" s="46">
        <f t="shared" si="111"/>
        <v>0</v>
      </c>
      <c r="AJ292" s="46" t="str">
        <f>IF(ISNUMBER(NORMSINV(SUM(AI$13:AI292)/AI$317)),NORMSINV(SUM(AI$13:AI292)/AI$317)," ")</f>
        <v xml:space="preserve"> </v>
      </c>
      <c r="AK292" s="46">
        <f t="shared" si="112"/>
        <v>0</v>
      </c>
      <c r="AL292" s="46" t="str">
        <f>IF(ISNUMBER(NORMSINV(SUM(AK$13:AK292)/AK$317)),NORMSINV(SUM(AK$13:AK292)/AK$317)," ")</f>
        <v xml:space="preserve"> </v>
      </c>
      <c r="AM292" s="6">
        <v>0</v>
      </c>
      <c r="AN292" s="6">
        <v>0</v>
      </c>
      <c r="AO292" s="6">
        <v>0</v>
      </c>
      <c r="AP292" s="6">
        <v>0</v>
      </c>
      <c r="AQ292" s="6">
        <v>0</v>
      </c>
      <c r="AR292" s="6">
        <v>0</v>
      </c>
      <c r="AS292" s="6">
        <v>0</v>
      </c>
      <c r="AT292" s="6">
        <v>0</v>
      </c>
      <c r="AU292" s="6">
        <v>0</v>
      </c>
    </row>
    <row r="293" spans="1:47" x14ac:dyDescent="0.4">
      <c r="A293" s="6">
        <f t="shared" si="97"/>
        <v>6.7414888981500898</v>
      </c>
      <c r="B293" s="6">
        <f>'Aerosol 1'!A297</f>
        <v>846.82062735875547</v>
      </c>
      <c r="C293" t="b">
        <f t="shared" si="98"/>
        <v>1</v>
      </c>
      <c r="E293" s="46">
        <f>'Aerosol 1'!$P297</f>
        <v>8.7035333702278894E-2</v>
      </c>
      <c r="F293" s="46">
        <f>'Aerosol 2'!$P297</f>
        <v>8.7035333702278894E-2</v>
      </c>
      <c r="G293" s="46">
        <f>'Aerosol 3'!$P297</f>
        <v>8.7035333702278894E-2</v>
      </c>
      <c r="H293" s="46">
        <f t="shared" si="99"/>
        <v>0.26110600110683668</v>
      </c>
      <c r="I293" s="46">
        <f>NORMSINV(SUM(H$13:H293)/H$317)</f>
        <v>2.2777774262262582</v>
      </c>
      <c r="J293" s="46">
        <f t="shared" si="94"/>
        <v>4.6999080199230603E-2</v>
      </c>
      <c r="K293" s="46">
        <f t="shared" si="95"/>
        <v>0.13055300055341834</v>
      </c>
      <c r="L293" s="46">
        <f t="shared" si="96"/>
        <v>0.26109555686679242</v>
      </c>
      <c r="M293" s="46">
        <f t="shared" si="100"/>
        <v>0.43864763761944137</v>
      </c>
      <c r="N293" s="46">
        <f>IF(ISNUMBER(NORMSINV(SUM(M$13:M293)/M$317)),NORMSINV(SUM(M$13:M293)/M$317)," ")</f>
        <v>2.2777774262262458</v>
      </c>
      <c r="O293" s="46">
        <f t="shared" si="101"/>
        <v>0</v>
      </c>
      <c r="P293" s="46" t="str">
        <f>IF(ISNUMBER(NORMSINV(SUM(O$13:O293)/O$317)),NORMSINV(SUM(O$13:O293)/O$317)," ")</f>
        <v xml:space="preserve"> </v>
      </c>
      <c r="Q293" s="46">
        <f t="shared" si="102"/>
        <v>0</v>
      </c>
      <c r="R293" s="46" t="str">
        <f>IF(ISNUMBER(NORMSINV(SUM(Q$13:Q293)/Q$317)),NORMSINV(SUM(Q$13:Q293)/Q$317)," ")</f>
        <v xml:space="preserve"> </v>
      </c>
      <c r="S293" s="46">
        <f t="shared" si="103"/>
        <v>0</v>
      </c>
      <c r="T293" s="46" t="str">
        <f>IF(ISNUMBER(NORMSINV(SUM(S$13:S293)/S$317)),NORMSINV(SUM(S$13:S293)/S$317)," ")</f>
        <v xml:space="preserve"> </v>
      </c>
      <c r="U293" s="46">
        <f t="shared" si="104"/>
        <v>0</v>
      </c>
      <c r="V293" s="46" t="str">
        <f>IF(ISNUMBER(NORMSINV(SUM(U$13:U293)/U$317)),NORMSINV(SUM(U$13:U293)/U$317)," ")</f>
        <v xml:space="preserve"> </v>
      </c>
      <c r="W293" s="46">
        <f t="shared" si="105"/>
        <v>0</v>
      </c>
      <c r="X293" s="46" t="str">
        <f>IF(ISNUMBER(NORMSINV(SUM(W$13:W293)/W$317)),NORMSINV(SUM(W$13:W293)/W$317)," ")</f>
        <v xml:space="preserve"> </v>
      </c>
      <c r="Y293" s="46">
        <f t="shared" si="106"/>
        <v>0</v>
      </c>
      <c r="Z293" s="46" t="str">
        <f>IF(ISNUMBER(NORMSINV(SUM(Y$13:Y293)/Y$317)),NORMSINV(SUM(Y$13:Y293)/Y$317)," ")</f>
        <v xml:space="preserve"> </v>
      </c>
      <c r="AA293" s="46">
        <f t="shared" si="107"/>
        <v>0</v>
      </c>
      <c r="AB293" s="46" t="str">
        <f>IF(ISNUMBER(NORMSINV(SUM(AA$13:AA293)/AA$317)),NORMSINV(SUM(AA$13:AA293)/AA$317)," ")</f>
        <v xml:space="preserve"> </v>
      </c>
      <c r="AC293" s="46">
        <f t="shared" si="108"/>
        <v>0</v>
      </c>
      <c r="AD293" s="46" t="str">
        <f>IF(ISNUMBER(NORMSINV(SUM(AC$13:AC293)/AC$317)),NORMSINV(SUM(AC$13:AC293)/AC$317)," ")</f>
        <v xml:space="preserve"> </v>
      </c>
      <c r="AE293" s="46">
        <f t="shared" si="109"/>
        <v>0</v>
      </c>
      <c r="AF293" s="46" t="str">
        <f>IF(ISNUMBER(NORMSINV(SUM(AE$13:AE293)/AE$317)),NORMSINV(SUM(AE$13:AE293)/AE$317)," ")</f>
        <v xml:space="preserve"> </v>
      </c>
      <c r="AG293" s="46">
        <f t="shared" si="110"/>
        <v>0</v>
      </c>
      <c r="AH293" s="46" t="str">
        <f>IF(ISNUMBER(NORMSINV(SUM(AG$13:AG293)/AG$317)),NORMSINV(SUM(AG$13:AG293)/AG$317)," ")</f>
        <v xml:space="preserve"> </v>
      </c>
      <c r="AI293" s="46">
        <f t="shared" si="111"/>
        <v>0</v>
      </c>
      <c r="AJ293" s="46" t="str">
        <f>IF(ISNUMBER(NORMSINV(SUM(AI$13:AI293)/AI$317)),NORMSINV(SUM(AI$13:AI293)/AI$317)," ")</f>
        <v xml:space="preserve"> </v>
      </c>
      <c r="AK293" s="46">
        <f t="shared" si="112"/>
        <v>0</v>
      </c>
      <c r="AL293" s="46" t="str">
        <f>IF(ISNUMBER(NORMSINV(SUM(AK$13:AK293)/AK$317)),NORMSINV(SUM(AK$13:AK293)/AK$317)," ")</f>
        <v xml:space="preserve"> </v>
      </c>
      <c r="AM293" s="6">
        <v>0</v>
      </c>
      <c r="AN293" s="6">
        <v>0</v>
      </c>
      <c r="AO293" s="6">
        <v>0</v>
      </c>
      <c r="AP293" s="6">
        <v>0</v>
      </c>
      <c r="AQ293" s="6">
        <v>0</v>
      </c>
      <c r="AR293" s="6">
        <v>0</v>
      </c>
      <c r="AS293" s="6">
        <v>0</v>
      </c>
      <c r="AT293" s="6">
        <v>0</v>
      </c>
      <c r="AU293" s="6">
        <v>0</v>
      </c>
    </row>
    <row r="294" spans="1:47" x14ac:dyDescent="0.4">
      <c r="A294" s="6">
        <f t="shared" si="97"/>
        <v>6.7759674755812682</v>
      </c>
      <c r="B294" s="6">
        <f>'Aerosol 1'!A298</f>
        <v>876.52697138928079</v>
      </c>
      <c r="C294" t="b">
        <f t="shared" si="98"/>
        <v>1</v>
      </c>
      <c r="E294" s="46">
        <f>'Aerosol 1'!$P298</f>
        <v>8.3231985996956581E-2</v>
      </c>
      <c r="F294" s="46">
        <f>'Aerosol 2'!$P298</f>
        <v>8.3231985996956581E-2</v>
      </c>
      <c r="G294" s="46">
        <f>'Aerosol 3'!$P298</f>
        <v>8.3231985996956581E-2</v>
      </c>
      <c r="H294" s="46">
        <f t="shared" si="99"/>
        <v>0.24969595799086974</v>
      </c>
      <c r="I294" s="46">
        <f>NORMSINV(SUM(H$13:H294)/H$317)</f>
        <v>2.3067844923705088</v>
      </c>
      <c r="J294" s="46">
        <f t="shared" si="94"/>
        <v>4.4945272438356554E-2</v>
      </c>
      <c r="K294" s="46">
        <f t="shared" si="95"/>
        <v>0.12484797899543487</v>
      </c>
      <c r="L294" s="46">
        <f t="shared" si="96"/>
        <v>0.24968597015255012</v>
      </c>
      <c r="M294" s="46">
        <f t="shared" si="100"/>
        <v>0.41947922158634154</v>
      </c>
      <c r="N294" s="46">
        <f>IF(ISNUMBER(NORMSINV(SUM(M$13:M294)/M$317)),NORMSINV(SUM(M$13:M294)/M$317)," ")</f>
        <v>2.3067844923705012</v>
      </c>
      <c r="O294" s="46">
        <f t="shared" si="101"/>
        <v>0</v>
      </c>
      <c r="P294" s="46" t="str">
        <f>IF(ISNUMBER(NORMSINV(SUM(O$13:O294)/O$317)),NORMSINV(SUM(O$13:O294)/O$317)," ")</f>
        <v xml:space="preserve"> </v>
      </c>
      <c r="Q294" s="46">
        <f t="shared" si="102"/>
        <v>0</v>
      </c>
      <c r="R294" s="46" t="str">
        <f>IF(ISNUMBER(NORMSINV(SUM(Q$13:Q294)/Q$317)),NORMSINV(SUM(Q$13:Q294)/Q$317)," ")</f>
        <v xml:space="preserve"> </v>
      </c>
      <c r="S294" s="46">
        <f t="shared" si="103"/>
        <v>0</v>
      </c>
      <c r="T294" s="46" t="str">
        <f>IF(ISNUMBER(NORMSINV(SUM(S$13:S294)/S$317)),NORMSINV(SUM(S$13:S294)/S$317)," ")</f>
        <v xml:space="preserve"> </v>
      </c>
      <c r="U294" s="46">
        <f t="shared" si="104"/>
        <v>0</v>
      </c>
      <c r="V294" s="46" t="str">
        <f>IF(ISNUMBER(NORMSINV(SUM(U$13:U294)/U$317)),NORMSINV(SUM(U$13:U294)/U$317)," ")</f>
        <v xml:space="preserve"> </v>
      </c>
      <c r="W294" s="46">
        <f t="shared" si="105"/>
        <v>0</v>
      </c>
      <c r="X294" s="46" t="str">
        <f>IF(ISNUMBER(NORMSINV(SUM(W$13:W294)/W$317)),NORMSINV(SUM(W$13:W294)/W$317)," ")</f>
        <v xml:space="preserve"> </v>
      </c>
      <c r="Y294" s="46">
        <f t="shared" si="106"/>
        <v>0</v>
      </c>
      <c r="Z294" s="46" t="str">
        <f>IF(ISNUMBER(NORMSINV(SUM(Y$13:Y294)/Y$317)),NORMSINV(SUM(Y$13:Y294)/Y$317)," ")</f>
        <v xml:space="preserve"> </v>
      </c>
      <c r="AA294" s="46">
        <f t="shared" si="107"/>
        <v>0</v>
      </c>
      <c r="AB294" s="46" t="str">
        <f>IF(ISNUMBER(NORMSINV(SUM(AA$13:AA294)/AA$317)),NORMSINV(SUM(AA$13:AA294)/AA$317)," ")</f>
        <v xml:space="preserve"> </v>
      </c>
      <c r="AC294" s="46">
        <f t="shared" si="108"/>
        <v>0</v>
      </c>
      <c r="AD294" s="46" t="str">
        <f>IF(ISNUMBER(NORMSINV(SUM(AC$13:AC294)/AC$317)),NORMSINV(SUM(AC$13:AC294)/AC$317)," ")</f>
        <v xml:space="preserve"> </v>
      </c>
      <c r="AE294" s="46">
        <f t="shared" si="109"/>
        <v>0</v>
      </c>
      <c r="AF294" s="46" t="str">
        <f>IF(ISNUMBER(NORMSINV(SUM(AE$13:AE294)/AE$317)),NORMSINV(SUM(AE$13:AE294)/AE$317)," ")</f>
        <v xml:space="preserve"> </v>
      </c>
      <c r="AG294" s="46">
        <f t="shared" si="110"/>
        <v>0</v>
      </c>
      <c r="AH294" s="46" t="str">
        <f>IF(ISNUMBER(NORMSINV(SUM(AG$13:AG294)/AG$317)),NORMSINV(SUM(AG$13:AG294)/AG$317)," ")</f>
        <v xml:space="preserve"> </v>
      </c>
      <c r="AI294" s="46">
        <f t="shared" si="111"/>
        <v>0</v>
      </c>
      <c r="AJ294" s="46" t="str">
        <f>IF(ISNUMBER(NORMSINV(SUM(AI$13:AI294)/AI$317)),NORMSINV(SUM(AI$13:AI294)/AI$317)," ")</f>
        <v xml:space="preserve"> </v>
      </c>
      <c r="AK294" s="46">
        <f t="shared" si="112"/>
        <v>0</v>
      </c>
      <c r="AL294" s="46" t="str">
        <f>IF(ISNUMBER(NORMSINV(SUM(AK$13:AK294)/AK$317)),NORMSINV(SUM(AK$13:AK294)/AK$317)," ")</f>
        <v xml:space="preserve"> </v>
      </c>
      <c r="AM294" s="6">
        <v>0</v>
      </c>
      <c r="AN294" s="6">
        <v>0</v>
      </c>
      <c r="AO294" s="6">
        <v>0</v>
      </c>
      <c r="AP294" s="6">
        <v>0</v>
      </c>
      <c r="AQ294" s="6">
        <v>0</v>
      </c>
      <c r="AR294" s="6">
        <v>0</v>
      </c>
      <c r="AS294" s="6">
        <v>0</v>
      </c>
      <c r="AT294" s="6">
        <v>0</v>
      </c>
      <c r="AU294" s="6">
        <v>0</v>
      </c>
    </row>
    <row r="295" spans="1:47" x14ac:dyDescent="0.4">
      <c r="A295" s="6">
        <f t="shared" si="97"/>
        <v>6.8104460530124475</v>
      </c>
      <c r="B295" s="6">
        <f>'Aerosol 1'!A299</f>
        <v>907.27540963332683</v>
      </c>
      <c r="C295" t="b">
        <f t="shared" si="98"/>
        <v>1</v>
      </c>
      <c r="E295" s="46">
        <f>'Aerosol 1'!$P299</f>
        <v>7.956003780409393E-2</v>
      </c>
      <c r="F295" s="46">
        <f>'Aerosol 2'!$P299</f>
        <v>7.956003780409393E-2</v>
      </c>
      <c r="G295" s="46">
        <f>'Aerosol 3'!$P299</f>
        <v>7.956003780409393E-2</v>
      </c>
      <c r="H295" s="46">
        <f t="shared" si="99"/>
        <v>0.23868011341228179</v>
      </c>
      <c r="I295" s="46">
        <f>NORMSINV(SUM(H$13:H295)/H$317)</f>
        <v>2.3364530766288478</v>
      </c>
      <c r="J295" s="46">
        <f t="shared" si="94"/>
        <v>4.2962420414210722E-2</v>
      </c>
      <c r="K295" s="46">
        <f t="shared" si="95"/>
        <v>0.1193400567061409</v>
      </c>
      <c r="L295" s="46">
        <f t="shared" si="96"/>
        <v>0.23867056620774532</v>
      </c>
      <c r="M295" s="46">
        <f t="shared" si="100"/>
        <v>0.40097304332809691</v>
      </c>
      <c r="N295" s="46">
        <f>IF(ISNUMBER(NORMSINV(SUM(M$13:M295)/M$317)),NORMSINV(SUM(M$13:M295)/M$317)," ")</f>
        <v>2.3364530766288394</v>
      </c>
      <c r="O295" s="46">
        <f t="shared" si="101"/>
        <v>0</v>
      </c>
      <c r="P295" s="46" t="str">
        <f>IF(ISNUMBER(NORMSINV(SUM(O$13:O295)/O$317)),NORMSINV(SUM(O$13:O295)/O$317)," ")</f>
        <v xml:space="preserve"> </v>
      </c>
      <c r="Q295" s="46">
        <f t="shared" si="102"/>
        <v>0</v>
      </c>
      <c r="R295" s="46" t="str">
        <f>IF(ISNUMBER(NORMSINV(SUM(Q$13:Q295)/Q$317)),NORMSINV(SUM(Q$13:Q295)/Q$317)," ")</f>
        <v xml:space="preserve"> </v>
      </c>
      <c r="S295" s="46">
        <f t="shared" si="103"/>
        <v>0</v>
      </c>
      <c r="T295" s="46" t="str">
        <f>IF(ISNUMBER(NORMSINV(SUM(S$13:S295)/S$317)),NORMSINV(SUM(S$13:S295)/S$317)," ")</f>
        <v xml:space="preserve"> </v>
      </c>
      <c r="U295" s="46">
        <f t="shared" si="104"/>
        <v>0</v>
      </c>
      <c r="V295" s="46" t="str">
        <f>IF(ISNUMBER(NORMSINV(SUM(U$13:U295)/U$317)),NORMSINV(SUM(U$13:U295)/U$317)," ")</f>
        <v xml:space="preserve"> </v>
      </c>
      <c r="W295" s="46">
        <f t="shared" si="105"/>
        <v>0</v>
      </c>
      <c r="X295" s="46" t="str">
        <f>IF(ISNUMBER(NORMSINV(SUM(W$13:W295)/W$317)),NORMSINV(SUM(W$13:W295)/W$317)," ")</f>
        <v xml:space="preserve"> </v>
      </c>
      <c r="Y295" s="46">
        <f t="shared" si="106"/>
        <v>0</v>
      </c>
      <c r="Z295" s="46" t="str">
        <f>IF(ISNUMBER(NORMSINV(SUM(Y$13:Y295)/Y$317)),NORMSINV(SUM(Y$13:Y295)/Y$317)," ")</f>
        <v xml:space="preserve"> </v>
      </c>
      <c r="AA295" s="46">
        <f t="shared" si="107"/>
        <v>0</v>
      </c>
      <c r="AB295" s="46" t="str">
        <f>IF(ISNUMBER(NORMSINV(SUM(AA$13:AA295)/AA$317)),NORMSINV(SUM(AA$13:AA295)/AA$317)," ")</f>
        <v xml:space="preserve"> </v>
      </c>
      <c r="AC295" s="46">
        <f t="shared" si="108"/>
        <v>0</v>
      </c>
      <c r="AD295" s="46" t="str">
        <f>IF(ISNUMBER(NORMSINV(SUM(AC$13:AC295)/AC$317)),NORMSINV(SUM(AC$13:AC295)/AC$317)," ")</f>
        <v xml:space="preserve"> </v>
      </c>
      <c r="AE295" s="46">
        <f t="shared" si="109"/>
        <v>0</v>
      </c>
      <c r="AF295" s="46" t="str">
        <f>IF(ISNUMBER(NORMSINV(SUM(AE$13:AE295)/AE$317)),NORMSINV(SUM(AE$13:AE295)/AE$317)," ")</f>
        <v xml:space="preserve"> </v>
      </c>
      <c r="AG295" s="46">
        <f t="shared" si="110"/>
        <v>0</v>
      </c>
      <c r="AH295" s="46" t="str">
        <f>IF(ISNUMBER(NORMSINV(SUM(AG$13:AG295)/AG$317)),NORMSINV(SUM(AG$13:AG295)/AG$317)," ")</f>
        <v xml:space="preserve"> </v>
      </c>
      <c r="AI295" s="46">
        <f t="shared" si="111"/>
        <v>0</v>
      </c>
      <c r="AJ295" s="46" t="str">
        <f>IF(ISNUMBER(NORMSINV(SUM(AI$13:AI295)/AI$317)),NORMSINV(SUM(AI$13:AI295)/AI$317)," ")</f>
        <v xml:space="preserve"> </v>
      </c>
      <c r="AK295" s="46">
        <f t="shared" si="112"/>
        <v>0</v>
      </c>
      <c r="AL295" s="46" t="str">
        <f>IF(ISNUMBER(NORMSINV(SUM(AK$13:AK295)/AK$317)),NORMSINV(SUM(AK$13:AK295)/AK$317)," ")</f>
        <v xml:space="preserve"> </v>
      </c>
      <c r="AM295" s="6">
        <v>0</v>
      </c>
      <c r="AN295" s="6">
        <v>0</v>
      </c>
      <c r="AO295" s="6">
        <v>0</v>
      </c>
      <c r="AP295" s="6">
        <v>0</v>
      </c>
      <c r="AQ295" s="6">
        <v>0</v>
      </c>
      <c r="AR295" s="6">
        <v>0</v>
      </c>
      <c r="AS295" s="6">
        <v>0</v>
      </c>
      <c r="AT295" s="6">
        <v>0</v>
      </c>
      <c r="AU295" s="6">
        <v>0</v>
      </c>
    </row>
    <row r="296" spans="1:47" x14ac:dyDescent="0.4">
      <c r="A296" s="6">
        <f t="shared" si="97"/>
        <v>6.844924630443626</v>
      </c>
      <c r="B296" s="6">
        <f>'Aerosol 1'!A300</f>
        <v>939.10249860382874</v>
      </c>
      <c r="C296" t="b">
        <f t="shared" si="98"/>
        <v>1</v>
      </c>
      <c r="E296" s="46">
        <f>'Aerosol 1'!$P300</f>
        <v>7.6016832428693615E-2</v>
      </c>
      <c r="F296" s="46">
        <f>'Aerosol 2'!$P300</f>
        <v>7.6016832428693615E-2</v>
      </c>
      <c r="G296" s="46">
        <f>'Aerosol 3'!$P300</f>
        <v>7.6016832428693615E-2</v>
      </c>
      <c r="H296" s="46">
        <f t="shared" si="99"/>
        <v>0.22805049728608084</v>
      </c>
      <c r="I296" s="46">
        <f>NORMSINV(SUM(H$13:H296)/H$317)</f>
        <v>2.3668611060184115</v>
      </c>
      <c r="J296" s="46">
        <f t="shared" si="94"/>
        <v>4.1049089511494552E-2</v>
      </c>
      <c r="K296" s="46">
        <f t="shared" si="95"/>
        <v>0.11402524864304042</v>
      </c>
      <c r="L296" s="46">
        <f t="shared" si="96"/>
        <v>0.22804137526618942</v>
      </c>
      <c r="M296" s="46">
        <f t="shared" si="100"/>
        <v>0.38311571342072437</v>
      </c>
      <c r="N296" s="46">
        <f>IF(ISNUMBER(NORMSINV(SUM(M$13:M296)/M$317)),NORMSINV(SUM(M$13:M296)/M$317)," ")</f>
        <v>2.3668611060184079</v>
      </c>
      <c r="O296" s="46">
        <f t="shared" si="101"/>
        <v>0</v>
      </c>
      <c r="P296" s="46" t="str">
        <f>IF(ISNUMBER(NORMSINV(SUM(O$13:O296)/O$317)),NORMSINV(SUM(O$13:O296)/O$317)," ")</f>
        <v xml:space="preserve"> </v>
      </c>
      <c r="Q296" s="46">
        <f t="shared" si="102"/>
        <v>0</v>
      </c>
      <c r="R296" s="46" t="str">
        <f>IF(ISNUMBER(NORMSINV(SUM(Q$13:Q296)/Q$317)),NORMSINV(SUM(Q$13:Q296)/Q$317)," ")</f>
        <v xml:space="preserve"> </v>
      </c>
      <c r="S296" s="46">
        <f t="shared" si="103"/>
        <v>0</v>
      </c>
      <c r="T296" s="46" t="str">
        <f>IF(ISNUMBER(NORMSINV(SUM(S$13:S296)/S$317)),NORMSINV(SUM(S$13:S296)/S$317)," ")</f>
        <v xml:space="preserve"> </v>
      </c>
      <c r="U296" s="46">
        <f t="shared" si="104"/>
        <v>0</v>
      </c>
      <c r="V296" s="46" t="str">
        <f>IF(ISNUMBER(NORMSINV(SUM(U$13:U296)/U$317)),NORMSINV(SUM(U$13:U296)/U$317)," ")</f>
        <v xml:space="preserve"> </v>
      </c>
      <c r="W296" s="46">
        <f t="shared" si="105"/>
        <v>0</v>
      </c>
      <c r="X296" s="46" t="str">
        <f>IF(ISNUMBER(NORMSINV(SUM(W$13:W296)/W$317)),NORMSINV(SUM(W$13:W296)/W$317)," ")</f>
        <v xml:space="preserve"> </v>
      </c>
      <c r="Y296" s="46">
        <f t="shared" si="106"/>
        <v>0</v>
      </c>
      <c r="Z296" s="46" t="str">
        <f>IF(ISNUMBER(NORMSINV(SUM(Y$13:Y296)/Y$317)),NORMSINV(SUM(Y$13:Y296)/Y$317)," ")</f>
        <v xml:space="preserve"> </v>
      </c>
      <c r="AA296" s="46">
        <f t="shared" si="107"/>
        <v>0</v>
      </c>
      <c r="AB296" s="46" t="str">
        <f>IF(ISNUMBER(NORMSINV(SUM(AA$13:AA296)/AA$317)),NORMSINV(SUM(AA$13:AA296)/AA$317)," ")</f>
        <v xml:space="preserve"> </v>
      </c>
      <c r="AC296" s="46">
        <f t="shared" si="108"/>
        <v>0</v>
      </c>
      <c r="AD296" s="46" t="str">
        <f>IF(ISNUMBER(NORMSINV(SUM(AC$13:AC296)/AC$317)),NORMSINV(SUM(AC$13:AC296)/AC$317)," ")</f>
        <v xml:space="preserve"> </v>
      </c>
      <c r="AE296" s="46">
        <f t="shared" si="109"/>
        <v>0</v>
      </c>
      <c r="AF296" s="46" t="str">
        <f>IF(ISNUMBER(NORMSINV(SUM(AE$13:AE296)/AE$317)),NORMSINV(SUM(AE$13:AE296)/AE$317)," ")</f>
        <v xml:space="preserve"> </v>
      </c>
      <c r="AG296" s="46">
        <f t="shared" si="110"/>
        <v>0</v>
      </c>
      <c r="AH296" s="46" t="str">
        <f>IF(ISNUMBER(NORMSINV(SUM(AG$13:AG296)/AG$317)),NORMSINV(SUM(AG$13:AG296)/AG$317)," ")</f>
        <v xml:space="preserve"> </v>
      </c>
      <c r="AI296" s="46">
        <f t="shared" si="111"/>
        <v>0</v>
      </c>
      <c r="AJ296" s="46" t="str">
        <f>IF(ISNUMBER(NORMSINV(SUM(AI$13:AI296)/AI$317)),NORMSINV(SUM(AI$13:AI296)/AI$317)," ")</f>
        <v xml:space="preserve"> </v>
      </c>
      <c r="AK296" s="46">
        <f t="shared" si="112"/>
        <v>0</v>
      </c>
      <c r="AL296" s="46" t="str">
        <f>IF(ISNUMBER(NORMSINV(SUM(AK$13:AK296)/AK$317)),NORMSINV(SUM(AK$13:AK296)/AK$317)," ")</f>
        <v xml:space="preserve"> </v>
      </c>
      <c r="AM296" s="6">
        <v>0</v>
      </c>
      <c r="AN296" s="6">
        <v>0</v>
      </c>
      <c r="AO296" s="6">
        <v>0</v>
      </c>
      <c r="AP296" s="6">
        <v>0</v>
      </c>
      <c r="AQ296" s="6">
        <v>0</v>
      </c>
      <c r="AR296" s="6">
        <v>0</v>
      </c>
      <c r="AS296" s="6">
        <v>0</v>
      </c>
      <c r="AT296" s="6">
        <v>0</v>
      </c>
      <c r="AU296" s="6">
        <v>0</v>
      </c>
    </row>
    <row r="297" spans="1:47" x14ac:dyDescent="0.4">
      <c r="A297" s="6">
        <f t="shared" si="97"/>
        <v>6.8794032078748044</v>
      </c>
      <c r="B297" s="6">
        <f>'Aerosol 1'!A301</f>
        <v>972.04607721086302</v>
      </c>
      <c r="C297" t="b">
        <f t="shared" si="98"/>
        <v>1</v>
      </c>
      <c r="E297" s="46">
        <f>'Aerosol 1'!$P301</f>
        <v>7.2599665823602777E-2</v>
      </c>
      <c r="F297" s="46">
        <f>'Aerosol 2'!$P301</f>
        <v>7.2599665823602777E-2</v>
      </c>
      <c r="G297" s="46">
        <f>'Aerosol 3'!$P301</f>
        <v>7.2599665823602777E-2</v>
      </c>
      <c r="H297" s="46">
        <f t="shared" si="99"/>
        <v>0.21779899747080833</v>
      </c>
      <c r="I297" s="46">
        <f>NORMSINV(SUM(H$13:H297)/H$317)</f>
        <v>2.3980998040148913</v>
      </c>
      <c r="J297" s="46">
        <f t="shared" si="94"/>
        <v>3.92038195447455E-2</v>
      </c>
      <c r="K297" s="46">
        <f t="shared" si="95"/>
        <v>0.10889949873540417</v>
      </c>
      <c r="L297" s="46">
        <f t="shared" si="96"/>
        <v>0.21779028551090951</v>
      </c>
      <c r="M297" s="46">
        <f t="shared" si="100"/>
        <v>0.36589360379105917</v>
      </c>
      <c r="N297" s="46">
        <f>IF(ISNUMBER(NORMSINV(SUM(M$13:M297)/M$317)),NORMSINV(SUM(M$13:M297)/M$317)," ")</f>
        <v>2.3980998040148864</v>
      </c>
      <c r="O297" s="46">
        <f t="shared" si="101"/>
        <v>0</v>
      </c>
      <c r="P297" s="46" t="str">
        <f>IF(ISNUMBER(NORMSINV(SUM(O$13:O297)/O$317)),NORMSINV(SUM(O$13:O297)/O$317)," ")</f>
        <v xml:space="preserve"> </v>
      </c>
      <c r="Q297" s="46">
        <f t="shared" si="102"/>
        <v>0</v>
      </c>
      <c r="R297" s="46" t="str">
        <f>IF(ISNUMBER(NORMSINV(SUM(Q$13:Q297)/Q$317)),NORMSINV(SUM(Q$13:Q297)/Q$317)," ")</f>
        <v xml:space="preserve"> </v>
      </c>
      <c r="S297" s="46">
        <f t="shared" si="103"/>
        <v>0</v>
      </c>
      <c r="T297" s="46" t="str">
        <f>IF(ISNUMBER(NORMSINV(SUM(S$13:S297)/S$317)),NORMSINV(SUM(S$13:S297)/S$317)," ")</f>
        <v xml:space="preserve"> </v>
      </c>
      <c r="U297" s="46">
        <f t="shared" si="104"/>
        <v>0</v>
      </c>
      <c r="V297" s="46" t="str">
        <f>IF(ISNUMBER(NORMSINV(SUM(U$13:U297)/U$317)),NORMSINV(SUM(U$13:U297)/U$317)," ")</f>
        <v xml:space="preserve"> </v>
      </c>
      <c r="W297" s="46">
        <f t="shared" si="105"/>
        <v>0</v>
      </c>
      <c r="X297" s="46" t="str">
        <f>IF(ISNUMBER(NORMSINV(SUM(W$13:W297)/W$317)),NORMSINV(SUM(W$13:W297)/W$317)," ")</f>
        <v xml:space="preserve"> </v>
      </c>
      <c r="Y297" s="46">
        <f t="shared" si="106"/>
        <v>0</v>
      </c>
      <c r="Z297" s="46" t="str">
        <f>IF(ISNUMBER(NORMSINV(SUM(Y$13:Y297)/Y$317)),NORMSINV(SUM(Y$13:Y297)/Y$317)," ")</f>
        <v xml:space="preserve"> </v>
      </c>
      <c r="AA297" s="46">
        <f t="shared" si="107"/>
        <v>0</v>
      </c>
      <c r="AB297" s="46" t="str">
        <f>IF(ISNUMBER(NORMSINV(SUM(AA$13:AA297)/AA$317)),NORMSINV(SUM(AA$13:AA297)/AA$317)," ")</f>
        <v xml:space="preserve"> </v>
      </c>
      <c r="AC297" s="46">
        <f t="shared" si="108"/>
        <v>0</v>
      </c>
      <c r="AD297" s="46" t="str">
        <f>IF(ISNUMBER(NORMSINV(SUM(AC$13:AC297)/AC$317)),NORMSINV(SUM(AC$13:AC297)/AC$317)," ")</f>
        <v xml:space="preserve"> </v>
      </c>
      <c r="AE297" s="46">
        <f t="shared" si="109"/>
        <v>0</v>
      </c>
      <c r="AF297" s="46" t="str">
        <f>IF(ISNUMBER(NORMSINV(SUM(AE$13:AE297)/AE$317)),NORMSINV(SUM(AE$13:AE297)/AE$317)," ")</f>
        <v xml:space="preserve"> </v>
      </c>
      <c r="AG297" s="46">
        <f t="shared" si="110"/>
        <v>0</v>
      </c>
      <c r="AH297" s="46" t="str">
        <f>IF(ISNUMBER(NORMSINV(SUM(AG$13:AG297)/AG$317)),NORMSINV(SUM(AG$13:AG297)/AG$317)," ")</f>
        <v xml:space="preserve"> </v>
      </c>
      <c r="AI297" s="46">
        <f t="shared" si="111"/>
        <v>0</v>
      </c>
      <c r="AJ297" s="46" t="str">
        <f>IF(ISNUMBER(NORMSINV(SUM(AI$13:AI297)/AI$317)),NORMSINV(SUM(AI$13:AI297)/AI$317)," ")</f>
        <v xml:space="preserve"> </v>
      </c>
      <c r="AK297" s="46">
        <f t="shared" si="112"/>
        <v>0</v>
      </c>
      <c r="AL297" s="46" t="str">
        <f>IF(ISNUMBER(NORMSINV(SUM(AK$13:AK297)/AK$317)),NORMSINV(SUM(AK$13:AK297)/AK$317)," ")</f>
        <v xml:space="preserve"> </v>
      </c>
      <c r="AM297" s="6">
        <v>0</v>
      </c>
      <c r="AN297" s="6">
        <v>0</v>
      </c>
      <c r="AO297" s="6">
        <v>0</v>
      </c>
      <c r="AP297" s="6">
        <v>0</v>
      </c>
      <c r="AQ297" s="6">
        <v>0</v>
      </c>
      <c r="AR297" s="6">
        <v>0</v>
      </c>
      <c r="AS297" s="6">
        <v>0</v>
      </c>
      <c r="AT297" s="6">
        <v>0</v>
      </c>
      <c r="AU297" s="6">
        <v>0</v>
      </c>
    </row>
    <row r="298" spans="1:47" x14ac:dyDescent="0.4">
      <c r="A298" s="6">
        <f t="shared" si="97"/>
        <v>6.9138817853059837</v>
      </c>
      <c r="B298" s="6">
        <f>'Aerosol 1'!A302</f>
        <v>1006.1453117479499</v>
      </c>
      <c r="C298" t="b">
        <f t="shared" si="98"/>
        <v>1</v>
      </c>
      <c r="E298" s="46">
        <f>'Aerosol 1'!$P302</f>
        <v>6.9305793320728615E-2</v>
      </c>
      <c r="F298" s="46">
        <f>'Aerosol 2'!$P302</f>
        <v>6.9305793320728615E-2</v>
      </c>
      <c r="G298" s="46">
        <f>'Aerosol 3'!$P302</f>
        <v>6.9305793320728615E-2</v>
      </c>
      <c r="H298" s="46">
        <f t="shared" si="99"/>
        <v>0.20791737996218584</v>
      </c>
      <c r="I298" s="46">
        <f>NORMSINV(SUM(H$13:H298)/H$317)</f>
        <v>2.4302768638822081</v>
      </c>
      <c r="J298" s="46">
        <f t="shared" si="94"/>
        <v>3.7425128393193452E-2</v>
      </c>
      <c r="K298" s="46">
        <f t="shared" si="95"/>
        <v>0.10395868998109292</v>
      </c>
      <c r="L298" s="46">
        <f t="shared" si="96"/>
        <v>0.20790906326698735</v>
      </c>
      <c r="M298" s="46">
        <f t="shared" si="100"/>
        <v>0.3492928816412737</v>
      </c>
      <c r="N298" s="46">
        <f>IF(ISNUMBER(NORMSINV(SUM(M$13:M298)/M$317)),NORMSINV(SUM(M$13:M298)/M$317)," ")</f>
        <v>2.4302768638822028</v>
      </c>
      <c r="O298" s="46">
        <f t="shared" si="101"/>
        <v>0</v>
      </c>
      <c r="P298" s="46" t="str">
        <f>IF(ISNUMBER(NORMSINV(SUM(O$13:O298)/O$317)),NORMSINV(SUM(O$13:O298)/O$317)," ")</f>
        <v xml:space="preserve"> </v>
      </c>
      <c r="Q298" s="46">
        <f t="shared" si="102"/>
        <v>0</v>
      </c>
      <c r="R298" s="46" t="str">
        <f>IF(ISNUMBER(NORMSINV(SUM(Q$13:Q298)/Q$317)),NORMSINV(SUM(Q$13:Q298)/Q$317)," ")</f>
        <v xml:space="preserve"> </v>
      </c>
      <c r="S298" s="46">
        <f t="shared" si="103"/>
        <v>0</v>
      </c>
      <c r="T298" s="46" t="str">
        <f>IF(ISNUMBER(NORMSINV(SUM(S$13:S298)/S$317)),NORMSINV(SUM(S$13:S298)/S$317)," ")</f>
        <v xml:space="preserve"> </v>
      </c>
      <c r="U298" s="46">
        <f t="shared" si="104"/>
        <v>0</v>
      </c>
      <c r="V298" s="46" t="str">
        <f>IF(ISNUMBER(NORMSINV(SUM(U$13:U298)/U$317)),NORMSINV(SUM(U$13:U298)/U$317)," ")</f>
        <v xml:space="preserve"> </v>
      </c>
      <c r="W298" s="46">
        <f t="shared" si="105"/>
        <v>0</v>
      </c>
      <c r="X298" s="46" t="str">
        <f>IF(ISNUMBER(NORMSINV(SUM(W$13:W298)/W$317)),NORMSINV(SUM(W$13:W298)/W$317)," ")</f>
        <v xml:space="preserve"> </v>
      </c>
      <c r="Y298" s="46">
        <f t="shared" si="106"/>
        <v>0</v>
      </c>
      <c r="Z298" s="46" t="str">
        <f>IF(ISNUMBER(NORMSINV(SUM(Y$13:Y298)/Y$317)),NORMSINV(SUM(Y$13:Y298)/Y$317)," ")</f>
        <v xml:space="preserve"> </v>
      </c>
      <c r="AA298" s="46">
        <f t="shared" si="107"/>
        <v>0</v>
      </c>
      <c r="AB298" s="46" t="str">
        <f>IF(ISNUMBER(NORMSINV(SUM(AA$13:AA298)/AA$317)),NORMSINV(SUM(AA$13:AA298)/AA$317)," ")</f>
        <v xml:space="preserve"> </v>
      </c>
      <c r="AC298" s="46">
        <f t="shared" si="108"/>
        <v>0</v>
      </c>
      <c r="AD298" s="46" t="str">
        <f>IF(ISNUMBER(NORMSINV(SUM(AC$13:AC298)/AC$317)),NORMSINV(SUM(AC$13:AC298)/AC$317)," ")</f>
        <v xml:space="preserve"> </v>
      </c>
      <c r="AE298" s="46">
        <f t="shared" si="109"/>
        <v>0</v>
      </c>
      <c r="AF298" s="46" t="str">
        <f>IF(ISNUMBER(NORMSINV(SUM(AE$13:AE298)/AE$317)),NORMSINV(SUM(AE$13:AE298)/AE$317)," ")</f>
        <v xml:space="preserve"> </v>
      </c>
      <c r="AG298" s="46">
        <f t="shared" si="110"/>
        <v>0</v>
      </c>
      <c r="AH298" s="46" t="str">
        <f>IF(ISNUMBER(NORMSINV(SUM(AG$13:AG298)/AG$317)),NORMSINV(SUM(AG$13:AG298)/AG$317)," ")</f>
        <v xml:space="preserve"> </v>
      </c>
      <c r="AI298" s="46">
        <f t="shared" si="111"/>
        <v>0</v>
      </c>
      <c r="AJ298" s="46" t="str">
        <f>IF(ISNUMBER(NORMSINV(SUM(AI$13:AI298)/AI$317)),NORMSINV(SUM(AI$13:AI298)/AI$317)," ")</f>
        <v xml:space="preserve"> </v>
      </c>
      <c r="AK298" s="46">
        <f t="shared" si="112"/>
        <v>0</v>
      </c>
      <c r="AL298" s="46" t="str">
        <f>IF(ISNUMBER(NORMSINV(SUM(AK$13:AK298)/AK$317)),NORMSINV(SUM(AK$13:AK298)/AK$317)," ")</f>
        <v xml:space="preserve"> </v>
      </c>
      <c r="AM298" s="6">
        <v>0</v>
      </c>
      <c r="AN298" s="6">
        <v>0</v>
      </c>
      <c r="AO298" s="6">
        <v>0</v>
      </c>
      <c r="AP298" s="6">
        <v>0</v>
      </c>
      <c r="AQ298" s="6">
        <v>0</v>
      </c>
      <c r="AR298" s="6">
        <v>0</v>
      </c>
      <c r="AS298" s="6">
        <v>0</v>
      </c>
      <c r="AT298" s="6">
        <v>0</v>
      </c>
      <c r="AU298" s="6">
        <v>0</v>
      </c>
    </row>
    <row r="299" spans="1:47" x14ac:dyDescent="0.4">
      <c r="A299" s="6">
        <f t="shared" si="97"/>
        <v>6.9483603627371631</v>
      </c>
      <c r="B299" s="6">
        <f>'Aerosol 1'!A303</f>
        <v>1041.4407424564688</v>
      </c>
      <c r="C299" t="b">
        <f t="shared" si="98"/>
        <v>1</v>
      </c>
      <c r="E299" s="46">
        <f>'Aerosol 1'!$P303</f>
        <v>6.6132436148036433E-2</v>
      </c>
      <c r="F299" s="46">
        <f>'Aerosol 2'!$P303</f>
        <v>6.6132436148036433E-2</v>
      </c>
      <c r="G299" s="46">
        <f>'Aerosol 3'!$P303</f>
        <v>6.6132436148036433E-2</v>
      </c>
      <c r="H299" s="46">
        <f t="shared" si="99"/>
        <v>0.1983973084441093</v>
      </c>
      <c r="I299" s="46">
        <f>NORMSINV(SUM(H$13:H299)/H$317)</f>
        <v>2.4635206325249048</v>
      </c>
      <c r="J299" s="46">
        <f t="shared" si="94"/>
        <v>3.5711515519939674E-2</v>
      </c>
      <c r="K299" s="46">
        <f t="shared" si="95"/>
        <v>9.919865422205465E-2</v>
      </c>
      <c r="L299" s="46">
        <f t="shared" si="96"/>
        <v>0.19838937255177155</v>
      </c>
      <c r="M299" s="46">
        <f t="shared" si="100"/>
        <v>0.3332995422937659</v>
      </c>
      <c r="N299" s="46">
        <f>IF(ISNUMBER(NORMSINV(SUM(M$13:M299)/M$317)),NORMSINV(SUM(M$13:M299)/M$317)," ")</f>
        <v>2.4635206325248991</v>
      </c>
      <c r="O299" s="46">
        <f t="shared" si="101"/>
        <v>0</v>
      </c>
      <c r="P299" s="46" t="str">
        <f>IF(ISNUMBER(NORMSINV(SUM(O$13:O299)/O$317)),NORMSINV(SUM(O$13:O299)/O$317)," ")</f>
        <v xml:space="preserve"> </v>
      </c>
      <c r="Q299" s="46">
        <f t="shared" si="102"/>
        <v>0</v>
      </c>
      <c r="R299" s="46" t="str">
        <f>IF(ISNUMBER(NORMSINV(SUM(Q$13:Q299)/Q$317)),NORMSINV(SUM(Q$13:Q299)/Q$317)," ")</f>
        <v xml:space="preserve"> </v>
      </c>
      <c r="S299" s="46">
        <f t="shared" si="103"/>
        <v>0</v>
      </c>
      <c r="T299" s="46" t="str">
        <f>IF(ISNUMBER(NORMSINV(SUM(S$13:S299)/S$317)),NORMSINV(SUM(S$13:S299)/S$317)," ")</f>
        <v xml:space="preserve"> </v>
      </c>
      <c r="U299" s="46">
        <f t="shared" si="104"/>
        <v>0</v>
      </c>
      <c r="V299" s="46" t="str">
        <f>IF(ISNUMBER(NORMSINV(SUM(U$13:U299)/U$317)),NORMSINV(SUM(U$13:U299)/U$317)," ")</f>
        <v xml:space="preserve"> </v>
      </c>
      <c r="W299" s="46">
        <f t="shared" si="105"/>
        <v>0</v>
      </c>
      <c r="X299" s="46" t="str">
        <f>IF(ISNUMBER(NORMSINV(SUM(W$13:W299)/W$317)),NORMSINV(SUM(W$13:W299)/W$317)," ")</f>
        <v xml:space="preserve"> </v>
      </c>
      <c r="Y299" s="46">
        <f t="shared" si="106"/>
        <v>0</v>
      </c>
      <c r="Z299" s="46" t="str">
        <f>IF(ISNUMBER(NORMSINV(SUM(Y$13:Y299)/Y$317)),NORMSINV(SUM(Y$13:Y299)/Y$317)," ")</f>
        <v xml:space="preserve"> </v>
      </c>
      <c r="AA299" s="46">
        <f t="shared" si="107"/>
        <v>0</v>
      </c>
      <c r="AB299" s="46" t="str">
        <f>IF(ISNUMBER(NORMSINV(SUM(AA$13:AA299)/AA$317)),NORMSINV(SUM(AA$13:AA299)/AA$317)," ")</f>
        <v xml:space="preserve"> </v>
      </c>
      <c r="AC299" s="46">
        <f t="shared" si="108"/>
        <v>0</v>
      </c>
      <c r="AD299" s="46" t="str">
        <f>IF(ISNUMBER(NORMSINV(SUM(AC$13:AC299)/AC$317)),NORMSINV(SUM(AC$13:AC299)/AC$317)," ")</f>
        <v xml:space="preserve"> </v>
      </c>
      <c r="AE299" s="46">
        <f t="shared" si="109"/>
        <v>0</v>
      </c>
      <c r="AF299" s="46" t="str">
        <f>IF(ISNUMBER(NORMSINV(SUM(AE$13:AE299)/AE$317)),NORMSINV(SUM(AE$13:AE299)/AE$317)," ")</f>
        <v xml:space="preserve"> </v>
      </c>
      <c r="AG299" s="46">
        <f t="shared" si="110"/>
        <v>0</v>
      </c>
      <c r="AH299" s="46" t="str">
        <f>IF(ISNUMBER(NORMSINV(SUM(AG$13:AG299)/AG$317)),NORMSINV(SUM(AG$13:AG299)/AG$317)," ")</f>
        <v xml:space="preserve"> </v>
      </c>
      <c r="AI299" s="46">
        <f t="shared" si="111"/>
        <v>0</v>
      </c>
      <c r="AJ299" s="46" t="str">
        <f>IF(ISNUMBER(NORMSINV(SUM(AI$13:AI299)/AI$317)),NORMSINV(SUM(AI$13:AI299)/AI$317)," ")</f>
        <v xml:space="preserve"> </v>
      </c>
      <c r="AK299" s="46">
        <f t="shared" si="112"/>
        <v>0</v>
      </c>
      <c r="AL299" s="46" t="str">
        <f>IF(ISNUMBER(NORMSINV(SUM(AK$13:AK299)/AK$317)),NORMSINV(SUM(AK$13:AK299)/AK$317)," ")</f>
        <v xml:space="preserve"> </v>
      </c>
      <c r="AM299" s="6">
        <v>0</v>
      </c>
      <c r="AN299" s="6">
        <v>0</v>
      </c>
      <c r="AO299" s="6">
        <v>0</v>
      </c>
      <c r="AP299" s="6">
        <v>0</v>
      </c>
      <c r="AQ299" s="6">
        <v>0</v>
      </c>
      <c r="AR299" s="6">
        <v>0</v>
      </c>
      <c r="AS299" s="6">
        <v>0</v>
      </c>
      <c r="AT299" s="6">
        <v>0</v>
      </c>
      <c r="AU299" s="6">
        <v>0</v>
      </c>
    </row>
    <row r="300" spans="1:47" x14ac:dyDescent="0.4">
      <c r="A300" s="6">
        <f t="shared" si="97"/>
        <v>6.9828389401683415</v>
      </c>
      <c r="B300" s="6">
        <f>'Aerosol 1'!A304</f>
        <v>1077.9743317235509</v>
      </c>
      <c r="C300" t="b">
        <f t="shared" si="98"/>
        <v>1</v>
      </c>
      <c r="E300" s="46">
        <f>'Aerosol 1'!$P304</f>
        <v>6.3076787724947181E-2</v>
      </c>
      <c r="F300" s="46">
        <f>'Aerosol 2'!$P304</f>
        <v>6.3076787724947181E-2</v>
      </c>
      <c r="G300" s="46">
        <f>'Aerosol 3'!$P304</f>
        <v>6.3076787724947181E-2</v>
      </c>
      <c r="H300" s="46">
        <f t="shared" si="99"/>
        <v>0.18923036317484154</v>
      </c>
      <c r="I300" s="46">
        <f>NORMSINV(SUM(H$13:H300)/H$317)</f>
        <v>2.497985718780793</v>
      </c>
      <c r="J300" s="46">
        <f t="shared" si="94"/>
        <v>3.4061465371471478E-2</v>
      </c>
      <c r="K300" s="46">
        <f t="shared" si="95"/>
        <v>9.4615181587420771E-2</v>
      </c>
      <c r="L300" s="46">
        <f t="shared" si="96"/>
        <v>0.18922279396031455</v>
      </c>
      <c r="M300" s="46">
        <f t="shared" si="100"/>
        <v>0.3178994409192068</v>
      </c>
      <c r="N300" s="46">
        <f>IF(ISNUMBER(NORMSINV(SUM(M$13:M300)/M$317)),NORMSINV(SUM(M$13:M300)/M$317)," ")</f>
        <v>2.497985718780793</v>
      </c>
      <c r="O300" s="46">
        <f t="shared" si="101"/>
        <v>0</v>
      </c>
      <c r="P300" s="46" t="str">
        <f>IF(ISNUMBER(NORMSINV(SUM(O$13:O300)/O$317)),NORMSINV(SUM(O$13:O300)/O$317)," ")</f>
        <v xml:space="preserve"> </v>
      </c>
      <c r="Q300" s="46">
        <f t="shared" si="102"/>
        <v>0</v>
      </c>
      <c r="R300" s="46" t="str">
        <f>IF(ISNUMBER(NORMSINV(SUM(Q$13:Q300)/Q$317)),NORMSINV(SUM(Q$13:Q300)/Q$317)," ")</f>
        <v xml:space="preserve"> </v>
      </c>
      <c r="S300" s="46">
        <f t="shared" si="103"/>
        <v>0</v>
      </c>
      <c r="T300" s="46" t="str">
        <f>IF(ISNUMBER(NORMSINV(SUM(S$13:S300)/S$317)),NORMSINV(SUM(S$13:S300)/S$317)," ")</f>
        <v xml:space="preserve"> </v>
      </c>
      <c r="U300" s="46">
        <f t="shared" si="104"/>
        <v>0</v>
      </c>
      <c r="V300" s="46" t="str">
        <f>IF(ISNUMBER(NORMSINV(SUM(U$13:U300)/U$317)),NORMSINV(SUM(U$13:U300)/U$317)," ")</f>
        <v xml:space="preserve"> </v>
      </c>
      <c r="W300" s="46">
        <f t="shared" si="105"/>
        <v>0</v>
      </c>
      <c r="X300" s="46" t="str">
        <f>IF(ISNUMBER(NORMSINV(SUM(W$13:W300)/W$317)),NORMSINV(SUM(W$13:W300)/W$317)," ")</f>
        <v xml:space="preserve"> </v>
      </c>
      <c r="Y300" s="46">
        <f t="shared" si="106"/>
        <v>0</v>
      </c>
      <c r="Z300" s="46" t="str">
        <f>IF(ISNUMBER(NORMSINV(SUM(Y$13:Y300)/Y$317)),NORMSINV(SUM(Y$13:Y300)/Y$317)," ")</f>
        <v xml:space="preserve"> </v>
      </c>
      <c r="AA300" s="46">
        <f t="shared" si="107"/>
        <v>0</v>
      </c>
      <c r="AB300" s="46" t="str">
        <f>IF(ISNUMBER(NORMSINV(SUM(AA$13:AA300)/AA$317)),NORMSINV(SUM(AA$13:AA300)/AA$317)," ")</f>
        <v xml:space="preserve"> </v>
      </c>
      <c r="AC300" s="46">
        <f t="shared" si="108"/>
        <v>0</v>
      </c>
      <c r="AD300" s="46" t="str">
        <f>IF(ISNUMBER(NORMSINV(SUM(AC$13:AC300)/AC$317)),NORMSINV(SUM(AC$13:AC300)/AC$317)," ")</f>
        <v xml:space="preserve"> </v>
      </c>
      <c r="AE300" s="46">
        <f t="shared" si="109"/>
        <v>0</v>
      </c>
      <c r="AF300" s="46" t="str">
        <f>IF(ISNUMBER(NORMSINV(SUM(AE$13:AE300)/AE$317)),NORMSINV(SUM(AE$13:AE300)/AE$317)," ")</f>
        <v xml:space="preserve"> </v>
      </c>
      <c r="AG300" s="46">
        <f t="shared" si="110"/>
        <v>0</v>
      </c>
      <c r="AH300" s="46" t="str">
        <f>IF(ISNUMBER(NORMSINV(SUM(AG$13:AG300)/AG$317)),NORMSINV(SUM(AG$13:AG300)/AG$317)," ")</f>
        <v xml:space="preserve"> </v>
      </c>
      <c r="AI300" s="46">
        <f t="shared" si="111"/>
        <v>0</v>
      </c>
      <c r="AJ300" s="46" t="str">
        <f>IF(ISNUMBER(NORMSINV(SUM(AI$13:AI300)/AI$317)),NORMSINV(SUM(AI$13:AI300)/AI$317)," ")</f>
        <v xml:space="preserve"> </v>
      </c>
      <c r="AK300" s="46">
        <f t="shared" si="112"/>
        <v>0</v>
      </c>
      <c r="AL300" s="46" t="str">
        <f>IF(ISNUMBER(NORMSINV(SUM(AK$13:AK300)/AK$317)),NORMSINV(SUM(AK$13:AK300)/AK$317)," ")</f>
        <v xml:space="preserve"> </v>
      </c>
      <c r="AM300" s="6">
        <v>0</v>
      </c>
      <c r="AN300" s="6">
        <v>0</v>
      </c>
      <c r="AO300" s="6">
        <v>0</v>
      </c>
      <c r="AP300" s="6">
        <v>0</v>
      </c>
      <c r="AQ300" s="6">
        <v>0</v>
      </c>
      <c r="AR300" s="6">
        <v>0</v>
      </c>
      <c r="AS300" s="6">
        <v>0</v>
      </c>
      <c r="AT300" s="6">
        <v>0</v>
      </c>
      <c r="AU300" s="6">
        <v>0</v>
      </c>
    </row>
    <row r="301" spans="1:47" x14ac:dyDescent="0.4">
      <c r="A301" s="6">
        <f t="shared" si="97"/>
        <v>7.0173175175995199</v>
      </c>
      <c r="B301" s="6">
        <f>'Aerosol 1'!A305</f>
        <v>1115.7895139707459</v>
      </c>
      <c r="C301" t="b">
        <f t="shared" si="98"/>
        <v>1</v>
      </c>
      <c r="E301" s="46">
        <f>'Aerosol 1'!$P305</f>
        <v>6.0136019730516743E-2</v>
      </c>
      <c r="F301" s="46">
        <f>'Aerosol 2'!$P305</f>
        <v>6.0136019730516743E-2</v>
      </c>
      <c r="G301" s="46">
        <f>'Aerosol 3'!$P305</f>
        <v>6.0136019730516743E-2</v>
      </c>
      <c r="H301" s="46">
        <f t="shared" si="99"/>
        <v>0.18040805919155023</v>
      </c>
      <c r="I301" s="46">
        <f>NORMSINV(SUM(H$13:H301)/H$317)</f>
        <v>2.5338606529614904</v>
      </c>
      <c r="J301" s="46">
        <f t="shared" si="94"/>
        <v>3.2473450654479041E-2</v>
      </c>
      <c r="K301" s="46">
        <f t="shared" si="95"/>
        <v>9.0204029595775115E-2</v>
      </c>
      <c r="L301" s="46">
        <f t="shared" si="96"/>
        <v>0.18040084286918256</v>
      </c>
      <c r="M301" s="46">
        <f t="shared" si="100"/>
        <v>0.30307832311943672</v>
      </c>
      <c r="N301" s="46">
        <f>IF(ISNUMBER(NORMSINV(SUM(M$13:M301)/M$317)),NORMSINV(SUM(M$13:M301)/M$317)," ")</f>
        <v>2.5338606529614904</v>
      </c>
      <c r="O301" s="46">
        <f t="shared" si="101"/>
        <v>0</v>
      </c>
      <c r="P301" s="46" t="str">
        <f>IF(ISNUMBER(NORMSINV(SUM(O$13:O301)/O$317)),NORMSINV(SUM(O$13:O301)/O$317)," ")</f>
        <v xml:space="preserve"> </v>
      </c>
      <c r="Q301" s="46">
        <f t="shared" si="102"/>
        <v>0</v>
      </c>
      <c r="R301" s="46" t="str">
        <f>IF(ISNUMBER(NORMSINV(SUM(Q$13:Q301)/Q$317)),NORMSINV(SUM(Q$13:Q301)/Q$317)," ")</f>
        <v xml:space="preserve"> </v>
      </c>
      <c r="S301" s="46">
        <f t="shared" si="103"/>
        <v>0</v>
      </c>
      <c r="T301" s="46" t="str">
        <f>IF(ISNUMBER(NORMSINV(SUM(S$13:S301)/S$317)),NORMSINV(SUM(S$13:S301)/S$317)," ")</f>
        <v xml:space="preserve"> </v>
      </c>
      <c r="U301" s="46">
        <f t="shared" si="104"/>
        <v>0</v>
      </c>
      <c r="V301" s="46" t="str">
        <f>IF(ISNUMBER(NORMSINV(SUM(U$13:U301)/U$317)),NORMSINV(SUM(U$13:U301)/U$317)," ")</f>
        <v xml:space="preserve"> </v>
      </c>
      <c r="W301" s="46">
        <f t="shared" si="105"/>
        <v>0</v>
      </c>
      <c r="X301" s="46" t="str">
        <f>IF(ISNUMBER(NORMSINV(SUM(W$13:W301)/W$317)),NORMSINV(SUM(W$13:W301)/W$317)," ")</f>
        <v xml:space="preserve"> </v>
      </c>
      <c r="Y301" s="46">
        <f t="shared" si="106"/>
        <v>0</v>
      </c>
      <c r="Z301" s="46" t="str">
        <f>IF(ISNUMBER(NORMSINV(SUM(Y$13:Y301)/Y$317)),NORMSINV(SUM(Y$13:Y301)/Y$317)," ")</f>
        <v xml:space="preserve"> </v>
      </c>
      <c r="AA301" s="46">
        <f t="shared" si="107"/>
        <v>0</v>
      </c>
      <c r="AB301" s="46" t="str">
        <f>IF(ISNUMBER(NORMSINV(SUM(AA$13:AA301)/AA$317)),NORMSINV(SUM(AA$13:AA301)/AA$317)," ")</f>
        <v xml:space="preserve"> </v>
      </c>
      <c r="AC301" s="46">
        <f t="shared" si="108"/>
        <v>0</v>
      </c>
      <c r="AD301" s="46" t="str">
        <f>IF(ISNUMBER(NORMSINV(SUM(AC$13:AC301)/AC$317)),NORMSINV(SUM(AC$13:AC301)/AC$317)," ")</f>
        <v xml:space="preserve"> </v>
      </c>
      <c r="AE301" s="46">
        <f t="shared" si="109"/>
        <v>0</v>
      </c>
      <c r="AF301" s="46" t="str">
        <f>IF(ISNUMBER(NORMSINV(SUM(AE$13:AE301)/AE$317)),NORMSINV(SUM(AE$13:AE301)/AE$317)," ")</f>
        <v xml:space="preserve"> </v>
      </c>
      <c r="AG301" s="46">
        <f t="shared" si="110"/>
        <v>0</v>
      </c>
      <c r="AH301" s="46" t="str">
        <f>IF(ISNUMBER(NORMSINV(SUM(AG$13:AG301)/AG$317)),NORMSINV(SUM(AG$13:AG301)/AG$317)," ")</f>
        <v xml:space="preserve"> </v>
      </c>
      <c r="AI301" s="46">
        <f t="shared" si="111"/>
        <v>0</v>
      </c>
      <c r="AJ301" s="46" t="str">
        <f>IF(ISNUMBER(NORMSINV(SUM(AI$13:AI301)/AI$317)),NORMSINV(SUM(AI$13:AI301)/AI$317)," ")</f>
        <v xml:space="preserve"> </v>
      </c>
      <c r="AK301" s="46">
        <f t="shared" si="112"/>
        <v>0</v>
      </c>
      <c r="AL301" s="46" t="str">
        <f>IF(ISNUMBER(NORMSINV(SUM(AK$13:AK301)/AK$317)),NORMSINV(SUM(AK$13:AK301)/AK$317)," ")</f>
        <v xml:space="preserve"> </v>
      </c>
      <c r="AM301" s="6">
        <v>0</v>
      </c>
      <c r="AN301" s="6">
        <v>0</v>
      </c>
      <c r="AO301" s="6">
        <v>0</v>
      </c>
      <c r="AP301" s="6">
        <v>0</v>
      </c>
      <c r="AQ301" s="6">
        <v>0</v>
      </c>
      <c r="AR301" s="6">
        <v>0</v>
      </c>
      <c r="AS301" s="6">
        <v>0</v>
      </c>
      <c r="AT301" s="6">
        <v>0</v>
      </c>
      <c r="AU301" s="6">
        <v>0</v>
      </c>
    </row>
    <row r="302" spans="1:47" x14ac:dyDescent="0.4">
      <c r="A302" s="6">
        <f t="shared" si="97"/>
        <v>7.0517960950306984</v>
      </c>
      <c r="B302" s="6">
        <f>'Aerosol 1'!A306</f>
        <v>1154.9312472927725</v>
      </c>
      <c r="C302" t="b">
        <f t="shared" si="98"/>
        <v>1</v>
      </c>
      <c r="E302" s="46">
        <f>'Aerosol 1'!$P306</f>
        <v>5.7307287938657137E-2</v>
      </c>
      <c r="F302" s="46">
        <f>'Aerosol 2'!$P306</f>
        <v>5.7307287938657137E-2</v>
      </c>
      <c r="G302" s="46">
        <f>'Aerosol 3'!$P306</f>
        <v>5.7307287938657137E-2</v>
      </c>
      <c r="H302" s="46">
        <f t="shared" si="99"/>
        <v>0.17192186381597141</v>
      </c>
      <c r="I302" s="46">
        <f>NORMSINV(SUM(H$13:H302)/H$317)</f>
        <v>2.5713785727265046</v>
      </c>
      <c r="J302" s="46">
        <f t="shared" si="94"/>
        <v>3.0945935486874857E-2</v>
      </c>
      <c r="K302" s="46">
        <f t="shared" si="95"/>
        <v>8.5960931907985705E-2</v>
      </c>
      <c r="L302" s="46">
        <f t="shared" si="96"/>
        <v>0.17191498694141877</v>
      </c>
      <c r="M302" s="46">
        <f t="shared" si="100"/>
        <v>0.28882185433627933</v>
      </c>
      <c r="N302" s="46">
        <f>IF(ISNUMBER(NORMSINV(SUM(M$13:M302)/M$317)),NORMSINV(SUM(M$13:M302)/M$317)," ")</f>
        <v>2.5713785727265122</v>
      </c>
      <c r="O302" s="46">
        <f t="shared" si="101"/>
        <v>0</v>
      </c>
      <c r="P302" s="46" t="str">
        <f>IF(ISNUMBER(NORMSINV(SUM(O$13:O302)/O$317)),NORMSINV(SUM(O$13:O302)/O$317)," ")</f>
        <v xml:space="preserve"> </v>
      </c>
      <c r="Q302" s="46">
        <f t="shared" si="102"/>
        <v>0</v>
      </c>
      <c r="R302" s="46" t="str">
        <f>IF(ISNUMBER(NORMSINV(SUM(Q$13:Q302)/Q$317)),NORMSINV(SUM(Q$13:Q302)/Q$317)," ")</f>
        <v xml:space="preserve"> </v>
      </c>
      <c r="S302" s="46">
        <f t="shared" si="103"/>
        <v>0</v>
      </c>
      <c r="T302" s="46" t="str">
        <f>IF(ISNUMBER(NORMSINV(SUM(S$13:S302)/S$317)),NORMSINV(SUM(S$13:S302)/S$317)," ")</f>
        <v xml:space="preserve"> </v>
      </c>
      <c r="U302" s="46">
        <f t="shared" si="104"/>
        <v>0</v>
      </c>
      <c r="V302" s="46" t="str">
        <f>IF(ISNUMBER(NORMSINV(SUM(U$13:U302)/U$317)),NORMSINV(SUM(U$13:U302)/U$317)," ")</f>
        <v xml:space="preserve"> </v>
      </c>
      <c r="W302" s="46">
        <f t="shared" si="105"/>
        <v>0</v>
      </c>
      <c r="X302" s="46" t="str">
        <f>IF(ISNUMBER(NORMSINV(SUM(W$13:W302)/W$317)),NORMSINV(SUM(W$13:W302)/W$317)," ")</f>
        <v xml:space="preserve"> </v>
      </c>
      <c r="Y302" s="46">
        <f t="shared" si="106"/>
        <v>0</v>
      </c>
      <c r="Z302" s="46" t="str">
        <f>IF(ISNUMBER(NORMSINV(SUM(Y$13:Y302)/Y$317)),NORMSINV(SUM(Y$13:Y302)/Y$317)," ")</f>
        <v xml:space="preserve"> </v>
      </c>
      <c r="AA302" s="46">
        <f t="shared" si="107"/>
        <v>0</v>
      </c>
      <c r="AB302" s="46" t="str">
        <f>IF(ISNUMBER(NORMSINV(SUM(AA$13:AA302)/AA$317)),NORMSINV(SUM(AA$13:AA302)/AA$317)," ")</f>
        <v xml:space="preserve"> </v>
      </c>
      <c r="AC302" s="46">
        <f t="shared" si="108"/>
        <v>0</v>
      </c>
      <c r="AD302" s="46" t="str">
        <f>IF(ISNUMBER(NORMSINV(SUM(AC$13:AC302)/AC$317)),NORMSINV(SUM(AC$13:AC302)/AC$317)," ")</f>
        <v xml:space="preserve"> </v>
      </c>
      <c r="AE302" s="46">
        <f t="shared" si="109"/>
        <v>0</v>
      </c>
      <c r="AF302" s="46" t="str">
        <f>IF(ISNUMBER(NORMSINV(SUM(AE$13:AE302)/AE$317)),NORMSINV(SUM(AE$13:AE302)/AE$317)," ")</f>
        <v xml:space="preserve"> </v>
      </c>
      <c r="AG302" s="46">
        <f t="shared" si="110"/>
        <v>0</v>
      </c>
      <c r="AH302" s="46" t="str">
        <f>IF(ISNUMBER(NORMSINV(SUM(AG$13:AG302)/AG$317)),NORMSINV(SUM(AG$13:AG302)/AG$317)," ")</f>
        <v xml:space="preserve"> </v>
      </c>
      <c r="AI302" s="46">
        <f t="shared" si="111"/>
        <v>0</v>
      </c>
      <c r="AJ302" s="46" t="str">
        <f>IF(ISNUMBER(NORMSINV(SUM(AI$13:AI302)/AI$317)),NORMSINV(SUM(AI$13:AI302)/AI$317)," ")</f>
        <v xml:space="preserve"> </v>
      </c>
      <c r="AK302" s="46">
        <f t="shared" si="112"/>
        <v>0</v>
      </c>
      <c r="AL302" s="46" t="str">
        <f>IF(ISNUMBER(NORMSINV(SUM(AK$13:AK302)/AK$317)),NORMSINV(SUM(AK$13:AK302)/AK$317)," ")</f>
        <v xml:space="preserve"> </v>
      </c>
      <c r="AM302" s="6">
        <v>0</v>
      </c>
      <c r="AN302" s="6">
        <v>0</v>
      </c>
      <c r="AO302" s="6">
        <v>0</v>
      </c>
      <c r="AP302" s="6">
        <v>0</v>
      </c>
      <c r="AQ302" s="6">
        <v>0</v>
      </c>
      <c r="AR302" s="6">
        <v>0</v>
      </c>
      <c r="AS302" s="6">
        <v>0</v>
      </c>
      <c r="AT302" s="6">
        <v>0</v>
      </c>
      <c r="AU302" s="6">
        <v>0</v>
      </c>
    </row>
    <row r="303" spans="1:47" x14ac:dyDescent="0.4">
      <c r="A303" s="6">
        <f t="shared" si="97"/>
        <v>7.0862746724618777</v>
      </c>
      <c r="B303" s="6">
        <f>'Aerosol 1'!A307</f>
        <v>1195.4460669077519</v>
      </c>
      <c r="C303" t="b">
        <f t="shared" si="98"/>
        <v>1</v>
      </c>
      <c r="E303" s="46">
        <f>'Aerosol 1'!$P307</f>
        <v>5.4587737816735871E-2</v>
      </c>
      <c r="F303" s="46">
        <f>'Aerosol 2'!$P307</f>
        <v>5.4587737816735871E-2</v>
      </c>
      <c r="G303" s="46">
        <f>'Aerosol 3'!$P307</f>
        <v>5.4587737816735871E-2</v>
      </c>
      <c r="H303" s="46">
        <f t="shared" si="99"/>
        <v>0.16376321345020761</v>
      </c>
      <c r="I303" s="46">
        <f>NORMSINV(SUM(H$13:H303)/H$317)</f>
        <v>2.610832499512624</v>
      </c>
      <c r="J303" s="46">
        <f t="shared" si="94"/>
        <v>2.9477378421037374E-2</v>
      </c>
      <c r="K303" s="46">
        <f t="shared" si="95"/>
        <v>8.1881606725103806E-2</v>
      </c>
      <c r="L303" s="46">
        <f t="shared" si="96"/>
        <v>0.1637566629216696</v>
      </c>
      <c r="M303" s="46">
        <f t="shared" si="100"/>
        <v>0.27511564806781075</v>
      </c>
      <c r="N303" s="46">
        <f>IF(ISNUMBER(NORMSINV(SUM(M$13:M303)/M$317)),NORMSINV(SUM(M$13:M303)/M$317)," ")</f>
        <v>2.6108324995126408</v>
      </c>
      <c r="O303" s="46">
        <f t="shared" si="101"/>
        <v>0</v>
      </c>
      <c r="P303" s="46" t="str">
        <f>IF(ISNUMBER(NORMSINV(SUM(O$13:O303)/O$317)),NORMSINV(SUM(O$13:O303)/O$317)," ")</f>
        <v xml:space="preserve"> </v>
      </c>
      <c r="Q303" s="46">
        <f t="shared" si="102"/>
        <v>0</v>
      </c>
      <c r="R303" s="46" t="str">
        <f>IF(ISNUMBER(NORMSINV(SUM(Q$13:Q303)/Q$317)),NORMSINV(SUM(Q$13:Q303)/Q$317)," ")</f>
        <v xml:space="preserve"> </v>
      </c>
      <c r="S303" s="46">
        <f t="shared" si="103"/>
        <v>0</v>
      </c>
      <c r="T303" s="46" t="str">
        <f>IF(ISNUMBER(NORMSINV(SUM(S$13:S303)/S$317)),NORMSINV(SUM(S$13:S303)/S$317)," ")</f>
        <v xml:space="preserve"> </v>
      </c>
      <c r="U303" s="46">
        <f t="shared" si="104"/>
        <v>0</v>
      </c>
      <c r="V303" s="46" t="str">
        <f>IF(ISNUMBER(NORMSINV(SUM(U$13:U303)/U$317)),NORMSINV(SUM(U$13:U303)/U$317)," ")</f>
        <v xml:space="preserve"> </v>
      </c>
      <c r="W303" s="46">
        <f t="shared" si="105"/>
        <v>0</v>
      </c>
      <c r="X303" s="46" t="str">
        <f>IF(ISNUMBER(NORMSINV(SUM(W$13:W303)/W$317)),NORMSINV(SUM(W$13:W303)/W$317)," ")</f>
        <v xml:space="preserve"> </v>
      </c>
      <c r="Y303" s="46">
        <f t="shared" si="106"/>
        <v>0</v>
      </c>
      <c r="Z303" s="46" t="str">
        <f>IF(ISNUMBER(NORMSINV(SUM(Y$13:Y303)/Y$317)),NORMSINV(SUM(Y$13:Y303)/Y$317)," ")</f>
        <v xml:space="preserve"> </v>
      </c>
      <c r="AA303" s="46">
        <f t="shared" si="107"/>
        <v>0</v>
      </c>
      <c r="AB303" s="46" t="str">
        <f>IF(ISNUMBER(NORMSINV(SUM(AA$13:AA303)/AA$317)),NORMSINV(SUM(AA$13:AA303)/AA$317)," ")</f>
        <v xml:space="preserve"> </v>
      </c>
      <c r="AC303" s="46">
        <f t="shared" si="108"/>
        <v>0</v>
      </c>
      <c r="AD303" s="46" t="str">
        <f>IF(ISNUMBER(NORMSINV(SUM(AC$13:AC303)/AC$317)),NORMSINV(SUM(AC$13:AC303)/AC$317)," ")</f>
        <v xml:space="preserve"> </v>
      </c>
      <c r="AE303" s="46">
        <f t="shared" si="109"/>
        <v>0</v>
      </c>
      <c r="AF303" s="46" t="str">
        <f>IF(ISNUMBER(NORMSINV(SUM(AE$13:AE303)/AE$317)),NORMSINV(SUM(AE$13:AE303)/AE$317)," ")</f>
        <v xml:space="preserve"> </v>
      </c>
      <c r="AG303" s="46">
        <f t="shared" si="110"/>
        <v>0</v>
      </c>
      <c r="AH303" s="46" t="str">
        <f>IF(ISNUMBER(NORMSINV(SUM(AG$13:AG303)/AG$317)),NORMSINV(SUM(AG$13:AG303)/AG$317)," ")</f>
        <v xml:space="preserve"> </v>
      </c>
      <c r="AI303" s="46">
        <f t="shared" si="111"/>
        <v>0</v>
      </c>
      <c r="AJ303" s="46" t="str">
        <f>IF(ISNUMBER(NORMSINV(SUM(AI$13:AI303)/AI$317)),NORMSINV(SUM(AI$13:AI303)/AI$317)," ")</f>
        <v xml:space="preserve"> </v>
      </c>
      <c r="AK303" s="46">
        <f t="shared" si="112"/>
        <v>0</v>
      </c>
      <c r="AL303" s="46" t="str">
        <f>IF(ISNUMBER(NORMSINV(SUM(AK$13:AK303)/AK$317)),NORMSINV(SUM(AK$13:AK303)/AK$317)," ")</f>
        <v xml:space="preserve"> </v>
      </c>
      <c r="AM303" s="6">
        <v>0</v>
      </c>
      <c r="AN303" s="6">
        <v>0</v>
      </c>
      <c r="AO303" s="6">
        <v>0</v>
      </c>
      <c r="AP303" s="6">
        <v>0</v>
      </c>
      <c r="AQ303" s="6">
        <v>0</v>
      </c>
      <c r="AR303" s="6">
        <v>0</v>
      </c>
      <c r="AS303" s="6">
        <v>0</v>
      </c>
      <c r="AT303" s="6">
        <v>0</v>
      </c>
      <c r="AU303" s="6">
        <v>0</v>
      </c>
    </row>
    <row r="304" spans="1:47" x14ac:dyDescent="0.4">
      <c r="A304" s="6">
        <f t="shared" si="97"/>
        <v>7.1207532498930561</v>
      </c>
      <c r="B304" s="6">
        <f>'Aerosol 1'!A308</f>
        <v>1237.3821404824632</v>
      </c>
      <c r="C304" t="b">
        <f t="shared" si="98"/>
        <v>1</v>
      </c>
      <c r="E304" s="46">
        <f>'Aerosol 1'!$P308</f>
        <v>5.1974509884022968E-2</v>
      </c>
      <c r="F304" s="46">
        <f>'Aerosol 2'!$P308</f>
        <v>5.1974509884022968E-2</v>
      </c>
      <c r="G304" s="46">
        <f>'Aerosol 3'!$P308</f>
        <v>5.1974509884022968E-2</v>
      </c>
      <c r="H304" s="46">
        <f t="shared" si="99"/>
        <v>0.1559235296520689</v>
      </c>
      <c r="I304" s="46">
        <f>NORMSINV(SUM(H$13:H304)/H$317)</f>
        <v>2.652597805356848</v>
      </c>
      <c r="J304" s="46">
        <f t="shared" si="94"/>
        <v>2.8066235337372406E-2</v>
      </c>
      <c r="K304" s="46">
        <f t="shared" si="95"/>
        <v>7.7961764826034452E-2</v>
      </c>
      <c r="L304" s="46">
        <f t="shared" si="96"/>
        <v>0.15591729271088284</v>
      </c>
      <c r="M304" s="46">
        <f t="shared" si="100"/>
        <v>0.26194529287428969</v>
      </c>
      <c r="N304" s="46">
        <f>IF(ISNUMBER(NORMSINV(SUM(M$13:M304)/M$317)),NORMSINV(SUM(M$13:M304)/M$317)," ")</f>
        <v>2.6525978053568662</v>
      </c>
      <c r="O304" s="46">
        <f t="shared" si="101"/>
        <v>0</v>
      </c>
      <c r="P304" s="46" t="str">
        <f>IF(ISNUMBER(NORMSINV(SUM(O$13:O304)/O$317)),NORMSINV(SUM(O$13:O304)/O$317)," ")</f>
        <v xml:space="preserve"> </v>
      </c>
      <c r="Q304" s="46">
        <f t="shared" si="102"/>
        <v>0</v>
      </c>
      <c r="R304" s="46" t="str">
        <f>IF(ISNUMBER(NORMSINV(SUM(Q$13:Q304)/Q$317)),NORMSINV(SUM(Q$13:Q304)/Q$317)," ")</f>
        <v xml:space="preserve"> </v>
      </c>
      <c r="S304" s="46">
        <f t="shared" si="103"/>
        <v>0</v>
      </c>
      <c r="T304" s="46" t="str">
        <f>IF(ISNUMBER(NORMSINV(SUM(S$13:S304)/S$317)),NORMSINV(SUM(S$13:S304)/S$317)," ")</f>
        <v xml:space="preserve"> </v>
      </c>
      <c r="U304" s="46">
        <f t="shared" si="104"/>
        <v>0</v>
      </c>
      <c r="V304" s="46" t="str">
        <f>IF(ISNUMBER(NORMSINV(SUM(U$13:U304)/U$317)),NORMSINV(SUM(U$13:U304)/U$317)," ")</f>
        <v xml:space="preserve"> </v>
      </c>
      <c r="W304" s="46">
        <f t="shared" si="105"/>
        <v>0</v>
      </c>
      <c r="X304" s="46" t="str">
        <f>IF(ISNUMBER(NORMSINV(SUM(W$13:W304)/W$317)),NORMSINV(SUM(W$13:W304)/W$317)," ")</f>
        <v xml:space="preserve"> </v>
      </c>
      <c r="Y304" s="46">
        <f t="shared" si="106"/>
        <v>0</v>
      </c>
      <c r="Z304" s="46" t="str">
        <f>IF(ISNUMBER(NORMSINV(SUM(Y$13:Y304)/Y$317)),NORMSINV(SUM(Y$13:Y304)/Y$317)," ")</f>
        <v xml:space="preserve"> </v>
      </c>
      <c r="AA304" s="46">
        <f t="shared" si="107"/>
        <v>0</v>
      </c>
      <c r="AB304" s="46" t="str">
        <f>IF(ISNUMBER(NORMSINV(SUM(AA$13:AA304)/AA$317)),NORMSINV(SUM(AA$13:AA304)/AA$317)," ")</f>
        <v xml:space="preserve"> </v>
      </c>
      <c r="AC304" s="46">
        <f t="shared" si="108"/>
        <v>0</v>
      </c>
      <c r="AD304" s="46" t="str">
        <f>IF(ISNUMBER(NORMSINV(SUM(AC$13:AC304)/AC$317)),NORMSINV(SUM(AC$13:AC304)/AC$317)," ")</f>
        <v xml:space="preserve"> </v>
      </c>
      <c r="AE304" s="46">
        <f t="shared" si="109"/>
        <v>0</v>
      </c>
      <c r="AF304" s="46" t="str">
        <f>IF(ISNUMBER(NORMSINV(SUM(AE$13:AE304)/AE$317)),NORMSINV(SUM(AE$13:AE304)/AE$317)," ")</f>
        <v xml:space="preserve"> </v>
      </c>
      <c r="AG304" s="46">
        <f t="shared" si="110"/>
        <v>0</v>
      </c>
      <c r="AH304" s="46" t="str">
        <f>IF(ISNUMBER(NORMSINV(SUM(AG$13:AG304)/AG$317)),NORMSINV(SUM(AG$13:AG304)/AG$317)," ")</f>
        <v xml:space="preserve"> </v>
      </c>
      <c r="AI304" s="46">
        <f t="shared" si="111"/>
        <v>0</v>
      </c>
      <c r="AJ304" s="46" t="str">
        <f>IF(ISNUMBER(NORMSINV(SUM(AI$13:AI304)/AI$317)),NORMSINV(SUM(AI$13:AI304)/AI$317)," ")</f>
        <v xml:space="preserve"> </v>
      </c>
      <c r="AK304" s="46">
        <f t="shared" si="112"/>
        <v>0</v>
      </c>
      <c r="AL304" s="46" t="str">
        <f>IF(ISNUMBER(NORMSINV(SUM(AK$13:AK304)/AK$317)),NORMSINV(SUM(AK$13:AK304)/AK$317)," ")</f>
        <v xml:space="preserve"> </v>
      </c>
      <c r="AM304" s="6">
        <v>0</v>
      </c>
      <c r="AN304" s="6">
        <v>0</v>
      </c>
      <c r="AO304" s="6">
        <v>0</v>
      </c>
      <c r="AP304" s="6">
        <v>0</v>
      </c>
      <c r="AQ304" s="6">
        <v>0</v>
      </c>
      <c r="AR304" s="6">
        <v>0</v>
      </c>
      <c r="AS304" s="6">
        <v>0</v>
      </c>
      <c r="AT304" s="6">
        <v>0</v>
      </c>
      <c r="AU304" s="6">
        <v>0</v>
      </c>
    </row>
    <row r="305" spans="1:47" x14ac:dyDescent="0.4">
      <c r="A305" s="6">
        <f t="shared" si="97"/>
        <v>7.1552318273242346</v>
      </c>
      <c r="B305" s="6">
        <f>'Aerosol 1'!A309</f>
        <v>1280.7893253984103</v>
      </c>
      <c r="C305" t="b">
        <f t="shared" si="98"/>
        <v>1</v>
      </c>
      <c r="E305" s="46">
        <f>'Aerosol 1'!$P309</f>
        <v>4.9464744827421026E-2</v>
      </c>
      <c r="F305" s="46">
        <f>'Aerosol 2'!$P309</f>
        <v>4.9464744827421026E-2</v>
      </c>
      <c r="G305" s="46">
        <f>'Aerosol 3'!$P309</f>
        <v>4.9464744827421026E-2</v>
      </c>
      <c r="H305" s="46">
        <f t="shared" si="99"/>
        <v>0.14839423448226308</v>
      </c>
      <c r="I305" s="46">
        <f>NORMSINV(SUM(H$13:H305)/H$317)</f>
        <v>2.6971663736935501</v>
      </c>
      <c r="J305" s="46">
        <f t="shared" si="94"/>
        <v>2.6710962206807357E-2</v>
      </c>
      <c r="K305" s="46">
        <f t="shared" si="95"/>
        <v>7.4197117241131538E-2</v>
      </c>
      <c r="L305" s="46">
        <f t="shared" si="96"/>
        <v>0.14838829871288378</v>
      </c>
      <c r="M305" s="46">
        <f t="shared" si="100"/>
        <v>0.24929637816082267</v>
      </c>
      <c r="N305" s="46">
        <f>IF(ISNUMBER(NORMSINV(SUM(M$13:M305)/M$317)),NORMSINV(SUM(M$13:M305)/M$317)," ")</f>
        <v>2.6971663736935612</v>
      </c>
      <c r="O305" s="46">
        <f t="shared" si="101"/>
        <v>0</v>
      </c>
      <c r="P305" s="46" t="str">
        <f>IF(ISNUMBER(NORMSINV(SUM(O$13:O305)/O$317)),NORMSINV(SUM(O$13:O305)/O$317)," ")</f>
        <v xml:space="preserve"> </v>
      </c>
      <c r="Q305" s="46">
        <f t="shared" si="102"/>
        <v>0</v>
      </c>
      <c r="R305" s="46" t="str">
        <f>IF(ISNUMBER(NORMSINV(SUM(Q$13:Q305)/Q$317)),NORMSINV(SUM(Q$13:Q305)/Q$317)," ")</f>
        <v xml:space="preserve"> </v>
      </c>
      <c r="S305" s="46">
        <f t="shared" si="103"/>
        <v>0</v>
      </c>
      <c r="T305" s="46" t="str">
        <f>IF(ISNUMBER(NORMSINV(SUM(S$13:S305)/S$317)),NORMSINV(SUM(S$13:S305)/S$317)," ")</f>
        <v xml:space="preserve"> </v>
      </c>
      <c r="U305" s="46">
        <f t="shared" si="104"/>
        <v>0</v>
      </c>
      <c r="V305" s="46" t="str">
        <f>IF(ISNUMBER(NORMSINV(SUM(U$13:U305)/U$317)),NORMSINV(SUM(U$13:U305)/U$317)," ")</f>
        <v xml:space="preserve"> </v>
      </c>
      <c r="W305" s="46">
        <f t="shared" si="105"/>
        <v>0</v>
      </c>
      <c r="X305" s="46" t="str">
        <f>IF(ISNUMBER(NORMSINV(SUM(W$13:W305)/W$317)),NORMSINV(SUM(W$13:W305)/W$317)," ")</f>
        <v xml:space="preserve"> </v>
      </c>
      <c r="Y305" s="46">
        <f t="shared" si="106"/>
        <v>0</v>
      </c>
      <c r="Z305" s="46" t="str">
        <f>IF(ISNUMBER(NORMSINV(SUM(Y$13:Y305)/Y$317)),NORMSINV(SUM(Y$13:Y305)/Y$317)," ")</f>
        <v xml:space="preserve"> </v>
      </c>
      <c r="AA305" s="46">
        <f t="shared" si="107"/>
        <v>0</v>
      </c>
      <c r="AB305" s="46" t="str">
        <f>IF(ISNUMBER(NORMSINV(SUM(AA$13:AA305)/AA$317)),NORMSINV(SUM(AA$13:AA305)/AA$317)," ")</f>
        <v xml:space="preserve"> </v>
      </c>
      <c r="AC305" s="46">
        <f t="shared" si="108"/>
        <v>0</v>
      </c>
      <c r="AD305" s="46" t="str">
        <f>IF(ISNUMBER(NORMSINV(SUM(AC$13:AC305)/AC$317)),NORMSINV(SUM(AC$13:AC305)/AC$317)," ")</f>
        <v xml:space="preserve"> </v>
      </c>
      <c r="AE305" s="46">
        <f t="shared" si="109"/>
        <v>0</v>
      </c>
      <c r="AF305" s="46" t="str">
        <f>IF(ISNUMBER(NORMSINV(SUM(AE$13:AE305)/AE$317)),NORMSINV(SUM(AE$13:AE305)/AE$317)," ")</f>
        <v xml:space="preserve"> </v>
      </c>
      <c r="AG305" s="46">
        <f t="shared" si="110"/>
        <v>0</v>
      </c>
      <c r="AH305" s="46" t="str">
        <f>IF(ISNUMBER(NORMSINV(SUM(AG$13:AG305)/AG$317)),NORMSINV(SUM(AG$13:AG305)/AG$317)," ")</f>
        <v xml:space="preserve"> </v>
      </c>
      <c r="AI305" s="46">
        <f t="shared" si="111"/>
        <v>0</v>
      </c>
      <c r="AJ305" s="46" t="str">
        <f>IF(ISNUMBER(NORMSINV(SUM(AI$13:AI305)/AI$317)),NORMSINV(SUM(AI$13:AI305)/AI$317)," ")</f>
        <v xml:space="preserve"> </v>
      </c>
      <c r="AK305" s="46">
        <f t="shared" si="112"/>
        <v>0</v>
      </c>
      <c r="AL305" s="46" t="str">
        <f>IF(ISNUMBER(NORMSINV(SUM(AK$13:AK305)/AK$317)),NORMSINV(SUM(AK$13:AK305)/AK$317)," ")</f>
        <v xml:space="preserve"> </v>
      </c>
      <c r="AM305" s="6">
        <v>0</v>
      </c>
      <c r="AN305" s="6">
        <v>0</v>
      </c>
      <c r="AO305" s="6">
        <v>0</v>
      </c>
      <c r="AP305" s="6">
        <v>0</v>
      </c>
      <c r="AQ305" s="6">
        <v>0</v>
      </c>
      <c r="AR305" s="6">
        <v>0</v>
      </c>
      <c r="AS305" s="6">
        <v>0</v>
      </c>
      <c r="AT305" s="6">
        <v>0</v>
      </c>
      <c r="AU305" s="6">
        <v>0</v>
      </c>
    </row>
    <row r="306" spans="1:47" x14ac:dyDescent="0.4">
      <c r="A306" s="6">
        <f t="shared" si="97"/>
        <v>7.189710404755413</v>
      </c>
      <c r="B306" s="6">
        <f>'Aerosol 1'!A310</f>
        <v>1325.7192280267632</v>
      </c>
      <c r="C306" t="b">
        <f t="shared" si="98"/>
        <v>1</v>
      </c>
      <c r="E306" s="46">
        <f>'Aerosol 1'!$P310</f>
        <v>4.7055588373223767E-2</v>
      </c>
      <c r="F306" s="46">
        <f>'Aerosol 2'!$P310</f>
        <v>4.7055588373223767E-2</v>
      </c>
      <c r="G306" s="46">
        <f>'Aerosol 3'!$P310</f>
        <v>4.7055588373223767E-2</v>
      </c>
      <c r="H306" s="46">
        <f t="shared" si="99"/>
        <v>0.1411667651196713</v>
      </c>
      <c r="I306" s="46">
        <f>NORMSINV(SUM(H$13:H306)/H$317)</f>
        <v>2.7452006468847467</v>
      </c>
      <c r="J306" s="46">
        <f t="shared" si="94"/>
        <v>2.5410017721540834E-2</v>
      </c>
      <c r="K306" s="46">
        <f t="shared" si="95"/>
        <v>7.058338255983565E-2</v>
      </c>
      <c r="L306" s="46">
        <f t="shared" si="96"/>
        <v>0.14116111844906651</v>
      </c>
      <c r="M306" s="46">
        <f t="shared" si="100"/>
        <v>0.23715451873044299</v>
      </c>
      <c r="N306" s="46">
        <f>IF(ISNUMBER(NORMSINV(SUM(M$13:M306)/M$317)),NORMSINV(SUM(M$13:M306)/M$317)," ")</f>
        <v>2.7452006468847592</v>
      </c>
      <c r="O306" s="46">
        <f t="shared" si="101"/>
        <v>0</v>
      </c>
      <c r="P306" s="46" t="str">
        <f>IF(ISNUMBER(NORMSINV(SUM(O$13:O306)/O$317)),NORMSINV(SUM(O$13:O306)/O$317)," ")</f>
        <v xml:space="preserve"> </v>
      </c>
      <c r="Q306" s="46">
        <f t="shared" si="102"/>
        <v>0</v>
      </c>
      <c r="R306" s="46" t="str">
        <f>IF(ISNUMBER(NORMSINV(SUM(Q$13:Q306)/Q$317)),NORMSINV(SUM(Q$13:Q306)/Q$317)," ")</f>
        <v xml:space="preserve"> </v>
      </c>
      <c r="S306" s="46">
        <f t="shared" si="103"/>
        <v>0</v>
      </c>
      <c r="T306" s="46" t="str">
        <f>IF(ISNUMBER(NORMSINV(SUM(S$13:S306)/S$317)),NORMSINV(SUM(S$13:S306)/S$317)," ")</f>
        <v xml:space="preserve"> </v>
      </c>
      <c r="U306" s="46">
        <f t="shared" si="104"/>
        <v>0</v>
      </c>
      <c r="V306" s="46" t="str">
        <f>IF(ISNUMBER(NORMSINV(SUM(U$13:U306)/U$317)),NORMSINV(SUM(U$13:U306)/U$317)," ")</f>
        <v xml:space="preserve"> </v>
      </c>
      <c r="W306" s="46">
        <f t="shared" si="105"/>
        <v>0</v>
      </c>
      <c r="X306" s="46" t="str">
        <f>IF(ISNUMBER(NORMSINV(SUM(W$13:W306)/W$317)),NORMSINV(SUM(W$13:W306)/W$317)," ")</f>
        <v xml:space="preserve"> </v>
      </c>
      <c r="Y306" s="46">
        <f t="shared" si="106"/>
        <v>0</v>
      </c>
      <c r="Z306" s="46" t="str">
        <f>IF(ISNUMBER(NORMSINV(SUM(Y$13:Y306)/Y$317)),NORMSINV(SUM(Y$13:Y306)/Y$317)," ")</f>
        <v xml:space="preserve"> </v>
      </c>
      <c r="AA306" s="46">
        <f t="shared" si="107"/>
        <v>0</v>
      </c>
      <c r="AB306" s="46" t="str">
        <f>IF(ISNUMBER(NORMSINV(SUM(AA$13:AA306)/AA$317)),NORMSINV(SUM(AA$13:AA306)/AA$317)," ")</f>
        <v xml:space="preserve"> </v>
      </c>
      <c r="AC306" s="46">
        <f t="shared" si="108"/>
        <v>0</v>
      </c>
      <c r="AD306" s="46" t="str">
        <f>IF(ISNUMBER(NORMSINV(SUM(AC$13:AC306)/AC$317)),NORMSINV(SUM(AC$13:AC306)/AC$317)," ")</f>
        <v xml:space="preserve"> </v>
      </c>
      <c r="AE306" s="46">
        <f t="shared" si="109"/>
        <v>0</v>
      </c>
      <c r="AF306" s="46" t="str">
        <f>IF(ISNUMBER(NORMSINV(SUM(AE$13:AE306)/AE$317)),NORMSINV(SUM(AE$13:AE306)/AE$317)," ")</f>
        <v xml:space="preserve"> </v>
      </c>
      <c r="AG306" s="46">
        <f t="shared" si="110"/>
        <v>0</v>
      </c>
      <c r="AH306" s="46" t="str">
        <f>IF(ISNUMBER(NORMSINV(SUM(AG$13:AG306)/AG$317)),NORMSINV(SUM(AG$13:AG306)/AG$317)," ")</f>
        <v xml:space="preserve"> </v>
      </c>
      <c r="AI306" s="46">
        <f t="shared" si="111"/>
        <v>0</v>
      </c>
      <c r="AJ306" s="46" t="str">
        <f>IF(ISNUMBER(NORMSINV(SUM(AI$13:AI306)/AI$317)),NORMSINV(SUM(AI$13:AI306)/AI$317)," ")</f>
        <v xml:space="preserve"> </v>
      </c>
      <c r="AK306" s="46">
        <f t="shared" si="112"/>
        <v>0</v>
      </c>
      <c r="AL306" s="46" t="str">
        <f>IF(ISNUMBER(NORMSINV(SUM(AK$13:AK306)/AK$317)),NORMSINV(SUM(AK$13:AK306)/AK$317)," ")</f>
        <v xml:space="preserve"> </v>
      </c>
      <c r="AM306" s="6">
        <v>0</v>
      </c>
      <c r="AN306" s="6">
        <v>0</v>
      </c>
      <c r="AO306" s="6">
        <v>0</v>
      </c>
      <c r="AP306" s="6">
        <v>0</v>
      </c>
      <c r="AQ306" s="6">
        <v>0</v>
      </c>
      <c r="AR306" s="6">
        <v>0</v>
      </c>
      <c r="AS306" s="6">
        <v>0</v>
      </c>
      <c r="AT306" s="6">
        <v>0</v>
      </c>
      <c r="AU306" s="6">
        <v>0</v>
      </c>
    </row>
    <row r="307" spans="1:47" x14ac:dyDescent="0.4">
      <c r="A307" s="6">
        <f t="shared" si="97"/>
        <v>7.2241889821865923</v>
      </c>
      <c r="B307" s="6">
        <f>'Aerosol 1'!A311</f>
        <v>1372.2252650826629</v>
      </c>
      <c r="C307" t="b">
        <f t="shared" si="98"/>
        <v>1</v>
      </c>
      <c r="E307" s="46">
        <f>'Aerosol 1'!$P311</f>
        <v>4.4744195913803964E-2</v>
      </c>
      <c r="F307" s="46">
        <f>'Aerosol 2'!$P311</f>
        <v>4.4744195913803964E-2</v>
      </c>
      <c r="G307" s="46">
        <f>'Aerosol 3'!$P311</f>
        <v>4.4744195913803964E-2</v>
      </c>
      <c r="H307" s="46">
        <f t="shared" si="99"/>
        <v>0.13423258774141189</v>
      </c>
      <c r="I307" s="46">
        <f>NORMSINV(SUM(H$13:H307)/H$317)</f>
        <v>2.7976233693380146</v>
      </c>
      <c r="J307" s="46">
        <f t="shared" si="94"/>
        <v>2.416186579345414E-2</v>
      </c>
      <c r="K307" s="46">
        <f t="shared" si="95"/>
        <v>6.7116293870705945E-2</v>
      </c>
      <c r="L307" s="46">
        <f t="shared" si="96"/>
        <v>0.13422721843790225</v>
      </c>
      <c r="M307" s="46">
        <f t="shared" si="100"/>
        <v>0.22550537810206234</v>
      </c>
      <c r="N307" s="46">
        <f>IF(ISNUMBER(NORMSINV(SUM(M$13:M307)/M$317)),NORMSINV(SUM(M$13:M307)/M$317)," ")</f>
        <v>2.797623369338043</v>
      </c>
      <c r="O307" s="46">
        <f t="shared" si="101"/>
        <v>0</v>
      </c>
      <c r="P307" s="46" t="str">
        <f>IF(ISNUMBER(NORMSINV(SUM(O$13:O307)/O$317)),NORMSINV(SUM(O$13:O307)/O$317)," ")</f>
        <v xml:space="preserve"> </v>
      </c>
      <c r="Q307" s="46">
        <f t="shared" si="102"/>
        <v>0</v>
      </c>
      <c r="R307" s="46" t="str">
        <f>IF(ISNUMBER(NORMSINV(SUM(Q$13:Q307)/Q$317)),NORMSINV(SUM(Q$13:Q307)/Q$317)," ")</f>
        <v xml:space="preserve"> </v>
      </c>
      <c r="S307" s="46">
        <f t="shared" si="103"/>
        <v>0</v>
      </c>
      <c r="T307" s="46" t="str">
        <f>IF(ISNUMBER(NORMSINV(SUM(S$13:S307)/S$317)),NORMSINV(SUM(S$13:S307)/S$317)," ")</f>
        <v xml:space="preserve"> </v>
      </c>
      <c r="U307" s="46">
        <f t="shared" si="104"/>
        <v>0</v>
      </c>
      <c r="V307" s="46" t="str">
        <f>IF(ISNUMBER(NORMSINV(SUM(U$13:U307)/U$317)),NORMSINV(SUM(U$13:U307)/U$317)," ")</f>
        <v xml:space="preserve"> </v>
      </c>
      <c r="W307" s="46">
        <f t="shared" si="105"/>
        <v>0</v>
      </c>
      <c r="X307" s="46" t="str">
        <f>IF(ISNUMBER(NORMSINV(SUM(W$13:W307)/W$317)),NORMSINV(SUM(W$13:W307)/W$317)," ")</f>
        <v xml:space="preserve"> </v>
      </c>
      <c r="Y307" s="46">
        <f t="shared" si="106"/>
        <v>0</v>
      </c>
      <c r="Z307" s="46" t="str">
        <f>IF(ISNUMBER(NORMSINV(SUM(Y$13:Y307)/Y$317)),NORMSINV(SUM(Y$13:Y307)/Y$317)," ")</f>
        <v xml:space="preserve"> </v>
      </c>
      <c r="AA307" s="46">
        <f t="shared" si="107"/>
        <v>0</v>
      </c>
      <c r="AB307" s="46" t="str">
        <f>IF(ISNUMBER(NORMSINV(SUM(AA$13:AA307)/AA$317)),NORMSINV(SUM(AA$13:AA307)/AA$317)," ")</f>
        <v xml:space="preserve"> </v>
      </c>
      <c r="AC307" s="46">
        <f t="shared" si="108"/>
        <v>0</v>
      </c>
      <c r="AD307" s="46" t="str">
        <f>IF(ISNUMBER(NORMSINV(SUM(AC$13:AC307)/AC$317)),NORMSINV(SUM(AC$13:AC307)/AC$317)," ")</f>
        <v xml:space="preserve"> </v>
      </c>
      <c r="AE307" s="46">
        <f t="shared" si="109"/>
        <v>0</v>
      </c>
      <c r="AF307" s="46" t="str">
        <f>IF(ISNUMBER(NORMSINV(SUM(AE$13:AE307)/AE$317)),NORMSINV(SUM(AE$13:AE307)/AE$317)," ")</f>
        <v xml:space="preserve"> </v>
      </c>
      <c r="AG307" s="46">
        <f t="shared" si="110"/>
        <v>0</v>
      </c>
      <c r="AH307" s="46" t="str">
        <f>IF(ISNUMBER(NORMSINV(SUM(AG$13:AG307)/AG$317)),NORMSINV(SUM(AG$13:AG307)/AG$317)," ")</f>
        <v xml:space="preserve"> </v>
      </c>
      <c r="AI307" s="46">
        <f t="shared" si="111"/>
        <v>0</v>
      </c>
      <c r="AJ307" s="46" t="str">
        <f>IF(ISNUMBER(NORMSINV(SUM(AI$13:AI307)/AI$317)),NORMSINV(SUM(AI$13:AI307)/AI$317)," ")</f>
        <v xml:space="preserve"> </v>
      </c>
      <c r="AK307" s="46">
        <f t="shared" si="112"/>
        <v>0</v>
      </c>
      <c r="AL307" s="46" t="str">
        <f>IF(ISNUMBER(NORMSINV(SUM(AK$13:AK307)/AK$317)),NORMSINV(SUM(AK$13:AK307)/AK$317)," ")</f>
        <v xml:space="preserve"> </v>
      </c>
      <c r="AM307" s="6">
        <v>0</v>
      </c>
      <c r="AN307" s="6">
        <v>0</v>
      </c>
      <c r="AO307" s="6">
        <v>0</v>
      </c>
      <c r="AP307" s="6">
        <v>0</v>
      </c>
      <c r="AQ307" s="6">
        <v>0</v>
      </c>
      <c r="AR307" s="6">
        <v>0</v>
      </c>
      <c r="AS307" s="6">
        <v>0</v>
      </c>
      <c r="AT307" s="6">
        <v>0</v>
      </c>
      <c r="AU307" s="6">
        <v>0</v>
      </c>
    </row>
    <row r="308" spans="1:47" x14ac:dyDescent="0.4">
      <c r="A308" s="6">
        <f t="shared" si="97"/>
        <v>7.2586675596177717</v>
      </c>
      <c r="B308" s="6">
        <f>'Aerosol 1'!A312</f>
        <v>1420.3627271318198</v>
      </c>
      <c r="C308" t="b">
        <f t="shared" si="98"/>
        <v>1</v>
      </c>
      <c r="E308" s="46">
        <f>'Aerosol 1'!$P312</f>
        <v>4.252773688944167E-2</v>
      </c>
      <c r="F308" s="46">
        <f>'Aerosol 2'!$P312</f>
        <v>4.252773688944167E-2</v>
      </c>
      <c r="G308" s="46">
        <f>'Aerosol 3'!$P312</f>
        <v>4.252773688944167E-2</v>
      </c>
      <c r="H308" s="46">
        <f t="shared" si="99"/>
        <v>0.12758321066832501</v>
      </c>
      <c r="I308" s="46">
        <f>NORMSINV(SUM(H$13:H308)/H$317)</f>
        <v>2.855775825035332</v>
      </c>
      <c r="J308" s="46">
        <f t="shared" si="94"/>
        <v>2.2964977920298502E-2</v>
      </c>
      <c r="K308" s="46">
        <f t="shared" si="95"/>
        <v>6.3791605334162504E-2</v>
      </c>
      <c r="L308" s="46">
        <f t="shared" si="96"/>
        <v>0.12757810733989827</v>
      </c>
      <c r="M308" s="46">
        <f t="shared" si="100"/>
        <v>0.21433469059435928</v>
      </c>
      <c r="N308" s="46">
        <f>IF(ISNUMBER(NORMSINV(SUM(M$13:M308)/M$317)),NORMSINV(SUM(M$13:M308)/M$317)," ")</f>
        <v>2.8557758250353484</v>
      </c>
      <c r="O308" s="46">
        <f t="shared" si="101"/>
        <v>0</v>
      </c>
      <c r="P308" s="46" t="str">
        <f>IF(ISNUMBER(NORMSINV(SUM(O$13:O308)/O$317)),NORMSINV(SUM(O$13:O308)/O$317)," ")</f>
        <v xml:space="preserve"> </v>
      </c>
      <c r="Q308" s="46">
        <f t="shared" si="102"/>
        <v>0</v>
      </c>
      <c r="R308" s="46" t="str">
        <f>IF(ISNUMBER(NORMSINV(SUM(Q$13:Q308)/Q$317)),NORMSINV(SUM(Q$13:Q308)/Q$317)," ")</f>
        <v xml:space="preserve"> </v>
      </c>
      <c r="S308" s="46">
        <f t="shared" si="103"/>
        <v>0</v>
      </c>
      <c r="T308" s="46" t="str">
        <f>IF(ISNUMBER(NORMSINV(SUM(S$13:S308)/S$317)),NORMSINV(SUM(S$13:S308)/S$317)," ")</f>
        <v xml:space="preserve"> </v>
      </c>
      <c r="U308" s="46">
        <f t="shared" si="104"/>
        <v>0</v>
      </c>
      <c r="V308" s="46" t="str">
        <f>IF(ISNUMBER(NORMSINV(SUM(U$13:U308)/U$317)),NORMSINV(SUM(U$13:U308)/U$317)," ")</f>
        <v xml:space="preserve"> </v>
      </c>
      <c r="W308" s="46">
        <f t="shared" si="105"/>
        <v>0</v>
      </c>
      <c r="X308" s="46" t="str">
        <f>IF(ISNUMBER(NORMSINV(SUM(W$13:W308)/W$317)),NORMSINV(SUM(W$13:W308)/W$317)," ")</f>
        <v xml:space="preserve"> </v>
      </c>
      <c r="Y308" s="46">
        <f t="shared" si="106"/>
        <v>0</v>
      </c>
      <c r="Z308" s="46" t="str">
        <f>IF(ISNUMBER(NORMSINV(SUM(Y$13:Y308)/Y$317)),NORMSINV(SUM(Y$13:Y308)/Y$317)," ")</f>
        <v xml:space="preserve"> </v>
      </c>
      <c r="AA308" s="46">
        <f t="shared" si="107"/>
        <v>0</v>
      </c>
      <c r="AB308" s="46" t="str">
        <f>IF(ISNUMBER(NORMSINV(SUM(AA$13:AA308)/AA$317)),NORMSINV(SUM(AA$13:AA308)/AA$317)," ")</f>
        <v xml:space="preserve"> </v>
      </c>
      <c r="AC308" s="46">
        <f t="shared" si="108"/>
        <v>0</v>
      </c>
      <c r="AD308" s="46" t="str">
        <f>IF(ISNUMBER(NORMSINV(SUM(AC$13:AC308)/AC$317)),NORMSINV(SUM(AC$13:AC308)/AC$317)," ")</f>
        <v xml:space="preserve"> </v>
      </c>
      <c r="AE308" s="46">
        <f t="shared" si="109"/>
        <v>0</v>
      </c>
      <c r="AF308" s="46" t="str">
        <f>IF(ISNUMBER(NORMSINV(SUM(AE$13:AE308)/AE$317)),NORMSINV(SUM(AE$13:AE308)/AE$317)," ")</f>
        <v xml:space="preserve"> </v>
      </c>
      <c r="AG308" s="46">
        <f t="shared" si="110"/>
        <v>0</v>
      </c>
      <c r="AH308" s="46" t="str">
        <f>IF(ISNUMBER(NORMSINV(SUM(AG$13:AG308)/AG$317)),NORMSINV(SUM(AG$13:AG308)/AG$317)," ")</f>
        <v xml:space="preserve"> </v>
      </c>
      <c r="AI308" s="46">
        <f t="shared" si="111"/>
        <v>0</v>
      </c>
      <c r="AJ308" s="46" t="str">
        <f>IF(ISNUMBER(NORMSINV(SUM(AI$13:AI308)/AI$317)),NORMSINV(SUM(AI$13:AI308)/AI$317)," ")</f>
        <v xml:space="preserve"> </v>
      </c>
      <c r="AK308" s="46">
        <f t="shared" si="112"/>
        <v>0</v>
      </c>
      <c r="AL308" s="46" t="str">
        <f>IF(ISNUMBER(NORMSINV(SUM(AK$13:AK308)/AK$317)),NORMSINV(SUM(AK$13:AK308)/AK$317)," ")</f>
        <v xml:space="preserve"> </v>
      </c>
      <c r="AM308" s="6">
        <v>0</v>
      </c>
      <c r="AN308" s="6">
        <v>0</v>
      </c>
      <c r="AO308" s="6">
        <v>0</v>
      </c>
      <c r="AP308" s="6">
        <v>0</v>
      </c>
      <c r="AQ308" s="6">
        <v>0</v>
      </c>
      <c r="AR308" s="6">
        <v>0</v>
      </c>
      <c r="AS308" s="6">
        <v>0</v>
      </c>
      <c r="AT308" s="6">
        <v>0</v>
      </c>
      <c r="AU308" s="6">
        <v>0</v>
      </c>
    </row>
    <row r="309" spans="1:47" x14ac:dyDescent="0.4">
      <c r="A309" s="6">
        <f t="shared" si="97"/>
        <v>7.2931461370489501</v>
      </c>
      <c r="B309" s="6">
        <f>'Aerosol 1'!A313</f>
        <v>1470.1888443249213</v>
      </c>
      <c r="C309" t="b">
        <f t="shared" si="98"/>
        <v>1</v>
      </c>
      <c r="E309" s="46">
        <f>'Aerosol 1'!$P313</f>
        <v>4.0403398925825673E-2</v>
      </c>
      <c r="F309" s="46">
        <f>'Aerosol 2'!$P313</f>
        <v>4.0403398925825673E-2</v>
      </c>
      <c r="G309" s="46">
        <f>'Aerosol 3'!$P313</f>
        <v>4.0403398925825673E-2</v>
      </c>
      <c r="H309" s="46">
        <f t="shared" si="99"/>
        <v>0.12121019677747702</v>
      </c>
      <c r="I309" s="46">
        <f>NORMSINV(SUM(H$13:H309)/H$317)</f>
        <v>2.9217191517430852</v>
      </c>
      <c r="J309" s="46">
        <f t="shared" si="94"/>
        <v>2.1817835419945864E-2</v>
      </c>
      <c r="K309" s="46">
        <f t="shared" si="95"/>
        <v>6.060509838873851E-2</v>
      </c>
      <c r="L309" s="46">
        <f t="shared" si="96"/>
        <v>0.12120534836960592</v>
      </c>
      <c r="M309" s="46">
        <f t="shared" si="100"/>
        <v>0.20362828217829029</v>
      </c>
      <c r="N309" s="46">
        <f>IF(ISNUMBER(NORMSINV(SUM(M$13:M309)/M$317)),NORMSINV(SUM(M$13:M309)/M$317)," ")</f>
        <v>2.9217191517431056</v>
      </c>
      <c r="O309" s="46">
        <f t="shared" si="101"/>
        <v>0</v>
      </c>
      <c r="P309" s="46" t="str">
        <f>IF(ISNUMBER(NORMSINV(SUM(O$13:O309)/O$317)),NORMSINV(SUM(O$13:O309)/O$317)," ")</f>
        <v xml:space="preserve"> </v>
      </c>
      <c r="Q309" s="46">
        <f t="shared" si="102"/>
        <v>0</v>
      </c>
      <c r="R309" s="46" t="str">
        <f>IF(ISNUMBER(NORMSINV(SUM(Q$13:Q309)/Q$317)),NORMSINV(SUM(Q$13:Q309)/Q$317)," ")</f>
        <v xml:space="preserve"> </v>
      </c>
      <c r="S309" s="46">
        <f t="shared" si="103"/>
        <v>0</v>
      </c>
      <c r="T309" s="46" t="str">
        <f>IF(ISNUMBER(NORMSINV(SUM(S$13:S309)/S$317)),NORMSINV(SUM(S$13:S309)/S$317)," ")</f>
        <v xml:space="preserve"> </v>
      </c>
      <c r="U309" s="46">
        <f t="shared" si="104"/>
        <v>0</v>
      </c>
      <c r="V309" s="46" t="str">
        <f>IF(ISNUMBER(NORMSINV(SUM(U$13:U309)/U$317)),NORMSINV(SUM(U$13:U309)/U$317)," ")</f>
        <v xml:space="preserve"> </v>
      </c>
      <c r="W309" s="46">
        <f t="shared" si="105"/>
        <v>0</v>
      </c>
      <c r="X309" s="46" t="str">
        <f>IF(ISNUMBER(NORMSINV(SUM(W$13:W309)/W$317)),NORMSINV(SUM(W$13:W309)/W$317)," ")</f>
        <v xml:space="preserve"> </v>
      </c>
      <c r="Y309" s="46">
        <f t="shared" si="106"/>
        <v>0</v>
      </c>
      <c r="Z309" s="46" t="str">
        <f>IF(ISNUMBER(NORMSINV(SUM(Y$13:Y309)/Y$317)),NORMSINV(SUM(Y$13:Y309)/Y$317)," ")</f>
        <v xml:space="preserve"> </v>
      </c>
      <c r="AA309" s="46">
        <f t="shared" si="107"/>
        <v>0</v>
      </c>
      <c r="AB309" s="46" t="str">
        <f>IF(ISNUMBER(NORMSINV(SUM(AA$13:AA309)/AA$317)),NORMSINV(SUM(AA$13:AA309)/AA$317)," ")</f>
        <v xml:space="preserve"> </v>
      </c>
      <c r="AC309" s="46">
        <f t="shared" si="108"/>
        <v>0</v>
      </c>
      <c r="AD309" s="46" t="str">
        <f>IF(ISNUMBER(NORMSINV(SUM(AC$13:AC309)/AC$317)),NORMSINV(SUM(AC$13:AC309)/AC$317)," ")</f>
        <v xml:space="preserve"> </v>
      </c>
      <c r="AE309" s="46">
        <f t="shared" si="109"/>
        <v>0</v>
      </c>
      <c r="AF309" s="46" t="str">
        <f>IF(ISNUMBER(NORMSINV(SUM(AE$13:AE309)/AE$317)),NORMSINV(SUM(AE$13:AE309)/AE$317)," ")</f>
        <v xml:space="preserve"> </v>
      </c>
      <c r="AG309" s="46">
        <f t="shared" si="110"/>
        <v>0</v>
      </c>
      <c r="AH309" s="46" t="str">
        <f>IF(ISNUMBER(NORMSINV(SUM(AG$13:AG309)/AG$317)),NORMSINV(SUM(AG$13:AG309)/AG$317)," ")</f>
        <v xml:space="preserve"> </v>
      </c>
      <c r="AI309" s="46">
        <f t="shared" si="111"/>
        <v>0</v>
      </c>
      <c r="AJ309" s="46" t="str">
        <f>IF(ISNUMBER(NORMSINV(SUM(AI$13:AI309)/AI$317)),NORMSINV(SUM(AI$13:AI309)/AI$317)," ")</f>
        <v xml:space="preserve"> </v>
      </c>
      <c r="AK309" s="46">
        <f t="shared" si="112"/>
        <v>0</v>
      </c>
      <c r="AL309" s="46" t="str">
        <f>IF(ISNUMBER(NORMSINV(SUM(AK$13:AK309)/AK$317)),NORMSINV(SUM(AK$13:AK309)/AK$317)," ")</f>
        <v xml:space="preserve"> </v>
      </c>
      <c r="AM309" s="6">
        <v>0</v>
      </c>
      <c r="AN309" s="6">
        <v>0</v>
      </c>
      <c r="AO309" s="6">
        <v>0</v>
      </c>
      <c r="AP309" s="6">
        <v>0</v>
      </c>
      <c r="AQ309" s="6">
        <v>0</v>
      </c>
      <c r="AR309" s="6">
        <v>0</v>
      </c>
      <c r="AS309" s="6">
        <v>0</v>
      </c>
      <c r="AT309" s="6">
        <v>0</v>
      </c>
      <c r="AU309" s="6">
        <v>0</v>
      </c>
    </row>
    <row r="310" spans="1:47" x14ac:dyDescent="0.4">
      <c r="A310" s="6">
        <f t="shared" si="97"/>
        <v>7.3276247144801294</v>
      </c>
      <c r="B310" s="6">
        <f>'Aerosol 1'!A314</f>
        <v>1521.7628544379922</v>
      </c>
      <c r="C310" t="b">
        <f t="shared" si="98"/>
        <v>1</v>
      </c>
      <c r="E310" s="46">
        <f>'Aerosol 1'!$P314</f>
        <v>3.8368391728826889E-2</v>
      </c>
      <c r="F310" s="46">
        <f>'Aerosol 2'!$P314</f>
        <v>3.8368391728826889E-2</v>
      </c>
      <c r="G310" s="46">
        <f>'Aerosol 3'!$P314</f>
        <v>3.8368391728826889E-2</v>
      </c>
      <c r="H310" s="46">
        <f t="shared" si="99"/>
        <v>0.11510517518648067</v>
      </c>
      <c r="I310" s="46">
        <f>NORMSINV(SUM(H$13:H310)/H$317)</f>
        <v>2.9988700217363</v>
      </c>
      <c r="J310" s="46">
        <f t="shared" si="94"/>
        <v>2.071893153356652E-2</v>
      </c>
      <c r="K310" s="46">
        <f t="shared" si="95"/>
        <v>5.7552587593240334E-2</v>
      </c>
      <c r="L310" s="46">
        <f t="shared" si="96"/>
        <v>0.11510057097947321</v>
      </c>
      <c r="M310" s="46">
        <f t="shared" si="100"/>
        <v>0.19337209010628006</v>
      </c>
      <c r="N310" s="46">
        <f>IF(ISNUMBER(NORMSINV(SUM(M$13:M310)/M$317)),NORMSINV(SUM(M$13:M310)/M$317)," ")</f>
        <v>2.9988700217362747</v>
      </c>
      <c r="O310" s="46">
        <f t="shared" si="101"/>
        <v>0</v>
      </c>
      <c r="P310" s="46" t="str">
        <f>IF(ISNUMBER(NORMSINV(SUM(O$13:O310)/O$317)),NORMSINV(SUM(O$13:O310)/O$317)," ")</f>
        <v xml:space="preserve"> </v>
      </c>
      <c r="Q310" s="46">
        <f t="shared" si="102"/>
        <v>0</v>
      </c>
      <c r="R310" s="46" t="str">
        <f>IF(ISNUMBER(NORMSINV(SUM(Q$13:Q310)/Q$317)),NORMSINV(SUM(Q$13:Q310)/Q$317)," ")</f>
        <v xml:space="preserve"> </v>
      </c>
      <c r="S310" s="46">
        <f t="shared" si="103"/>
        <v>0</v>
      </c>
      <c r="T310" s="46" t="str">
        <f>IF(ISNUMBER(NORMSINV(SUM(S$13:S310)/S$317)),NORMSINV(SUM(S$13:S310)/S$317)," ")</f>
        <v xml:space="preserve"> </v>
      </c>
      <c r="U310" s="46">
        <f t="shared" si="104"/>
        <v>0</v>
      </c>
      <c r="V310" s="46" t="str">
        <f>IF(ISNUMBER(NORMSINV(SUM(U$13:U310)/U$317)),NORMSINV(SUM(U$13:U310)/U$317)," ")</f>
        <v xml:space="preserve"> </v>
      </c>
      <c r="W310" s="46">
        <f t="shared" si="105"/>
        <v>0</v>
      </c>
      <c r="X310" s="46" t="str">
        <f>IF(ISNUMBER(NORMSINV(SUM(W$13:W310)/W$317)),NORMSINV(SUM(W$13:W310)/W$317)," ")</f>
        <v xml:space="preserve"> </v>
      </c>
      <c r="Y310" s="46">
        <f t="shared" si="106"/>
        <v>0</v>
      </c>
      <c r="Z310" s="46" t="str">
        <f>IF(ISNUMBER(NORMSINV(SUM(Y$13:Y310)/Y$317)),NORMSINV(SUM(Y$13:Y310)/Y$317)," ")</f>
        <v xml:space="preserve"> </v>
      </c>
      <c r="AA310" s="46">
        <f t="shared" si="107"/>
        <v>0</v>
      </c>
      <c r="AB310" s="46" t="str">
        <f>IF(ISNUMBER(NORMSINV(SUM(AA$13:AA310)/AA$317)),NORMSINV(SUM(AA$13:AA310)/AA$317)," ")</f>
        <v xml:space="preserve"> </v>
      </c>
      <c r="AC310" s="46">
        <f t="shared" si="108"/>
        <v>0</v>
      </c>
      <c r="AD310" s="46" t="str">
        <f>IF(ISNUMBER(NORMSINV(SUM(AC$13:AC310)/AC$317)),NORMSINV(SUM(AC$13:AC310)/AC$317)," ")</f>
        <v xml:space="preserve"> </v>
      </c>
      <c r="AE310" s="46">
        <f t="shared" si="109"/>
        <v>0</v>
      </c>
      <c r="AF310" s="46" t="str">
        <f>IF(ISNUMBER(NORMSINV(SUM(AE$13:AE310)/AE$317)),NORMSINV(SUM(AE$13:AE310)/AE$317)," ")</f>
        <v xml:space="preserve"> </v>
      </c>
      <c r="AG310" s="46">
        <f t="shared" si="110"/>
        <v>0</v>
      </c>
      <c r="AH310" s="46" t="str">
        <f>IF(ISNUMBER(NORMSINV(SUM(AG$13:AG310)/AG$317)),NORMSINV(SUM(AG$13:AG310)/AG$317)," ")</f>
        <v xml:space="preserve"> </v>
      </c>
      <c r="AI310" s="46">
        <f t="shared" si="111"/>
        <v>0</v>
      </c>
      <c r="AJ310" s="46" t="str">
        <f>IF(ISNUMBER(NORMSINV(SUM(AI$13:AI310)/AI$317)),NORMSINV(SUM(AI$13:AI310)/AI$317)," ")</f>
        <v xml:space="preserve"> </v>
      </c>
      <c r="AK310" s="46">
        <f t="shared" si="112"/>
        <v>0</v>
      </c>
      <c r="AL310" s="46" t="str">
        <f>IF(ISNUMBER(NORMSINV(SUM(AK$13:AK310)/AK$317)),NORMSINV(SUM(AK$13:AK310)/AK$317)," ")</f>
        <v xml:space="preserve"> </v>
      </c>
      <c r="AM310" s="6">
        <v>0</v>
      </c>
      <c r="AN310" s="6">
        <v>0</v>
      </c>
      <c r="AO310" s="6">
        <v>0</v>
      </c>
      <c r="AP310" s="6">
        <v>0</v>
      </c>
      <c r="AQ310" s="6">
        <v>0</v>
      </c>
      <c r="AR310" s="6">
        <v>0</v>
      </c>
      <c r="AS310" s="6">
        <v>0</v>
      </c>
      <c r="AT310" s="6">
        <v>0</v>
      </c>
      <c r="AU310" s="6">
        <v>0</v>
      </c>
    </row>
    <row r="311" spans="1:47" x14ac:dyDescent="0.4">
      <c r="A311" s="6">
        <f t="shared" si="97"/>
        <v>7.3621032919113079</v>
      </c>
      <c r="B311" s="6">
        <f>'Aerosol 1'!A315</f>
        <v>1575.1460732995915</v>
      </c>
      <c r="C311" t="b">
        <f t="shared" si="98"/>
        <v>1</v>
      </c>
      <c r="E311" s="46">
        <f>'Aerosol 1'!$P315</f>
        <v>3.6419950738453277E-2</v>
      </c>
      <c r="F311" s="46">
        <f>'Aerosol 2'!$P315</f>
        <v>3.6419950738453277E-2</v>
      </c>
      <c r="G311" s="46">
        <f>'Aerosol 3'!$P315</f>
        <v>3.6419950738453277E-2</v>
      </c>
      <c r="H311" s="46">
        <f t="shared" si="99"/>
        <v>0.10925985221535983</v>
      </c>
      <c r="I311" s="46">
        <f>NORMSINV(SUM(H$13:H311)/H$317)</f>
        <v>3.0935504053631977</v>
      </c>
      <c r="J311" s="46">
        <f t="shared" si="94"/>
        <v>1.966677339876477E-2</v>
      </c>
      <c r="K311" s="46">
        <f t="shared" si="95"/>
        <v>5.4629926107679916E-2</v>
      </c>
      <c r="L311" s="46">
        <f t="shared" si="96"/>
        <v>0.10925548182127122</v>
      </c>
      <c r="M311" s="46">
        <f t="shared" si="100"/>
        <v>0.18355218132771589</v>
      </c>
      <c r="N311" s="46">
        <f>IF(ISNUMBER(NORMSINV(SUM(M$13:M311)/M$317)),NORMSINV(SUM(M$13:M311)/M$317)," ")</f>
        <v>3.0935504053631977</v>
      </c>
      <c r="O311" s="46">
        <f t="shared" si="101"/>
        <v>0</v>
      </c>
      <c r="P311" s="46" t="str">
        <f>IF(ISNUMBER(NORMSINV(SUM(O$13:O311)/O$317)),NORMSINV(SUM(O$13:O311)/O$317)," ")</f>
        <v xml:space="preserve"> </v>
      </c>
      <c r="Q311" s="46">
        <f t="shared" si="102"/>
        <v>0</v>
      </c>
      <c r="R311" s="46" t="str">
        <f>IF(ISNUMBER(NORMSINV(SUM(Q$13:Q311)/Q$317)),NORMSINV(SUM(Q$13:Q311)/Q$317)," ")</f>
        <v xml:space="preserve"> </v>
      </c>
      <c r="S311" s="46">
        <f t="shared" si="103"/>
        <v>0</v>
      </c>
      <c r="T311" s="46" t="str">
        <f>IF(ISNUMBER(NORMSINV(SUM(S$13:S311)/S$317)),NORMSINV(SUM(S$13:S311)/S$317)," ")</f>
        <v xml:space="preserve"> </v>
      </c>
      <c r="U311" s="46">
        <f t="shared" si="104"/>
        <v>0</v>
      </c>
      <c r="V311" s="46" t="str">
        <f>IF(ISNUMBER(NORMSINV(SUM(U$13:U311)/U$317)),NORMSINV(SUM(U$13:U311)/U$317)," ")</f>
        <v xml:space="preserve"> </v>
      </c>
      <c r="W311" s="46">
        <f t="shared" si="105"/>
        <v>0</v>
      </c>
      <c r="X311" s="46" t="str">
        <f>IF(ISNUMBER(NORMSINV(SUM(W$13:W311)/W$317)),NORMSINV(SUM(W$13:W311)/W$317)," ")</f>
        <v xml:space="preserve"> </v>
      </c>
      <c r="Y311" s="46">
        <f t="shared" si="106"/>
        <v>0</v>
      </c>
      <c r="Z311" s="46" t="str">
        <f>IF(ISNUMBER(NORMSINV(SUM(Y$13:Y311)/Y$317)),NORMSINV(SUM(Y$13:Y311)/Y$317)," ")</f>
        <v xml:space="preserve"> </v>
      </c>
      <c r="AA311" s="46">
        <f t="shared" si="107"/>
        <v>0</v>
      </c>
      <c r="AB311" s="46" t="str">
        <f>IF(ISNUMBER(NORMSINV(SUM(AA$13:AA311)/AA$317)),NORMSINV(SUM(AA$13:AA311)/AA$317)," ")</f>
        <v xml:space="preserve"> </v>
      </c>
      <c r="AC311" s="46">
        <f t="shared" si="108"/>
        <v>0</v>
      </c>
      <c r="AD311" s="46" t="str">
        <f>IF(ISNUMBER(NORMSINV(SUM(AC$13:AC311)/AC$317)),NORMSINV(SUM(AC$13:AC311)/AC$317)," ")</f>
        <v xml:space="preserve"> </v>
      </c>
      <c r="AE311" s="46">
        <f t="shared" si="109"/>
        <v>0</v>
      </c>
      <c r="AF311" s="46" t="str">
        <f>IF(ISNUMBER(NORMSINV(SUM(AE$13:AE311)/AE$317)),NORMSINV(SUM(AE$13:AE311)/AE$317)," ")</f>
        <v xml:space="preserve"> </v>
      </c>
      <c r="AG311" s="46">
        <f t="shared" si="110"/>
        <v>0</v>
      </c>
      <c r="AH311" s="46" t="str">
        <f>IF(ISNUMBER(NORMSINV(SUM(AG$13:AG311)/AG$317)),NORMSINV(SUM(AG$13:AG311)/AG$317)," ")</f>
        <v xml:space="preserve"> </v>
      </c>
      <c r="AI311" s="46">
        <f t="shared" si="111"/>
        <v>0</v>
      </c>
      <c r="AJ311" s="46" t="str">
        <f>IF(ISNUMBER(NORMSINV(SUM(AI$13:AI311)/AI$317)),NORMSINV(SUM(AI$13:AI311)/AI$317)," ")</f>
        <v xml:space="preserve"> </v>
      </c>
      <c r="AK311" s="46">
        <f t="shared" si="112"/>
        <v>0</v>
      </c>
      <c r="AL311" s="46" t="str">
        <f>IF(ISNUMBER(NORMSINV(SUM(AK$13:AK311)/AK$317)),NORMSINV(SUM(AK$13:AK311)/AK$317)," ")</f>
        <v xml:space="preserve"> </v>
      </c>
      <c r="AM311" s="6">
        <v>0</v>
      </c>
      <c r="AN311" s="6">
        <v>0</v>
      </c>
      <c r="AO311" s="6">
        <v>0</v>
      </c>
      <c r="AP311" s="6">
        <v>0</v>
      </c>
      <c r="AQ311" s="6">
        <v>0</v>
      </c>
      <c r="AR311" s="6">
        <v>0</v>
      </c>
      <c r="AS311" s="6">
        <v>0</v>
      </c>
      <c r="AT311" s="6">
        <v>0</v>
      </c>
      <c r="AU311" s="6">
        <v>0</v>
      </c>
    </row>
    <row r="312" spans="1:47" x14ac:dyDescent="0.4">
      <c r="A312" s="6">
        <f t="shared" si="97"/>
        <v>7.3965818693424863</v>
      </c>
      <c r="B312" s="6">
        <f>'Aerosol 1'!A316</f>
        <v>1630.4019676885991</v>
      </c>
      <c r="C312" t="b">
        <f t="shared" si="98"/>
        <v>1</v>
      </c>
      <c r="E312" s="46">
        <f>'Aerosol 1'!$P316</f>
        <v>3.4555340544706326E-2</v>
      </c>
      <c r="F312" s="46">
        <f>'Aerosol 2'!$P316</f>
        <v>3.4555340544706326E-2</v>
      </c>
      <c r="G312" s="46">
        <f>'Aerosol 3'!$P316</f>
        <v>3.4555340544706326E-2</v>
      </c>
      <c r="H312" s="46">
        <f t="shared" si="99"/>
        <v>0.10366602163411898</v>
      </c>
      <c r="I312" s="46">
        <f>NORMSINV(SUM(H$13:H312)/H$317)</f>
        <v>3.2197130249340513</v>
      </c>
      <c r="J312" s="46">
        <f t="shared" si="94"/>
        <v>1.8659883894141416E-2</v>
      </c>
      <c r="K312" s="46">
        <f t="shared" si="95"/>
        <v>5.1833010817059488E-2</v>
      </c>
      <c r="L312" s="46">
        <f t="shared" si="96"/>
        <v>0.10366187499325362</v>
      </c>
      <c r="M312" s="46">
        <f t="shared" si="100"/>
        <v>0.17415476970445454</v>
      </c>
      <c r="N312" s="46">
        <f>IF(ISNUMBER(NORMSINV(SUM(M$13:M312)/M$317)),NORMSINV(SUM(M$13:M312)/M$317)," ")</f>
        <v>3.2197130249340011</v>
      </c>
      <c r="O312" s="46">
        <f t="shared" si="101"/>
        <v>0</v>
      </c>
      <c r="P312" s="46" t="str">
        <f>IF(ISNUMBER(NORMSINV(SUM(O$13:O312)/O$317)),NORMSINV(SUM(O$13:O312)/O$317)," ")</f>
        <v xml:space="preserve"> </v>
      </c>
      <c r="Q312" s="46">
        <f t="shared" si="102"/>
        <v>0</v>
      </c>
      <c r="R312" s="46" t="str">
        <f>IF(ISNUMBER(NORMSINV(SUM(Q$13:Q312)/Q$317)),NORMSINV(SUM(Q$13:Q312)/Q$317)," ")</f>
        <v xml:space="preserve"> </v>
      </c>
      <c r="S312" s="46">
        <f t="shared" si="103"/>
        <v>0</v>
      </c>
      <c r="T312" s="46" t="str">
        <f>IF(ISNUMBER(NORMSINV(SUM(S$13:S312)/S$317)),NORMSINV(SUM(S$13:S312)/S$317)," ")</f>
        <v xml:space="preserve"> </v>
      </c>
      <c r="U312" s="46">
        <f t="shared" si="104"/>
        <v>0</v>
      </c>
      <c r="V312" s="46" t="str">
        <f>IF(ISNUMBER(NORMSINV(SUM(U$13:U312)/U$317)),NORMSINV(SUM(U$13:U312)/U$317)," ")</f>
        <v xml:space="preserve"> </v>
      </c>
      <c r="W312" s="46">
        <f t="shared" si="105"/>
        <v>0</v>
      </c>
      <c r="X312" s="46" t="str">
        <f>IF(ISNUMBER(NORMSINV(SUM(W$13:W312)/W$317)),NORMSINV(SUM(W$13:W312)/W$317)," ")</f>
        <v xml:space="preserve"> </v>
      </c>
      <c r="Y312" s="46">
        <f t="shared" si="106"/>
        <v>0</v>
      </c>
      <c r="Z312" s="46" t="str">
        <f>IF(ISNUMBER(NORMSINV(SUM(Y$13:Y312)/Y$317)),NORMSINV(SUM(Y$13:Y312)/Y$317)," ")</f>
        <v xml:space="preserve"> </v>
      </c>
      <c r="AA312" s="46">
        <f t="shared" si="107"/>
        <v>0</v>
      </c>
      <c r="AB312" s="46" t="str">
        <f>IF(ISNUMBER(NORMSINV(SUM(AA$13:AA312)/AA$317)),NORMSINV(SUM(AA$13:AA312)/AA$317)," ")</f>
        <v xml:space="preserve"> </v>
      </c>
      <c r="AC312" s="46">
        <f t="shared" si="108"/>
        <v>0</v>
      </c>
      <c r="AD312" s="46" t="str">
        <f>IF(ISNUMBER(NORMSINV(SUM(AC$13:AC312)/AC$317)),NORMSINV(SUM(AC$13:AC312)/AC$317)," ")</f>
        <v xml:space="preserve"> </v>
      </c>
      <c r="AE312" s="46">
        <f t="shared" si="109"/>
        <v>0</v>
      </c>
      <c r="AF312" s="46" t="str">
        <f>IF(ISNUMBER(NORMSINV(SUM(AE$13:AE312)/AE$317)),NORMSINV(SUM(AE$13:AE312)/AE$317)," ")</f>
        <v xml:space="preserve"> </v>
      </c>
      <c r="AG312" s="46">
        <f t="shared" si="110"/>
        <v>0</v>
      </c>
      <c r="AH312" s="46" t="str">
        <f>IF(ISNUMBER(NORMSINV(SUM(AG$13:AG312)/AG$317)),NORMSINV(SUM(AG$13:AG312)/AG$317)," ")</f>
        <v xml:space="preserve"> </v>
      </c>
      <c r="AI312" s="46">
        <f t="shared" si="111"/>
        <v>0</v>
      </c>
      <c r="AJ312" s="46" t="str">
        <f>IF(ISNUMBER(NORMSINV(SUM(AI$13:AI312)/AI$317)),NORMSINV(SUM(AI$13:AI312)/AI$317)," ")</f>
        <v xml:space="preserve"> </v>
      </c>
      <c r="AK312" s="46">
        <f t="shared" si="112"/>
        <v>0</v>
      </c>
      <c r="AL312" s="46" t="str">
        <f>IF(ISNUMBER(NORMSINV(SUM(AK$13:AK312)/AK$317)),NORMSINV(SUM(AK$13:AK312)/AK$317)," ")</f>
        <v xml:space="preserve"> </v>
      </c>
      <c r="AM312" s="6">
        <v>0</v>
      </c>
      <c r="AN312" s="6">
        <v>0</v>
      </c>
      <c r="AO312" s="6">
        <v>0</v>
      </c>
      <c r="AP312" s="6">
        <v>0</v>
      </c>
      <c r="AQ312" s="6">
        <v>0</v>
      </c>
      <c r="AR312" s="6">
        <v>0</v>
      </c>
      <c r="AS312" s="6">
        <v>0</v>
      </c>
      <c r="AT312" s="6">
        <v>0</v>
      </c>
      <c r="AU312" s="6">
        <v>0</v>
      </c>
    </row>
    <row r="313" spans="1:47" x14ac:dyDescent="0.4">
      <c r="A313" s="6">
        <f t="shared" si="97"/>
        <v>7.4310604467736647</v>
      </c>
      <c r="B313" s="6">
        <f>'Aerosol 1'!A317</f>
        <v>1687.596230789236</v>
      </c>
      <c r="C313" t="b">
        <f t="shared" si="98"/>
        <v>1</v>
      </c>
      <c r="E313" s="46">
        <f>'Aerosol 1'!$P317</f>
        <v>3.2771858068691984E-2</v>
      </c>
      <c r="F313" s="46">
        <f>'Aerosol 2'!$P317</f>
        <v>3.2771858068691984E-2</v>
      </c>
      <c r="G313" s="46">
        <f>'Aerosol 3'!$P317</f>
        <v>3.2771858068691984E-2</v>
      </c>
      <c r="H313" s="46">
        <f t="shared" si="99"/>
        <v>9.8315574206075951E-2</v>
      </c>
      <c r="I313" s="46">
        <f>NORMSINV(SUM(H$13:H313)/H$317)</f>
        <v>3.4207622338547816</v>
      </c>
      <c r="J313" s="46">
        <f t="shared" si="94"/>
        <v>1.7696803357093671E-2</v>
      </c>
      <c r="K313" s="46">
        <f t="shared" si="95"/>
        <v>4.9157787103037975E-2</v>
      </c>
      <c r="L313" s="46">
        <f t="shared" si="96"/>
        <v>9.8311641583107706E-2</v>
      </c>
      <c r="M313" s="46">
        <f t="shared" si="100"/>
        <v>0.16516623204323935</v>
      </c>
      <c r="N313" s="46">
        <f>IF(ISNUMBER(NORMSINV(SUM(M$13:M313)/M$317)),NORMSINV(SUM(M$13:M313)/M$317)," ")</f>
        <v>3.4207622338547816</v>
      </c>
      <c r="O313" s="46">
        <f t="shared" si="101"/>
        <v>0</v>
      </c>
      <c r="P313" s="46" t="str">
        <f>IF(ISNUMBER(NORMSINV(SUM(O$13:O313)/O$317)),NORMSINV(SUM(O$13:O313)/O$317)," ")</f>
        <v xml:space="preserve"> </v>
      </c>
      <c r="Q313" s="46">
        <f t="shared" si="102"/>
        <v>0</v>
      </c>
      <c r="R313" s="46" t="str">
        <f>IF(ISNUMBER(NORMSINV(SUM(Q$13:Q313)/Q$317)),NORMSINV(SUM(Q$13:Q313)/Q$317)," ")</f>
        <v xml:space="preserve"> </v>
      </c>
      <c r="S313" s="46">
        <f t="shared" si="103"/>
        <v>0</v>
      </c>
      <c r="T313" s="46" t="str">
        <f>IF(ISNUMBER(NORMSINV(SUM(S$13:S313)/S$317)),NORMSINV(SUM(S$13:S313)/S$317)," ")</f>
        <v xml:space="preserve"> </v>
      </c>
      <c r="U313" s="46">
        <f t="shared" si="104"/>
        <v>0</v>
      </c>
      <c r="V313" s="46" t="str">
        <f>IF(ISNUMBER(NORMSINV(SUM(U$13:U313)/U$317)),NORMSINV(SUM(U$13:U313)/U$317)," ")</f>
        <v xml:space="preserve"> </v>
      </c>
      <c r="W313" s="46">
        <f t="shared" si="105"/>
        <v>0</v>
      </c>
      <c r="X313" s="46" t="str">
        <f>IF(ISNUMBER(NORMSINV(SUM(W$13:W313)/W$317)),NORMSINV(SUM(W$13:W313)/W$317)," ")</f>
        <v xml:space="preserve"> </v>
      </c>
      <c r="Y313" s="46">
        <f t="shared" si="106"/>
        <v>0</v>
      </c>
      <c r="Z313" s="46" t="str">
        <f>IF(ISNUMBER(NORMSINV(SUM(Y$13:Y313)/Y$317)),NORMSINV(SUM(Y$13:Y313)/Y$317)," ")</f>
        <v xml:space="preserve"> </v>
      </c>
      <c r="AA313" s="46">
        <f t="shared" si="107"/>
        <v>0</v>
      </c>
      <c r="AB313" s="46" t="str">
        <f>IF(ISNUMBER(NORMSINV(SUM(AA$13:AA313)/AA$317)),NORMSINV(SUM(AA$13:AA313)/AA$317)," ")</f>
        <v xml:space="preserve"> </v>
      </c>
      <c r="AC313" s="46">
        <f t="shared" si="108"/>
        <v>0</v>
      </c>
      <c r="AD313" s="46" t="str">
        <f>IF(ISNUMBER(NORMSINV(SUM(AC$13:AC313)/AC$317)),NORMSINV(SUM(AC$13:AC313)/AC$317)," ")</f>
        <v xml:space="preserve"> </v>
      </c>
      <c r="AE313" s="46">
        <f t="shared" si="109"/>
        <v>0</v>
      </c>
      <c r="AF313" s="46" t="str">
        <f>IF(ISNUMBER(NORMSINV(SUM(AE$13:AE313)/AE$317)),NORMSINV(SUM(AE$13:AE313)/AE$317)," ")</f>
        <v xml:space="preserve"> </v>
      </c>
      <c r="AG313" s="46">
        <f t="shared" si="110"/>
        <v>0</v>
      </c>
      <c r="AH313" s="46" t="str">
        <f>IF(ISNUMBER(NORMSINV(SUM(AG$13:AG313)/AG$317)),NORMSINV(SUM(AG$13:AG313)/AG$317)," ")</f>
        <v xml:space="preserve"> </v>
      </c>
      <c r="AI313" s="46">
        <f t="shared" si="111"/>
        <v>0</v>
      </c>
      <c r="AJ313" s="46" t="str">
        <f>IF(ISNUMBER(NORMSINV(SUM(AI$13:AI313)/AI$317)),NORMSINV(SUM(AI$13:AI313)/AI$317)," ")</f>
        <v xml:space="preserve"> </v>
      </c>
      <c r="AK313" s="46">
        <f t="shared" si="112"/>
        <v>0</v>
      </c>
      <c r="AL313" s="46" t="str">
        <f>IF(ISNUMBER(NORMSINV(SUM(AK$13:AK313)/AK$317)),NORMSINV(SUM(AK$13:AK313)/AK$317)," ")</f>
        <v xml:space="preserve"> </v>
      </c>
      <c r="AM313" s="6">
        <v>0</v>
      </c>
      <c r="AN313" s="6">
        <v>0</v>
      </c>
      <c r="AO313" s="6">
        <v>0</v>
      </c>
      <c r="AP313" s="6">
        <v>0</v>
      </c>
      <c r="AQ313" s="6">
        <v>0</v>
      </c>
      <c r="AR313" s="6">
        <v>0</v>
      </c>
      <c r="AS313" s="6">
        <v>0</v>
      </c>
      <c r="AT313" s="6">
        <v>0</v>
      </c>
      <c r="AU313" s="6">
        <v>0</v>
      </c>
    </row>
    <row r="314" spans="1:47" x14ac:dyDescent="0.4">
      <c r="A314" s="6">
        <f t="shared" si="97"/>
        <v>7.4655390242048325</v>
      </c>
      <c r="B314" s="6">
        <f>'Aerosol 1'!A318</f>
        <v>1746.7968602930189</v>
      </c>
      <c r="C314" t="b">
        <f t="shared" si="98"/>
        <v>1</v>
      </c>
      <c r="E314" s="46">
        <f>'Aerosol 1'!$P318</f>
        <v>3.1066835512683078E-2</v>
      </c>
      <c r="F314" s="46">
        <f>'Aerosol 2'!$P318</f>
        <v>3.1066835512683078E-2</v>
      </c>
      <c r="G314" s="46">
        <f>'Aerosol 3'!$P318</f>
        <v>3.1066835512683078E-2</v>
      </c>
      <c r="H314" s="46">
        <f t="shared" si="99"/>
        <v>9.3200506538049233E-2</v>
      </c>
      <c r="I314" s="46"/>
      <c r="J314" s="46">
        <f t="shared" si="94"/>
        <v>1.6776091176848862E-2</v>
      </c>
      <c r="K314" s="46">
        <f t="shared" si="95"/>
        <v>4.6600253269024616E-2</v>
      </c>
      <c r="L314" s="46">
        <f t="shared" si="96"/>
        <v>9.3196778517787709E-2</v>
      </c>
      <c r="M314" s="46">
        <f t="shared" si="100"/>
        <v>0.15657312296366119</v>
      </c>
      <c r="N314" s="46"/>
      <c r="O314" s="46">
        <f t="shared" si="101"/>
        <v>0</v>
      </c>
      <c r="P314" s="46"/>
      <c r="Q314" s="46">
        <f t="shared" si="102"/>
        <v>0</v>
      </c>
      <c r="R314" s="46"/>
      <c r="S314" s="46">
        <f t="shared" si="103"/>
        <v>0</v>
      </c>
      <c r="T314" s="46"/>
      <c r="U314" s="46">
        <f t="shared" si="104"/>
        <v>0</v>
      </c>
      <c r="V314" s="46"/>
      <c r="W314" s="46">
        <f t="shared" si="105"/>
        <v>0</v>
      </c>
      <c r="X314" s="46"/>
      <c r="Y314" s="46">
        <f t="shared" si="106"/>
        <v>0</v>
      </c>
      <c r="Z314" s="46"/>
      <c r="AA314" s="46">
        <f t="shared" si="107"/>
        <v>0</v>
      </c>
      <c r="AB314" s="46"/>
      <c r="AC314" s="46">
        <f t="shared" si="108"/>
        <v>0</v>
      </c>
      <c r="AD314" s="46"/>
      <c r="AE314" s="46">
        <f t="shared" si="109"/>
        <v>0</v>
      </c>
      <c r="AF314" s="46"/>
      <c r="AG314" s="46">
        <f t="shared" si="110"/>
        <v>0</v>
      </c>
      <c r="AH314" s="46"/>
      <c r="AI314" s="46">
        <f t="shared" si="111"/>
        <v>0</v>
      </c>
      <c r="AJ314" s="46"/>
      <c r="AK314" s="46">
        <f t="shared" si="112"/>
        <v>0</v>
      </c>
      <c r="AL314" s="46"/>
      <c r="AM314" s="6">
        <v>0</v>
      </c>
      <c r="AN314" s="6">
        <v>0</v>
      </c>
      <c r="AO314" s="6">
        <v>0</v>
      </c>
      <c r="AP314" s="6">
        <v>0</v>
      </c>
      <c r="AQ314" s="6">
        <v>0</v>
      </c>
      <c r="AR314" s="6">
        <v>0</v>
      </c>
      <c r="AS314" s="6">
        <v>0</v>
      </c>
      <c r="AT314" s="6">
        <v>0</v>
      </c>
      <c r="AU314" s="6">
        <v>0</v>
      </c>
    </row>
    <row r="315" spans="1:47" x14ac:dyDescent="0.4">
      <c r="B315" s="6"/>
      <c r="C315" s="6"/>
      <c r="E315" s="45" t="s">
        <v>58</v>
      </c>
      <c r="F315" s="45" t="s">
        <v>59</v>
      </c>
      <c r="G315" s="45" t="s">
        <v>60</v>
      </c>
      <c r="H315" s="45"/>
      <c r="I315" s="45"/>
      <c r="O315" s="46"/>
      <c r="P315" s="46"/>
      <c r="Q315" s="46"/>
      <c r="R315" s="46"/>
      <c r="S315" s="46"/>
      <c r="T315" s="46"/>
    </row>
    <row r="316" spans="1:47" x14ac:dyDescent="0.4">
      <c r="B316" s="6"/>
      <c r="C316" s="6"/>
      <c r="E316" s="38" t="s">
        <v>72</v>
      </c>
      <c r="F316" s="38" t="s">
        <v>72</v>
      </c>
      <c r="G316" s="38" t="s">
        <v>72</v>
      </c>
      <c r="H316" s="38"/>
      <c r="I316" s="38"/>
      <c r="J316" s="45" t="s">
        <v>58</v>
      </c>
      <c r="K316" s="45" t="s">
        <v>59</v>
      </c>
      <c r="L316" s="45" t="s">
        <v>60</v>
      </c>
      <c r="M316" s="45"/>
      <c r="N316" s="45"/>
      <c r="O316" s="46"/>
      <c r="P316" s="46"/>
      <c r="Q316" s="46"/>
      <c r="R316" s="46"/>
      <c r="S316" s="46"/>
      <c r="T316" s="46"/>
    </row>
    <row r="317" spans="1:47" x14ac:dyDescent="0.4">
      <c r="B317" s="6"/>
      <c r="C317" s="6"/>
      <c r="D317" s="38" t="s">
        <v>12</v>
      </c>
      <c r="E317" s="25">
        <f>SUM(E13:E314)</f>
        <v>99.500000000000085</v>
      </c>
      <c r="F317" s="25">
        <f>SUM(F13:F314)</f>
        <v>99.500000000000085</v>
      </c>
      <c r="G317" s="25">
        <f>SUM(G13:G314)</f>
        <v>99.500000000000085</v>
      </c>
      <c r="H317" s="25">
        <f>SUM(H13:H314)</f>
        <v>298.49999999999994</v>
      </c>
      <c r="I317" s="25"/>
      <c r="J317" s="48" t="s">
        <v>79</v>
      </c>
      <c r="K317" s="48" t="s">
        <v>79</v>
      </c>
      <c r="L317" s="48" t="s">
        <v>79</v>
      </c>
      <c r="M317" s="25">
        <f>SUM(M13:M314)</f>
        <v>501.46805999999992</v>
      </c>
      <c r="N317" s="48"/>
      <c r="O317" s="25">
        <f>SUM(O13:O314)</f>
        <v>195.58094243933115</v>
      </c>
      <c r="P317" s="46"/>
      <c r="Q317" s="25">
        <f>SUM(Q13:Q314)</f>
        <v>19.579062617877234</v>
      </c>
      <c r="R317" s="46"/>
      <c r="S317" s="25">
        <f>SUM(S13:S314)</f>
        <v>12.976969927272263</v>
      </c>
      <c r="T317" s="46"/>
      <c r="U317" s="25">
        <f>SUM(U13:U314)</f>
        <v>17.854915558998389</v>
      </c>
      <c r="W317" s="25">
        <f>SUM(W13:W314)</f>
        <v>2.2981526714886229</v>
      </c>
      <c r="Y317" s="25">
        <f>SUM(Y13:Y314)</f>
        <v>1.7228650831903987</v>
      </c>
      <c r="AA317" s="25">
        <f>SUM(AA13:AA314)</f>
        <v>56.659888334990953</v>
      </c>
      <c r="AC317" s="25">
        <f>SUM(AC13:AC314)</f>
        <v>5.5291662407130655</v>
      </c>
      <c r="AE317" s="25">
        <f>SUM(AE13:AE314)</f>
        <v>4.9022608081038017</v>
      </c>
      <c r="AG317" s="25">
        <f>SUM(AG13:AG314)</f>
        <v>121.06613854534173</v>
      </c>
      <c r="AI317" s="25">
        <f>SUM(AI13:AI314)</f>
        <v>11.751743705675555</v>
      </c>
      <c r="AK317" s="25">
        <f>SUM(AK13:AK314)</f>
        <v>6.3518440359780612</v>
      </c>
    </row>
    <row r="318" spans="1:47" x14ac:dyDescent="0.4">
      <c r="B318" s="6"/>
      <c r="C318" s="6"/>
      <c r="D318" s="38" t="s">
        <v>70</v>
      </c>
      <c r="E318">
        <f>F5*G5</f>
        <v>0.54</v>
      </c>
      <c r="F318">
        <f>F6*G6</f>
        <v>1.5</v>
      </c>
      <c r="G318" s="25">
        <f>F7*G7</f>
        <v>2.9998800000000001</v>
      </c>
      <c r="H318" s="25"/>
      <c r="I318" s="25"/>
      <c r="J318" s="38" t="s">
        <v>73</v>
      </c>
      <c r="K318" s="38" t="s">
        <v>73</v>
      </c>
      <c r="L318" s="38" t="s">
        <v>73</v>
      </c>
      <c r="M318" s="38"/>
      <c r="N318" s="38"/>
      <c r="O318" s="46"/>
      <c r="P318" s="46"/>
      <c r="Q318" s="46"/>
      <c r="R318" s="46"/>
      <c r="S318" s="46"/>
      <c r="T318" s="46"/>
    </row>
    <row r="319" spans="1:47" x14ac:dyDescent="0.4">
      <c r="B319" s="6"/>
      <c r="C319" s="6"/>
      <c r="D319" s="38" t="s">
        <v>71</v>
      </c>
      <c r="E319" s="25">
        <f>E317*E318</f>
        <v>53.730000000000047</v>
      </c>
      <c r="F319" s="25">
        <f t="shared" ref="F319:G319" si="113">F317*F318</f>
        <v>149.25000000000011</v>
      </c>
      <c r="G319" s="25">
        <f t="shared" si="113"/>
        <v>298.48806000000025</v>
      </c>
      <c r="H319" s="25"/>
      <c r="I319" s="25"/>
      <c r="J319" s="25">
        <f>SUM(J13:J314)</f>
        <v>53.730000000000032</v>
      </c>
      <c r="K319" s="25">
        <f>SUM(K13:K314)</f>
        <v>149.24999999999997</v>
      </c>
      <c r="L319" s="25">
        <f>SUM(L13:L314)</f>
        <v>298.48805999999996</v>
      </c>
      <c r="M319" s="25"/>
      <c r="N319" s="25"/>
      <c r="O319" s="46"/>
      <c r="P319" s="46"/>
      <c r="Q319" s="46"/>
      <c r="R319" s="46"/>
      <c r="S319" s="46"/>
      <c r="T319" s="46"/>
    </row>
    <row r="320" spans="1:47" x14ac:dyDescent="0.4">
      <c r="B320" s="6"/>
      <c r="C320" s="6"/>
    </row>
    <row r="321" spans="2:3" x14ac:dyDescent="0.4">
      <c r="B321" s="6"/>
      <c r="C321" s="6"/>
    </row>
    <row r="322" spans="2:3" x14ac:dyDescent="0.4">
      <c r="B322" s="6"/>
      <c r="C322" s="6"/>
    </row>
    <row r="323" spans="2:3" x14ac:dyDescent="0.4">
      <c r="B323" s="6"/>
      <c r="C323" s="6"/>
    </row>
    <row r="324" spans="2:3" x14ac:dyDescent="0.4">
      <c r="B324" s="6"/>
      <c r="C324" s="6"/>
    </row>
    <row r="325" spans="2:3" x14ac:dyDescent="0.4">
      <c r="B325" s="6"/>
      <c r="C325" s="6"/>
    </row>
    <row r="326" spans="2:3" x14ac:dyDescent="0.4">
      <c r="B326" s="6"/>
      <c r="C326" s="6"/>
    </row>
    <row r="327" spans="2:3" x14ac:dyDescent="0.4">
      <c r="B327" s="6"/>
      <c r="C327" s="6"/>
    </row>
    <row r="328" spans="2:3" x14ac:dyDescent="0.4">
      <c r="B328" s="6"/>
      <c r="C328" s="6"/>
    </row>
    <row r="329" spans="2:3" x14ac:dyDescent="0.4">
      <c r="B329" s="6"/>
      <c r="C329" s="6"/>
    </row>
    <row r="330" spans="2:3" x14ac:dyDescent="0.4">
      <c r="B330" s="6"/>
      <c r="C330" s="6"/>
    </row>
    <row r="331" spans="2:3" x14ac:dyDescent="0.4">
      <c r="B331" s="6"/>
      <c r="C331" s="6"/>
    </row>
    <row r="332" spans="2:3" x14ac:dyDescent="0.4">
      <c r="B332" s="6"/>
      <c r="C332" s="6"/>
    </row>
    <row r="333" spans="2:3" x14ac:dyDescent="0.4">
      <c r="B333" s="6"/>
      <c r="C333" s="6"/>
    </row>
    <row r="334" spans="2:3" x14ac:dyDescent="0.4">
      <c r="B334" s="6"/>
      <c r="C334" s="6"/>
    </row>
    <row r="335" spans="2:3" x14ac:dyDescent="0.4">
      <c r="B335" s="6"/>
      <c r="C335" s="6"/>
    </row>
    <row r="336" spans="2:3" x14ac:dyDescent="0.4">
      <c r="B336" s="6"/>
      <c r="C336" s="6"/>
    </row>
    <row r="337" spans="2:3" x14ac:dyDescent="0.4">
      <c r="B337" s="6"/>
      <c r="C337" s="6"/>
    </row>
    <row r="338" spans="2:3" x14ac:dyDescent="0.4">
      <c r="B338" s="6"/>
      <c r="C338" s="6"/>
    </row>
    <row r="339" spans="2:3" x14ac:dyDescent="0.4">
      <c r="B339" s="6"/>
      <c r="C339" s="6"/>
    </row>
    <row r="340" spans="2:3" x14ac:dyDescent="0.4">
      <c r="B340" s="6"/>
      <c r="C340" s="6"/>
    </row>
    <row r="341" spans="2:3" x14ac:dyDescent="0.4">
      <c r="B341" s="6"/>
      <c r="C341" s="6"/>
    </row>
    <row r="342" spans="2:3" x14ac:dyDescent="0.4">
      <c r="B342" s="6"/>
      <c r="C342" s="6"/>
    </row>
    <row r="343" spans="2:3" x14ac:dyDescent="0.4">
      <c r="B343" s="6"/>
      <c r="C343" s="6"/>
    </row>
    <row r="344" spans="2:3" x14ac:dyDescent="0.4">
      <c r="B344" s="6"/>
      <c r="C344" s="6"/>
    </row>
    <row r="345" spans="2:3" x14ac:dyDescent="0.4">
      <c r="B345" s="6"/>
      <c r="C345" s="6"/>
    </row>
    <row r="346" spans="2:3" x14ac:dyDescent="0.4">
      <c r="B346" s="6"/>
      <c r="C346" s="6"/>
    </row>
    <row r="347" spans="2:3" x14ac:dyDescent="0.4">
      <c r="B347" s="6"/>
      <c r="C347" s="6"/>
    </row>
    <row r="348" spans="2:3" x14ac:dyDescent="0.4">
      <c r="B348" s="6"/>
      <c r="C348" s="6"/>
    </row>
    <row r="349" spans="2:3" x14ac:dyDescent="0.4">
      <c r="B349" s="6"/>
      <c r="C349" s="6"/>
    </row>
    <row r="350" spans="2:3" x14ac:dyDescent="0.4">
      <c r="B350" s="6"/>
      <c r="C350" s="6"/>
    </row>
    <row r="351" spans="2:3" x14ac:dyDescent="0.4">
      <c r="B351" s="6"/>
      <c r="C351" s="6"/>
    </row>
    <row r="352" spans="2:3" x14ac:dyDescent="0.4">
      <c r="B352" s="6"/>
      <c r="C352" s="6"/>
    </row>
    <row r="353" spans="2:3" x14ac:dyDescent="0.4">
      <c r="B353" s="6"/>
      <c r="C353" s="6"/>
    </row>
    <row r="354" spans="2:3" x14ac:dyDescent="0.4">
      <c r="B354" s="6"/>
      <c r="C354" s="6"/>
    </row>
    <row r="355" spans="2:3" x14ac:dyDescent="0.4">
      <c r="B355" s="6"/>
      <c r="C355" s="6"/>
    </row>
    <row r="356" spans="2:3" x14ac:dyDescent="0.4">
      <c r="B356" s="6"/>
      <c r="C356" s="6"/>
    </row>
    <row r="357" spans="2:3" x14ac:dyDescent="0.4">
      <c r="B357" s="6"/>
      <c r="C357" s="6"/>
    </row>
    <row r="358" spans="2:3" x14ac:dyDescent="0.4">
      <c r="B358" s="6"/>
      <c r="C358" s="6"/>
    </row>
    <row r="359" spans="2:3" x14ac:dyDescent="0.4">
      <c r="B359" s="6"/>
      <c r="C359" s="6"/>
    </row>
    <row r="360" spans="2:3" x14ac:dyDescent="0.4">
      <c r="B360" s="6"/>
      <c r="C360" s="6"/>
    </row>
    <row r="361" spans="2:3" x14ac:dyDescent="0.4">
      <c r="B361" s="6"/>
      <c r="C361" s="6"/>
    </row>
    <row r="362" spans="2:3" x14ac:dyDescent="0.4">
      <c r="B362" s="6"/>
      <c r="C362" s="6"/>
    </row>
    <row r="363" spans="2:3" x14ac:dyDescent="0.4">
      <c r="B363" s="6"/>
      <c r="C363" s="6"/>
    </row>
    <row r="364" spans="2:3" x14ac:dyDescent="0.4">
      <c r="B364" s="6"/>
      <c r="C364" s="6"/>
    </row>
    <row r="365" spans="2:3" x14ac:dyDescent="0.4">
      <c r="B365" s="6"/>
      <c r="C365" s="6"/>
    </row>
    <row r="366" spans="2:3" x14ac:dyDescent="0.4">
      <c r="B366" s="6"/>
      <c r="C366" s="6"/>
    </row>
    <row r="367" spans="2:3" x14ac:dyDescent="0.4">
      <c r="B367" s="6"/>
      <c r="C367" s="6"/>
    </row>
    <row r="368" spans="2:3" x14ac:dyDescent="0.4">
      <c r="B368" s="6"/>
      <c r="C368" s="6"/>
    </row>
    <row r="369" spans="2:3" x14ac:dyDescent="0.4">
      <c r="B369" s="6"/>
      <c r="C369" s="6"/>
    </row>
    <row r="370" spans="2:3" x14ac:dyDescent="0.4">
      <c r="B370" s="6"/>
      <c r="C370" s="6"/>
    </row>
    <row r="371" spans="2:3" x14ac:dyDescent="0.4">
      <c r="B371" s="6"/>
      <c r="C371" s="6"/>
    </row>
    <row r="372" spans="2:3" x14ac:dyDescent="0.4">
      <c r="B372" s="6"/>
      <c r="C372" s="6"/>
    </row>
    <row r="373" spans="2:3" x14ac:dyDescent="0.4">
      <c r="B373" s="6"/>
      <c r="C373" s="6"/>
    </row>
    <row r="374" spans="2:3" x14ac:dyDescent="0.4">
      <c r="B374" s="6"/>
      <c r="C374" s="6"/>
    </row>
    <row r="375" spans="2:3" x14ac:dyDescent="0.4">
      <c r="B375" s="6"/>
      <c r="C375" s="6"/>
    </row>
    <row r="376" spans="2:3" x14ac:dyDescent="0.4">
      <c r="B376" s="6"/>
      <c r="C376" s="6"/>
    </row>
    <row r="377" spans="2:3" x14ac:dyDescent="0.4">
      <c r="B377" s="6"/>
      <c r="C377" s="6"/>
    </row>
    <row r="378" spans="2:3" x14ac:dyDescent="0.4">
      <c r="B378" s="6"/>
      <c r="C378" s="6"/>
    </row>
    <row r="379" spans="2:3" x14ac:dyDescent="0.4">
      <c r="B379" s="6"/>
      <c r="C379" s="6"/>
    </row>
    <row r="380" spans="2:3" x14ac:dyDescent="0.4">
      <c r="B380" s="6"/>
      <c r="C380" s="6"/>
    </row>
    <row r="381" spans="2:3" x14ac:dyDescent="0.4">
      <c r="B381" s="6"/>
      <c r="C381" s="6"/>
    </row>
    <row r="382" spans="2:3" x14ac:dyDescent="0.4">
      <c r="B382" s="6"/>
      <c r="C382" s="6"/>
    </row>
    <row r="383" spans="2:3" x14ac:dyDescent="0.4">
      <c r="B383" s="6"/>
      <c r="C383" s="6"/>
    </row>
    <row r="384" spans="2:3" x14ac:dyDescent="0.4">
      <c r="B384" s="6"/>
      <c r="C384" s="6"/>
    </row>
    <row r="385" spans="2:3" x14ac:dyDescent="0.4">
      <c r="B385" s="6"/>
      <c r="C385" s="6"/>
    </row>
    <row r="386" spans="2:3" x14ac:dyDescent="0.4">
      <c r="B386" s="6"/>
      <c r="C386" s="6"/>
    </row>
    <row r="387" spans="2:3" x14ac:dyDescent="0.4">
      <c r="B387" s="6"/>
      <c r="C387" s="6"/>
    </row>
    <row r="388" spans="2:3" x14ac:dyDescent="0.4">
      <c r="B388" s="6"/>
      <c r="C388" s="6"/>
    </row>
    <row r="389" spans="2:3" x14ac:dyDescent="0.4">
      <c r="B389" s="6"/>
      <c r="C389" s="6"/>
    </row>
    <row r="390" spans="2:3" x14ac:dyDescent="0.4">
      <c r="B390" s="6"/>
      <c r="C390" s="6"/>
    </row>
    <row r="391" spans="2:3" x14ac:dyDescent="0.4">
      <c r="B391" s="6"/>
      <c r="C391" s="6"/>
    </row>
    <row r="392" spans="2:3" x14ac:dyDescent="0.4">
      <c r="B392" s="6"/>
      <c r="C392" s="6"/>
    </row>
    <row r="393" spans="2:3" x14ac:dyDescent="0.4">
      <c r="B393" s="6"/>
      <c r="C393" s="6"/>
    </row>
    <row r="394" spans="2:3" x14ac:dyDescent="0.4">
      <c r="B394" s="6"/>
      <c r="C394" s="6"/>
    </row>
    <row r="395" spans="2:3" x14ac:dyDescent="0.4">
      <c r="B395" s="6"/>
      <c r="C395" s="6"/>
    </row>
    <row r="396" spans="2:3" x14ac:dyDescent="0.4">
      <c r="B396" s="6"/>
      <c r="C396" s="6"/>
    </row>
    <row r="397" spans="2:3" x14ac:dyDescent="0.4">
      <c r="B397" s="6"/>
      <c r="C397" s="6"/>
    </row>
    <row r="398" spans="2:3" x14ac:dyDescent="0.4">
      <c r="B398" s="6"/>
      <c r="C398" s="6"/>
    </row>
    <row r="399" spans="2:3" x14ac:dyDescent="0.4">
      <c r="B399" s="6"/>
      <c r="C399" s="6"/>
    </row>
    <row r="400" spans="2:3" x14ac:dyDescent="0.4">
      <c r="B400" s="6"/>
      <c r="C400" s="6"/>
    </row>
    <row r="401" spans="2:3" x14ac:dyDescent="0.4">
      <c r="B401" s="6"/>
      <c r="C401" s="6"/>
    </row>
    <row r="402" spans="2:3" x14ac:dyDescent="0.4">
      <c r="B402" s="6"/>
      <c r="C402" s="6"/>
    </row>
    <row r="403" spans="2:3" x14ac:dyDescent="0.4">
      <c r="B403" s="6"/>
      <c r="C403" s="6"/>
    </row>
    <row r="404" spans="2:3" x14ac:dyDescent="0.4">
      <c r="B404" s="6"/>
      <c r="C404" s="6"/>
    </row>
    <row r="405" spans="2:3" x14ac:dyDescent="0.4">
      <c r="B405" s="6"/>
      <c r="C405" s="6"/>
    </row>
    <row r="406" spans="2:3" x14ac:dyDescent="0.4">
      <c r="B406" s="6"/>
      <c r="C406" s="6"/>
    </row>
    <row r="407" spans="2:3" x14ac:dyDescent="0.4">
      <c r="B407" s="6"/>
      <c r="C407" s="6"/>
    </row>
    <row r="408" spans="2:3" x14ac:dyDescent="0.4">
      <c r="B408" s="6"/>
      <c r="C408" s="6"/>
    </row>
    <row r="409" spans="2:3" x14ac:dyDescent="0.4">
      <c r="B409" s="6"/>
      <c r="C409" s="6"/>
    </row>
    <row r="410" spans="2:3" x14ac:dyDescent="0.4">
      <c r="B410" s="6"/>
      <c r="C410" s="6"/>
    </row>
    <row r="411" spans="2:3" x14ac:dyDescent="0.4">
      <c r="B411" s="6"/>
      <c r="C411" s="6"/>
    </row>
    <row r="412" spans="2:3" x14ac:dyDescent="0.4">
      <c r="B412" s="6"/>
      <c r="C412" s="6"/>
    </row>
    <row r="413" spans="2:3" x14ac:dyDescent="0.4">
      <c r="B413" s="6"/>
      <c r="C413" s="6"/>
    </row>
    <row r="414" spans="2:3" x14ac:dyDescent="0.4">
      <c r="B414" s="6"/>
      <c r="C414" s="6"/>
    </row>
    <row r="415" spans="2:3" x14ac:dyDescent="0.4">
      <c r="B415" s="6"/>
      <c r="C415" s="6"/>
    </row>
    <row r="416" spans="2:3" x14ac:dyDescent="0.4">
      <c r="B416" s="6"/>
      <c r="C416" s="6"/>
    </row>
    <row r="417" spans="2:3" x14ac:dyDescent="0.4">
      <c r="B417" s="6"/>
      <c r="C417" s="6"/>
    </row>
    <row r="418" spans="2:3" x14ac:dyDescent="0.4">
      <c r="B418" s="6"/>
      <c r="C418" s="6"/>
    </row>
    <row r="419" spans="2:3" x14ac:dyDescent="0.4">
      <c r="B419" s="6"/>
      <c r="C419" s="6"/>
    </row>
    <row r="420" spans="2:3" x14ac:dyDescent="0.4">
      <c r="B420" s="6"/>
      <c r="C420" s="6"/>
    </row>
    <row r="421" spans="2:3" x14ac:dyDescent="0.4">
      <c r="B421" s="6"/>
      <c r="C421" s="6"/>
    </row>
    <row r="422" spans="2:3" x14ac:dyDescent="0.4">
      <c r="B422" s="6"/>
      <c r="C422" s="6"/>
    </row>
    <row r="423" spans="2:3" x14ac:dyDescent="0.4">
      <c r="B423" s="6"/>
      <c r="C423" s="6"/>
    </row>
    <row r="424" spans="2:3" x14ac:dyDescent="0.4">
      <c r="B424" s="6"/>
      <c r="C424" s="6"/>
    </row>
    <row r="425" spans="2:3" x14ac:dyDescent="0.4">
      <c r="B425" s="6"/>
      <c r="C425" s="6"/>
    </row>
    <row r="426" spans="2:3" x14ac:dyDescent="0.4">
      <c r="B426" s="6"/>
      <c r="C426" s="6"/>
    </row>
    <row r="427" spans="2:3" x14ac:dyDescent="0.4">
      <c r="B427" s="6"/>
      <c r="C427" s="6"/>
    </row>
    <row r="428" spans="2:3" x14ac:dyDescent="0.4">
      <c r="B428" s="6"/>
      <c r="C428" s="6"/>
    </row>
    <row r="429" spans="2:3" x14ac:dyDescent="0.4">
      <c r="B429" s="6"/>
      <c r="C429" s="6"/>
    </row>
    <row r="430" spans="2:3" x14ac:dyDescent="0.4">
      <c r="B430" s="6"/>
      <c r="C430" s="6"/>
    </row>
    <row r="431" spans="2:3" x14ac:dyDescent="0.4">
      <c r="B431" s="6"/>
      <c r="C431" s="6"/>
    </row>
    <row r="432" spans="2:3" x14ac:dyDescent="0.4">
      <c r="B432" s="6"/>
      <c r="C432" s="6"/>
    </row>
    <row r="433" spans="2:3" x14ac:dyDescent="0.4">
      <c r="B433" s="6"/>
      <c r="C433" s="6"/>
    </row>
    <row r="434" spans="2:3" x14ac:dyDescent="0.4">
      <c r="B434" s="6"/>
      <c r="C434" s="6"/>
    </row>
    <row r="435" spans="2:3" x14ac:dyDescent="0.4">
      <c r="B435" s="6"/>
      <c r="C435" s="6"/>
    </row>
    <row r="436" spans="2:3" x14ac:dyDescent="0.4">
      <c r="B436" s="6"/>
      <c r="C436" s="6"/>
    </row>
    <row r="437" spans="2:3" x14ac:dyDescent="0.4">
      <c r="B437" s="6"/>
      <c r="C437" s="6"/>
    </row>
    <row r="438" spans="2:3" x14ac:dyDescent="0.4">
      <c r="B438" s="6"/>
      <c r="C438" s="6"/>
    </row>
    <row r="439" spans="2:3" x14ac:dyDescent="0.4">
      <c r="B439" s="6"/>
      <c r="C439" s="6"/>
    </row>
    <row r="440" spans="2:3" x14ac:dyDescent="0.4">
      <c r="B440" s="6"/>
      <c r="C440" s="6"/>
    </row>
    <row r="441" spans="2:3" x14ac:dyDescent="0.4">
      <c r="B441" s="6"/>
      <c r="C441" s="6"/>
    </row>
    <row r="442" spans="2:3" x14ac:dyDescent="0.4">
      <c r="B442" s="6"/>
      <c r="C442" s="6"/>
    </row>
    <row r="443" spans="2:3" x14ac:dyDescent="0.4">
      <c r="B443" s="6"/>
      <c r="C443" s="6"/>
    </row>
    <row r="444" spans="2:3" x14ac:dyDescent="0.4">
      <c r="B444" s="6"/>
      <c r="C444" s="6"/>
    </row>
    <row r="445" spans="2:3" x14ac:dyDescent="0.4">
      <c r="B445" s="6"/>
      <c r="C445" s="6"/>
    </row>
    <row r="446" spans="2:3" x14ac:dyDescent="0.4">
      <c r="B446" s="6"/>
      <c r="C446" s="6"/>
    </row>
    <row r="447" spans="2:3" x14ac:dyDescent="0.4">
      <c r="B447" s="6"/>
      <c r="C447" s="6"/>
    </row>
    <row r="448" spans="2:3" x14ac:dyDescent="0.4">
      <c r="B448" s="6"/>
      <c r="C448" s="6"/>
    </row>
    <row r="449" spans="2:3" x14ac:dyDescent="0.4">
      <c r="B449" s="6"/>
      <c r="C449" s="6"/>
    </row>
    <row r="450" spans="2:3" x14ac:dyDescent="0.4">
      <c r="B450" s="6"/>
      <c r="C450" s="6"/>
    </row>
    <row r="451" spans="2:3" x14ac:dyDescent="0.4">
      <c r="B451" s="6"/>
      <c r="C451" s="6"/>
    </row>
    <row r="452" spans="2:3" x14ac:dyDescent="0.4">
      <c r="B452" s="6"/>
      <c r="C452" s="6"/>
    </row>
    <row r="453" spans="2:3" x14ac:dyDescent="0.4">
      <c r="B453" s="6"/>
      <c r="C453" s="6"/>
    </row>
    <row r="454" spans="2:3" x14ac:dyDescent="0.4">
      <c r="B454" s="6"/>
      <c r="C454" s="6"/>
    </row>
    <row r="455" spans="2:3" x14ac:dyDescent="0.4">
      <c r="B455" s="6"/>
      <c r="C455" s="6"/>
    </row>
    <row r="456" spans="2:3" x14ac:dyDescent="0.4">
      <c r="B456" s="6"/>
      <c r="C456" s="6"/>
    </row>
    <row r="457" spans="2:3" x14ac:dyDescent="0.4">
      <c r="B457" s="6"/>
      <c r="C457" s="6"/>
    </row>
    <row r="458" spans="2:3" x14ac:dyDescent="0.4">
      <c r="B458" s="6"/>
      <c r="C458" s="6"/>
    </row>
    <row r="459" spans="2:3" x14ac:dyDescent="0.4">
      <c r="B459" s="6"/>
      <c r="C459" s="6"/>
    </row>
    <row r="460" spans="2:3" x14ac:dyDescent="0.4">
      <c r="B460" s="6"/>
      <c r="C460" s="6"/>
    </row>
    <row r="461" spans="2:3" x14ac:dyDescent="0.4">
      <c r="B461" s="6"/>
      <c r="C461" s="6"/>
    </row>
    <row r="462" spans="2:3" x14ac:dyDescent="0.4">
      <c r="B462" s="6"/>
      <c r="C462" s="6"/>
    </row>
    <row r="463" spans="2:3" x14ac:dyDescent="0.4">
      <c r="B463" s="6"/>
      <c r="C463" s="6"/>
    </row>
    <row r="464" spans="2:3" x14ac:dyDescent="0.4">
      <c r="B464" s="6"/>
      <c r="C464" s="6"/>
    </row>
    <row r="465" spans="2:3" x14ac:dyDescent="0.4">
      <c r="B465" s="6"/>
      <c r="C465" s="6"/>
    </row>
    <row r="466" spans="2:3" x14ac:dyDescent="0.4">
      <c r="B466" s="6"/>
      <c r="C466" s="6"/>
    </row>
    <row r="467" spans="2:3" x14ac:dyDescent="0.4">
      <c r="B467" s="6"/>
      <c r="C467" s="6"/>
    </row>
    <row r="468" spans="2:3" x14ac:dyDescent="0.4">
      <c r="B468" s="6"/>
      <c r="C468" s="6"/>
    </row>
    <row r="469" spans="2:3" x14ac:dyDescent="0.4">
      <c r="B469" s="6"/>
      <c r="C469" s="6"/>
    </row>
    <row r="470" spans="2:3" x14ac:dyDescent="0.4">
      <c r="B470" s="6"/>
      <c r="C470" s="6"/>
    </row>
    <row r="471" spans="2:3" x14ac:dyDescent="0.4">
      <c r="B471" s="6"/>
      <c r="C471" s="6"/>
    </row>
    <row r="472" spans="2:3" x14ac:dyDescent="0.4">
      <c r="B472" s="6"/>
      <c r="C472" s="6"/>
    </row>
    <row r="473" spans="2:3" x14ac:dyDescent="0.4">
      <c r="B473" s="6"/>
      <c r="C473" s="6"/>
    </row>
    <row r="474" spans="2:3" x14ac:dyDescent="0.4">
      <c r="B474" s="6"/>
      <c r="C474" s="6"/>
    </row>
    <row r="475" spans="2:3" x14ac:dyDescent="0.4">
      <c r="B475" s="6"/>
      <c r="C475" s="6"/>
    </row>
    <row r="476" spans="2:3" x14ac:dyDescent="0.4">
      <c r="B476" s="6"/>
      <c r="C476" s="6"/>
    </row>
    <row r="477" spans="2:3" x14ac:dyDescent="0.4">
      <c r="B477" s="6"/>
      <c r="C477" s="6"/>
    </row>
    <row r="478" spans="2:3" x14ac:dyDescent="0.4">
      <c r="B478" s="6"/>
      <c r="C478" s="6"/>
    </row>
    <row r="479" spans="2:3" x14ac:dyDescent="0.4">
      <c r="B479" s="6"/>
      <c r="C479" s="6"/>
    </row>
    <row r="480" spans="2:3" x14ac:dyDescent="0.4">
      <c r="B480" s="6"/>
      <c r="C480" s="6"/>
    </row>
    <row r="481" spans="2:3" x14ac:dyDescent="0.4">
      <c r="B481" s="6"/>
      <c r="C481" s="6"/>
    </row>
    <row r="482" spans="2:3" x14ac:dyDescent="0.4">
      <c r="B482" s="6"/>
      <c r="C482" s="6"/>
    </row>
    <row r="483" spans="2:3" x14ac:dyDescent="0.4">
      <c r="B483" s="6"/>
      <c r="C483" s="6"/>
    </row>
    <row r="484" spans="2:3" x14ac:dyDescent="0.4">
      <c r="B484" s="6"/>
      <c r="C484" s="6"/>
    </row>
    <row r="485" spans="2:3" x14ac:dyDescent="0.4">
      <c r="B485" s="6"/>
      <c r="C485" s="6"/>
    </row>
    <row r="486" spans="2:3" x14ac:dyDescent="0.4">
      <c r="B486" s="6"/>
      <c r="C486" s="6"/>
    </row>
    <row r="487" spans="2:3" x14ac:dyDescent="0.4">
      <c r="B487" s="6"/>
      <c r="C487" s="6"/>
    </row>
    <row r="488" spans="2:3" x14ac:dyDescent="0.4">
      <c r="B488" s="6"/>
      <c r="C488" s="6"/>
    </row>
    <row r="489" spans="2:3" x14ac:dyDescent="0.4">
      <c r="B489" s="6"/>
      <c r="C489" s="6"/>
    </row>
    <row r="490" spans="2:3" x14ac:dyDescent="0.4">
      <c r="B490" s="6"/>
      <c r="C490" s="6"/>
    </row>
    <row r="491" spans="2:3" x14ac:dyDescent="0.4">
      <c r="B491" s="6"/>
      <c r="C491" s="6"/>
    </row>
    <row r="492" spans="2:3" x14ac:dyDescent="0.4">
      <c r="B492" s="6"/>
      <c r="C492" s="6"/>
    </row>
    <row r="493" spans="2:3" x14ac:dyDescent="0.4">
      <c r="B493" s="6"/>
      <c r="C493" s="6"/>
    </row>
    <row r="494" spans="2:3" x14ac:dyDescent="0.4">
      <c r="B494" s="6"/>
      <c r="C494" s="6"/>
    </row>
    <row r="495" spans="2:3" x14ac:dyDescent="0.4">
      <c r="B495" s="6"/>
      <c r="C495" s="6"/>
    </row>
    <row r="496" spans="2:3" x14ac:dyDescent="0.4">
      <c r="B496" s="6"/>
      <c r="C496" s="6"/>
    </row>
    <row r="497" spans="2:3" x14ac:dyDescent="0.4">
      <c r="B497" s="6"/>
      <c r="C497" s="6"/>
    </row>
    <row r="498" spans="2:3" x14ac:dyDescent="0.4">
      <c r="B498" s="6"/>
      <c r="C498" s="6"/>
    </row>
    <row r="499" spans="2:3" x14ac:dyDescent="0.4">
      <c r="B499" s="6"/>
      <c r="C499" s="6"/>
    </row>
    <row r="500" spans="2:3" x14ac:dyDescent="0.4">
      <c r="B500" s="6"/>
      <c r="C500" s="6"/>
    </row>
    <row r="501" spans="2:3" x14ac:dyDescent="0.4">
      <c r="B501" s="6"/>
      <c r="C501" s="6"/>
    </row>
    <row r="502" spans="2:3" x14ac:dyDescent="0.4">
      <c r="B502" s="6"/>
      <c r="C502" s="6"/>
    </row>
    <row r="503" spans="2:3" x14ac:dyDescent="0.4">
      <c r="B503" s="6"/>
      <c r="C503" s="6"/>
    </row>
    <row r="504" spans="2:3" x14ac:dyDescent="0.4">
      <c r="B504" s="6"/>
      <c r="C504" s="6"/>
    </row>
    <row r="505" spans="2:3" x14ac:dyDescent="0.4">
      <c r="B505" s="6"/>
      <c r="C505" s="6"/>
    </row>
    <row r="506" spans="2:3" x14ac:dyDescent="0.4">
      <c r="B506" s="6"/>
      <c r="C506" s="6"/>
    </row>
    <row r="507" spans="2:3" x14ac:dyDescent="0.4">
      <c r="B507" s="6"/>
      <c r="C507" s="6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W338"/>
  <sheetViews>
    <sheetView workbookViewId="0">
      <selection activeCell="D6" sqref="D6"/>
    </sheetView>
  </sheetViews>
  <sheetFormatPr defaultRowHeight="12.3" x14ac:dyDescent="0.4"/>
  <cols>
    <col min="1" max="1" width="12.44140625" customWidth="1"/>
    <col min="3" max="3" width="9.5546875" customWidth="1"/>
    <col min="4" max="4" width="11.5546875" bestFit="1" customWidth="1"/>
    <col min="8" max="8" width="11" customWidth="1"/>
  </cols>
  <sheetData>
    <row r="1" spans="1:19" ht="14.1" customHeight="1" x14ac:dyDescent="0.4">
      <c r="A1" s="12"/>
      <c r="B1" s="13"/>
      <c r="C1" s="18"/>
      <c r="D1" s="18"/>
      <c r="E1" s="18"/>
      <c r="F1" s="3"/>
      <c r="H1" s="7"/>
      <c r="N1" s="11" t="s">
        <v>8</v>
      </c>
      <c r="O1" s="11" t="s">
        <v>3</v>
      </c>
    </row>
    <row r="2" spans="1:19" ht="14.1" customHeight="1" x14ac:dyDescent="0.4">
      <c r="A2" s="14"/>
      <c r="B2" s="15" t="s">
        <v>9</v>
      </c>
      <c r="C2" s="32" t="s">
        <v>40</v>
      </c>
      <c r="D2" s="32" t="s">
        <v>41</v>
      </c>
      <c r="E2" s="32" t="s">
        <v>22</v>
      </c>
      <c r="F2" s="32"/>
      <c r="G2" s="32"/>
      <c r="N2" s="11" t="s">
        <v>5</v>
      </c>
      <c r="O2" s="12" t="s">
        <v>7</v>
      </c>
    </row>
    <row r="3" spans="1:19" s="7" customFormat="1" ht="14.1" customHeight="1" x14ac:dyDescent="0.4">
      <c r="A3" s="16"/>
      <c r="B3" s="17"/>
      <c r="C3" s="9"/>
      <c r="D3" s="9"/>
      <c r="E3" s="9"/>
      <c r="G3" s="4"/>
      <c r="N3" s="11" t="s">
        <v>1</v>
      </c>
      <c r="O3" s="12" t="s">
        <v>6</v>
      </c>
    </row>
    <row r="4" spans="1:19" ht="14.1" customHeight="1" x14ac:dyDescent="0.4">
      <c r="A4" s="12"/>
      <c r="B4" s="17" t="s">
        <v>14</v>
      </c>
      <c r="C4" s="31">
        <f>'Exposure Scenario'!C9</f>
        <v>100</v>
      </c>
      <c r="D4" s="31">
        <f>'Exposure Scenario'!D9</f>
        <v>0</v>
      </c>
      <c r="E4" s="39">
        <f>SUM(C4:D4)</f>
        <v>100</v>
      </c>
      <c r="F4" s="33"/>
      <c r="G4" s="29"/>
      <c r="H4" s="30"/>
      <c r="N4" s="34" t="s">
        <v>23</v>
      </c>
      <c r="O4" s="35" t="s">
        <v>24</v>
      </c>
    </row>
    <row r="5" spans="1:19" ht="14.1" customHeight="1" x14ac:dyDescent="0.5">
      <c r="A5" s="12"/>
      <c r="B5" s="17" t="s">
        <v>2</v>
      </c>
      <c r="C5" s="31">
        <f>'Exposure Scenario'!C10</f>
        <v>25</v>
      </c>
      <c r="D5" s="31">
        <f>'Exposure Scenario'!D10</f>
        <v>1</v>
      </c>
      <c r="E5" s="40"/>
      <c r="G5" s="5"/>
      <c r="N5" s="11" t="s">
        <v>0</v>
      </c>
      <c r="O5" s="12" t="s">
        <v>4</v>
      </c>
    </row>
    <row r="6" spans="1:19" ht="14.1" customHeight="1" x14ac:dyDescent="0.5">
      <c r="B6" s="17" t="s">
        <v>0</v>
      </c>
      <c r="C6" s="31">
        <f>'Exposure Scenario'!C11</f>
        <v>5.2</v>
      </c>
      <c r="D6" s="31">
        <f>'Exposure Scenario'!D11</f>
        <v>1.01</v>
      </c>
      <c r="E6" s="41"/>
      <c r="N6" s="24" t="s">
        <v>15</v>
      </c>
      <c r="O6" s="12" t="s">
        <v>16</v>
      </c>
    </row>
    <row r="7" spans="1:19" ht="14.1" customHeight="1" x14ac:dyDescent="0.4">
      <c r="A7" s="1"/>
      <c r="E7" s="42"/>
      <c r="F7" s="6"/>
      <c r="G7" s="4"/>
      <c r="I7" s="24"/>
      <c r="J7" s="31"/>
      <c r="K7" s="31"/>
    </row>
    <row r="8" spans="1:19" ht="14.1" customHeight="1" x14ac:dyDescent="0.4">
      <c r="A8" s="1"/>
      <c r="E8" s="42"/>
      <c r="F8" s="6"/>
      <c r="G8" s="4"/>
      <c r="I8" s="24"/>
      <c r="J8" s="31"/>
      <c r="K8" s="31"/>
    </row>
    <row r="9" spans="1:19" ht="14.1" customHeight="1" x14ac:dyDescent="0.4">
      <c r="A9" s="2"/>
      <c r="B9" s="2"/>
      <c r="C9" s="37"/>
      <c r="D9" s="37"/>
      <c r="E9" s="37"/>
    </row>
    <row r="10" spans="1:19" ht="14.1" customHeight="1" x14ac:dyDescent="0.5">
      <c r="A10" s="1"/>
      <c r="B10" s="1"/>
      <c r="C10" s="31"/>
      <c r="D10" s="31"/>
      <c r="E10" s="40"/>
    </row>
    <row r="11" spans="1:19" ht="14.1" customHeight="1" x14ac:dyDescent="0.5">
      <c r="A11" s="1"/>
      <c r="B11" s="1"/>
      <c r="C11" s="31"/>
      <c r="D11" s="31"/>
      <c r="E11" s="40"/>
      <c r="F11" s="4"/>
    </row>
    <row r="12" spans="1:19" ht="14.1" customHeight="1" x14ac:dyDescent="0.4">
      <c r="F12" s="26"/>
    </row>
    <row r="13" spans="1:19" ht="14.1" customHeight="1" x14ac:dyDescent="0.4">
      <c r="A13" s="1"/>
      <c r="F13" s="4"/>
      <c r="G13" s="4"/>
      <c r="N13" s="47" t="s">
        <v>107</v>
      </c>
    </row>
    <row r="14" spans="1:19" ht="14.1" customHeight="1" x14ac:dyDescent="0.4">
      <c r="A14" s="22"/>
      <c r="B14" s="28"/>
      <c r="C14" s="28"/>
      <c r="D14" s="22"/>
      <c r="E14" s="22"/>
      <c r="F14" s="22"/>
      <c r="G14" s="22"/>
      <c r="H14" s="22"/>
    </row>
    <row r="15" spans="1:19" ht="14.1" customHeight="1" x14ac:dyDescent="0.4">
      <c r="A15" s="16"/>
      <c r="B15" s="80" t="s">
        <v>104</v>
      </c>
      <c r="C15" s="23"/>
      <c r="D15" s="23"/>
      <c r="E15" s="23"/>
      <c r="F15" s="81" t="s">
        <v>105</v>
      </c>
      <c r="G15" s="22"/>
      <c r="H15" s="22"/>
      <c r="J15" s="36" t="s">
        <v>17</v>
      </c>
      <c r="N15" s="81" t="s">
        <v>106</v>
      </c>
      <c r="O15" s="12"/>
      <c r="R15" s="36" t="s">
        <v>17</v>
      </c>
    </row>
    <row r="16" spans="1:19" ht="14.1" customHeight="1" x14ac:dyDescent="0.4">
      <c r="A16" s="24" t="s">
        <v>5</v>
      </c>
      <c r="B16" s="24" t="s">
        <v>10</v>
      </c>
      <c r="C16" s="24" t="s">
        <v>11</v>
      </c>
      <c r="D16" s="24" t="s">
        <v>12</v>
      </c>
      <c r="E16" s="24"/>
      <c r="F16" s="24" t="s">
        <v>10</v>
      </c>
      <c r="G16" s="24" t="s">
        <v>11</v>
      </c>
      <c r="H16" s="24" t="s">
        <v>12</v>
      </c>
      <c r="I16" s="24" t="s">
        <v>10</v>
      </c>
      <c r="J16" s="24" t="s">
        <v>11</v>
      </c>
      <c r="K16" s="24" t="s">
        <v>12</v>
      </c>
      <c r="N16" s="24" t="s">
        <v>10</v>
      </c>
      <c r="O16" s="24" t="s">
        <v>11</v>
      </c>
      <c r="P16" s="24" t="s">
        <v>12</v>
      </c>
      <c r="Q16" s="24" t="s">
        <v>10</v>
      </c>
      <c r="R16" s="24" t="s">
        <v>11</v>
      </c>
      <c r="S16" s="24" t="s">
        <v>12</v>
      </c>
    </row>
    <row r="17" spans="1:23" ht="14.1" customHeight="1" x14ac:dyDescent="0.4">
      <c r="A17" s="19">
        <f>'Exposure Scenario'!C35</f>
        <v>5.4339016042139802E-2</v>
      </c>
      <c r="B17" s="25">
        <f>C$4*EXP(-0.5*(LN($A17)-LN(C$5))^2/(LN(C$6))^2)/($A17*SQRT(2*PI())*LN(C$6))</f>
        <v>0.44186124245927633</v>
      </c>
      <c r="C17" s="25">
        <f>D$4*EXP(-0.5*(LN($A17)-LN(D$5))^2/(LN(D$6))^2)/($A17*SQRT(2*PI())*LN(D$6))</f>
        <v>0</v>
      </c>
      <c r="D17" s="27">
        <f>B17+C17</f>
        <v>0.44186124245927633</v>
      </c>
      <c r="E17" s="27"/>
      <c r="F17" s="26">
        <f>B17*($A18-$A17)</f>
        <v>8.4227800055192885E-4</v>
      </c>
      <c r="G17" s="26">
        <f>C17*($A18-$A17)</f>
        <v>0</v>
      </c>
      <c r="H17" s="26">
        <f>D17*($A18-$A17)</f>
        <v>8.4227800055192885E-4</v>
      </c>
      <c r="I17" s="26">
        <f>IF(F320=0,0,F17/F$320)</f>
        <v>8.3220898973042708E-6</v>
      </c>
      <c r="J17" s="26">
        <f>IF(G320=0,0,G17/G$320)</f>
        <v>0</v>
      </c>
      <c r="K17" s="26">
        <f>H17/H$320</f>
        <v>8.3220898973042708E-6</v>
      </c>
      <c r="L17" s="26"/>
      <c r="M17" s="26"/>
      <c r="N17" s="27">
        <f>C4*(NORMDIST(LN($A17),LN(C$5),LN(C$6),TRUE))</f>
        <v>1.0000000000000044E-2</v>
      </c>
      <c r="O17" s="27">
        <f>D4*(NORMDIST(LN($A17),LN(D$5),LN(D$6),TRUE))</f>
        <v>0</v>
      </c>
      <c r="P17" s="26">
        <f>N17+O17</f>
        <v>1.0000000000000044E-2</v>
      </c>
      <c r="Q17" s="26">
        <f>IF(N320=0,0,N17/N$320)</f>
        <v>1.0050251256281442E-4</v>
      </c>
      <c r="R17" s="26">
        <f>IF(O320=0,0,O17/O$320)</f>
        <v>0</v>
      </c>
      <c r="S17" s="26">
        <f>P17/P$320</f>
        <v>1.0050251256281442E-4</v>
      </c>
    </row>
    <row r="18" spans="1:23" ht="14.1" customHeight="1" x14ac:dyDescent="0.4">
      <c r="A18" s="6">
        <f t="shared" ref="A18:A81" si="0">10^((LOG(A$318)-LOG(A$17))/301+LOG(A17))</f>
        <v>5.6245220795161463E-2</v>
      </c>
      <c r="B18" s="25">
        <f t="shared" ref="B18:C18" si="1">C$4*EXP(-0.5*(LN($A18)-LN(C$5))^2/(LN(C$6))^2)/($A18*SQRT(2*PI())*LN(C$6))</f>
        <v>0.46131210999061745</v>
      </c>
      <c r="C18" s="25">
        <f t="shared" si="1"/>
        <v>0</v>
      </c>
      <c r="D18" s="27">
        <f t="shared" ref="D18:D81" si="2">B18+C18</f>
        <v>0.46131210999061745</v>
      </c>
      <c r="E18" s="27"/>
      <c r="F18" s="26">
        <f t="shared" ref="F18:H81" si="3">B18*($A19-$A18)</f>
        <v>9.1020299357662867E-4</v>
      </c>
      <c r="G18" s="26">
        <f t="shared" si="3"/>
        <v>0</v>
      </c>
      <c r="H18" s="26">
        <f t="shared" si="3"/>
        <v>9.1020299357662867E-4</v>
      </c>
      <c r="I18" s="26">
        <f>IF(F$320=0,0,SUM(F$17:F18)/F$320)</f>
        <v>1.7315309632803178E-5</v>
      </c>
      <c r="J18" s="26">
        <f>IF(G$320=0,0,SUM(G$17:G18)/G$320)</f>
        <v>0</v>
      </c>
      <c r="K18" s="26">
        <f>SUM(H$17:H18)/H$320</f>
        <v>1.7315309632803178E-5</v>
      </c>
      <c r="L18" s="26"/>
      <c r="M18" s="26"/>
      <c r="N18" s="27">
        <f>C$4*((NORMDIST(LN($A18),LN(C$5),LN(C$6),TRUE))-(NORMDIST(LN($A17),LN(C$5),LN(C$6),TRUE)))</f>
        <v>8.6082146709364057E-4</v>
      </c>
      <c r="O18" s="27">
        <f>D$4*((NORMDIST(LN($A18),LN(D$5),LN(D$6),TRUE))-(NORMDIST(LN($A17),LN(D$5),LN(D$6),TRUE)))</f>
        <v>0</v>
      </c>
      <c r="P18" s="26">
        <f t="shared" ref="P18:P81" si="4">N18+O18</f>
        <v>8.6082146709364057E-4</v>
      </c>
      <c r="Q18" s="26">
        <f>IF(N$320=0,0,SUM(N$17:N18)/N$320)</f>
        <v>1.0915398459390629E-4</v>
      </c>
      <c r="R18" s="26">
        <f>IF(O$320=0,0,SUM(O$17:O18)/O$320)</f>
        <v>0</v>
      </c>
      <c r="S18" s="26">
        <f>SUM(P$17:P18)/P$320</f>
        <v>1.0915398459390629E-4</v>
      </c>
    </row>
    <row r="19" spans="1:23" ht="14.1" customHeight="1" x14ac:dyDescent="0.4">
      <c r="A19" s="6">
        <f t="shared" si="0"/>
        <v>5.8218294932745107E-2</v>
      </c>
      <c r="B19" s="25">
        <f t="shared" ref="B19:C19" si="5">C$4*EXP(-0.5*(LN($A19)-LN(C$5))^2/(LN(C$6))^2)/($A19*SQRT(2*PI())*LN(C$6))</f>
        <v>0.48140861666230927</v>
      </c>
      <c r="C19" s="25">
        <f t="shared" si="5"/>
        <v>0</v>
      </c>
      <c r="D19" s="27">
        <f t="shared" si="2"/>
        <v>0.48140861666230927</v>
      </c>
      <c r="E19" s="27"/>
      <c r="F19" s="26">
        <f t="shared" si="3"/>
        <v>9.8317566211464347E-4</v>
      </c>
      <c r="G19" s="26">
        <f t="shared" si="3"/>
        <v>0</v>
      </c>
      <c r="H19" s="26">
        <f t="shared" si="3"/>
        <v>9.8317566211464347E-4</v>
      </c>
      <c r="I19" s="26">
        <f>IF(F$320=0,0,SUM(F$17:F19)/F$320)</f>
        <v>2.7029532537352687E-5</v>
      </c>
      <c r="J19" s="26">
        <f>IF(G$320=0,0,SUM(G$17:G19)/G$320)</f>
        <v>0</v>
      </c>
      <c r="K19" s="26">
        <f>SUM(H$17:H19)/H$320</f>
        <v>2.7029532537352687E-5</v>
      </c>
      <c r="L19" s="26"/>
      <c r="M19" s="26"/>
      <c r="N19" s="27">
        <f t="shared" ref="N19:N81" si="6">C$4*((NORMDIST(LN($A19),LN(C$5),LN(C$6),TRUE))-(NORMDIST(LN($A18),LN(C$5),LN(C$6),TRUE)))</f>
        <v>9.3003586320219425E-4</v>
      </c>
      <c r="O19" s="27">
        <f t="shared" ref="O19:O81" si="7">D$4*((NORMDIST(LN($A19),LN(D$5),LN(D$6),TRUE))-(NORMDIST(LN($A18),LN(D$5),LN(D$6),TRUE)))</f>
        <v>0</v>
      </c>
      <c r="P19" s="26">
        <f t="shared" si="4"/>
        <v>9.3003586320219425E-4</v>
      </c>
      <c r="Q19" s="26">
        <f>IF(N$320=0,0,SUM(N$17:N19)/N$320)</f>
        <v>1.1850107869644089E-4</v>
      </c>
      <c r="R19" s="26">
        <f>IF(O$320=0,0,SUM(O$17:O19)/O$320)</f>
        <v>0</v>
      </c>
      <c r="S19" s="26">
        <f>SUM(P$17:P19)/P$320</f>
        <v>1.1850107869644089E-4</v>
      </c>
      <c r="T19" s="7"/>
      <c r="U19" s="7"/>
      <c r="V19" s="7"/>
      <c r="W19" s="7"/>
    </row>
    <row r="20" spans="1:23" ht="14.1" customHeight="1" x14ac:dyDescent="0.4">
      <c r="A20" s="6">
        <f t="shared" si="0"/>
        <v>6.0260584223142885E-2</v>
      </c>
      <c r="B20" s="25">
        <f t="shared" ref="B20:C20" si="8">C$4*EXP(-0.5*(LN($A20)-LN(C$5))^2/(LN(C$6))^2)/($A20*SQRT(2*PI())*LN(C$6))</f>
        <v>0.50216093125413552</v>
      </c>
      <c r="C20" s="25">
        <f t="shared" si="8"/>
        <v>0</v>
      </c>
      <c r="D20" s="27">
        <f t="shared" si="2"/>
        <v>0.50216093125413552</v>
      </c>
      <c r="E20" s="27"/>
      <c r="F20" s="26">
        <f t="shared" si="3"/>
        <v>1.0615343131458398E-3</v>
      </c>
      <c r="G20" s="26">
        <f t="shared" si="3"/>
        <v>0</v>
      </c>
      <c r="H20" s="26">
        <f t="shared" si="3"/>
        <v>1.0615343131458398E-3</v>
      </c>
      <c r="I20" s="26">
        <f>IF(F$320=0,0,SUM(F$17:F20)/F$320)</f>
        <v>3.7517974568705698E-5</v>
      </c>
      <c r="J20" s="26">
        <f>IF(G$320=0,0,SUM(G$17:G20)/G$320)</f>
        <v>0</v>
      </c>
      <c r="K20" s="26">
        <f>SUM(H$17:H20)/H$320</f>
        <v>3.7517974568705698E-5</v>
      </c>
      <c r="L20" s="26"/>
      <c r="M20" s="26"/>
      <c r="N20" s="27">
        <f t="shared" si="6"/>
        <v>1.004376094424857E-3</v>
      </c>
      <c r="O20" s="27">
        <f t="shared" si="7"/>
        <v>0</v>
      </c>
      <c r="P20" s="26">
        <f t="shared" si="4"/>
        <v>1.004376094424857E-3</v>
      </c>
      <c r="Q20" s="26">
        <f>IF(N$320=0,0,SUM(N$17:N20)/N$320)</f>
        <v>1.2859531080121331E-4</v>
      </c>
      <c r="R20" s="26">
        <f>IF(O$320=0,0,SUM(O$17:O20)/O$320)</f>
        <v>0</v>
      </c>
      <c r="S20" s="26">
        <f>SUM(P$17:P20)/P$320</f>
        <v>1.2859531080121331E-4</v>
      </c>
    </row>
    <row r="21" spans="1:23" ht="14.1" customHeight="1" x14ac:dyDescent="0.4">
      <c r="A21" s="6">
        <f t="shared" si="0"/>
        <v>6.2374516723814895E-2</v>
      </c>
      <c r="B21" s="25">
        <f t="shared" ref="B21:C21" si="9">C$4*EXP(-0.5*(LN($A21)-LN(C$5))^2/(LN(C$6))^2)/($A21*SQRT(2*PI())*LN(C$6))</f>
        <v>0.52357878441183359</v>
      </c>
      <c r="C21" s="25">
        <f t="shared" si="9"/>
        <v>0</v>
      </c>
      <c r="D21" s="27">
        <f t="shared" si="2"/>
        <v>0.52357878441183359</v>
      </c>
      <c r="E21" s="27"/>
      <c r="F21" s="26">
        <f t="shared" si="3"/>
        <v>1.1456369496456046E-3</v>
      </c>
      <c r="G21" s="26">
        <f t="shared" si="3"/>
        <v>0</v>
      </c>
      <c r="H21" s="26">
        <f t="shared" si="3"/>
        <v>1.1456369496456046E-3</v>
      </c>
      <c r="I21" s="26">
        <f>IF(F$320=0,0,SUM(F$17:F21)/F$320)</f>
        <v>4.8837388916909806E-5</v>
      </c>
      <c r="J21" s="26">
        <f>IF(G$320=0,0,SUM(G$17:G21)/G$320)</f>
        <v>0</v>
      </c>
      <c r="K21" s="26">
        <f>SUM(H$17:H21)/H$320</f>
        <v>4.8837388916909806E-5</v>
      </c>
      <c r="L21" s="26"/>
      <c r="M21" s="26"/>
      <c r="N21" s="27">
        <f t="shared" si="6"/>
        <v>1.0841842741123753E-3</v>
      </c>
      <c r="O21" s="27">
        <f t="shared" si="7"/>
        <v>0</v>
      </c>
      <c r="P21" s="26">
        <f t="shared" si="4"/>
        <v>1.0841842741123753E-3</v>
      </c>
      <c r="Q21" s="26">
        <f>IF(N$320=0,0,SUM(N$17:N21)/N$320)</f>
        <v>1.3949163516415174E-4</v>
      </c>
      <c r="R21" s="26">
        <f>IF(O$320=0,0,SUM(O$17:O21)/O$320)</f>
        <v>0</v>
      </c>
      <c r="S21" s="26">
        <f>SUM(P$17:P21)/P$320</f>
        <v>1.3949163516415174E-4</v>
      </c>
    </row>
    <row r="22" spans="1:23" ht="14.1" customHeight="1" x14ac:dyDescent="0.4">
      <c r="A22" s="6">
        <f t="shared" si="0"/>
        <v>6.4562605668122608E-2</v>
      </c>
      <c r="B22" s="25">
        <f t="shared" ref="B22:C22" si="10">C$4*EXP(-0.5*(LN($A22)-LN(C$5))^2/(LN(C$6))^2)/($A22*SQRT(2*PI())*LN(C$6))</f>
        <v>0.5456714323813735</v>
      </c>
      <c r="C22" s="25">
        <f t="shared" si="10"/>
        <v>0</v>
      </c>
      <c r="D22" s="27">
        <f t="shared" si="2"/>
        <v>0.5456714323813735</v>
      </c>
      <c r="E22" s="27"/>
      <c r="F22" s="26">
        <f t="shared" si="3"/>
        <v>1.2358621893850182E-3</v>
      </c>
      <c r="G22" s="26">
        <f t="shared" si="3"/>
        <v>0</v>
      </c>
      <c r="H22" s="26">
        <f t="shared" si="3"/>
        <v>1.2358621893850182E-3</v>
      </c>
      <c r="I22" s="26">
        <f>IF(F$320=0,0,SUM(F$17:F22)/F$320)</f>
        <v>6.1048269687868868E-5</v>
      </c>
      <c r="J22" s="26">
        <f>IF(G$320=0,0,SUM(G$17:G22)/G$320)</f>
        <v>0</v>
      </c>
      <c r="K22" s="26">
        <f>SUM(H$17:H22)/H$320</f>
        <v>6.1048269687868868E-5</v>
      </c>
      <c r="L22" s="26"/>
      <c r="M22" s="26"/>
      <c r="N22" s="27">
        <f t="shared" si="6"/>
        <v>1.1698223233822089E-3</v>
      </c>
      <c r="O22" s="27">
        <f t="shared" si="7"/>
        <v>0</v>
      </c>
      <c r="P22" s="26">
        <f t="shared" si="4"/>
        <v>1.1698223233822089E-3</v>
      </c>
      <c r="Q22" s="26">
        <f>IF(N$320=0,0,SUM(N$17:N22)/N$320)</f>
        <v>1.5124864343934983E-4</v>
      </c>
      <c r="R22" s="26">
        <f>IF(O$320=0,0,SUM(O$17:O22)/O$320)</f>
        <v>0</v>
      </c>
      <c r="S22" s="26">
        <f>SUM(P$17:P22)/P$320</f>
        <v>1.5124864343934983E-4</v>
      </c>
    </row>
    <row r="23" spans="1:23" ht="14.1" customHeight="1" x14ac:dyDescent="0.4">
      <c r="A23" s="6">
        <f t="shared" si="0"/>
        <v>6.6827452453287028E-2</v>
      </c>
      <c r="B23" s="25">
        <f t="shared" ref="B23:C23" si="11">C$4*EXP(-0.5*(LN($A23)-LN(C$5))^2/(LN(C$6))^2)/($A23*SQRT(2*PI())*LN(C$6))</f>
        <v>0.56844762024753248</v>
      </c>
      <c r="C23" s="25">
        <f t="shared" si="11"/>
        <v>0</v>
      </c>
      <c r="D23" s="27">
        <f t="shared" si="2"/>
        <v>0.56844762024753248</v>
      </c>
      <c r="E23" s="27"/>
      <c r="F23" s="26">
        <f t="shared" si="3"/>
        <v>1.332610209898879E-3</v>
      </c>
      <c r="G23" s="26">
        <f t="shared" si="3"/>
        <v>0</v>
      </c>
      <c r="H23" s="26">
        <f t="shared" si="3"/>
        <v>1.332610209898879E-3</v>
      </c>
      <c r="I23" s="26">
        <f>IF(F$320=0,0,SUM(F$17:F23)/F$320)</f>
        <v>7.4215064923618653E-5</v>
      </c>
      <c r="J23" s="26">
        <f>IF(G$320=0,0,SUM(G$17:G23)/G$320)</f>
        <v>0</v>
      </c>
      <c r="K23" s="26">
        <f>SUM(H$17:H23)/H$320</f>
        <v>7.4215064923618653E-5</v>
      </c>
      <c r="L23" s="26"/>
      <c r="M23" s="26"/>
      <c r="N23" s="27">
        <f t="shared" si="6"/>
        <v>1.2616728870664278E-3</v>
      </c>
      <c r="O23" s="27">
        <f t="shared" si="7"/>
        <v>0</v>
      </c>
      <c r="P23" s="26">
        <f t="shared" si="4"/>
        <v>1.2616728870664278E-3</v>
      </c>
      <c r="Q23" s="26">
        <f>IF(N$320=0,0,SUM(N$17:N23)/N$320)</f>
        <v>1.6392877295760537E-4</v>
      </c>
      <c r="R23" s="26">
        <f>IF(O$320=0,0,SUM(O$17:O23)/O$320)</f>
        <v>0</v>
      </c>
      <c r="S23" s="26">
        <f>SUM(P$17:P23)/P$320</f>
        <v>1.6392877295760537E-4</v>
      </c>
    </row>
    <row r="24" spans="1:23" ht="14.1" customHeight="1" x14ac:dyDescent="0.4">
      <c r="A24" s="6">
        <f t="shared" si="0"/>
        <v>6.917174973316409E-2</v>
      </c>
      <c r="B24" s="25">
        <f t="shared" ref="B24:C24" si="12">C$4*EXP(-0.5*(LN($A24)-LN(C$5))^2/(LN(C$6))^2)/($A24*SQRT(2*PI())*LN(C$6))</f>
        <v>0.59191554475411046</v>
      </c>
      <c r="C24" s="25">
        <f t="shared" si="12"/>
        <v>0</v>
      </c>
      <c r="D24" s="27">
        <f t="shared" si="2"/>
        <v>0.59191554475411046</v>
      </c>
      <c r="E24" s="27"/>
      <c r="F24" s="26">
        <f t="shared" si="3"/>
        <v>1.4363037191186981E-3</v>
      </c>
      <c r="G24" s="26">
        <f t="shared" si="3"/>
        <v>0</v>
      </c>
      <c r="H24" s="26">
        <f t="shared" si="3"/>
        <v>1.4363037191186981E-3</v>
      </c>
      <c r="I24" s="26">
        <f>IF(F$320=0,0,SUM(F$17:F24)/F$320)</f>
        <v>8.840639921289803E-5</v>
      </c>
      <c r="J24" s="26">
        <f>IF(G$320=0,0,SUM(G$17:G24)/G$320)</f>
        <v>0</v>
      </c>
      <c r="K24" s="26">
        <f>SUM(H$17:H24)/H$320</f>
        <v>8.840639921289803E-5</v>
      </c>
      <c r="L24" s="26"/>
      <c r="M24" s="26"/>
      <c r="N24" s="27">
        <f t="shared" si="6"/>
        <v>1.3601402751409527E-3</v>
      </c>
      <c r="O24" s="27">
        <f t="shared" si="7"/>
        <v>0</v>
      </c>
      <c r="P24" s="26">
        <f t="shared" si="4"/>
        <v>1.3601402751409527E-3</v>
      </c>
      <c r="Q24" s="26">
        <f>IF(N$320=0,0,SUM(N$17:N24)/N$320)</f>
        <v>1.7759852446655962E-4</v>
      </c>
      <c r="R24" s="26">
        <f>IF(O$320=0,0,SUM(O$17:O24)/O$320)</f>
        <v>0</v>
      </c>
      <c r="S24" s="26">
        <f>SUM(P$17:P24)/P$320</f>
        <v>1.7759852446655962E-4</v>
      </c>
    </row>
    <row r="25" spans="1:23" ht="14.1" customHeight="1" x14ac:dyDescent="0.4">
      <c r="A25" s="6">
        <f t="shared" si="0"/>
        <v>7.1598284619514063E-2</v>
      </c>
      <c r="B25" s="25">
        <f t="shared" ref="B25:C25" si="13">C$4*EXP(-0.5*(LN($A25)-LN(C$5))^2/(LN(C$6))^2)/($A25*SQRT(2*PI())*LN(C$6))</f>
        <v>0.61608281678768284</v>
      </c>
      <c r="C25" s="25">
        <f t="shared" si="13"/>
        <v>0</v>
      </c>
      <c r="D25" s="27">
        <f t="shared" si="2"/>
        <v>0.61608281678768284</v>
      </c>
      <c r="E25" s="27"/>
      <c r="F25" s="26">
        <f t="shared" si="3"/>
        <v>1.5473889510467091E-3</v>
      </c>
      <c r="G25" s="26">
        <f t="shared" si="3"/>
        <v>0</v>
      </c>
      <c r="H25" s="26">
        <f t="shared" si="3"/>
        <v>1.5473889510467091E-3</v>
      </c>
      <c r="I25" s="26">
        <f>IF(F$320=0,0,SUM(F$17:F25)/F$320)</f>
        <v>1.0369530613943259E-4</v>
      </c>
      <c r="J25" s="26">
        <f>IF(G$320=0,0,SUM(G$17:G25)/G$320)</f>
        <v>0</v>
      </c>
      <c r="K25" s="26">
        <f>SUM(H$17:H25)/H$320</f>
        <v>1.0369530613943259E-4</v>
      </c>
      <c r="L25" s="26"/>
      <c r="M25" s="26"/>
      <c r="N25" s="27">
        <f t="shared" si="6"/>
        <v>1.4656514290845332E-3</v>
      </c>
      <c r="O25" s="27">
        <f t="shared" si="7"/>
        <v>0</v>
      </c>
      <c r="P25" s="26">
        <f t="shared" si="4"/>
        <v>1.4656514290845332E-3</v>
      </c>
      <c r="Q25" s="26">
        <f>IF(N$320=0,0,SUM(N$17:N25)/N$320)</f>
        <v>1.9232868958298709E-4</v>
      </c>
      <c r="R25" s="26">
        <f>IF(O$320=0,0,SUM(O$17:O25)/O$320)</f>
        <v>0</v>
      </c>
      <c r="S25" s="26">
        <f>SUM(P$17:P25)/P$320</f>
        <v>1.9232868958298709E-4</v>
      </c>
    </row>
    <row r="26" spans="1:23" ht="14.1" customHeight="1" x14ac:dyDescent="0.4">
      <c r="A26" s="6">
        <f t="shared" si="0"/>
        <v>7.4109941995570985E-2</v>
      </c>
      <c r="B26" s="25">
        <f t="shared" ref="B26:C26" si="14">C$4*EXP(-0.5*(LN($A26)-LN(C$5))^2/(LN(C$6))^2)/($A26*SQRT(2*PI())*LN(C$6))</f>
        <v>0.640956423611309</v>
      </c>
      <c r="C26" s="25">
        <f t="shared" si="14"/>
        <v>0</v>
      </c>
      <c r="D26" s="27">
        <f t="shared" si="2"/>
        <v>0.640956423611309</v>
      </c>
      <c r="E26" s="27"/>
      <c r="F26" s="26">
        <f t="shared" si="3"/>
        <v>1.6663366857184393E-3</v>
      </c>
      <c r="G26" s="26">
        <f t="shared" si="3"/>
        <v>0</v>
      </c>
      <c r="H26" s="26">
        <f t="shared" si="3"/>
        <v>1.6663366857184393E-3</v>
      </c>
      <c r="I26" s="26">
        <f>IF(F$320=0,0,SUM(F$17:F26)/F$320)</f>
        <v>1.2015947080791243E-4</v>
      </c>
      <c r="J26" s="26">
        <f>IF(G$320=0,0,SUM(G$17:G26)/G$320)</f>
        <v>0</v>
      </c>
      <c r="K26" s="26">
        <f>SUM(H$17:H26)/H$320</f>
        <v>1.2015947080791243E-4</v>
      </c>
      <c r="L26" s="26"/>
      <c r="M26" s="26"/>
      <c r="N26" s="27">
        <f t="shared" si="6"/>
        <v>1.5786569124891421E-3</v>
      </c>
      <c r="O26" s="27">
        <f t="shared" si="7"/>
        <v>0</v>
      </c>
      <c r="P26" s="26">
        <f t="shared" si="4"/>
        <v>1.5786569124891421E-3</v>
      </c>
      <c r="Q26" s="26">
        <f>IF(N$320=0,0,SUM(N$17:N26)/N$320)</f>
        <v>2.0819458820096841E-4</v>
      </c>
      <c r="R26" s="26">
        <f>IF(O$320=0,0,SUM(O$17:O26)/O$320)</f>
        <v>0</v>
      </c>
      <c r="S26" s="26">
        <f>SUM(P$17:P26)/P$320</f>
        <v>2.0819458820096841E-4</v>
      </c>
    </row>
    <row r="27" spans="1:23" ht="14.1" customHeight="1" x14ac:dyDescent="0.4">
      <c r="A27" s="6">
        <f t="shared" si="0"/>
        <v>7.6709707945851788E-2</v>
      </c>
      <c r="B27" s="25">
        <f t="shared" ref="B27:C27" si="15">C$4*EXP(-0.5*(LN($A27)-LN(C$5))^2/(LN(C$6))^2)/($A27*SQRT(2*PI())*LN(C$6))</f>
        <v>0.66654269093894958</v>
      </c>
      <c r="C27" s="25">
        <f t="shared" si="15"/>
        <v>0</v>
      </c>
      <c r="D27" s="27">
        <f t="shared" si="2"/>
        <v>0.66654269093894958</v>
      </c>
      <c r="E27" s="27"/>
      <c r="F27" s="26">
        <f t="shared" si="3"/>
        <v>1.7936432925649995E-3</v>
      </c>
      <c r="G27" s="26">
        <f t="shared" si="3"/>
        <v>0</v>
      </c>
      <c r="H27" s="26">
        <f t="shared" si="3"/>
        <v>1.7936432925649995E-3</v>
      </c>
      <c r="I27" s="26">
        <f>IF(F$320=0,0,SUM(F$17:F27)/F$320)</f>
        <v>1.3788148267886413E-4</v>
      </c>
      <c r="J27" s="26">
        <f>IF(G$320=0,0,SUM(G$17:G27)/G$320)</f>
        <v>0</v>
      </c>
      <c r="K27" s="26">
        <f>SUM(H$17:H27)/H$320</f>
        <v>1.3788148267886413E-4</v>
      </c>
      <c r="L27" s="26"/>
      <c r="M27" s="26"/>
      <c r="N27" s="27">
        <f t="shared" si="6"/>
        <v>1.6996319251185409E-3</v>
      </c>
      <c r="O27" s="27">
        <f t="shared" si="7"/>
        <v>0</v>
      </c>
      <c r="P27" s="26">
        <f t="shared" si="4"/>
        <v>1.6996319251185409E-3</v>
      </c>
      <c r="Q27" s="26">
        <f>IF(N$320=0,0,SUM(N$17:N27)/N$320)</f>
        <v>2.2527631609160699E-4</v>
      </c>
      <c r="R27" s="26">
        <f>IF(O$320=0,0,SUM(O$17:O27)/O$320)</f>
        <v>0</v>
      </c>
      <c r="S27" s="26">
        <f>SUM(P$17:P27)/P$320</f>
        <v>2.2527631609160699E-4</v>
      </c>
    </row>
    <row r="28" spans="1:23" x14ac:dyDescent="0.4">
      <c r="A28" s="6">
        <f t="shared" si="0"/>
        <v>7.9400673306282518E-2</v>
      </c>
      <c r="B28" s="25">
        <f t="shared" ref="B28:C28" si="16">C$4*EXP(-0.5*(LN($A28)-LN(C$5))^2/(LN(C$6))^2)/($A28*SQRT(2*PI())*LN(C$6))</f>
        <v>0.69284724494557703</v>
      </c>
      <c r="C28" s="25">
        <f t="shared" si="16"/>
        <v>0</v>
      </c>
      <c r="D28" s="27">
        <f t="shared" si="2"/>
        <v>0.69284724494557703</v>
      </c>
      <c r="E28" s="27"/>
      <c r="F28" s="26">
        <f t="shared" si="3"/>
        <v>1.929831796143464E-3</v>
      </c>
      <c r="G28" s="26">
        <f t="shared" si="3"/>
        <v>0</v>
      </c>
      <c r="H28" s="26">
        <f t="shared" si="3"/>
        <v>1.929831796143464E-3</v>
      </c>
      <c r="I28" s="26">
        <f>IF(F$320=0,0,SUM(F$17:F28)/F$320)</f>
        <v>1.5694909893342393E-4</v>
      </c>
      <c r="J28" s="26">
        <f>IF(G$320=0,0,SUM(G$17:G28)/G$320)</f>
        <v>0</v>
      </c>
      <c r="K28" s="26">
        <f>SUM(H$17:H28)/H$320</f>
        <v>1.5694909893342393E-4</v>
      </c>
      <c r="L28" s="26"/>
      <c r="M28" s="26"/>
      <c r="N28" s="27">
        <f t="shared" si="6"/>
        <v>1.8290773394699048E-3</v>
      </c>
      <c r="O28" s="27">
        <f t="shared" si="7"/>
        <v>0</v>
      </c>
      <c r="P28" s="26">
        <f t="shared" si="4"/>
        <v>1.8290773394699048E-3</v>
      </c>
      <c r="Q28" s="26">
        <f>IF(N$320=0,0,SUM(N$17:N28)/N$320)</f>
        <v>2.4365900292045022E-4</v>
      </c>
      <c r="R28" s="26">
        <f>IF(O$320=0,0,SUM(O$17:O28)/O$320)</f>
        <v>0</v>
      </c>
      <c r="S28" s="26">
        <f>SUM(P$17:P28)/P$320</f>
        <v>2.4365900292045022E-4</v>
      </c>
    </row>
    <row r="29" spans="1:23" x14ac:dyDescent="0.4">
      <c r="A29" s="6">
        <f t="shared" si="0"/>
        <v>8.2186037338862386E-2</v>
      </c>
      <c r="B29" s="25">
        <f t="shared" ref="B29:C29" si="17">C$4*EXP(-0.5*(LN($A29)-LN(C$5))^2/(LN(C$6))^2)/($A29*SQRT(2*PI())*LN(C$6))</f>
        <v>0.71987497431205472</v>
      </c>
      <c r="C29" s="25">
        <f t="shared" si="17"/>
        <v>0</v>
      </c>
      <c r="D29" s="27">
        <f t="shared" si="2"/>
        <v>0.71987497431205472</v>
      </c>
      <c r="E29" s="27"/>
      <c r="F29" s="26">
        <f t="shared" si="3"/>
        <v>2.0754529630532719E-3</v>
      </c>
      <c r="G29" s="26">
        <f t="shared" si="3"/>
        <v>0</v>
      </c>
      <c r="H29" s="26">
        <f t="shared" si="3"/>
        <v>2.0754529630532719E-3</v>
      </c>
      <c r="I29" s="26">
        <f>IF(F$320=0,0,SUM(F$17:F29)/F$320)</f>
        <v>1.774555185773393E-4</v>
      </c>
      <c r="J29" s="26">
        <f>IF(G$320=0,0,SUM(G$17:G29)/G$320)</f>
        <v>0</v>
      </c>
      <c r="K29" s="26">
        <f>SUM(H$17:H29)/H$320</f>
        <v>1.774555185773393E-4</v>
      </c>
      <c r="L29" s="26"/>
      <c r="M29" s="26"/>
      <c r="N29" s="27">
        <f t="shared" si="6"/>
        <v>1.9675207587516543E-3</v>
      </c>
      <c r="O29" s="27">
        <f t="shared" si="7"/>
        <v>0</v>
      </c>
      <c r="P29" s="26">
        <f t="shared" si="4"/>
        <v>1.9675207587516543E-3</v>
      </c>
      <c r="Q29" s="26">
        <f>IF(N$320=0,0,SUM(N$17:N29)/N$320)</f>
        <v>2.6343308089785377E-4</v>
      </c>
      <c r="R29" s="26">
        <f>IF(O$320=0,0,SUM(O$17:O29)/O$320)</f>
        <v>0</v>
      </c>
      <c r="S29" s="26">
        <f>SUM(P$17:P29)/P$320</f>
        <v>2.6343308089785377E-4</v>
      </c>
    </row>
    <row r="30" spans="1:23" x14ac:dyDescent="0.4">
      <c r="A30" s="6">
        <f t="shared" si="0"/>
        <v>8.5069111535234707E-2</v>
      </c>
      <c r="B30" s="25">
        <f t="shared" ref="B30:C30" si="18">C$4*EXP(-0.5*(LN($A30)-LN(C$5))^2/(LN(C$6))^2)/($A30*SQRT(2*PI())*LN(C$6))</f>
        <v>0.74762999240766514</v>
      </c>
      <c r="C30" s="25">
        <f t="shared" si="18"/>
        <v>0</v>
      </c>
      <c r="D30" s="27">
        <f t="shared" si="2"/>
        <v>0.74762999240766514</v>
      </c>
      <c r="E30" s="27"/>
      <c r="F30" s="26">
        <f t="shared" si="3"/>
        <v>2.2310864086979377E-3</v>
      </c>
      <c r="G30" s="26">
        <f t="shared" si="3"/>
        <v>0</v>
      </c>
      <c r="H30" s="26">
        <f t="shared" si="3"/>
        <v>2.2310864086979377E-3</v>
      </c>
      <c r="I30" s="26">
        <f>IF(F$320=0,0,SUM(F$17:F30)/F$320)</f>
        <v>1.994996674802801E-4</v>
      </c>
      <c r="J30" s="26">
        <f>IF(G$320=0,0,SUM(G$17:G30)/G$320)</f>
        <v>0</v>
      </c>
      <c r="K30" s="26">
        <f>SUM(H$17:H30)/H$320</f>
        <v>1.994996674802801E-4</v>
      </c>
      <c r="L30" s="26"/>
      <c r="M30" s="26"/>
      <c r="N30" s="27">
        <f t="shared" si="6"/>
        <v>2.1155175950396637E-3</v>
      </c>
      <c r="O30" s="27">
        <f t="shared" si="7"/>
        <v>0</v>
      </c>
      <c r="P30" s="26">
        <f t="shared" si="4"/>
        <v>2.1155175950396637E-3</v>
      </c>
      <c r="Q30" s="26">
        <f>IF(N$320=0,0,SUM(N$17:N30)/N$320)</f>
        <v>2.8469456426508658E-4</v>
      </c>
      <c r="R30" s="26">
        <f>IF(O$320=0,0,SUM(O$17:O30)/O$320)</f>
        <v>0</v>
      </c>
      <c r="S30" s="26">
        <f>SUM(P$17:P30)/P$320</f>
        <v>2.8469456426508658E-4</v>
      </c>
    </row>
    <row r="31" spans="1:23" x14ac:dyDescent="0.4">
      <c r="A31" s="6">
        <f t="shared" si="0"/>
        <v>8.8053323553686447E-2</v>
      </c>
      <c r="B31" s="25">
        <f t="shared" ref="B31:C31" si="19">C$4*EXP(-0.5*(LN($A31)-LN(C$5))^2/(LN(C$6))^2)/($A31*SQRT(2*PI())*LN(C$6))</f>
        <v>0.77611559971686572</v>
      </c>
      <c r="C31" s="25">
        <f t="shared" si="19"/>
        <v>0</v>
      </c>
      <c r="D31" s="27">
        <f t="shared" si="2"/>
        <v>0.77611559971686572</v>
      </c>
      <c r="E31" s="27"/>
      <c r="F31" s="26">
        <f t="shared" si="3"/>
        <v>2.3973417223869995E-3</v>
      </c>
      <c r="G31" s="26">
        <f t="shared" si="3"/>
        <v>0</v>
      </c>
      <c r="H31" s="26">
        <f t="shared" si="3"/>
        <v>2.3973417223869995E-3</v>
      </c>
      <c r="I31" s="26">
        <f>IF(F$320=0,0,SUM(F$17:F31)/F$320)</f>
        <v>2.231864945316686E-4</v>
      </c>
      <c r="J31" s="26">
        <f>IF(G$320=0,0,SUM(G$17:G31)/G$320)</f>
        <v>0</v>
      </c>
      <c r="K31" s="26">
        <f>SUM(H$17:H31)/H$320</f>
        <v>2.231864945316686E-4</v>
      </c>
      <c r="L31" s="26"/>
      <c r="M31" s="26"/>
      <c r="N31" s="27">
        <f t="shared" si="6"/>
        <v>2.2736521662108508E-3</v>
      </c>
      <c r="O31" s="27">
        <f t="shared" si="7"/>
        <v>0</v>
      </c>
      <c r="P31" s="26">
        <f t="shared" si="4"/>
        <v>2.2736521662108508E-3</v>
      </c>
      <c r="Q31" s="26">
        <f>IF(N$320=0,0,SUM(N$17:N31)/N$320)</f>
        <v>3.0754533980489413E-4</v>
      </c>
      <c r="R31" s="26">
        <f>IF(O$320=0,0,SUM(O$17:O31)/O$320)</f>
        <v>0</v>
      </c>
      <c r="S31" s="26">
        <f>SUM(P$17:P31)/P$320</f>
        <v>3.0754533980489413E-4</v>
      </c>
    </row>
    <row r="32" spans="1:23" x14ac:dyDescent="0.4">
      <c r="A32" s="6">
        <f t="shared" si="0"/>
        <v>9.1142221294257017E-2</v>
      </c>
      <c r="B32" s="25">
        <f t="shared" ref="B32:C32" si="20">C$4*EXP(-0.5*(LN($A32)-LN(C$5))^2/(LN(C$6))^2)/($A32*SQRT(2*PI())*LN(C$6))</f>
        <v>0.80533424662027397</v>
      </c>
      <c r="C32" s="25">
        <f t="shared" si="20"/>
        <v>0</v>
      </c>
      <c r="D32" s="27">
        <f t="shared" si="2"/>
        <v>0.80533424662027397</v>
      </c>
      <c r="E32" s="27"/>
      <c r="F32" s="26">
        <f t="shared" si="3"/>
        <v>2.5748596091010817E-3</v>
      </c>
      <c r="G32" s="26">
        <f t="shared" si="3"/>
        <v>0</v>
      </c>
      <c r="H32" s="26">
        <f t="shared" si="3"/>
        <v>2.5748596091010817E-3</v>
      </c>
      <c r="I32" s="26">
        <f>IF(F$320=0,0,SUM(F$17:F32)/F$320)</f>
        <v>2.4862727907766816E-4</v>
      </c>
      <c r="J32" s="26">
        <f>IF(G$320=0,0,SUM(G$17:G32)/G$320)</f>
        <v>0</v>
      </c>
      <c r="K32" s="26">
        <f>SUM(H$17:H32)/H$320</f>
        <v>2.4862727907766816E-4</v>
      </c>
      <c r="L32" s="26"/>
      <c r="M32" s="26"/>
      <c r="N32" s="27">
        <f t="shared" si="6"/>
        <v>2.4425388100949934E-3</v>
      </c>
      <c r="O32" s="27">
        <f t="shared" si="7"/>
        <v>0</v>
      </c>
      <c r="P32" s="26">
        <f t="shared" si="4"/>
        <v>2.4425388100949934E-3</v>
      </c>
      <c r="Q32" s="26">
        <f>IF(N$320=0,0,SUM(N$17:N32)/N$320)</f>
        <v>3.3209346854956736E-4</v>
      </c>
      <c r="R32" s="26">
        <f>IF(O$320=0,0,SUM(O$17:O32)/O$320)</f>
        <v>0</v>
      </c>
      <c r="S32" s="26">
        <f>SUM(P$17:P32)/P$320</f>
        <v>3.3209346854956736E-4</v>
      </c>
    </row>
    <row r="33" spans="1:19" x14ac:dyDescent="0.4">
      <c r="A33" s="6">
        <f t="shared" si="0"/>
        <v>9.4339477116801421E-2</v>
      </c>
      <c r="B33" s="25">
        <f t="shared" ref="B33:C33" si="21">C$4*EXP(-0.5*(LN($A33)-LN(C$5))^2/(LN(C$6))^2)/($A33*SQRT(2*PI())*LN(C$6))</f>
        <v>0.83528749664299695</v>
      </c>
      <c r="C33" s="25">
        <f t="shared" si="21"/>
        <v>0</v>
      </c>
      <c r="D33" s="27">
        <f t="shared" si="2"/>
        <v>0.83528749664299695</v>
      </c>
      <c r="E33" s="27"/>
      <c r="F33" s="26">
        <f t="shared" si="3"/>
        <v>2.7643130460633558E-3</v>
      </c>
      <c r="G33" s="26">
        <f t="shared" si="3"/>
        <v>0</v>
      </c>
      <c r="H33" s="26">
        <f t="shared" si="3"/>
        <v>2.7643130460633558E-3</v>
      </c>
      <c r="I33" s="26">
        <f>IF(F$320=0,0,SUM(F$17:F33)/F$320)</f>
        <v>2.7593994978562396E-4</v>
      </c>
      <c r="J33" s="26">
        <f>IF(G$320=0,0,SUM(G$17:G33)/G$320)</f>
        <v>0</v>
      </c>
      <c r="K33" s="26">
        <f>SUM(H$17:H33)/H$320</f>
        <v>2.7593994978562396E-4</v>
      </c>
      <c r="L33" s="26"/>
      <c r="M33" s="26"/>
      <c r="N33" s="27">
        <f t="shared" si="6"/>
        <v>2.6228230141051717E-3</v>
      </c>
      <c r="O33" s="27">
        <f t="shared" si="7"/>
        <v>0</v>
      </c>
      <c r="P33" s="26">
        <f t="shared" si="4"/>
        <v>2.6228230141051717E-3</v>
      </c>
      <c r="Q33" s="26">
        <f>IF(N$320=0,0,SUM(N$17:N33)/N$320)</f>
        <v>3.5845349884208163E-4</v>
      </c>
      <c r="R33" s="26">
        <f>IF(O$320=0,0,SUM(O$17:O33)/O$320)</f>
        <v>0</v>
      </c>
      <c r="S33" s="26">
        <f>SUM(P$17:P33)/P$320</f>
        <v>3.5845349884208163E-4</v>
      </c>
    </row>
    <row r="34" spans="1:19" x14ac:dyDescent="0.4">
      <c r="A34" s="6">
        <f t="shared" si="0"/>
        <v>9.7648892207022539E-2</v>
      </c>
      <c r="B34" s="25">
        <f t="shared" ref="B34:C34" si="22">C$4*EXP(-0.5*(LN($A34)-LN(C$5))^2/(LN(C$6))^2)/($A34*SQRT(2*PI())*LN(C$6))</f>
        <v>0.86597599028635586</v>
      </c>
      <c r="C34" s="25">
        <f t="shared" si="22"/>
        <v>0</v>
      </c>
      <c r="D34" s="27">
        <f t="shared" si="2"/>
        <v>0.86597599028635586</v>
      </c>
      <c r="E34" s="27"/>
      <c r="F34" s="26">
        <f t="shared" si="3"/>
        <v>2.9664084520751133E-3</v>
      </c>
      <c r="G34" s="26">
        <f t="shared" si="3"/>
        <v>0</v>
      </c>
      <c r="H34" s="26">
        <f t="shared" si="3"/>
        <v>2.9664084520751133E-3</v>
      </c>
      <c r="I34" s="26">
        <f>IF(F$320=0,0,SUM(F$17:F34)/F$320)</f>
        <v>3.0524941506207136E-4</v>
      </c>
      <c r="J34" s="26">
        <f>IF(G$320=0,0,SUM(G$17:G34)/G$320)</f>
        <v>0</v>
      </c>
      <c r="K34" s="26">
        <f>SUM(H$17:H34)/H$320</f>
        <v>3.0524941506207136E-4</v>
      </c>
      <c r="L34" s="26"/>
      <c r="M34" s="26"/>
      <c r="N34" s="27">
        <f t="shared" si="6"/>
        <v>2.8151825584326728E-3</v>
      </c>
      <c r="O34" s="27">
        <f t="shared" si="7"/>
        <v>0</v>
      </c>
      <c r="P34" s="26">
        <f t="shared" si="4"/>
        <v>2.8151825584326728E-3</v>
      </c>
      <c r="Q34" s="26">
        <f>IF(N$320=0,0,SUM(N$17:N34)/N$320)</f>
        <v>3.8674679088663113E-4</v>
      </c>
      <c r="R34" s="26">
        <f>IF(O$320=0,0,SUM(O$17:O34)/O$320)</f>
        <v>0</v>
      </c>
      <c r="S34" s="26">
        <f>SUM(P$17:P34)/P$320</f>
        <v>3.8674679088663113E-4</v>
      </c>
    </row>
    <row r="35" spans="1:19" x14ac:dyDescent="0.4">
      <c r="A35" s="6">
        <f t="shared" si="0"/>
        <v>0.10107440109566297</v>
      </c>
      <c r="B35" s="25">
        <f t="shared" ref="B35:C35" si="23">C$4*EXP(-0.5*(LN($A35)-LN(C$5))^2/(LN(C$6))^2)/($A35*SQRT(2*PI())*LN(C$6))</f>
        <v>0.89739940956159492</v>
      </c>
      <c r="C35" s="25">
        <f t="shared" si="23"/>
        <v>0</v>
      </c>
      <c r="D35" s="27">
        <f t="shared" si="2"/>
        <v>0.89739940956159492</v>
      </c>
      <c r="E35" s="27"/>
      <c r="F35" s="26">
        <f t="shared" si="3"/>
        <v>3.1818868673816883E-3</v>
      </c>
      <c r="G35" s="26">
        <f t="shared" si="3"/>
        <v>0</v>
      </c>
      <c r="H35" s="26">
        <f t="shared" si="3"/>
        <v>3.1818868673816883E-3</v>
      </c>
      <c r="I35" s="26">
        <f>IF(F$320=0,0,SUM(F$17:F35)/F$320)</f>
        <v>3.3668790512835644E-4</v>
      </c>
      <c r="J35" s="26">
        <f>IF(G$320=0,0,SUM(G$17:G35)/G$320)</f>
        <v>0</v>
      </c>
      <c r="K35" s="26">
        <f>SUM(H$17:H35)/H$320</f>
        <v>3.3668790512835644E-4</v>
      </c>
      <c r="L35" s="26"/>
      <c r="M35" s="26"/>
      <c r="N35" s="27">
        <f t="shared" si="6"/>
        <v>3.0203286707065503E-3</v>
      </c>
      <c r="O35" s="27">
        <f t="shared" si="7"/>
        <v>0</v>
      </c>
      <c r="P35" s="26">
        <f t="shared" si="4"/>
        <v>3.0203286707065503E-3</v>
      </c>
      <c r="Q35" s="26">
        <f>IF(N$320=0,0,SUM(N$17:N35)/N$320)</f>
        <v>4.1710185290378234E-4</v>
      </c>
      <c r="R35" s="26">
        <f>IF(O$320=0,0,SUM(O$17:O35)/O$320)</f>
        <v>0</v>
      </c>
      <c r="S35" s="26">
        <f>SUM(P$17:P35)/P$320</f>
        <v>4.1710185290378234E-4</v>
      </c>
    </row>
    <row r="36" spans="1:19" x14ac:dyDescent="0.4">
      <c r="A36" s="6">
        <f t="shared" si="0"/>
        <v>0.10462007633622963</v>
      </c>
      <c r="B36" s="25">
        <f t="shared" ref="B36:C36" si="24">C$4*EXP(-0.5*(LN($A36)-LN(C$5))^2/(LN(C$6))^2)/($A36*SQRT(2*PI())*LN(C$6))</f>
        <v>0.92955644334641507</v>
      </c>
      <c r="C36" s="25">
        <f t="shared" si="24"/>
        <v>0</v>
      </c>
      <c r="D36" s="27">
        <f t="shared" si="2"/>
        <v>0.92955644334641507</v>
      </c>
      <c r="E36" s="27"/>
      <c r="F36" s="26">
        <f t="shared" si="3"/>
        <v>3.4115251416356428E-3</v>
      </c>
      <c r="G36" s="26">
        <f t="shared" si="3"/>
        <v>0</v>
      </c>
      <c r="H36" s="26">
        <f t="shared" si="3"/>
        <v>3.4115251416356428E-3</v>
      </c>
      <c r="I36" s="26">
        <f>IF(F$320=0,0,SUM(F$17:F36)/F$320)</f>
        <v>3.7039532583387337E-4</v>
      </c>
      <c r="J36" s="26">
        <f>IF(G$320=0,0,SUM(G$17:G36)/G$320)</f>
        <v>0</v>
      </c>
      <c r="K36" s="26">
        <f>SUM(H$17:H36)/H$320</f>
        <v>3.7039532583387337E-4</v>
      </c>
      <c r="L36" s="26"/>
      <c r="M36" s="26"/>
      <c r="N36" s="27">
        <f t="shared" si="6"/>
        <v>3.2390071898229645E-3</v>
      </c>
      <c r="O36" s="27">
        <f t="shared" si="7"/>
        <v>0</v>
      </c>
      <c r="P36" s="26">
        <f t="shared" si="4"/>
        <v>3.2390071898229645E-3</v>
      </c>
      <c r="Q36" s="26">
        <f>IF(N$320=0,0,SUM(N$17:N36)/N$320)</f>
        <v>4.4965468898240505E-4</v>
      </c>
      <c r="R36" s="26">
        <f>IF(O$320=0,0,SUM(O$17:O36)/O$320)</f>
        <v>0</v>
      </c>
      <c r="S36" s="26">
        <f>SUM(P$17:P36)/P$320</f>
        <v>4.4965468898240505E-4</v>
      </c>
    </row>
    <row r="37" spans="1:19" x14ac:dyDescent="0.4">
      <c r="A37" s="6">
        <f t="shared" si="0"/>
        <v>0.10829013334681213</v>
      </c>
      <c r="B37" s="25">
        <f t="shared" ref="B37:C37" si="25">C$4*EXP(-0.5*(LN($A37)-LN(C$5))^2/(LN(C$6))^2)/($A37*SQRT(2*PI())*LN(C$6))</f>
        <v>0.96244475368708815</v>
      </c>
      <c r="C37" s="25">
        <f t="shared" si="25"/>
        <v>0</v>
      </c>
      <c r="D37" s="27">
        <f t="shared" si="2"/>
        <v>0.96244475368708815</v>
      </c>
      <c r="E37" s="27"/>
      <c r="F37" s="26">
        <f t="shared" si="3"/>
        <v>3.6561371273209622E-3</v>
      </c>
      <c r="G37" s="26">
        <f t="shared" si="3"/>
        <v>0</v>
      </c>
      <c r="H37" s="26">
        <f t="shared" si="3"/>
        <v>3.6561371273209622E-3</v>
      </c>
      <c r="I37" s="26">
        <f>IF(F$320=0,0,SUM(F$17:F37)/F$320)</f>
        <v>4.0651962426087584E-4</v>
      </c>
      <c r="J37" s="26">
        <f>IF(G$320=0,0,SUM(G$17:G37)/G$320)</f>
        <v>0</v>
      </c>
      <c r="K37" s="26">
        <f>SUM(H$17:H37)/H$320</f>
        <v>4.0651962426087584E-4</v>
      </c>
      <c r="L37" s="26"/>
      <c r="M37" s="26"/>
      <c r="N37" s="27">
        <f t="shared" si="6"/>
        <v>3.4719997364535092E-3</v>
      </c>
      <c r="O37" s="27">
        <f t="shared" si="7"/>
        <v>0</v>
      </c>
      <c r="P37" s="26">
        <f t="shared" si="4"/>
        <v>3.4719997364535092E-3</v>
      </c>
      <c r="Q37" s="26">
        <f>IF(N$320=0,0,SUM(N$17:N37)/N$320)</f>
        <v>4.845491586955056E-4</v>
      </c>
      <c r="R37" s="26">
        <f>IF(O$320=0,0,SUM(O$17:O37)/O$320)</f>
        <v>0</v>
      </c>
      <c r="S37" s="26">
        <f>SUM(P$17:P37)/P$320</f>
        <v>4.845491586955056E-4</v>
      </c>
    </row>
    <row r="38" spans="1:19" x14ac:dyDescent="0.4">
      <c r="A38" s="6">
        <f t="shared" si="0"/>
        <v>0.11208893542175144</v>
      </c>
      <c r="B38" s="25">
        <f t="shared" ref="B38:C38" si="26">C$4*EXP(-0.5*(LN($A38)-LN(C$5))^2/(LN(C$6))^2)/($A38*SQRT(2*PI())*LN(C$6))</f>
        <v>0.99606094317043981</v>
      </c>
      <c r="C38" s="25">
        <f t="shared" si="26"/>
        <v>0</v>
      </c>
      <c r="D38" s="27">
        <f t="shared" si="2"/>
        <v>0.99606094317043981</v>
      </c>
      <c r="E38" s="27"/>
      <c r="F38" s="26">
        <f t="shared" si="3"/>
        <v>3.9165748757923622E-3</v>
      </c>
      <c r="G38" s="26">
        <f t="shared" si="3"/>
        <v>0</v>
      </c>
      <c r="H38" s="26">
        <f t="shared" si="3"/>
        <v>3.9165748757923622E-3</v>
      </c>
      <c r="I38" s="26">
        <f>IF(F$320=0,0,SUM(F$17:F38)/F$320)</f>
        <v>4.4521716614670103E-4</v>
      </c>
      <c r="J38" s="26">
        <f>IF(G$320=0,0,SUM(G$17:G38)/G$320)</f>
        <v>0</v>
      </c>
      <c r="K38" s="26">
        <f>SUM(H$17:H38)/H$320</f>
        <v>4.4521716614670103E-4</v>
      </c>
      <c r="L38" s="26"/>
      <c r="M38" s="26"/>
      <c r="N38" s="27">
        <f t="shared" si="6"/>
        <v>3.7201248875428404E-3</v>
      </c>
      <c r="O38" s="27">
        <f t="shared" si="7"/>
        <v>0</v>
      </c>
      <c r="P38" s="26">
        <f t="shared" si="4"/>
        <v>3.7201248875428404E-3</v>
      </c>
      <c r="Q38" s="26">
        <f>IF(N$320=0,0,SUM(N$17:N38)/N$320)</f>
        <v>5.2193734852005677E-4</v>
      </c>
      <c r="R38" s="26">
        <f>IF(O$320=0,0,SUM(O$17:O38)/O$320)</f>
        <v>0</v>
      </c>
      <c r="S38" s="26">
        <f>SUM(P$17:P38)/P$320</f>
        <v>5.2193734852005677E-4</v>
      </c>
    </row>
    <row r="39" spans="1:19" x14ac:dyDescent="0.4">
      <c r="A39" s="6">
        <f t="shared" si="0"/>
        <v>0.11602099891911737</v>
      </c>
      <c r="B39" s="25">
        <f t="shared" ref="B39:C39" si="27">C$4*EXP(-0.5*(LN($A39)-LN(C$5))^2/(LN(C$6))^2)/($A39*SQRT(2*PI())*LN(C$6))</f>
        <v>1.0304005234911267</v>
      </c>
      <c r="C39" s="25">
        <f t="shared" si="27"/>
        <v>0</v>
      </c>
      <c r="D39" s="27">
        <f t="shared" si="2"/>
        <v>1.0304005234911267</v>
      </c>
      <c r="E39" s="27"/>
      <c r="F39" s="26">
        <f t="shared" si="3"/>
        <v>4.1937298328688071E-3</v>
      </c>
      <c r="G39" s="26">
        <f t="shared" si="3"/>
        <v>0</v>
      </c>
      <c r="H39" s="26">
        <f t="shared" si="3"/>
        <v>4.1937298328688071E-3</v>
      </c>
      <c r="I39" s="26">
        <f>IF(F$320=0,0,SUM(F$17:F39)/F$320)</f>
        <v>4.8665312511900156E-4</v>
      </c>
      <c r="J39" s="26">
        <f>IF(G$320=0,0,SUM(G$17:G39)/G$320)</f>
        <v>0</v>
      </c>
      <c r="K39" s="26">
        <f>SUM(H$17:H39)/H$320</f>
        <v>4.8665312511900156E-4</v>
      </c>
      <c r="L39" s="26"/>
      <c r="M39" s="26"/>
      <c r="N39" s="27">
        <f t="shared" si="6"/>
        <v>3.9842393518858561E-3</v>
      </c>
      <c r="O39" s="27">
        <f t="shared" si="7"/>
        <v>0</v>
      </c>
      <c r="P39" s="26">
        <f t="shared" si="4"/>
        <v>3.9842393518858561E-3</v>
      </c>
      <c r="Q39" s="26">
        <f>IF(N$320=0,0,SUM(N$17:N39)/N$320)</f>
        <v>5.6197995507167333E-4</v>
      </c>
      <c r="R39" s="26">
        <f>IF(O$320=0,0,SUM(O$17:O39)/O$320)</f>
        <v>0</v>
      </c>
      <c r="S39" s="26">
        <f>SUM(P$17:P39)/P$320</f>
        <v>5.6197995507167333E-4</v>
      </c>
    </row>
    <row r="40" spans="1:19" x14ac:dyDescent="0.4">
      <c r="A40" s="6">
        <f t="shared" si="0"/>
        <v>0.12009099863016169</v>
      </c>
      <c r="B40" s="25">
        <f t="shared" ref="B40:C40" si="28">C$4*EXP(-0.5*(LN($A40)-LN(C$5))^2/(LN(C$6))^2)/($A40*SQRT(2*PI())*LN(C$6))</f>
        <v>1.0654578853403807</v>
      </c>
      <c r="C40" s="25">
        <f t="shared" si="28"/>
        <v>0</v>
      </c>
      <c r="D40" s="27">
        <f t="shared" si="2"/>
        <v>1.0654578853403807</v>
      </c>
      <c r="E40" s="27"/>
      <c r="F40" s="26">
        <f t="shared" si="3"/>
        <v>4.4885340307030761E-3</v>
      </c>
      <c r="G40" s="26">
        <f t="shared" si="3"/>
        <v>0</v>
      </c>
      <c r="H40" s="26">
        <f t="shared" si="3"/>
        <v>4.4885340307030761E-3</v>
      </c>
      <c r="I40" s="26">
        <f>IF(F$320=0,0,SUM(F$17:F40)/F$320)</f>
        <v>5.310018837071911E-4</v>
      </c>
      <c r="J40" s="26">
        <f>IF(G$320=0,0,SUM(G$17:G40)/G$320)</f>
        <v>0</v>
      </c>
      <c r="K40" s="26">
        <f>SUM(H$17:H40)/H$320</f>
        <v>5.310018837071911E-4</v>
      </c>
      <c r="L40" s="26"/>
      <c r="M40" s="26"/>
      <c r="N40" s="27">
        <f t="shared" si="6"/>
        <v>4.2652391436774177E-3</v>
      </c>
      <c r="O40" s="27">
        <f t="shared" si="7"/>
        <v>0</v>
      </c>
      <c r="P40" s="26">
        <f t="shared" si="4"/>
        <v>4.2652391436774177E-3</v>
      </c>
      <c r="Q40" s="26">
        <f>IF(N$320=0,0,SUM(N$17:N40)/N$320)</f>
        <v>6.0484668013375783E-4</v>
      </c>
      <c r="R40" s="26">
        <f>IF(O$320=0,0,SUM(O$17:O40)/O$320)</f>
        <v>0</v>
      </c>
      <c r="S40" s="26">
        <f>SUM(P$17:P40)/P$320</f>
        <v>6.0484668013375783E-4</v>
      </c>
    </row>
    <row r="41" spans="1:19" x14ac:dyDescent="0.4">
      <c r="A41" s="6">
        <f t="shared" si="0"/>
        <v>0.12430377333713111</v>
      </c>
      <c r="B41" s="25">
        <f t="shared" ref="B41:C41" si="29">C$4*EXP(-0.5*(LN($A41)-LN(C$5))^2/(LN(C$6))^2)/($A41*SQRT(2*PI())*LN(C$6))</f>
        <v>1.1012262697427355</v>
      </c>
      <c r="C41" s="25">
        <f t="shared" si="29"/>
        <v>0</v>
      </c>
      <c r="D41" s="27">
        <f t="shared" si="2"/>
        <v>1.1012262697427355</v>
      </c>
      <c r="E41" s="27"/>
      <c r="F41" s="26">
        <f t="shared" si="3"/>
        <v>4.8019612724254437E-3</v>
      </c>
      <c r="G41" s="26">
        <f t="shared" si="3"/>
        <v>0</v>
      </c>
      <c r="H41" s="26">
        <f t="shared" si="3"/>
        <v>4.8019612724254437E-3</v>
      </c>
      <c r="I41" s="26">
        <f>IF(F$320=0,0,SUM(F$17:F41)/F$320)</f>
        <v>5.784474460587088E-4</v>
      </c>
      <c r="J41" s="26">
        <f>IF(G$320=0,0,SUM(G$17:G41)/G$320)</f>
        <v>0</v>
      </c>
      <c r="K41" s="26">
        <f>SUM(H$17:H41)/H$320</f>
        <v>5.784474460587088E-4</v>
      </c>
      <c r="L41" s="26"/>
      <c r="M41" s="26"/>
      <c r="N41" s="27">
        <f t="shared" si="6"/>
        <v>4.5640607506978858E-3</v>
      </c>
      <c r="O41" s="27">
        <f t="shared" si="7"/>
        <v>0</v>
      </c>
      <c r="P41" s="26">
        <f t="shared" si="4"/>
        <v>4.5640607506978858E-3</v>
      </c>
      <c r="Q41" s="26">
        <f>IF(N$320=0,0,SUM(N$17:N41)/N$320)</f>
        <v>6.5071663742720398E-4</v>
      </c>
      <c r="R41" s="26">
        <f>IF(O$320=0,0,SUM(O$17:O41)/O$320)</f>
        <v>0</v>
      </c>
      <c r="S41" s="26">
        <f>SUM(P$17:P41)/P$320</f>
        <v>6.5071663742720398E-4</v>
      </c>
    </row>
    <row r="42" spans="1:19" x14ac:dyDescent="0.4">
      <c r="A42" s="6">
        <f t="shared" si="0"/>
        <v>0.12866433156604737</v>
      </c>
      <c r="B42" s="25">
        <f t="shared" ref="B42:C42" si="30">C$4*EXP(-0.5*(LN($A42)-LN(C$5))^2/(LN(C$6))^2)/($A42*SQRT(2*PI())*LN(C$6))</f>
        <v>1.1376977409670872</v>
      </c>
      <c r="C42" s="25">
        <f t="shared" si="30"/>
        <v>0</v>
      </c>
      <c r="D42" s="27">
        <f t="shared" si="2"/>
        <v>1.1376977409670872</v>
      </c>
      <c r="E42" s="27"/>
      <c r="F42" s="26">
        <f t="shared" si="3"/>
        <v>5.1350283058346057E-3</v>
      </c>
      <c r="G42" s="26">
        <f t="shared" si="3"/>
        <v>0</v>
      </c>
      <c r="H42" s="26">
        <f t="shared" si="3"/>
        <v>5.1350283058346057E-3</v>
      </c>
      <c r="I42" s="26">
        <f>IF(F$320=0,0,SUM(F$17:F42)/F$320)</f>
        <v>6.2918386225188335E-4</v>
      </c>
      <c r="J42" s="26">
        <f>IF(G$320=0,0,SUM(G$17:G42)/G$320)</f>
        <v>0</v>
      </c>
      <c r="K42" s="26">
        <f>SUM(H$17:H42)/H$320</f>
        <v>6.2918386225188335E-4</v>
      </c>
      <c r="L42" s="26"/>
      <c r="M42" s="26"/>
      <c r="N42" s="27">
        <f t="shared" si="6"/>
        <v>4.8816822935833547E-3</v>
      </c>
      <c r="O42" s="27">
        <f t="shared" si="7"/>
        <v>0</v>
      </c>
      <c r="P42" s="26">
        <f t="shared" si="4"/>
        <v>4.8816822935833547E-3</v>
      </c>
      <c r="Q42" s="26">
        <f>IF(N$320=0,0,SUM(N$17:N42)/N$320)</f>
        <v>6.9977877103105668E-4</v>
      </c>
      <c r="R42" s="26">
        <f>IF(O$320=0,0,SUM(O$17:O42)/O$320)</f>
        <v>0</v>
      </c>
      <c r="S42" s="26">
        <f>SUM(P$17:P42)/P$320</f>
        <v>6.9977877103105668E-4</v>
      </c>
    </row>
    <row r="43" spans="1:19" x14ac:dyDescent="0.4">
      <c r="A43" s="6">
        <f t="shared" si="0"/>
        <v>0.13317785754129421</v>
      </c>
      <c r="B43" s="25">
        <f t="shared" ref="B43:C43" si="31">C$4*EXP(-0.5*(LN($A43)-LN(C$5))^2/(LN(C$6))^2)/($A43*SQRT(2*PI())*LN(C$6))</f>
        <v>1.1748631611379141</v>
      </c>
      <c r="C43" s="25">
        <f t="shared" si="31"/>
        <v>0</v>
      </c>
      <c r="D43" s="27">
        <f t="shared" si="2"/>
        <v>1.1748631611379141</v>
      </c>
      <c r="E43" s="27"/>
      <c r="F43" s="26">
        <f t="shared" si="3"/>
        <v>5.4887959821803729E-3</v>
      </c>
      <c r="G43" s="26">
        <f t="shared" si="3"/>
        <v>0</v>
      </c>
      <c r="H43" s="26">
        <f t="shared" si="3"/>
        <v>5.4887959821803729E-3</v>
      </c>
      <c r="I43" s="26">
        <f>IF(F$320=0,0,SUM(F$17:F43)/F$320)</f>
        <v>6.834156640580987E-4</v>
      </c>
      <c r="J43" s="26">
        <f>IF(G$320=0,0,SUM(G$17:G43)/G$320)</f>
        <v>0</v>
      </c>
      <c r="K43" s="26">
        <f>SUM(H$17:H43)/H$320</f>
        <v>6.834156640580987E-4</v>
      </c>
      <c r="L43" s="26"/>
      <c r="M43" s="26"/>
      <c r="N43" s="27">
        <f t="shared" si="6"/>
        <v>5.2191246724060713E-3</v>
      </c>
      <c r="O43" s="27">
        <f t="shared" si="7"/>
        <v>0</v>
      </c>
      <c r="P43" s="26">
        <f t="shared" si="4"/>
        <v>5.2191246724060713E-3</v>
      </c>
      <c r="Q43" s="26">
        <f>IF(N$320=0,0,SUM(N$17:N43)/N$320)</f>
        <v>7.5223228532659496E-4</v>
      </c>
      <c r="R43" s="26">
        <f>IF(O$320=0,0,SUM(O$17:O43)/O$320)</f>
        <v>0</v>
      </c>
      <c r="S43" s="26">
        <f>SUM(P$17:P43)/P$320</f>
        <v>7.5223228532659496E-4</v>
      </c>
    </row>
    <row r="44" spans="1:19" x14ac:dyDescent="0.4">
      <c r="A44" s="6">
        <f t="shared" si="0"/>
        <v>0.13784971734909021</v>
      </c>
      <c r="B44" s="25">
        <f t="shared" ref="B44:C44" si="32">C$4*EXP(-0.5*(LN($A44)-LN(C$5))^2/(LN(C$6))^2)/($A44*SQRT(2*PI())*LN(C$6))</f>
        <v>1.2127121666714109</v>
      </c>
      <c r="C44" s="25">
        <f t="shared" si="32"/>
        <v>0</v>
      </c>
      <c r="D44" s="27">
        <f t="shared" si="2"/>
        <v>1.2127121666714109</v>
      </c>
      <c r="E44" s="27"/>
      <c r="F44" s="26">
        <f t="shared" si="3"/>
        <v>5.8643703958535052E-3</v>
      </c>
      <c r="G44" s="26">
        <f t="shared" si="3"/>
        <v>0</v>
      </c>
      <c r="H44" s="26">
        <f t="shared" si="3"/>
        <v>5.8643703958535052E-3</v>
      </c>
      <c r="I44" s="26">
        <f>IF(F$320=0,0,SUM(F$17:F44)/F$320)</f>
        <v>7.4135831196461236E-4</v>
      </c>
      <c r="J44" s="26">
        <f>IF(G$320=0,0,SUM(G$17:G44)/G$320)</f>
        <v>0</v>
      </c>
      <c r="K44" s="26">
        <f>SUM(H$17:H44)/H$320</f>
        <v>7.4135831196461236E-4</v>
      </c>
      <c r="L44" s="26"/>
      <c r="M44" s="26"/>
      <c r="N44" s="27">
        <f t="shared" si="6"/>
        <v>5.5774526965659335E-3</v>
      </c>
      <c r="O44" s="27">
        <f t="shared" si="7"/>
        <v>0</v>
      </c>
      <c r="P44" s="26">
        <f t="shared" si="4"/>
        <v>5.5774526965659335E-3</v>
      </c>
      <c r="Q44" s="26">
        <f>IF(N$320=0,0,SUM(N$17:N44)/N$320)</f>
        <v>8.0828708629710692E-4</v>
      </c>
      <c r="R44" s="26">
        <f>IF(O$320=0,0,SUM(O$17:O44)/O$320)</f>
        <v>0</v>
      </c>
      <c r="S44" s="26">
        <f>SUM(P$17:P44)/P$320</f>
        <v>8.0828708629710692E-4</v>
      </c>
    </row>
    <row r="45" spans="1:19" x14ac:dyDescent="0.4">
      <c r="A45" s="6">
        <f t="shared" si="0"/>
        <v>0.14268546531717544</v>
      </c>
      <c r="B45" s="25">
        <f t="shared" ref="B45:C45" si="33">C$4*EXP(-0.5*(LN($A45)-LN(C$5))^2/(LN(C$6))^2)/($A45*SQRT(2*PI())*LN(C$6))</f>
        <v>1.2512331466597939</v>
      </c>
      <c r="C45" s="25">
        <f t="shared" si="33"/>
        <v>0</v>
      </c>
      <c r="D45" s="27">
        <f t="shared" si="2"/>
        <v>1.2512331466597939</v>
      </c>
      <c r="E45" s="27"/>
      <c r="F45" s="26">
        <f t="shared" si="3"/>
        <v>6.2629040005663661E-3</v>
      </c>
      <c r="G45" s="26">
        <f t="shared" si="3"/>
        <v>0</v>
      </c>
      <c r="H45" s="26">
        <f t="shared" si="3"/>
        <v>6.2629040005663661E-3</v>
      </c>
      <c r="I45" s="26">
        <f>IF(F$320=0,0,SUM(F$17:F45)/F$320)</f>
        <v>8.0323865322574743E-4</v>
      </c>
      <c r="J45" s="26">
        <f>IF(G$320=0,0,SUM(G$17:G45)/G$320)</f>
        <v>0</v>
      </c>
      <c r="K45" s="26">
        <f>SUM(H$17:H45)/H$320</f>
        <v>8.0323865322574743E-4</v>
      </c>
      <c r="L45" s="26"/>
      <c r="M45" s="26"/>
      <c r="N45" s="27">
        <f t="shared" si="6"/>
        <v>5.9577761937618795E-3</v>
      </c>
      <c r="O45" s="27">
        <f t="shared" si="7"/>
        <v>0</v>
      </c>
      <c r="P45" s="26">
        <f t="shared" si="4"/>
        <v>5.9577761937618795E-3</v>
      </c>
      <c r="Q45" s="26">
        <f>IF(N$320=0,0,SUM(N$17:N45)/N$320)</f>
        <v>8.6816423397310558E-4</v>
      </c>
      <c r="R45" s="26">
        <f>IF(O$320=0,0,SUM(O$17:O45)/O$320)</f>
        <v>0</v>
      </c>
      <c r="S45" s="26">
        <f>SUM(P$17:P45)/P$320</f>
        <v>8.6816423397310558E-4</v>
      </c>
    </row>
    <row r="46" spans="1:19" x14ac:dyDescent="0.4">
      <c r="A46" s="6">
        <f t="shared" si="0"/>
        <v>0.14769085061829648</v>
      </c>
      <c r="B46" s="25">
        <f t="shared" ref="B46:C46" si="34">C$4*EXP(-0.5*(LN($A46)-LN(C$5))^2/(LN(C$6))^2)/($A46*SQRT(2*PI())*LN(C$6))</f>
        <v>1.2904132233250187</v>
      </c>
      <c r="C46" s="25">
        <f t="shared" si="34"/>
        <v>0</v>
      </c>
      <c r="D46" s="27">
        <f t="shared" si="2"/>
        <v>1.2904132233250187</v>
      </c>
      <c r="E46" s="27"/>
      <c r="F46" s="26">
        <f t="shared" si="3"/>
        <v>6.6855966973784391E-3</v>
      </c>
      <c r="G46" s="26">
        <f t="shared" si="3"/>
        <v>0</v>
      </c>
      <c r="H46" s="26">
        <f t="shared" si="3"/>
        <v>6.6855966973784391E-3</v>
      </c>
      <c r="I46" s="26">
        <f>IF(F$320=0,0,SUM(F$17:F46)/F$320)</f>
        <v>8.6929539066427162E-4</v>
      </c>
      <c r="J46" s="26">
        <f>IF(G$320=0,0,SUM(G$17:G46)/G$320)</f>
        <v>0</v>
      </c>
      <c r="K46" s="26">
        <f>SUM(H$17:H46)/H$320</f>
        <v>8.6929539066427162E-4</v>
      </c>
      <c r="L46" s="26"/>
      <c r="M46" s="26"/>
      <c r="N46" s="27">
        <f t="shared" si="6"/>
        <v>6.3612510935964657E-3</v>
      </c>
      <c r="O46" s="27">
        <f t="shared" si="7"/>
        <v>0</v>
      </c>
      <c r="P46" s="26">
        <f t="shared" si="4"/>
        <v>6.3612510935964657E-3</v>
      </c>
      <c r="Q46" s="26">
        <f>IF(N$320=0,0,SUM(N$17:N46)/N$320)</f>
        <v>9.3209640576804491E-4</v>
      </c>
      <c r="R46" s="26">
        <f>IF(O$320=0,0,SUM(O$17:O46)/O$320)</f>
        <v>0</v>
      </c>
      <c r="S46" s="26">
        <f>SUM(P$17:P46)/P$320</f>
        <v>9.3209640576804491E-4</v>
      </c>
    </row>
    <row r="47" spans="1:19" x14ac:dyDescent="0.4">
      <c r="A47" s="6">
        <f t="shared" si="0"/>
        <v>0.15287182410534089</v>
      </c>
      <c r="B47" s="25">
        <f t="shared" ref="B47:C47" si="35">C$4*EXP(-0.5*(LN($A47)-LN(C$5))^2/(LN(C$6))^2)/($A47*SQRT(2*PI())*LN(C$6))</f>
        <v>1.3302382346606514</v>
      </c>
      <c r="C47" s="25">
        <f t="shared" si="35"/>
        <v>0</v>
      </c>
      <c r="D47" s="27">
        <f t="shared" si="2"/>
        <v>1.3302382346606514</v>
      </c>
      <c r="E47" s="27"/>
      <c r="F47" s="26">
        <f t="shared" si="3"/>
        <v>7.1336968896898471E-3</v>
      </c>
      <c r="G47" s="26">
        <f t="shared" si="3"/>
        <v>0</v>
      </c>
      <c r="H47" s="26">
        <f t="shared" si="3"/>
        <v>7.1336968896898471E-3</v>
      </c>
      <c r="I47" s="26">
        <f>IF(F$320=0,0,SUM(F$17:F47)/F$320)</f>
        <v>9.3977956189659215E-4</v>
      </c>
      <c r="J47" s="26">
        <f>IF(G$320=0,0,SUM(G$17:G47)/G$320)</f>
        <v>0</v>
      </c>
      <c r="K47" s="26">
        <f>SUM(H$17:H47)/H$320</f>
        <v>9.3977956189659215E-4</v>
      </c>
      <c r="L47" s="26"/>
      <c r="M47" s="26"/>
      <c r="N47" s="27">
        <f t="shared" si="6"/>
        <v>6.7890804811279928E-3</v>
      </c>
      <c r="O47" s="27">
        <f t="shared" si="7"/>
        <v>0</v>
      </c>
      <c r="P47" s="26">
        <f t="shared" si="4"/>
        <v>6.7890804811279928E-3</v>
      </c>
      <c r="Q47" s="26">
        <f>IF(N$320=0,0,SUM(N$17:N47)/N$320)</f>
        <v>1.0003283704024971E-3</v>
      </c>
      <c r="R47" s="26">
        <f>IF(O$320=0,0,SUM(O$17:O47)/O$320)</f>
        <v>0</v>
      </c>
      <c r="S47" s="26">
        <f>SUM(P$17:P47)/P$320</f>
        <v>1.0003283704024971E-3</v>
      </c>
    </row>
    <row r="48" spans="1:19" x14ac:dyDescent="0.4">
      <c r="A48" s="6">
        <f t="shared" si="0"/>
        <v>0.15823454538624715</v>
      </c>
      <c r="B48" s="25">
        <f t="shared" ref="B48:C48" si="36">C$4*EXP(-0.5*(LN($A48)-LN(C$5))^2/(LN(C$6))^2)/($A48*SQRT(2*PI())*LN(C$6))</f>
        <v>1.3706927193776288</v>
      </c>
      <c r="C48" s="25">
        <f t="shared" si="36"/>
        <v>0</v>
      </c>
      <c r="D48" s="27">
        <f t="shared" si="2"/>
        <v>1.3706927193776288</v>
      </c>
      <c r="E48" s="27"/>
      <c r="F48" s="26">
        <f t="shared" si="3"/>
        <v>7.6085025000983235E-3</v>
      </c>
      <c r="G48" s="26">
        <f t="shared" si="3"/>
        <v>0</v>
      </c>
      <c r="H48" s="26">
        <f t="shared" si="3"/>
        <v>7.6085025000983235E-3</v>
      </c>
      <c r="I48" s="26">
        <f>IF(F$320=0,0,SUM(F$17:F48)/F$320)</f>
        <v>1.0149550286049605E-3</v>
      </c>
      <c r="J48" s="26">
        <f>IF(G$320=0,0,SUM(G$17:G48)/G$320)</f>
        <v>0</v>
      </c>
      <c r="K48" s="26">
        <f>SUM(H$17:H48)/H$320</f>
        <v>1.0149550286049605E-3</v>
      </c>
      <c r="L48" s="26"/>
      <c r="M48" s="26"/>
      <c r="N48" s="27">
        <f t="shared" si="6"/>
        <v>7.2425156154654622E-3</v>
      </c>
      <c r="O48" s="27">
        <f t="shared" si="7"/>
        <v>0</v>
      </c>
      <c r="P48" s="26">
        <f t="shared" si="4"/>
        <v>7.2425156154654622E-3</v>
      </c>
      <c r="Q48" s="26">
        <f>IF(N$320=0,0,SUM(N$17:N48)/N$320)</f>
        <v>1.0731174720654663E-3</v>
      </c>
      <c r="R48" s="26">
        <f>IF(O$320=0,0,SUM(O$17:O48)/O$320)</f>
        <v>0</v>
      </c>
      <c r="S48" s="26">
        <f>SUM(P$17:P48)/P$320</f>
        <v>1.0731174720654663E-3</v>
      </c>
    </row>
    <row r="49" spans="1:19" x14ac:dyDescent="0.4">
      <c r="A49" s="6">
        <f t="shared" si="0"/>
        <v>0.16378539014710136</v>
      </c>
      <c r="B49" s="25">
        <f t="shared" ref="B49:C49" si="37">C$4*EXP(-0.5*(LN($A49)-LN(C$5))^2/(LN(C$6))^2)/($A49*SQRT(2*PI())*LN(C$6))</f>
        <v>1.4117599042661435</v>
      </c>
      <c r="C49" s="25">
        <f t="shared" si="37"/>
        <v>0</v>
      </c>
      <c r="D49" s="27">
        <f t="shared" si="2"/>
        <v>1.4117599042661435</v>
      </c>
      <c r="E49" s="27"/>
      <c r="F49" s="26">
        <f t="shared" si="3"/>
        <v>8.1113619437905814E-3</v>
      </c>
      <c r="G49" s="26">
        <f t="shared" si="3"/>
        <v>0</v>
      </c>
      <c r="H49" s="26">
        <f t="shared" si="3"/>
        <v>8.1113619437905814E-3</v>
      </c>
      <c r="I49" s="26">
        <f>IF(F$320=0,0,SUM(F$17:F49)/F$320)</f>
        <v>1.095098975427226E-3</v>
      </c>
      <c r="J49" s="26">
        <f>IF(G$320=0,0,SUM(G$17:G49)/G$320)</f>
        <v>0</v>
      </c>
      <c r="K49" s="26">
        <f>SUM(H$17:H49)/H$320</f>
        <v>1.095098975427226E-3</v>
      </c>
      <c r="L49" s="26"/>
      <c r="M49" s="26"/>
      <c r="N49" s="27">
        <f t="shared" si="6"/>
        <v>7.7228569082837643E-3</v>
      </c>
      <c r="O49" s="27">
        <f t="shared" si="7"/>
        <v>0</v>
      </c>
      <c r="P49" s="26">
        <f t="shared" si="4"/>
        <v>7.7228569082837643E-3</v>
      </c>
      <c r="Q49" s="26">
        <f>IF(N$320=0,0,SUM(N$17:N49)/N$320)</f>
        <v>1.1507341244100268E-3</v>
      </c>
      <c r="R49" s="26">
        <f>IF(O$320=0,0,SUM(O$17:O49)/O$320)</f>
        <v>0</v>
      </c>
      <c r="S49" s="26">
        <f>SUM(P$17:P49)/P$320</f>
        <v>1.1507341244100268E-3</v>
      </c>
    </row>
    <row r="50" spans="1:19" x14ac:dyDescent="0.4">
      <c r="A50" s="6">
        <f t="shared" si="0"/>
        <v>0.16953095773212709</v>
      </c>
      <c r="B50" s="25">
        <f t="shared" ref="B50:C50" si="38">C$4*EXP(-0.5*(LN($A50)-LN(C$5))^2/(LN(C$6))^2)/($A50*SQRT(2*PI())*LN(C$6))</f>
        <v>1.4534216940818485</v>
      </c>
      <c r="C50" s="25">
        <f t="shared" si="38"/>
        <v>0</v>
      </c>
      <c r="D50" s="27">
        <f t="shared" si="2"/>
        <v>1.4534216940818485</v>
      </c>
      <c r="E50" s="27"/>
      <c r="F50" s="26">
        <f t="shared" si="3"/>
        <v>8.6436750529176373E-3</v>
      </c>
      <c r="G50" s="26">
        <f t="shared" si="3"/>
        <v>0</v>
      </c>
      <c r="H50" s="26">
        <f t="shared" si="3"/>
        <v>8.6436750529176373E-3</v>
      </c>
      <c r="I50" s="26">
        <f>IF(F$320=0,0,SUM(F$17:F50)/F$320)</f>
        <v>1.1805024179798395E-3</v>
      </c>
      <c r="J50" s="26">
        <f>IF(G$320=0,0,SUM(G$17:G50)/G$320)</f>
        <v>0</v>
      </c>
      <c r="K50" s="26">
        <f>SUM(H$17:H50)/H$320</f>
        <v>1.1805024179798395E-3</v>
      </c>
      <c r="L50" s="26"/>
      <c r="M50" s="26"/>
      <c r="N50" s="27">
        <f t="shared" si="6"/>
        <v>8.2314548569052161E-3</v>
      </c>
      <c r="O50" s="27">
        <f t="shared" si="7"/>
        <v>0</v>
      </c>
      <c r="P50" s="26">
        <f t="shared" si="4"/>
        <v>8.2314548569052161E-3</v>
      </c>
      <c r="Q50" s="26">
        <f>IF(N$320=0,0,SUM(N$17:N50)/N$320)</f>
        <v>1.2334623139266621E-3</v>
      </c>
      <c r="R50" s="26">
        <f>IF(O$320=0,0,SUM(O$17:O50)/O$320)</f>
        <v>0</v>
      </c>
      <c r="S50" s="26">
        <f>SUM(P$17:P50)/P$320</f>
        <v>1.2334623139266621E-3</v>
      </c>
    </row>
    <row r="51" spans="1:19" x14ac:dyDescent="0.4">
      <c r="A51" s="6">
        <f t="shared" si="0"/>
        <v>0.17547807898958018</v>
      </c>
      <c r="B51" s="25">
        <f t="shared" ref="B51:C51" si="39">C$4*EXP(-0.5*(LN($A51)-LN(C$5))^2/(LN(C$6))^2)/($A51*SQRT(2*PI())*LN(C$6))</f>
        <v>1.4956586640600764</v>
      </c>
      <c r="C51" s="25">
        <f t="shared" si="39"/>
        <v>0</v>
      </c>
      <c r="D51" s="27">
        <f t="shared" si="2"/>
        <v>1.4956586640600764</v>
      </c>
      <c r="E51" s="27"/>
      <c r="F51" s="26">
        <f t="shared" si="3"/>
        <v>9.206893946188106E-3</v>
      </c>
      <c r="G51" s="26">
        <f t="shared" si="3"/>
        <v>0</v>
      </c>
      <c r="H51" s="26">
        <f t="shared" si="3"/>
        <v>9.206893946188106E-3</v>
      </c>
      <c r="I51" s="26">
        <f>IF(F$320=0,0,SUM(F$17:F51)/F$320)</f>
        <v>1.2714707194728333E-3</v>
      </c>
      <c r="J51" s="26">
        <f>IF(G$320=0,0,SUM(G$17:G51)/G$320)</f>
        <v>0</v>
      </c>
      <c r="K51" s="26">
        <f>SUM(H$17:H51)/H$320</f>
        <v>1.2714707194728333E-3</v>
      </c>
      <c r="L51" s="26"/>
      <c r="M51" s="26"/>
      <c r="N51" s="27">
        <f t="shared" si="6"/>
        <v>8.7697109263917862E-3</v>
      </c>
      <c r="O51" s="27">
        <f t="shared" si="7"/>
        <v>0</v>
      </c>
      <c r="P51" s="26">
        <f t="shared" si="4"/>
        <v>8.7697109263917862E-3</v>
      </c>
      <c r="Q51" s="26">
        <f>IF(N$320=0,0,SUM(N$17:N51)/N$320)</f>
        <v>1.3216001121818559E-3</v>
      </c>
      <c r="R51" s="26">
        <f>IF(O$320=0,0,SUM(O$17:O51)/O$320)</f>
        <v>0</v>
      </c>
      <c r="S51" s="26">
        <f>SUM(P$17:P51)/P$320</f>
        <v>1.3216001121818559E-3</v>
      </c>
    </row>
    <row r="52" spans="1:19" x14ac:dyDescent="0.4">
      <c r="A52" s="6">
        <f t="shared" si="0"/>
        <v>0.18163382439287648</v>
      </c>
      <c r="B52" s="25">
        <f t="shared" ref="B52:C52" si="40">C$4*EXP(-0.5*(LN($A52)-LN(C$5))^2/(LN(C$6))^2)/($A52*SQRT(2*PI())*LN(C$6))</f>
        <v>1.5384500551567053</v>
      </c>
      <c r="C52" s="25">
        <f t="shared" si="40"/>
        <v>0</v>
      </c>
      <c r="D52" s="27">
        <f t="shared" si="2"/>
        <v>1.5384500551567053</v>
      </c>
      <c r="E52" s="27"/>
      <c r="F52" s="26">
        <f t="shared" si="3"/>
        <v>9.8025238377038287E-3</v>
      </c>
      <c r="G52" s="26">
        <f t="shared" si="3"/>
        <v>0</v>
      </c>
      <c r="H52" s="26">
        <f t="shared" si="3"/>
        <v>9.8025238377038287E-3</v>
      </c>
      <c r="I52" s="26">
        <f>IF(F$320=0,0,SUM(F$17:F52)/F$320)</f>
        <v>1.368324115316466E-3</v>
      </c>
      <c r="J52" s="26">
        <f>IF(G$320=0,0,SUM(G$17:G52)/G$320)</f>
        <v>0</v>
      </c>
      <c r="K52" s="26">
        <f>SUM(H$17:H52)/H$320</f>
        <v>1.368324115316466E-3</v>
      </c>
      <c r="L52" s="26"/>
      <c r="M52" s="26"/>
      <c r="N52" s="27">
        <f t="shared" si="6"/>
        <v>9.3390783748697713E-3</v>
      </c>
      <c r="O52" s="27">
        <f t="shared" si="7"/>
        <v>0</v>
      </c>
      <c r="P52" s="26">
        <f t="shared" si="4"/>
        <v>9.3390783748697713E-3</v>
      </c>
      <c r="Q52" s="26">
        <f>IF(N$320=0,0,SUM(N$17:N52)/N$320)</f>
        <v>1.4154601963514012E-3</v>
      </c>
      <c r="R52" s="26">
        <f>IF(O$320=0,0,SUM(O$17:O52)/O$320)</f>
        <v>0</v>
      </c>
      <c r="S52" s="26">
        <f>SUM(P$17:P52)/P$320</f>
        <v>1.4154601963514012E-3</v>
      </c>
    </row>
    <row r="53" spans="1:19" x14ac:dyDescent="0.4">
      <c r="A53" s="6">
        <f t="shared" si="0"/>
        <v>0.18800551244660751</v>
      </c>
      <c r="B53" s="25">
        <f t="shared" ref="B53:C53" si="41">C$4*EXP(-0.5*(LN($A53)-LN(C$5))^2/(LN(C$6))^2)/($A53*SQRT(2*PI())*LN(C$6))</f>
        <v>1.5817737721087923</v>
      </c>
      <c r="C53" s="25">
        <f t="shared" si="41"/>
        <v>0</v>
      </c>
      <c r="D53" s="27">
        <f t="shared" si="2"/>
        <v>1.5817737721087923</v>
      </c>
      <c r="E53" s="27"/>
      <c r="F53" s="26">
        <f t="shared" si="3"/>
        <v>1.0432123778861453E-2</v>
      </c>
      <c r="G53" s="26">
        <f t="shared" si="3"/>
        <v>0</v>
      </c>
      <c r="H53" s="26">
        <f t="shared" si="3"/>
        <v>1.0432123778861453E-2</v>
      </c>
      <c r="I53" s="26">
        <f>IF(F$320=0,0,SUM(F$17:F53)/F$320)</f>
        <v>1.4713982450581915E-3</v>
      </c>
      <c r="J53" s="26">
        <f>IF(G$320=0,0,SUM(G$17:G53)/G$320)</f>
        <v>0</v>
      </c>
      <c r="K53" s="26">
        <f>SUM(H$17:H53)/H$320</f>
        <v>1.4713982450581915E-3</v>
      </c>
      <c r="L53" s="26"/>
      <c r="M53" s="26"/>
      <c r="N53" s="27">
        <f t="shared" si="6"/>
        <v>9.9410630161272627E-3</v>
      </c>
      <c r="O53" s="27">
        <f t="shared" si="7"/>
        <v>0</v>
      </c>
      <c r="P53" s="26">
        <f t="shared" si="4"/>
        <v>9.9410630161272627E-3</v>
      </c>
      <c r="Q53" s="26">
        <f>IF(N$320=0,0,SUM(N$17:N53)/N$320)</f>
        <v>1.5153703774180068E-3</v>
      </c>
      <c r="R53" s="26">
        <f>IF(O$320=0,0,SUM(O$17:O53)/O$320)</f>
        <v>0</v>
      </c>
      <c r="S53" s="26">
        <f>SUM(P$17:P53)/P$320</f>
        <v>1.5153703774180068E-3</v>
      </c>
    </row>
    <row r="54" spans="1:19" x14ac:dyDescent="0.4">
      <c r="A54" s="6">
        <f t="shared" si="0"/>
        <v>0.19460071838743781</v>
      </c>
      <c r="B54" s="25">
        <f t="shared" ref="B54:C54" si="42">C$4*EXP(-0.5*(LN($A54)-LN(C$5))^2/(LN(C$6))^2)/($A54*SQRT(2*PI())*LN(C$6))</f>
        <v>1.6256063844020647</v>
      </c>
      <c r="C54" s="25">
        <f t="shared" si="42"/>
        <v>0</v>
      </c>
      <c r="D54" s="27">
        <f t="shared" si="2"/>
        <v>1.6256063844020647</v>
      </c>
      <c r="E54" s="27"/>
      <c r="F54" s="26">
        <f t="shared" si="3"/>
        <v>1.1097307326951349E-2</v>
      </c>
      <c r="G54" s="26">
        <f t="shared" si="3"/>
        <v>0</v>
      </c>
      <c r="H54" s="26">
        <f t="shared" si="3"/>
        <v>1.1097307326951349E-2</v>
      </c>
      <c r="I54" s="26">
        <f>IF(F$320=0,0,SUM(F$17:F54)/F$320)</f>
        <v>1.5810446909256906E-3</v>
      </c>
      <c r="J54" s="26">
        <f>IF(G$320=0,0,SUM(G$17:G54)/G$320)</f>
        <v>0</v>
      </c>
      <c r="K54" s="26">
        <f>SUM(H$17:H54)/H$320</f>
        <v>1.5810446909256906E-3</v>
      </c>
      <c r="L54" s="26"/>
      <c r="M54" s="26"/>
      <c r="N54" s="27">
        <f t="shared" si="6"/>
        <v>1.0577223913299863E-2</v>
      </c>
      <c r="O54" s="27">
        <f t="shared" si="7"/>
        <v>0</v>
      </c>
      <c r="P54" s="26">
        <f t="shared" si="4"/>
        <v>1.0577223913299863E-2</v>
      </c>
      <c r="Q54" s="26">
        <f>IF(N$320=0,0,SUM(N$17:N54)/N$320)</f>
        <v>1.6216741353406185E-3</v>
      </c>
      <c r="R54" s="26">
        <f>IF(O$320=0,0,SUM(O$17:O54)/O$320)</f>
        <v>0</v>
      </c>
      <c r="S54" s="26">
        <f>SUM(P$17:P54)/P$320</f>
        <v>1.6216741353406185E-3</v>
      </c>
    </row>
    <row r="55" spans="1:19" x14ac:dyDescent="0.4">
      <c r="A55" s="6">
        <f t="shared" si="0"/>
        <v>0.20142728319022873</v>
      </c>
      <c r="B55" s="25">
        <f t="shared" ref="B55:C55" si="43">C$4*EXP(-0.5*(LN($A55)-LN(C$5))^2/(LN(C$6))^2)/($A55*SQRT(2*PI())*LN(C$6))</f>
        <v>1.6699231302258415</v>
      </c>
      <c r="C55" s="25">
        <f t="shared" si="43"/>
        <v>0</v>
      </c>
      <c r="D55" s="27">
        <f t="shared" si="2"/>
        <v>1.6699231302258415</v>
      </c>
      <c r="E55" s="27"/>
      <c r="F55" s="26">
        <f t="shared" si="3"/>
        <v>1.1799743133901492E-2</v>
      </c>
      <c r="G55" s="26">
        <f t="shared" si="3"/>
        <v>0</v>
      </c>
      <c r="H55" s="26">
        <f t="shared" si="3"/>
        <v>1.1799743133901492E-2</v>
      </c>
      <c r="I55" s="26">
        <f>IF(F$320=0,0,SUM(F$17:F55)/F$320)</f>
        <v>1.6976315221869599E-3</v>
      </c>
      <c r="J55" s="26">
        <f>IF(G$320=0,0,SUM(G$17:G55)/G$320)</f>
        <v>0</v>
      </c>
      <c r="K55" s="26">
        <f>SUM(H$17:H55)/H$320</f>
        <v>1.6976315221869599E-3</v>
      </c>
      <c r="L55" s="26"/>
      <c r="M55" s="26"/>
      <c r="N55" s="27">
        <f t="shared" si="6"/>
        <v>1.1249173997316082E-2</v>
      </c>
      <c r="O55" s="27">
        <f t="shared" si="7"/>
        <v>0</v>
      </c>
      <c r="P55" s="26">
        <f t="shared" si="4"/>
        <v>1.1249173997316082E-2</v>
      </c>
      <c r="Q55" s="26">
        <f>IF(N$320=0,0,SUM(N$17:N55)/N$320)</f>
        <v>1.7347311604392725E-3</v>
      </c>
      <c r="R55" s="26">
        <f>IF(O$320=0,0,SUM(O$17:O55)/O$320)</f>
        <v>0</v>
      </c>
      <c r="S55" s="26">
        <f>SUM(P$17:P55)/P$320</f>
        <v>1.7347311604392725E-3</v>
      </c>
    </row>
    <row r="56" spans="1:19" x14ac:dyDescent="0.4">
      <c r="A56" s="6">
        <f t="shared" si="0"/>
        <v>0.20849332289009545</v>
      </c>
      <c r="B56" s="25">
        <f t="shared" ref="B56:C56" si="44">C$4*EXP(-0.5*(LN($A56)-LN(C$5))^2/(LN(C$6))^2)/($A56*SQRT(2*PI())*LN(C$6))</f>
        <v>1.7146979234889446</v>
      </c>
      <c r="C56" s="25">
        <f t="shared" si="44"/>
        <v>0</v>
      </c>
      <c r="D56" s="27">
        <f t="shared" si="2"/>
        <v>1.7146979234889446</v>
      </c>
      <c r="E56" s="27"/>
      <c r="F56" s="26">
        <f t="shared" si="3"/>
        <v>1.2541155448447045E-2</v>
      </c>
      <c r="G56" s="26">
        <f t="shared" si="3"/>
        <v>0</v>
      </c>
      <c r="H56" s="26">
        <f t="shared" si="3"/>
        <v>1.2541155448447045E-2</v>
      </c>
      <c r="I56" s="26">
        <f>IF(F$320=0,0,SUM(F$17:F56)/F$320)</f>
        <v>1.821543844472064E-3</v>
      </c>
      <c r="J56" s="26">
        <f>IF(G$320=0,0,SUM(G$17:G56)/G$320)</f>
        <v>0</v>
      </c>
      <c r="K56" s="26">
        <f>SUM(H$17:H56)/H$320</f>
        <v>1.821543844472064E-3</v>
      </c>
      <c r="L56" s="26"/>
      <c r="M56" s="26"/>
      <c r="N56" s="27">
        <f t="shared" si="6"/>
        <v>1.1958580603555532E-2</v>
      </c>
      <c r="O56" s="27">
        <f t="shared" si="7"/>
        <v>0</v>
      </c>
      <c r="P56" s="26">
        <f t="shared" si="4"/>
        <v>1.1958580603555532E-2</v>
      </c>
      <c r="Q56" s="26">
        <f>IF(N$320=0,0,SUM(N$17:N56)/N$320)</f>
        <v>1.8549179001734989E-3</v>
      </c>
      <c r="R56" s="26">
        <f>IF(O$320=0,0,SUM(O$17:O56)/O$320)</f>
        <v>0</v>
      </c>
      <c r="S56" s="26">
        <f>SUM(P$17:P56)/P$320</f>
        <v>1.8549179001734989E-3</v>
      </c>
    </row>
    <row r="57" spans="1:19" x14ac:dyDescent="0.4">
      <c r="A57" s="6">
        <f t="shared" si="0"/>
        <v>0.2158072382314806</v>
      </c>
      <c r="B57" s="25">
        <f t="shared" ref="B57:C57" si="45">C$4*EXP(-0.5*(LN($A57)-LN(C$5))^2/(LN(C$6))^2)/($A57*SQRT(2*PI())*LN(C$6))</f>
        <v>1.759903363962817</v>
      </c>
      <c r="C57" s="25">
        <f t="shared" si="45"/>
        <v>0</v>
      </c>
      <c r="D57" s="27">
        <f t="shared" si="2"/>
        <v>1.759903363962817</v>
      </c>
      <c r="E57" s="27"/>
      <c r="F57" s="26">
        <f t="shared" si="3"/>
        <v>1.3323324524846641E-2</v>
      </c>
      <c r="G57" s="26">
        <f t="shared" si="3"/>
        <v>0</v>
      </c>
      <c r="H57" s="26">
        <f t="shared" si="3"/>
        <v>1.3323324524846641E-2</v>
      </c>
      <c r="I57" s="26">
        <f>IF(F$320=0,0,SUM(F$17:F57)/F$320)</f>
        <v>1.9531843531331904E-3</v>
      </c>
      <c r="J57" s="26">
        <f>IF(G$320=0,0,SUM(G$17:G57)/G$320)</f>
        <v>0</v>
      </c>
      <c r="K57" s="26">
        <f>SUM(H$17:H57)/H$320</f>
        <v>1.9531843531331904E-3</v>
      </c>
      <c r="L57" s="26"/>
      <c r="M57" s="26"/>
      <c r="N57" s="27">
        <f t="shared" si="6"/>
        <v>1.2707165920061693E-2</v>
      </c>
      <c r="O57" s="27">
        <f t="shared" si="7"/>
        <v>0</v>
      </c>
      <c r="P57" s="26">
        <f t="shared" si="4"/>
        <v>1.2707165920061693E-2</v>
      </c>
      <c r="Q57" s="26">
        <f>IF(N$320=0,0,SUM(N$17:N57)/N$320)</f>
        <v>1.9826281104253752E-3</v>
      </c>
      <c r="R57" s="26">
        <f>IF(O$320=0,0,SUM(O$17:O57)/O$320)</f>
        <v>0</v>
      </c>
      <c r="S57" s="26">
        <f>SUM(P$17:P57)/P$320</f>
        <v>1.9826281104253752E-3</v>
      </c>
    </row>
    <row r="58" spans="1:19" x14ac:dyDescent="0.4">
      <c r="A58" s="6">
        <f t="shared" si="0"/>
        <v>0.22337772465571595</v>
      </c>
      <c r="B58" s="25">
        <f t="shared" ref="B58:C58" si="46">C$4*EXP(-0.5*(LN($A58)-LN(C$5))^2/(LN(C$6))^2)/($A58*SQRT(2*PI())*LN(C$6))</f>
        <v>1.8055107506100476</v>
      </c>
      <c r="C58" s="25">
        <f t="shared" si="46"/>
        <v>0</v>
      </c>
      <c r="D58" s="27">
        <f t="shared" si="2"/>
        <v>1.8055107506100476</v>
      </c>
      <c r="E58" s="27"/>
      <c r="F58" s="26">
        <f t="shared" si="3"/>
        <v>1.4148086931125963E-2</v>
      </c>
      <c r="G58" s="26">
        <f t="shared" si="3"/>
        <v>0</v>
      </c>
      <c r="H58" s="26">
        <f t="shared" si="3"/>
        <v>1.4148086931125963E-2</v>
      </c>
      <c r="I58" s="26">
        <f>IF(F$320=0,0,SUM(F$17:F58)/F$320)</f>
        <v>2.0929738896502928E-3</v>
      </c>
      <c r="J58" s="26">
        <f>IF(G$320=0,0,SUM(G$17:G58)/G$320)</f>
        <v>0</v>
      </c>
      <c r="K58" s="26">
        <f>SUM(H$17:H58)/H$320</f>
        <v>2.0929738896502928E-3</v>
      </c>
      <c r="L58" s="26"/>
      <c r="M58" s="26"/>
      <c r="N58" s="27">
        <f t="shared" si="6"/>
        <v>1.3496707340452914E-2</v>
      </c>
      <c r="O58" s="27">
        <f t="shared" si="7"/>
        <v>0</v>
      </c>
      <c r="P58" s="26">
        <f t="shared" si="4"/>
        <v>1.3496707340452914E-2</v>
      </c>
      <c r="Q58" s="26">
        <f>IF(N$320=0,0,SUM(N$17:N58)/N$320)</f>
        <v>2.1182734103294245E-3</v>
      </c>
      <c r="R58" s="26">
        <f>IF(O$320=0,0,SUM(O$17:O58)/O$320)</f>
        <v>0</v>
      </c>
      <c r="S58" s="26">
        <f>SUM(P$17:P58)/P$320</f>
        <v>2.1182734103294245E-3</v>
      </c>
    </row>
    <row r="59" spans="1:19" x14ac:dyDescent="0.4">
      <c r="A59" s="6">
        <f t="shared" si="0"/>
        <v>0.23121378263894624</v>
      </c>
      <c r="B59" s="25">
        <f t="shared" ref="B59:C59" si="47">C$4*EXP(-0.5*(LN($A59)-LN(C$5))^2/(LN(C$6))^2)/($A59*SQRT(2*PI())*LN(C$6))</f>
        <v>1.8514900981483005</v>
      </c>
      <c r="C59" s="25">
        <f t="shared" si="47"/>
        <v>0</v>
      </c>
      <c r="D59" s="27">
        <f t="shared" si="2"/>
        <v>1.8514900981483005</v>
      </c>
      <c r="E59" s="27"/>
      <c r="F59" s="26">
        <f t="shared" si="3"/>
        <v>1.5017335749704142E-2</v>
      </c>
      <c r="G59" s="26">
        <f t="shared" si="3"/>
        <v>0</v>
      </c>
      <c r="H59" s="26">
        <f t="shared" si="3"/>
        <v>1.5017335749704142E-2</v>
      </c>
      <c r="I59" s="26">
        <f>IF(F$320=0,0,SUM(F$17:F59)/F$320)</f>
        <v>2.2413520000190133E-3</v>
      </c>
      <c r="J59" s="26">
        <f>IF(G$320=0,0,SUM(G$17:G59)/G$320)</f>
        <v>0</v>
      </c>
      <c r="K59" s="26">
        <f>SUM(H$17:H59)/H$320</f>
        <v>2.2413520000190133E-3</v>
      </c>
      <c r="L59" s="26"/>
      <c r="M59" s="26"/>
      <c r="N59" s="27">
        <f t="shared" si="6"/>
        <v>1.432903771458674E-2</v>
      </c>
      <c r="O59" s="27">
        <f t="shared" si="7"/>
        <v>0</v>
      </c>
      <c r="P59" s="26">
        <f t="shared" si="4"/>
        <v>1.432903771458674E-2</v>
      </c>
      <c r="Q59" s="26">
        <f>IF(N$320=0,0,SUM(N$17:N59)/N$320)</f>
        <v>2.2622838396217531E-3</v>
      </c>
      <c r="R59" s="26">
        <f>IF(O$320=0,0,SUM(O$17:O59)/O$320)</f>
        <v>0</v>
      </c>
      <c r="S59" s="26">
        <f>SUM(P$17:P59)/P$320</f>
        <v>2.2622838396217531E-3</v>
      </c>
    </row>
    <row r="60" spans="1:19" x14ac:dyDescent="0.4">
      <c r="A60" s="6">
        <f t="shared" si="0"/>
        <v>0.23932472839270597</v>
      </c>
      <c r="B60" s="25">
        <f t="shared" ref="B60:C60" si="48">C$4*EXP(-0.5*(LN($A60)-LN(C$5))^2/(LN(C$6))^2)/($A60*SQRT(2*PI())*LN(C$6))</f>
        <v>1.8978101568909038</v>
      </c>
      <c r="C60" s="25">
        <f t="shared" si="48"/>
        <v>0</v>
      </c>
      <c r="D60" s="27">
        <f t="shared" si="2"/>
        <v>1.8978101568909038</v>
      </c>
      <c r="E60" s="27"/>
      <c r="F60" s="26">
        <f t="shared" si="3"/>
        <v>1.5933020663148625E-2</v>
      </c>
      <c r="G60" s="26">
        <f t="shared" si="3"/>
        <v>0</v>
      </c>
      <c r="H60" s="26">
        <f t="shared" si="3"/>
        <v>1.5933020663148625E-2</v>
      </c>
      <c r="I60" s="26">
        <f>IF(F$320=0,0,SUM(F$17:F60)/F$320)</f>
        <v>2.3987774939859007E-3</v>
      </c>
      <c r="J60" s="26">
        <f>IF(G$320=0,0,SUM(G$17:G60)/G$320)</f>
        <v>0</v>
      </c>
      <c r="K60" s="26">
        <f>SUM(H$17:H60)/H$320</f>
        <v>2.3987774939859007E-3</v>
      </c>
      <c r="L60" s="26"/>
      <c r="M60" s="26"/>
      <c r="N60" s="27">
        <f t="shared" si="6"/>
        <v>1.5206045489896212E-2</v>
      </c>
      <c r="O60" s="27">
        <f t="shared" si="7"/>
        <v>0</v>
      </c>
      <c r="P60" s="26">
        <f t="shared" si="4"/>
        <v>1.5206045489896212E-2</v>
      </c>
      <c r="Q60" s="26">
        <f>IF(N$320=0,0,SUM(N$17:N60)/N$320)</f>
        <v>2.4151084174096546E-3</v>
      </c>
      <c r="R60" s="26">
        <f>IF(O$320=0,0,SUM(O$17:O60)/O$320)</f>
        <v>0</v>
      </c>
      <c r="S60" s="26">
        <f>SUM(P$17:P60)/P$320</f>
        <v>2.4151084174096546E-3</v>
      </c>
    </row>
    <row r="61" spans="1:19" x14ac:dyDescent="0.4">
      <c r="A61" s="6">
        <f t="shared" si="0"/>
        <v>0.24772020493987071</v>
      </c>
      <c r="B61" s="25">
        <f t="shared" ref="B61:C61" si="49">C$4*EXP(-0.5*(LN($A61)-LN(C$5))^2/(LN(C$6))^2)/($A61*SQRT(2*PI())*LN(C$6))</f>
        <v>1.9444384358962847</v>
      </c>
      <c r="C61" s="25">
        <f t="shared" si="49"/>
        <v>0</v>
      </c>
      <c r="D61" s="27">
        <f t="shared" si="2"/>
        <v>1.9444384358962847</v>
      </c>
      <c r="E61" s="27"/>
      <c r="F61" s="26">
        <f t="shared" si="3"/>
        <v>1.6897147917719218E-2</v>
      </c>
      <c r="G61" s="26">
        <f t="shared" si="3"/>
        <v>0</v>
      </c>
      <c r="H61" s="26">
        <f t="shared" si="3"/>
        <v>1.6897147917719218E-2</v>
      </c>
      <c r="I61" s="26">
        <f>IF(F$320=0,0,SUM(F$17:F61)/F$320)</f>
        <v>2.5657290039234294E-3</v>
      </c>
      <c r="J61" s="26">
        <f>IF(G$320=0,0,SUM(G$17:G61)/G$320)</f>
        <v>0</v>
      </c>
      <c r="K61" s="26">
        <f>SUM(H$17:H61)/H$320</f>
        <v>2.5657290039234294E-3</v>
      </c>
      <c r="L61" s="26"/>
      <c r="M61" s="26"/>
      <c r="N61" s="27">
        <f t="shared" si="6"/>
        <v>1.6129674736219513E-2</v>
      </c>
      <c r="O61" s="27">
        <f t="shared" si="7"/>
        <v>0</v>
      </c>
      <c r="P61" s="26">
        <f t="shared" si="4"/>
        <v>1.6129674736219513E-2</v>
      </c>
      <c r="Q61" s="26">
        <f>IF(N$320=0,0,SUM(N$17:N61)/N$320)</f>
        <v>2.5772157011907551E-3</v>
      </c>
      <c r="R61" s="26">
        <f>IF(O$320=0,0,SUM(O$17:O61)/O$320)</f>
        <v>0</v>
      </c>
      <c r="S61" s="26">
        <f>SUM(P$17:P61)/P$320</f>
        <v>2.5772157011907551E-3</v>
      </c>
    </row>
    <row r="62" spans="1:19" x14ac:dyDescent="0.4">
      <c r="A62" s="6">
        <f t="shared" si="0"/>
        <v>0.25641019357915129</v>
      </c>
      <c r="B62" s="25">
        <f t="shared" ref="B62:C62" si="50">C$4*EXP(-0.5*(LN($A62)-LN(C$5))^2/(LN(C$6))^2)/($A62*SQRT(2*PI())*LN(C$6))</f>
        <v>1.9913412294490078</v>
      </c>
      <c r="C62" s="25">
        <f t="shared" si="50"/>
        <v>0</v>
      </c>
      <c r="D62" s="27">
        <f t="shared" si="2"/>
        <v>1.9913412294490078</v>
      </c>
      <c r="E62" s="27"/>
      <c r="F62" s="26">
        <f t="shared" si="3"/>
        <v>1.7911780157291564E-2</v>
      </c>
      <c r="G62" s="26">
        <f t="shared" si="3"/>
        <v>0</v>
      </c>
      <c r="H62" s="26">
        <f t="shared" si="3"/>
        <v>1.7911780157291564E-2</v>
      </c>
      <c r="I62" s="26">
        <f>IF(F$320=0,0,SUM(F$17:F62)/F$320)</f>
        <v>2.7427055420641056E-3</v>
      </c>
      <c r="J62" s="26">
        <f>IF(G$320=0,0,SUM(G$17:G62)/G$320)</f>
        <v>0</v>
      </c>
      <c r="K62" s="26">
        <f>SUM(H$17:H62)/H$320</f>
        <v>2.7427055420641056E-3</v>
      </c>
      <c r="L62" s="26"/>
      <c r="M62" s="26"/>
      <c r="N62" s="27">
        <f t="shared" si="6"/>
        <v>1.7101925046880337E-2</v>
      </c>
      <c r="O62" s="27">
        <f t="shared" si="7"/>
        <v>0</v>
      </c>
      <c r="P62" s="26">
        <f t="shared" si="4"/>
        <v>1.7101925046880337E-2</v>
      </c>
      <c r="Q62" s="26">
        <f>IF(N$320=0,0,SUM(N$17:N62)/N$320)</f>
        <v>2.7490943448779943E-3</v>
      </c>
      <c r="R62" s="26">
        <f>IF(O$320=0,0,SUM(O$17:O62)/O$320)</f>
        <v>0</v>
      </c>
      <c r="S62" s="26">
        <f>SUM(P$17:P62)/P$320</f>
        <v>2.7490943448779943E-3</v>
      </c>
    </row>
    <row r="63" spans="1:19" x14ac:dyDescent="0.4">
      <c r="A63" s="6">
        <f t="shared" si="0"/>
        <v>0.26540502575176073</v>
      </c>
      <c r="B63" s="25">
        <f t="shared" ref="B63:C63" si="51">C$4*EXP(-0.5*(LN($A63)-LN(C$5))^2/(LN(C$6))^2)/($A63*SQRT(2*PI())*LN(C$6))</f>
        <v>2.0384836468854131</v>
      </c>
      <c r="C63" s="25">
        <f t="shared" si="51"/>
        <v>0</v>
      </c>
      <c r="D63" s="27">
        <f t="shared" si="2"/>
        <v>2.0384836468854131</v>
      </c>
      <c r="E63" s="27"/>
      <c r="F63" s="26">
        <f t="shared" si="3"/>
        <v>1.8979036120207592E-2</v>
      </c>
      <c r="G63" s="26">
        <f t="shared" si="3"/>
        <v>0</v>
      </c>
      <c r="H63" s="26">
        <f t="shared" si="3"/>
        <v>1.8979036120207592E-2</v>
      </c>
      <c r="I63" s="26">
        <f>IF(F$320=0,0,SUM(F$17:F63)/F$320)</f>
        <v>2.9302270547393195E-3</v>
      </c>
      <c r="J63" s="26">
        <f>IF(G$320=0,0,SUM(G$17:G63)/G$320)</f>
        <v>0</v>
      </c>
      <c r="K63" s="26">
        <f>SUM(H$17:H63)/H$320</f>
        <v>2.9302270547393195E-3</v>
      </c>
      <c r="L63" s="26"/>
      <c r="M63" s="26"/>
      <c r="N63" s="27">
        <f t="shared" si="6"/>
        <v>1.8124851308704046E-2</v>
      </c>
      <c r="O63" s="27">
        <f t="shared" si="7"/>
        <v>0</v>
      </c>
      <c r="P63" s="26">
        <f t="shared" si="4"/>
        <v>1.8124851308704046E-2</v>
      </c>
      <c r="Q63" s="26">
        <f>IF(N$320=0,0,SUM(N$17:N63)/N$320)</f>
        <v>2.931253654513211E-3</v>
      </c>
      <c r="R63" s="26">
        <f>IF(O$320=0,0,SUM(O$17:O63)/O$320)</f>
        <v>0</v>
      </c>
      <c r="S63" s="26">
        <f>SUM(P$17:P63)/P$320</f>
        <v>2.931253654513211E-3</v>
      </c>
    </row>
    <row r="64" spans="1:19" x14ac:dyDescent="0.4">
      <c r="A64" s="6">
        <f t="shared" si="0"/>
        <v>0.27471539532436218</v>
      </c>
      <c r="B64" s="25">
        <f t="shared" ref="B64:C64" si="52">C$4*EXP(-0.5*(LN($A64)-LN(C$5))^2/(LN(C$6))^2)/($A64*SQRT(2*PI())*LN(C$6))</f>
        <v>2.0858296457668346</v>
      </c>
      <c r="C64" s="25">
        <f t="shared" si="52"/>
        <v>0</v>
      </c>
      <c r="D64" s="27">
        <f t="shared" si="2"/>
        <v>2.0858296457668346</v>
      </c>
      <c r="E64" s="27"/>
      <c r="F64" s="26">
        <f t="shared" si="3"/>
        <v>2.0101090191578727E-2</v>
      </c>
      <c r="G64" s="26">
        <f t="shared" si="3"/>
        <v>0</v>
      </c>
      <c r="H64" s="26">
        <f t="shared" si="3"/>
        <v>2.0101090191578727E-2</v>
      </c>
      <c r="I64" s="26">
        <f>IF(F$320=0,0,SUM(F$17:F64)/F$320)</f>
        <v>3.1288349721947462E-3</v>
      </c>
      <c r="J64" s="26">
        <f>IF(G$320=0,0,SUM(G$17:G64)/G$320)</f>
        <v>0</v>
      </c>
      <c r="K64" s="26">
        <f>SUM(H$17:H64)/H$320</f>
        <v>3.1288349721947462E-3</v>
      </c>
      <c r="L64" s="26"/>
      <c r="M64" s="26"/>
      <c r="N64" s="27">
        <f t="shared" si="6"/>
        <v>1.9200563333646559E-2</v>
      </c>
      <c r="O64" s="27">
        <f t="shared" si="7"/>
        <v>0</v>
      </c>
      <c r="P64" s="26">
        <f t="shared" si="4"/>
        <v>1.9200563333646559E-2</v>
      </c>
      <c r="Q64" s="26">
        <f>IF(N$320=0,0,SUM(N$17:N64)/N$320)</f>
        <v>3.1242241402785029E-3</v>
      </c>
      <c r="R64" s="26">
        <f>IF(O$320=0,0,SUM(O$17:O64)/O$320)</f>
        <v>0</v>
      </c>
      <c r="S64" s="26">
        <f>SUM(P$17:P64)/P$320</f>
        <v>3.1242241402785029E-3</v>
      </c>
    </row>
    <row r="65" spans="1:19" x14ac:dyDescent="0.4">
      <c r="A65" s="6">
        <f t="shared" si="0"/>
        <v>0.28435237130290081</v>
      </c>
      <c r="B65" s="25">
        <f t="shared" ref="B65:C65" si="53">C$4*EXP(-0.5*(LN($A65)-LN(C$5))^2/(LN(C$6))^2)/($A65*SQRT(2*PI())*LN(C$6))</f>
        <v>2.1333420683930817</v>
      </c>
      <c r="C65" s="25">
        <f t="shared" si="53"/>
        <v>0</v>
      </c>
      <c r="D65" s="27">
        <f t="shared" si="2"/>
        <v>2.1333420683930817</v>
      </c>
      <c r="E65" s="27"/>
      <c r="F65" s="26">
        <f t="shared" si="3"/>
        <v>2.1280171803573437E-2</v>
      </c>
      <c r="G65" s="26">
        <f t="shared" si="3"/>
        <v>0</v>
      </c>
      <c r="H65" s="26">
        <f t="shared" si="3"/>
        <v>2.1280171803573437E-2</v>
      </c>
      <c r="I65" s="26">
        <f>IF(F$320=0,0,SUM(F$17:F65)/F$320)</f>
        <v>3.3390927524803177E-3</v>
      </c>
      <c r="J65" s="26">
        <f>IF(G$320=0,0,SUM(G$17:G65)/G$320)</f>
        <v>0</v>
      </c>
      <c r="K65" s="26">
        <f>SUM(H$17:H65)/H$320</f>
        <v>3.3390927524803177E-3</v>
      </c>
      <c r="L65" s="26"/>
      <c r="M65" s="26"/>
      <c r="N65" s="27">
        <f t="shared" si="6"/>
        <v>2.0331225344673558E-2</v>
      </c>
      <c r="O65" s="27">
        <f t="shared" si="7"/>
        <v>0</v>
      </c>
      <c r="P65" s="26">
        <f t="shared" si="4"/>
        <v>2.0331225344673558E-2</v>
      </c>
      <c r="Q65" s="26">
        <f>IF(N$320=0,0,SUM(N$17:N65)/N$320)</f>
        <v>3.3285580633405486E-3</v>
      </c>
      <c r="R65" s="26">
        <f>IF(O$320=0,0,SUM(O$17:O65)/O$320)</f>
        <v>0</v>
      </c>
      <c r="S65" s="26">
        <f>SUM(P$17:P65)/P$320</f>
        <v>3.3285580633405486E-3</v>
      </c>
    </row>
    <row r="66" spans="1:19" x14ac:dyDescent="0.4">
      <c r="A66" s="6">
        <f t="shared" si="0"/>
        <v>0.29432741099243476</v>
      </c>
      <c r="B66" s="25">
        <f t="shared" ref="B66:C66" si="54">C$4*EXP(-0.5*(LN($A66)-LN(C$5))^2/(LN(C$6))^2)/($A66*SQRT(2*PI())*LN(C$6))</f>
        <v>2.1809826816383282</v>
      </c>
      <c r="C66" s="25">
        <f t="shared" si="54"/>
        <v>0</v>
      </c>
      <c r="D66" s="27">
        <f t="shared" si="2"/>
        <v>2.1809826816383282</v>
      </c>
      <c r="E66" s="27"/>
      <c r="F66" s="26">
        <f t="shared" si="3"/>
        <v>2.2518564676255497E-2</v>
      </c>
      <c r="G66" s="26">
        <f t="shared" si="3"/>
        <v>0</v>
      </c>
      <c r="H66" s="26">
        <f t="shared" si="3"/>
        <v>2.2518564676255497E-2</v>
      </c>
      <c r="I66" s="26">
        <f>IF(F$320=0,0,SUM(F$17:F66)/F$320)</f>
        <v>3.5615864178393298E-3</v>
      </c>
      <c r="J66" s="26">
        <f>IF(G$320=0,0,SUM(G$17:G66)/G$320)</f>
        <v>0</v>
      </c>
      <c r="K66" s="26">
        <f>SUM(H$17:H66)/H$320</f>
        <v>3.5615864178393298E-3</v>
      </c>
      <c r="L66" s="26"/>
      <c r="M66" s="26"/>
      <c r="N66" s="27">
        <f t="shared" si="6"/>
        <v>2.1519055308576174E-2</v>
      </c>
      <c r="O66" s="27">
        <f t="shared" si="7"/>
        <v>0</v>
      </c>
      <c r="P66" s="26">
        <f t="shared" si="4"/>
        <v>2.1519055308576174E-2</v>
      </c>
      <c r="Q66" s="26">
        <f>IF(N$320=0,0,SUM(N$17:N66)/N$320)</f>
        <v>3.5448299759895554E-3</v>
      </c>
      <c r="R66" s="26">
        <f>IF(O$320=0,0,SUM(O$17:O66)/O$320)</f>
        <v>0</v>
      </c>
      <c r="S66" s="26">
        <f>SUM(P$17:P66)/P$320</f>
        <v>3.5448299759895554E-3</v>
      </c>
    </row>
    <row r="67" spans="1:19" x14ac:dyDescent="0.4">
      <c r="A67" s="6">
        <f t="shared" si="0"/>
        <v>0.30465237361861197</v>
      </c>
      <c r="B67" s="25">
        <f t="shared" ref="B67:C67" si="55">C$4*EXP(-0.5*(LN($A67)-LN(C$5))^2/(LN(C$6))^2)/($A67*SQRT(2*PI())*LN(C$6))</f>
        <v>2.228712220080856</v>
      </c>
      <c r="C67" s="25">
        <f t="shared" si="55"/>
        <v>0</v>
      </c>
      <c r="D67" s="27">
        <f t="shared" si="2"/>
        <v>2.228712220080856</v>
      </c>
      <c r="E67" s="27"/>
      <c r="F67" s="26">
        <f t="shared" si="3"/>
        <v>2.3818605891590867E-2</v>
      </c>
      <c r="G67" s="26">
        <f t="shared" si="3"/>
        <v>0</v>
      </c>
      <c r="H67" s="26">
        <f t="shared" si="3"/>
        <v>2.3818605891590867E-2</v>
      </c>
      <c r="I67" s="26">
        <f>IF(F$320=0,0,SUM(F$17:F67)/F$320)</f>
        <v>3.796925081948318E-3</v>
      </c>
      <c r="J67" s="26">
        <f>IF(G$320=0,0,SUM(G$17:G67)/G$320)</f>
        <v>0</v>
      </c>
      <c r="K67" s="26">
        <f>SUM(H$17:H67)/H$320</f>
        <v>3.796925081948318E-3</v>
      </c>
      <c r="L67" s="26"/>
      <c r="M67" s="26"/>
      <c r="N67" s="27">
        <f t="shared" si="6"/>
        <v>2.2766324108438325E-2</v>
      </c>
      <c r="O67" s="27">
        <f t="shared" si="7"/>
        <v>0</v>
      </c>
      <c r="P67" s="26">
        <f t="shared" si="4"/>
        <v>2.2766324108438325E-2</v>
      </c>
      <c r="Q67" s="26">
        <f>IF(N$320=0,0,SUM(N$17:N67)/N$320)</f>
        <v>3.7736372534612969E-3</v>
      </c>
      <c r="R67" s="26">
        <f>IF(O$320=0,0,SUM(O$17:O67)/O$320)</f>
        <v>0</v>
      </c>
      <c r="S67" s="26">
        <f>SUM(P$17:P67)/P$320</f>
        <v>3.7736372534612969E-3</v>
      </c>
    </row>
    <row r="68" spans="1:19" x14ac:dyDescent="0.4">
      <c r="A68" s="6">
        <f t="shared" si="0"/>
        <v>0.31533953442698531</v>
      </c>
      <c r="B68" s="25">
        <f t="shared" ref="B68:C68" si="56">C$4*EXP(-0.5*(LN($A68)-LN(C$5))^2/(LN(C$6))^2)/($A68*SQRT(2*PI())*LN(C$6))</f>
        <v>2.2764904323872996</v>
      </c>
      <c r="C68" s="25">
        <f t="shared" si="56"/>
        <v>0</v>
      </c>
      <c r="D68" s="27">
        <f t="shared" si="2"/>
        <v>2.2764904323872996</v>
      </c>
      <c r="E68" s="27"/>
      <c r="F68" s="26">
        <f t="shared" si="3"/>
        <v>2.5182684793347988E-2</v>
      </c>
      <c r="G68" s="26">
        <f t="shared" si="3"/>
        <v>0</v>
      </c>
      <c r="H68" s="26">
        <f t="shared" si="3"/>
        <v>2.5182684793347988E-2</v>
      </c>
      <c r="I68" s="26">
        <f>IF(F$320=0,0,SUM(F$17:F68)/F$320)</f>
        <v>4.0457414662874438E-3</v>
      </c>
      <c r="J68" s="26">
        <f>IF(G$320=0,0,SUM(G$17:G68)/G$320)</f>
        <v>0</v>
      </c>
      <c r="K68" s="26">
        <f>SUM(H$17:H68)/H$320</f>
        <v>4.0457414662874438E-3</v>
      </c>
      <c r="L68" s="26"/>
      <c r="M68" s="26"/>
      <c r="N68" s="27">
        <f t="shared" si="6"/>
        <v>2.4075354548544349E-2</v>
      </c>
      <c r="O68" s="27">
        <f t="shared" si="7"/>
        <v>0</v>
      </c>
      <c r="P68" s="26">
        <f t="shared" si="4"/>
        <v>2.4075354548544349E-2</v>
      </c>
      <c r="Q68" s="26">
        <f>IF(N$320=0,0,SUM(N$17:N68)/N$320)</f>
        <v>4.015600615758225E-3</v>
      </c>
      <c r="R68" s="26">
        <f>IF(O$320=0,0,SUM(O$17:O68)/O$320)</f>
        <v>0</v>
      </c>
      <c r="S68" s="26">
        <f>SUM(P$17:P68)/P$320</f>
        <v>4.015600615758225E-3</v>
      </c>
    </row>
    <row r="69" spans="1:19" x14ac:dyDescent="0.4">
      <c r="A69" s="6">
        <f t="shared" si="0"/>
        <v>0.32640159927693047</v>
      </c>
      <c r="B69" s="25">
        <f t="shared" ref="B69:C69" si="57">C$4*EXP(-0.5*(LN($A69)-LN(C$5))^2/(LN(C$6))^2)/($A69*SQRT(2*PI())*LN(C$6))</f>
        <v>2.3242761309009832</v>
      </c>
      <c r="C69" s="25">
        <f t="shared" si="57"/>
        <v>0</v>
      </c>
      <c r="D69" s="27">
        <f t="shared" si="2"/>
        <v>2.3242761309009832</v>
      </c>
      <c r="E69" s="27"/>
      <c r="F69" s="26">
        <f t="shared" si="3"/>
        <v>2.6613241705721762E-2</v>
      </c>
      <c r="G69" s="26">
        <f t="shared" si="3"/>
        <v>0</v>
      </c>
      <c r="H69" s="26">
        <f t="shared" si="3"/>
        <v>2.6613241705721762E-2</v>
      </c>
      <c r="I69" s="26">
        <f>IF(F$320=0,0,SUM(F$17:F69)/F$320)</f>
        <v>4.3086924038503076E-3</v>
      </c>
      <c r="J69" s="26">
        <f>IF(G$320=0,0,SUM(G$17:G69)/G$320)</f>
        <v>0</v>
      </c>
      <c r="K69" s="26">
        <f>SUM(H$17:H69)/H$320</f>
        <v>4.3086924038503076E-3</v>
      </c>
      <c r="L69" s="26"/>
      <c r="M69" s="26"/>
      <c r="N69" s="27">
        <f t="shared" si="6"/>
        <v>2.5448520184633699E-2</v>
      </c>
      <c r="O69" s="27">
        <f t="shared" si="7"/>
        <v>0</v>
      </c>
      <c r="P69" s="26">
        <f t="shared" si="4"/>
        <v>2.5448520184633699E-2</v>
      </c>
      <c r="Q69" s="26">
        <f>IF(N$320=0,0,SUM(N$17:N69)/N$320)</f>
        <v>4.2713646377143429E-3</v>
      </c>
      <c r="R69" s="26">
        <f>IF(O$320=0,0,SUM(O$17:O69)/O$320)</f>
        <v>0</v>
      </c>
      <c r="S69" s="26">
        <f>SUM(P$17:P69)/P$320</f>
        <v>4.2713646377143429E-3</v>
      </c>
    </row>
    <row r="70" spans="1:19" x14ac:dyDescent="0.4">
      <c r="A70" s="6">
        <f t="shared" si="0"/>
        <v>0.3378517197475156</v>
      </c>
      <c r="B70" s="25">
        <f t="shared" ref="B70:C70" si="58">C$4*EXP(-0.5*(LN($A70)-LN(C$5))^2/(LN(C$6))^2)/($A70*SQRT(2*PI())*LN(C$6))</f>
        <v>2.3720272443730042</v>
      </c>
      <c r="C70" s="25">
        <f t="shared" si="58"/>
        <v>0</v>
      </c>
      <c r="D70" s="27">
        <f t="shared" si="2"/>
        <v>2.3720272443730042</v>
      </c>
      <c r="E70" s="27"/>
      <c r="F70" s="26">
        <f t="shared" si="3"/>
        <v>2.811276646368242E-2</v>
      </c>
      <c r="G70" s="26">
        <f t="shared" si="3"/>
        <v>0</v>
      </c>
      <c r="H70" s="26">
        <f t="shared" si="3"/>
        <v>2.811276646368242E-2</v>
      </c>
      <c r="I70" s="26">
        <f>IF(F$320=0,0,SUM(F$17:F70)/F$320)</f>
        <v>4.5864593283329348E-3</v>
      </c>
      <c r="J70" s="26">
        <f>IF(G$320=0,0,SUM(G$17:G70)/G$320)</f>
        <v>0</v>
      </c>
      <c r="K70" s="26">
        <f>SUM(H$17:H70)/H$320</f>
        <v>4.5864593283329348E-3</v>
      </c>
      <c r="L70" s="26"/>
      <c r="M70" s="26"/>
      <c r="N70" s="27">
        <f t="shared" si="6"/>
        <v>2.6888243972526468E-2</v>
      </c>
      <c r="O70" s="27">
        <f t="shared" si="7"/>
        <v>0</v>
      </c>
      <c r="P70" s="26">
        <f t="shared" si="4"/>
        <v>2.6888243972526468E-2</v>
      </c>
      <c r="Q70" s="26">
        <f>IF(N$320=0,0,SUM(N$17:N70)/N$320)</f>
        <v>4.5415982454784275E-3</v>
      </c>
      <c r="R70" s="26">
        <f>IF(O$320=0,0,SUM(O$17:O70)/O$320)</f>
        <v>0</v>
      </c>
      <c r="S70" s="26">
        <f>SUM(P$17:P70)/P$320</f>
        <v>4.5415982454784275E-3</v>
      </c>
    </row>
    <row r="71" spans="1:19" x14ac:dyDescent="0.4">
      <c r="A71" s="6">
        <f t="shared" si="0"/>
        <v>0.34970350877328349</v>
      </c>
      <c r="B71" s="25">
        <f t="shared" ref="B71:C71" si="59">C$4*EXP(-0.5*(LN($A71)-LN(C$5))^2/(LN(C$6))^2)/($A71*SQRT(2*PI())*LN(C$6))</f>
        <v>2.4197008737636536</v>
      </c>
      <c r="C71" s="25">
        <f t="shared" si="59"/>
        <v>0</v>
      </c>
      <c r="D71" s="27">
        <f t="shared" si="2"/>
        <v>2.4197008737636536</v>
      </c>
      <c r="E71" s="27"/>
      <c r="F71" s="26">
        <f t="shared" si="3"/>
        <v>2.9683796748227752E-2</v>
      </c>
      <c r="G71" s="26">
        <f t="shared" si="3"/>
        <v>0</v>
      </c>
      <c r="H71" s="26">
        <f t="shared" si="3"/>
        <v>2.9683796748227752E-2</v>
      </c>
      <c r="I71" s="26">
        <f>IF(F$320=0,0,SUM(F$17:F71)/F$320)</f>
        <v>4.8797487468743008E-3</v>
      </c>
      <c r="J71" s="26">
        <f>IF(G$320=0,0,SUM(G$17:G71)/G$320)</f>
        <v>0</v>
      </c>
      <c r="K71" s="26">
        <f>SUM(H$17:H71)/H$320</f>
        <v>4.8797487468743008E-3</v>
      </c>
      <c r="L71" s="26"/>
      <c r="M71" s="26"/>
      <c r="N71" s="27">
        <f t="shared" si="6"/>
        <v>2.8396996728339164E-2</v>
      </c>
      <c r="O71" s="27">
        <f t="shared" si="7"/>
        <v>0</v>
      </c>
      <c r="P71" s="26">
        <f t="shared" si="4"/>
        <v>2.8396996728339164E-2</v>
      </c>
      <c r="Q71" s="26">
        <f>IF(N$320=0,0,SUM(N$17:N71)/N$320)</f>
        <v>4.8269951975220375E-3</v>
      </c>
      <c r="R71" s="26">
        <f>IF(O$320=0,0,SUM(O$17:O71)/O$320)</f>
        <v>0</v>
      </c>
      <c r="S71" s="26">
        <f>SUM(P$17:P71)/P$320</f>
        <v>4.8269951975220375E-3</v>
      </c>
    </row>
    <row r="72" spans="1:19" x14ac:dyDescent="0.4">
      <c r="A72" s="6">
        <f t="shared" si="0"/>
        <v>0.3619710568285342</v>
      </c>
      <c r="B72" s="25">
        <f t="shared" ref="B72:C72" si="60">C$4*EXP(-0.5*(LN($A72)-LN(C$5))^2/(LN(C$6))^2)/($A72*SQRT(2*PI())*LN(C$6))</f>
        <v>2.4672533510306454</v>
      </c>
      <c r="C72" s="25">
        <f t="shared" si="60"/>
        <v>0</v>
      </c>
      <c r="D72" s="27">
        <f t="shared" si="2"/>
        <v>2.4672533510306454</v>
      </c>
      <c r="E72" s="27"/>
      <c r="F72" s="26">
        <f t="shared" si="3"/>
        <v>3.1328916219949654E-2</v>
      </c>
      <c r="G72" s="26">
        <f t="shared" si="3"/>
        <v>0</v>
      </c>
      <c r="H72" s="26">
        <f t="shared" si="3"/>
        <v>3.1328916219949654E-2</v>
      </c>
      <c r="I72" s="26">
        <f>IF(F$320=0,0,SUM(F$17:F72)/F$320)</f>
        <v>5.1892926943556423E-3</v>
      </c>
      <c r="J72" s="26">
        <f>IF(G$320=0,0,SUM(G$17:G72)/G$320)</f>
        <v>0</v>
      </c>
      <c r="K72" s="26">
        <f>SUM(H$17:H72)/H$320</f>
        <v>5.1892926943556423E-3</v>
      </c>
      <c r="L72" s="26"/>
      <c r="M72" s="26"/>
      <c r="N72" s="27">
        <f t="shared" si="6"/>
        <v>2.9977295393686116E-2</v>
      </c>
      <c r="O72" s="27">
        <f t="shared" si="7"/>
        <v>0</v>
      </c>
      <c r="P72" s="26">
        <f t="shared" si="4"/>
        <v>2.9977295393686116E-2</v>
      </c>
      <c r="Q72" s="26">
        <f>IF(N$320=0,0,SUM(N$17:N72)/N$320)</f>
        <v>5.12827454821235E-3</v>
      </c>
      <c r="R72" s="26">
        <f>IF(O$320=0,0,SUM(O$17:O72)/O$320)</f>
        <v>0</v>
      </c>
      <c r="S72" s="26">
        <f>SUM(P$17:P72)/P$320</f>
        <v>5.12827454821235E-3</v>
      </c>
    </row>
    <row r="73" spans="1:19" x14ac:dyDescent="0.4">
      <c r="A73" s="6">
        <f t="shared" si="0"/>
        <v>0.37466894867934986</v>
      </c>
      <c r="B73" s="25">
        <f t="shared" ref="B73:C73" si="61">C$4*EXP(-0.5*(LN($A73)-LN(C$5))^2/(LN(C$6))^2)/($A73*SQRT(2*PI())*LN(C$6))</f>
        <v>2.5146403008098255</v>
      </c>
      <c r="C73" s="25">
        <f t="shared" si="61"/>
        <v>0</v>
      </c>
      <c r="D73" s="27">
        <f t="shared" si="2"/>
        <v>2.5146403008098255</v>
      </c>
      <c r="E73" s="27"/>
      <c r="F73" s="26">
        <f t="shared" si="3"/>
        <v>3.3050752444588147E-2</v>
      </c>
      <c r="G73" s="26">
        <f t="shared" si="3"/>
        <v>0</v>
      </c>
      <c r="H73" s="26">
        <f t="shared" si="3"/>
        <v>3.3050752444588147E-2</v>
      </c>
      <c r="I73" s="26">
        <f>IF(F$320=0,0,SUM(F$17:F73)/F$320)</f>
        <v>5.5158491672032944E-3</v>
      </c>
      <c r="J73" s="26">
        <f>IF(G$320=0,0,SUM(G$17:G73)/G$320)</f>
        <v>0</v>
      </c>
      <c r="K73" s="26">
        <f>SUM(H$17:H73)/H$320</f>
        <v>5.5158491672032944E-3</v>
      </c>
      <c r="L73" s="26"/>
      <c r="M73" s="26"/>
      <c r="N73" s="27">
        <f t="shared" si="6"/>
        <v>3.1631701099519516E-2</v>
      </c>
      <c r="O73" s="27">
        <f t="shared" si="7"/>
        <v>0</v>
      </c>
      <c r="P73" s="26">
        <f t="shared" si="4"/>
        <v>3.1631701099519516E-2</v>
      </c>
      <c r="Q73" s="26">
        <f>IF(N$320=0,0,SUM(N$17:N73)/N$320)</f>
        <v>5.4461810919261139E-3</v>
      </c>
      <c r="R73" s="26">
        <f>IF(O$320=0,0,SUM(O$17:O73)/O$320)</f>
        <v>0</v>
      </c>
      <c r="S73" s="26">
        <f>SUM(P$17:P73)/P$320</f>
        <v>5.4461810919261139E-3</v>
      </c>
    </row>
    <row r="74" spans="1:19" x14ac:dyDescent="0.4">
      <c r="A74" s="6">
        <f t="shared" si="0"/>
        <v>0.3878122807232785</v>
      </c>
      <c r="B74" s="25">
        <f t="shared" ref="B74:C74" si="62">C$4*EXP(-0.5*(LN($A74)-LN(C$5))^2/(LN(C$6))^2)/($A74*SQRT(2*PI())*LN(C$6))</f>
        <v>2.5618167048829941</v>
      </c>
      <c r="C74" s="25">
        <f t="shared" si="62"/>
        <v>0</v>
      </c>
      <c r="D74" s="27">
        <f t="shared" si="2"/>
        <v>2.5618167048829941</v>
      </c>
      <c r="E74" s="27"/>
      <c r="F74" s="26">
        <f t="shared" si="3"/>
        <v>3.4851974604537712E-2</v>
      </c>
      <c r="G74" s="26">
        <f t="shared" si="3"/>
        <v>0</v>
      </c>
      <c r="H74" s="26">
        <f t="shared" si="3"/>
        <v>3.4851974604537712E-2</v>
      </c>
      <c r="I74" s="26">
        <f>IF(F$320=0,0,SUM(F$17:F74)/F$320)</f>
        <v>5.8602025345801815E-3</v>
      </c>
      <c r="J74" s="26">
        <f>IF(G$320=0,0,SUM(G$17:G74)/G$320)</f>
        <v>0</v>
      </c>
      <c r="K74" s="26">
        <f>SUM(H$17:H74)/H$320</f>
        <v>5.8602025345801815E-3</v>
      </c>
      <c r="L74" s="26"/>
      <c r="M74" s="26"/>
      <c r="N74" s="27">
        <f t="shared" si="6"/>
        <v>3.3362817022530508E-2</v>
      </c>
      <c r="O74" s="27">
        <f t="shared" si="7"/>
        <v>0</v>
      </c>
      <c r="P74" s="26">
        <f t="shared" si="4"/>
        <v>3.3362817022530508E-2</v>
      </c>
      <c r="Q74" s="26">
        <f>IF(N$320=0,0,SUM(N$17:N74)/N$320)</f>
        <v>5.781485785619888E-3</v>
      </c>
      <c r="R74" s="26">
        <f>IF(O$320=0,0,SUM(O$17:O74)/O$320)</f>
        <v>0</v>
      </c>
      <c r="S74" s="26">
        <f>SUM(P$17:P74)/P$320</f>
        <v>5.781485785619888E-3</v>
      </c>
    </row>
    <row r="75" spans="1:19" x14ac:dyDescent="0.4">
      <c r="A75" s="6">
        <f t="shared" si="0"/>
        <v>0.40141667893729105</v>
      </c>
      <c r="B75" s="25">
        <f t="shared" ref="B75:C75" si="63">C$4*EXP(-0.5*(LN($A75)-LN(C$5))^2/(LN(C$6))^2)/($A75*SQRT(2*PI())*LN(C$6))</f>
        <v>2.6087369693169058</v>
      </c>
      <c r="C75" s="25">
        <f t="shared" si="63"/>
        <v>0</v>
      </c>
      <c r="D75" s="27">
        <f t="shared" si="2"/>
        <v>2.6087369693169058</v>
      </c>
      <c r="E75" s="27"/>
      <c r="F75" s="26">
        <f t="shared" si="3"/>
        <v>3.6735290990618286E-2</v>
      </c>
      <c r="G75" s="26">
        <f t="shared" si="3"/>
        <v>0</v>
      </c>
      <c r="H75" s="26">
        <f t="shared" si="3"/>
        <v>3.6735290990618286E-2</v>
      </c>
      <c r="I75" s="26">
        <f>IF(F$320=0,0,SUM(F$17:F75)/F$320)</f>
        <v>6.2231639247948478E-3</v>
      </c>
      <c r="J75" s="26">
        <f>IF(G$320=0,0,SUM(G$17:G75)/G$320)</f>
        <v>0</v>
      </c>
      <c r="K75" s="26">
        <f>SUM(H$17:H75)/H$320</f>
        <v>6.2231639247948478E-3</v>
      </c>
      <c r="L75" s="26"/>
      <c r="M75" s="26"/>
      <c r="N75" s="27">
        <f t="shared" si="6"/>
        <v>3.5173286028349245E-2</v>
      </c>
      <c r="O75" s="27">
        <f t="shared" si="7"/>
        <v>0</v>
      </c>
      <c r="P75" s="26">
        <f t="shared" si="4"/>
        <v>3.5173286028349245E-2</v>
      </c>
      <c r="Q75" s="26">
        <f>IF(N$320=0,0,SUM(N$17:N75)/N$320)</f>
        <v>6.1349861477138492E-3</v>
      </c>
      <c r="R75" s="26">
        <f>IF(O$320=0,0,SUM(O$17:O75)/O$320)</f>
        <v>0</v>
      </c>
      <c r="S75" s="26">
        <f>SUM(P$17:P75)/P$320</f>
        <v>6.1349861477138492E-3</v>
      </c>
    </row>
    <row r="76" spans="1:19" x14ac:dyDescent="0.4">
      <c r="A76" s="6">
        <f t="shared" si="0"/>
        <v>0.41549831745535037</v>
      </c>
      <c r="B76" s="25">
        <f t="shared" ref="B76:C76" si="64">C$4*EXP(-0.5*(LN($A76)-LN(C$5))^2/(LN(C$6))^2)/($A76*SQRT(2*PI())*LN(C$6))</f>
        <v>2.6553549941469203</v>
      </c>
      <c r="C76" s="25">
        <f t="shared" si="64"/>
        <v>0</v>
      </c>
      <c r="D76" s="27">
        <f t="shared" si="2"/>
        <v>2.6553549941469203</v>
      </c>
      <c r="E76" s="27"/>
      <c r="F76" s="26">
        <f t="shared" si="3"/>
        <v>3.8703446268789687E-2</v>
      </c>
      <c r="G76" s="26">
        <f t="shared" si="3"/>
        <v>0</v>
      </c>
      <c r="H76" s="26">
        <f t="shared" si="3"/>
        <v>3.8703446268789687E-2</v>
      </c>
      <c r="I76" s="26">
        <f>IF(F$320=0,0,SUM(F$17:F76)/F$320)</f>
        <v>6.6055715847043919E-3</v>
      </c>
      <c r="J76" s="26">
        <f>IF(G$320=0,0,SUM(G$17:G76)/G$320)</f>
        <v>0</v>
      </c>
      <c r="K76" s="26">
        <f>SUM(H$17:H76)/H$320</f>
        <v>6.6055715847043919E-3</v>
      </c>
      <c r="L76" s="26"/>
      <c r="M76" s="26"/>
      <c r="N76" s="27">
        <f t="shared" si="6"/>
        <v>3.7065788096122751E-2</v>
      </c>
      <c r="O76" s="27">
        <f t="shared" si="7"/>
        <v>0</v>
      </c>
      <c r="P76" s="26">
        <f t="shared" si="4"/>
        <v>3.7065788096122751E-2</v>
      </c>
      <c r="Q76" s="26">
        <f>IF(N$320=0,0,SUM(N$17:N76)/N$320)</f>
        <v>6.5075066310919666E-3</v>
      </c>
      <c r="R76" s="26">
        <f>IF(O$320=0,0,SUM(O$17:O76)/O$320)</f>
        <v>0</v>
      </c>
      <c r="S76" s="26">
        <f>SUM(P$17:P76)/P$320</f>
        <v>6.5075066310919666E-3</v>
      </c>
    </row>
    <row r="77" spans="1:19" x14ac:dyDescent="0.4">
      <c r="A77" s="6">
        <f t="shared" si="0"/>
        <v>0.43007393779767822</v>
      </c>
      <c r="B77" s="25">
        <f t="shared" ref="B77:C77" si="65">C$4*EXP(-0.5*(LN($A77)-LN(C$5))^2/(LN(C$6))^2)/($A77*SQRT(2*PI())*LN(C$6))</f>
        <v>2.7016242454685999</v>
      </c>
      <c r="C77" s="25">
        <f t="shared" si="65"/>
        <v>0</v>
      </c>
      <c r="D77" s="27">
        <f t="shared" si="2"/>
        <v>2.7016242454685999</v>
      </c>
      <c r="E77" s="27"/>
      <c r="F77" s="26">
        <f t="shared" si="3"/>
        <v>4.0759218516916919E-2</v>
      </c>
      <c r="G77" s="26">
        <f t="shared" si="3"/>
        <v>0</v>
      </c>
      <c r="H77" s="26">
        <f t="shared" si="3"/>
        <v>4.0759218516916919E-2</v>
      </c>
      <c r="I77" s="26">
        <f>IF(F$320=0,0,SUM(F$17:F77)/F$320)</f>
        <v>7.0082912098392985E-3</v>
      </c>
      <c r="J77" s="26">
        <f>IF(G$320=0,0,SUM(G$17:G77)/G$320)</f>
        <v>0</v>
      </c>
      <c r="K77" s="26">
        <f>SUM(H$17:H77)/H$320</f>
        <v>7.0082912098392985E-3</v>
      </c>
      <c r="L77" s="26"/>
      <c r="M77" s="26"/>
      <c r="N77" s="27">
        <f t="shared" si="6"/>
        <v>3.9043037519466153E-2</v>
      </c>
      <c r="O77" s="27">
        <f t="shared" si="7"/>
        <v>0</v>
      </c>
      <c r="P77" s="26">
        <f t="shared" si="4"/>
        <v>3.9043037519466153E-2</v>
      </c>
      <c r="Q77" s="26">
        <f>IF(N$320=0,0,SUM(N$17:N77)/N$320)</f>
        <v>6.8998989679710234E-3</v>
      </c>
      <c r="R77" s="26">
        <f>IF(O$320=0,0,SUM(O$17:O77)/O$320)</f>
        <v>0</v>
      </c>
      <c r="S77" s="26">
        <f>SUM(P$17:P77)/P$320</f>
        <v>6.8998989679710234E-3</v>
      </c>
    </row>
    <row r="78" spans="1:19" x14ac:dyDescent="0.4">
      <c r="A78" s="6">
        <f t="shared" si="0"/>
        <v>0.44516086877458289</v>
      </c>
      <c r="B78" s="25">
        <f t="shared" ref="B78:C78" si="66">C$4*EXP(-0.5*(LN($A78)-LN(C$5))^2/(LN(C$6))^2)/($A78*SQRT(2*PI())*LN(C$6))</f>
        <v>2.7474978297904649</v>
      </c>
      <c r="C78" s="25">
        <f t="shared" si="66"/>
        <v>0</v>
      </c>
      <c r="D78" s="27">
        <f t="shared" si="2"/>
        <v>2.7474978297904649</v>
      </c>
      <c r="E78" s="27"/>
      <c r="F78" s="26">
        <f t="shared" si="3"/>
        <v>4.2905416027134068E-2</v>
      </c>
      <c r="G78" s="26">
        <f t="shared" si="3"/>
        <v>0</v>
      </c>
      <c r="H78" s="26">
        <f t="shared" si="3"/>
        <v>4.2905416027134068E-2</v>
      </c>
      <c r="I78" s="26">
        <f>IF(F$320=0,0,SUM(F$17:F78)/F$320)</f>
        <v>7.4322162429341582E-3</v>
      </c>
      <c r="J78" s="26">
        <f>IF(G$320=0,0,SUM(G$17:G78)/G$320)</f>
        <v>0</v>
      </c>
      <c r="K78" s="26">
        <f>SUM(H$17:H78)/H$320</f>
        <v>7.4322162429341582E-3</v>
      </c>
      <c r="L78" s="26"/>
      <c r="M78" s="26"/>
      <c r="N78" s="27">
        <f t="shared" si="6"/>
        <v>4.1107779879163892E-2</v>
      </c>
      <c r="O78" s="27">
        <f t="shared" si="7"/>
        <v>0</v>
      </c>
      <c r="P78" s="26">
        <f t="shared" si="4"/>
        <v>4.1107779879163892E-2</v>
      </c>
      <c r="Q78" s="26">
        <f>IF(N$320=0,0,SUM(N$17:N78)/N$320)</f>
        <v>7.3130424843445294E-3</v>
      </c>
      <c r="R78" s="26">
        <f>IF(O$320=0,0,SUM(O$17:O78)/O$320)</f>
        <v>0</v>
      </c>
      <c r="S78" s="26">
        <f>SUM(P$17:P78)/P$320</f>
        <v>7.3130424843445294E-3</v>
      </c>
    </row>
    <row r="79" spans="1:19" x14ac:dyDescent="0.4">
      <c r="A79" s="6">
        <f t="shared" si="0"/>
        <v>0.46077704708850942</v>
      </c>
      <c r="B79" s="25">
        <f t="shared" ref="B79:C79" si="67">C$4*EXP(-0.5*(LN($A79)-LN(C$5))^2/(LN(C$6))^2)/($A79*SQRT(2*PI())*LN(C$6))</f>
        <v>2.7929285704915876</v>
      </c>
      <c r="C79" s="25">
        <f t="shared" si="67"/>
        <v>0</v>
      </c>
      <c r="D79" s="27">
        <f t="shared" si="2"/>
        <v>2.7929285704915876</v>
      </c>
      <c r="E79" s="27"/>
      <c r="F79" s="26">
        <f t="shared" si="3"/>
        <v>4.5144873869868971E-2</v>
      </c>
      <c r="G79" s="26">
        <f t="shared" si="3"/>
        <v>0</v>
      </c>
      <c r="H79" s="26">
        <f t="shared" si="3"/>
        <v>4.5144873869868971E-2</v>
      </c>
      <c r="I79" s="26">
        <f>IF(F$320=0,0,SUM(F$17:F79)/F$320)</f>
        <v>7.8782681385094009E-3</v>
      </c>
      <c r="J79" s="26">
        <f>IF(G$320=0,0,SUM(G$17:G79)/G$320)</f>
        <v>0</v>
      </c>
      <c r="K79" s="26">
        <f>SUM(H$17:H79)/H$320</f>
        <v>7.8782681385094009E-3</v>
      </c>
      <c r="L79" s="26"/>
      <c r="M79" s="26"/>
      <c r="N79" s="27">
        <f t="shared" si="6"/>
        <v>4.3262788783515575E-2</v>
      </c>
      <c r="O79" s="27">
        <f t="shared" si="7"/>
        <v>0</v>
      </c>
      <c r="P79" s="26">
        <f t="shared" si="4"/>
        <v>4.3262788783515575E-2</v>
      </c>
      <c r="Q79" s="26">
        <f>IF(N$320=0,0,SUM(N$17:N79)/N$320)</f>
        <v>7.7478443816662934E-3</v>
      </c>
      <c r="R79" s="26">
        <f>IF(O$320=0,0,SUM(O$17:O79)/O$320)</f>
        <v>0</v>
      </c>
      <c r="S79" s="26">
        <f>SUM(P$17:P79)/P$320</f>
        <v>7.7478443816662934E-3</v>
      </c>
    </row>
    <row r="80" spans="1:19" x14ac:dyDescent="0.4">
      <c r="A80" s="6">
        <f t="shared" si="0"/>
        <v>0.47694103865880688</v>
      </c>
      <c r="B80" s="25">
        <f t="shared" ref="B80:C80" si="68">C$4*EXP(-0.5*(LN($A80)-LN(C$5))^2/(LN(C$6))^2)/($A80*SQRT(2*PI())*LN(C$6))</f>
        <v>2.8378690862184355</v>
      </c>
      <c r="C80" s="25">
        <f t="shared" si="68"/>
        <v>0</v>
      </c>
      <c r="D80" s="27">
        <f t="shared" si="2"/>
        <v>2.8378690862184355</v>
      </c>
      <c r="E80" s="27"/>
      <c r="F80" s="26">
        <f t="shared" si="3"/>
        <v>4.7480450216120192E-2</v>
      </c>
      <c r="G80" s="26">
        <f t="shared" si="3"/>
        <v>0</v>
      </c>
      <c r="H80" s="26">
        <f t="shared" si="3"/>
        <v>4.7480450216120192E-2</v>
      </c>
      <c r="I80" s="26">
        <f>IF(F$320=0,0,SUM(F$17:F80)/F$320)</f>
        <v>8.3473965911154361E-3</v>
      </c>
      <c r="J80" s="26">
        <f>IF(G$320=0,0,SUM(G$17:G80)/G$320)</f>
        <v>0</v>
      </c>
      <c r="K80" s="26">
        <f>SUM(H$17:H80)/H$320</f>
        <v>8.3473965911154361E-3</v>
      </c>
      <c r="L80" s="26"/>
      <c r="M80" s="26"/>
      <c r="N80" s="27">
        <f t="shared" si="6"/>
        <v>4.5510862372714379E-2</v>
      </c>
      <c r="O80" s="27">
        <f t="shared" si="7"/>
        <v>0</v>
      </c>
      <c r="P80" s="26">
        <f t="shared" si="4"/>
        <v>4.5510862372714379E-2</v>
      </c>
      <c r="Q80" s="26">
        <f>IF(N$320=0,0,SUM(N$17:N80)/N$320)</f>
        <v>8.2052399834021163E-3</v>
      </c>
      <c r="R80" s="26">
        <f>IF(O$320=0,0,SUM(O$17:O80)/O$320)</f>
        <v>0</v>
      </c>
      <c r="S80" s="26">
        <f>SUM(P$17:P80)/P$320</f>
        <v>8.2052399834021163E-3</v>
      </c>
    </row>
    <row r="81" spans="1:19" x14ac:dyDescent="0.4">
      <c r="A81" s="6">
        <f t="shared" si="0"/>
        <v>0.49367206069456598</v>
      </c>
      <c r="B81" s="25">
        <f t="shared" ref="B81:C81" si="69">C$4*EXP(-0.5*(LN($A81)-LN(C$5))^2/(LN(C$6))^2)/($A81*SQRT(2*PI())*LN(C$6))</f>
        <v>2.8822718710464335</v>
      </c>
      <c r="C81" s="25">
        <f t="shared" si="69"/>
        <v>0</v>
      </c>
      <c r="D81" s="27">
        <f t="shared" si="2"/>
        <v>2.8822718710464335</v>
      </c>
      <c r="E81" s="27"/>
      <c r="F81" s="26">
        <f t="shared" si="3"/>
        <v>4.9915022415152076E-2</v>
      </c>
      <c r="G81" s="26">
        <f t="shared" si="3"/>
        <v>0</v>
      </c>
      <c r="H81" s="26">
        <f t="shared" si="3"/>
        <v>4.9915022415152076E-2</v>
      </c>
      <c r="I81" s="26">
        <f>IF(F$320=0,0,SUM(F$17:F81)/F$320)</f>
        <v>8.8405797248226579E-3</v>
      </c>
      <c r="J81" s="26">
        <f>IF(G$320=0,0,SUM(G$17:G81)/G$320)</f>
        <v>0</v>
      </c>
      <c r="K81" s="26">
        <f>SUM(H$17:H81)/H$320</f>
        <v>8.8405797248226579E-3</v>
      </c>
      <c r="L81" s="26"/>
      <c r="M81" s="26"/>
      <c r="N81" s="27">
        <f t="shared" si="6"/>
        <v>4.7854819584171315E-2</v>
      </c>
      <c r="O81" s="27">
        <f t="shared" si="7"/>
        <v>0</v>
      </c>
      <c r="P81" s="26">
        <f t="shared" si="4"/>
        <v>4.7854819584171315E-2</v>
      </c>
      <c r="Q81" s="26">
        <f>IF(N$320=0,0,SUM(N$17:N81)/N$320)</f>
        <v>8.6861929440470529E-3</v>
      </c>
      <c r="R81" s="26">
        <f>IF(O$320=0,0,SUM(O$17:O81)/O$320)</f>
        <v>0</v>
      </c>
      <c r="S81" s="26">
        <f>SUM(P$17:P81)/P$320</f>
        <v>8.6861929440470529E-3</v>
      </c>
    </row>
    <row r="82" spans="1:19" x14ac:dyDescent="0.4">
      <c r="A82" s="6">
        <f t="shared" ref="A82:A145" si="70">10^((LOG(A$318)-LOG(A$17))/301+LOG(A81))</f>
        <v>0.51099000454176802</v>
      </c>
      <c r="B82" s="25">
        <f t="shared" ref="B82:C82" si="71">C$4*EXP(-0.5*(LN($A82)-LN(C$5))^2/(LN(C$6))^2)/($A82*SQRT(2*PI())*LN(C$6))</f>
        <v>2.9260893762235214</v>
      </c>
      <c r="C82" s="25">
        <f t="shared" si="71"/>
        <v>0</v>
      </c>
      <c r="D82" s="27">
        <f t="shared" ref="D82:D145" si="72">B82+C82</f>
        <v>2.9260893762235214</v>
      </c>
      <c r="E82" s="27"/>
      <c r="F82" s="26">
        <f t="shared" ref="F82:H145" si="73">B82*($A83-$A82)</f>
        <v>5.2451482825404218E-2</v>
      </c>
      <c r="G82" s="26">
        <f t="shared" si="73"/>
        <v>0</v>
      </c>
      <c r="H82" s="26">
        <f t="shared" si="73"/>
        <v>5.2451482825404218E-2</v>
      </c>
      <c r="I82" s="26">
        <f>IF(F$320=0,0,SUM(F$17:F82)/F$320)</f>
        <v>9.3588242415189177E-3</v>
      </c>
      <c r="J82" s="26">
        <f>IF(G$320=0,0,SUM(G$17:G82)/G$320)</f>
        <v>0</v>
      </c>
      <c r="K82" s="26">
        <f>SUM(H$17:H82)/H$320</f>
        <v>9.3588242415189177E-3</v>
      </c>
      <c r="L82" s="26"/>
      <c r="M82" s="26"/>
      <c r="N82" s="27">
        <f t="shared" ref="N82:N145" si="74">C$4*((NORMDIST(LN($A82),LN(C$5),LN(C$6),TRUE))-(NORMDIST(LN($A81),LN(C$5),LN(C$6),TRUE)))</f>
        <v>5.0297496176306133E-2</v>
      </c>
      <c r="O82" s="27">
        <f t="shared" ref="O82:O145" si="75">D$4*((NORMDIST(LN($A82),LN(D$5),LN(D$6),TRUE))-(NORMDIST(LN($A81),LN(D$5),LN(D$6),TRUE)))</f>
        <v>0</v>
      </c>
      <c r="P82" s="26">
        <f t="shared" ref="P82:P145" si="76">N82+O82</f>
        <v>5.0297496176306133E-2</v>
      </c>
      <c r="Q82" s="26">
        <f>IF(N$320=0,0,SUM(N$17:N82)/N$320)</f>
        <v>9.1916954181807814E-3</v>
      </c>
      <c r="R82" s="26">
        <f>IF(O$320=0,0,SUM(O$17:O82)/O$320)</f>
        <v>0</v>
      </c>
      <c r="S82" s="26">
        <f>SUM(P$17:P82)/P$320</f>
        <v>9.1916954181807814E-3</v>
      </c>
    </row>
    <row r="83" spans="1:19" x14ac:dyDescent="0.4">
      <c r="A83" s="6">
        <f t="shared" si="70"/>
        <v>0.5289154593319082</v>
      </c>
      <c r="B83" s="25">
        <f t="shared" ref="B83:C83" si="77">C$4*EXP(-0.5*(LN($A83)-LN(C$5))^2/(LN(C$6))^2)/($A83*SQRT(2*PI())*LN(C$6))</f>
        <v>2.9692740933049833</v>
      </c>
      <c r="C83" s="25">
        <f t="shared" si="77"/>
        <v>0</v>
      </c>
      <c r="D83" s="27">
        <f t="shared" si="72"/>
        <v>2.9692740933049833</v>
      </c>
      <c r="E83" s="27"/>
      <c r="F83" s="26">
        <f t="shared" si="73"/>
        <v>5.5092734397069097E-2</v>
      </c>
      <c r="G83" s="26">
        <f t="shared" si="73"/>
        <v>0</v>
      </c>
      <c r="H83" s="26">
        <f t="shared" si="73"/>
        <v>5.5092734397069097E-2</v>
      </c>
      <c r="I83" s="26">
        <f>IF(F$320=0,0,SUM(F$17:F83)/F$320)</f>
        <v>9.903165525560859E-3</v>
      </c>
      <c r="J83" s="26">
        <f>IF(G$320=0,0,SUM(G$17:G83)/G$320)</f>
        <v>0</v>
      </c>
      <c r="K83" s="26">
        <f>SUM(H$17:H83)/H$320</f>
        <v>9.903165525560859E-3</v>
      </c>
      <c r="L83" s="26"/>
      <c r="M83" s="26"/>
      <c r="N83" s="27">
        <f t="shared" si="74"/>
        <v>5.2841740508993186E-2</v>
      </c>
      <c r="O83" s="27">
        <f t="shared" si="75"/>
        <v>0</v>
      </c>
      <c r="P83" s="26">
        <f t="shared" si="76"/>
        <v>5.2841740508993186E-2</v>
      </c>
      <c r="Q83" s="26">
        <f>IF(N$320=0,0,SUM(N$17:N83)/N$320)</f>
        <v>9.7227681871153854E-3</v>
      </c>
      <c r="R83" s="26">
        <f>IF(O$320=0,0,SUM(O$17:O83)/O$320)</f>
        <v>0</v>
      </c>
      <c r="S83" s="26">
        <f>SUM(P$17:P83)/P$320</f>
        <v>9.7227681871153854E-3</v>
      </c>
    </row>
    <row r="84" spans="1:19" x14ac:dyDescent="0.4">
      <c r="A84" s="6">
        <f t="shared" si="70"/>
        <v>0.54746973646021047</v>
      </c>
      <c r="B84" s="25">
        <f t="shared" ref="B84:C84" si="78">C$4*EXP(-0.5*(LN($A84)-LN(C$5))^2/(LN(C$6))^2)/($A84*SQRT(2*PI())*LN(C$6))</f>
        <v>3.0117786384815415</v>
      </c>
      <c r="C84" s="25">
        <f t="shared" si="78"/>
        <v>0</v>
      </c>
      <c r="D84" s="27">
        <f t="shared" si="72"/>
        <v>3.0117786384815415</v>
      </c>
      <c r="E84" s="27"/>
      <c r="F84" s="26">
        <f t="shared" si="73"/>
        <v>5.7841686005475623E-2</v>
      </c>
      <c r="G84" s="26">
        <f t="shared" si="73"/>
        <v>0</v>
      </c>
      <c r="H84" s="26">
        <f t="shared" si="73"/>
        <v>5.7841686005475623E-2</v>
      </c>
      <c r="I84" s="26">
        <f>IF(F$320=0,0,SUM(F$17:F84)/F$320)</f>
        <v>1.0474667702316972E-2</v>
      </c>
      <c r="J84" s="26">
        <f>IF(G$320=0,0,SUM(G$17:G84)/G$320)</f>
        <v>0</v>
      </c>
      <c r="K84" s="26">
        <f>SUM(H$17:H84)/H$320</f>
        <v>1.0474667702316972E-2</v>
      </c>
      <c r="L84" s="26"/>
      <c r="M84" s="26"/>
      <c r="N84" s="27">
        <f t="shared" si="74"/>
        <v>5.5490409079426636E-2</v>
      </c>
      <c r="O84" s="27">
        <f t="shared" si="75"/>
        <v>0</v>
      </c>
      <c r="P84" s="26">
        <f t="shared" si="76"/>
        <v>5.5490409079426636E-2</v>
      </c>
      <c r="Q84" s="26">
        <f>IF(N$320=0,0,SUM(N$17:N84)/N$320)</f>
        <v>1.0280460740677462E-2</v>
      </c>
      <c r="R84" s="26">
        <f>IF(O$320=0,0,SUM(O$17:O84)/O$320)</f>
        <v>0</v>
      </c>
      <c r="S84" s="26">
        <f>SUM(P$17:P84)/P$320</f>
        <v>1.0280460740677462E-2</v>
      </c>
    </row>
    <row r="85" spans="1:19" x14ac:dyDescent="0.4">
      <c r="A85" s="6">
        <f t="shared" si="70"/>
        <v>0.56667489492253287</v>
      </c>
      <c r="B85" s="25">
        <f t="shared" ref="B85:C85" si="79">C$4*EXP(-0.5*(LN($A85)-LN(C$5))^2/(LN(C$6))^2)/($A85*SQRT(2*PI())*LN(C$6))</f>
        <v>3.0535558378960421</v>
      </c>
      <c r="C85" s="25">
        <f t="shared" si="79"/>
        <v>0</v>
      </c>
      <c r="D85" s="27">
        <f t="shared" si="72"/>
        <v>3.0535558378960421</v>
      </c>
      <c r="E85" s="27"/>
      <c r="F85" s="26">
        <f t="shared" si="73"/>
        <v>6.070124753518457E-2</v>
      </c>
      <c r="G85" s="26">
        <f t="shared" si="73"/>
        <v>0</v>
      </c>
      <c r="H85" s="26">
        <f t="shared" si="73"/>
        <v>6.070124753518457E-2</v>
      </c>
      <c r="I85" s="26">
        <f>IF(F$320=0,0,SUM(F$17:F85)/F$320)</f>
        <v>1.1074423648139257E-2</v>
      </c>
      <c r="J85" s="26">
        <f>IF(G$320=0,0,SUM(G$17:G85)/G$320)</f>
        <v>0</v>
      </c>
      <c r="K85" s="26">
        <f>SUM(H$17:H85)/H$320</f>
        <v>1.1074423648139257E-2</v>
      </c>
      <c r="L85" s="26"/>
      <c r="M85" s="26"/>
      <c r="N85" s="27">
        <f t="shared" si="74"/>
        <v>5.8246361812947824E-2</v>
      </c>
      <c r="O85" s="27">
        <f t="shared" si="75"/>
        <v>0</v>
      </c>
      <c r="P85" s="26">
        <f t="shared" si="76"/>
        <v>5.8246361812947824E-2</v>
      </c>
      <c r="Q85" s="26">
        <f>IF(N$320=0,0,SUM(N$17:N85)/N$320)</f>
        <v>1.0865851311661862E-2</v>
      </c>
      <c r="R85" s="26">
        <f>IF(O$320=0,0,SUM(O$17:O85)/O$320)</f>
        <v>0</v>
      </c>
      <c r="S85" s="26">
        <f>SUM(P$17:P85)/P$320</f>
        <v>1.0865851311661862E-2</v>
      </c>
    </row>
    <row r="86" spans="1:19" x14ac:dyDescent="0.4">
      <c r="A86" s="6">
        <f t="shared" si="70"/>
        <v>0.58655376754108923</v>
      </c>
      <c r="B86" s="25">
        <f t="shared" ref="B86:C86" si="80">C$4*EXP(-0.5*(LN($A86)-LN(C$5))^2/(LN(C$6))^2)/($A86*SQRT(2*PI())*LN(C$6))</f>
        <v>3.0945588137378577</v>
      </c>
      <c r="C86" s="25">
        <f t="shared" si="80"/>
        <v>0</v>
      </c>
      <c r="D86" s="27">
        <f t="shared" si="72"/>
        <v>3.0945588137378577</v>
      </c>
      <c r="E86" s="27"/>
      <c r="F86" s="26">
        <f t="shared" si="73"/>
        <v>6.3674324715446401E-2</v>
      </c>
      <c r="G86" s="26">
        <f t="shared" si="73"/>
        <v>0</v>
      </c>
      <c r="H86" s="26">
        <f t="shared" si="73"/>
        <v>6.3674324715446401E-2</v>
      </c>
      <c r="I86" s="26">
        <f>IF(F$320=0,0,SUM(F$17:F86)/F$320)</f>
        <v>1.1703554949306865E-2</v>
      </c>
      <c r="J86" s="26">
        <f>IF(G$320=0,0,SUM(G$17:G86)/G$320)</f>
        <v>0</v>
      </c>
      <c r="K86" s="26">
        <f>SUM(H$17:H86)/H$320</f>
        <v>1.1703554949306865E-2</v>
      </c>
      <c r="L86" s="26"/>
      <c r="M86" s="26"/>
      <c r="N86" s="27">
        <f t="shared" si="74"/>
        <v>6.111245710915536E-2</v>
      </c>
      <c r="O86" s="27">
        <f t="shared" si="75"/>
        <v>0</v>
      </c>
      <c r="P86" s="26">
        <f t="shared" si="76"/>
        <v>6.111245710915536E-2</v>
      </c>
      <c r="Q86" s="26">
        <f>IF(N$320=0,0,SUM(N$17:N86)/N$320)</f>
        <v>1.1480046860497594E-2</v>
      </c>
      <c r="R86" s="26">
        <f>IF(O$320=0,0,SUM(O$17:O86)/O$320)</f>
        <v>0</v>
      </c>
      <c r="S86" s="26">
        <f>SUM(P$17:P86)/P$320</f>
        <v>1.1480046860497594E-2</v>
      </c>
    </row>
    <row r="87" spans="1:19" x14ac:dyDescent="0.4">
      <c r="A87" s="6">
        <f t="shared" si="70"/>
        <v>0.60712998811016461</v>
      </c>
      <c r="B87" s="25">
        <f t="shared" ref="B87:C87" si="81">C$4*EXP(-0.5*(LN($A87)-LN(C$5))^2/(LN(C$6))^2)/($A87*SQRT(2*PI())*LN(C$6))</f>
        <v>3.1347410708986945</v>
      </c>
      <c r="C87" s="25">
        <f t="shared" si="81"/>
        <v>0</v>
      </c>
      <c r="D87" s="27">
        <f t="shared" si="72"/>
        <v>3.1347410708986945</v>
      </c>
      <c r="E87" s="27"/>
      <c r="F87" s="26">
        <f t="shared" si="73"/>
        <v>6.6763813708507411E-2</v>
      </c>
      <c r="G87" s="26">
        <f t="shared" si="73"/>
        <v>0</v>
      </c>
      <c r="H87" s="26">
        <f t="shared" si="73"/>
        <v>6.6763813708507411E-2</v>
      </c>
      <c r="I87" s="26">
        <f>IF(F$320=0,0,SUM(F$17:F87)/F$320)</f>
        <v>1.2363211807499755E-2</v>
      </c>
      <c r="J87" s="26">
        <f>IF(G$320=0,0,SUM(G$17:G87)/G$320)</f>
        <v>0</v>
      </c>
      <c r="K87" s="26">
        <f>SUM(H$17:H87)/H$320</f>
        <v>1.2363211807499755E-2</v>
      </c>
      <c r="L87" s="26"/>
      <c r="M87" s="26"/>
      <c r="N87" s="27">
        <f t="shared" si="74"/>
        <v>6.409154664423436E-2</v>
      </c>
      <c r="O87" s="27">
        <f t="shared" si="75"/>
        <v>0</v>
      </c>
      <c r="P87" s="26">
        <f t="shared" si="76"/>
        <v>6.409154664423436E-2</v>
      </c>
      <c r="Q87" s="26">
        <f>IF(N$320=0,0,SUM(N$17:N87)/N$320)</f>
        <v>1.2124183007675829E-2</v>
      </c>
      <c r="R87" s="26">
        <f>IF(O$320=0,0,SUM(O$17:O87)/O$320)</f>
        <v>0</v>
      </c>
      <c r="S87" s="26">
        <f>SUM(P$17:P87)/P$320</f>
        <v>1.2124183007675829E-2</v>
      </c>
    </row>
    <row r="88" spans="1:19" x14ac:dyDescent="0.4">
      <c r="A88" s="6">
        <f t="shared" si="70"/>
        <v>0.62842801949409866</v>
      </c>
      <c r="B88" s="25">
        <f t="shared" ref="B88:C88" si="82">C$4*EXP(-0.5*(LN($A88)-LN(C$5))^2/(LN(C$6))^2)/($A88*SQRT(2*PI())*LN(C$6))</f>
        <v>3.1740565839687793</v>
      </c>
      <c r="C88" s="25">
        <f t="shared" si="82"/>
        <v>0</v>
      </c>
      <c r="D88" s="27">
        <f t="shared" si="72"/>
        <v>3.1740565839687793</v>
      </c>
      <c r="E88" s="27"/>
      <c r="F88" s="26">
        <f t="shared" si="73"/>
        <v>6.9972595453088357E-2</v>
      </c>
      <c r="G88" s="26">
        <f t="shared" si="73"/>
        <v>0</v>
      </c>
      <c r="H88" s="26">
        <f t="shared" si="73"/>
        <v>6.9972595453088357E-2</v>
      </c>
      <c r="I88" s="26">
        <f>IF(F$320=0,0,SUM(F$17:F88)/F$320)</f>
        <v>1.3054572889383317E-2</v>
      </c>
      <c r="J88" s="26">
        <f>IF(G$320=0,0,SUM(G$17:G88)/G$320)</f>
        <v>0</v>
      </c>
      <c r="K88" s="26">
        <f>SUM(H$17:H88)/H$320</f>
        <v>1.3054572889383317E-2</v>
      </c>
      <c r="L88" s="26"/>
      <c r="M88" s="26"/>
      <c r="N88" s="27">
        <f t="shared" si="74"/>
        <v>6.7186469931512949E-2</v>
      </c>
      <c r="O88" s="27">
        <f t="shared" si="75"/>
        <v>0</v>
      </c>
      <c r="P88" s="26">
        <f t="shared" si="76"/>
        <v>6.7186469931512949E-2</v>
      </c>
      <c r="Q88" s="26">
        <f>IF(N$320=0,0,SUM(N$17:N88)/N$320)</f>
        <v>1.279942391151013E-2</v>
      </c>
      <c r="R88" s="26">
        <f>IF(O$320=0,0,SUM(O$17:O88)/O$320)</f>
        <v>0</v>
      </c>
      <c r="S88" s="26">
        <f>SUM(P$17:P88)/P$320</f>
        <v>1.279942391151013E-2</v>
      </c>
    </row>
    <row r="89" spans="1:19" x14ac:dyDescent="0.4">
      <c r="A89" s="6">
        <f t="shared" si="70"/>
        <v>0.65047318271094212</v>
      </c>
      <c r="B89" s="25">
        <f t="shared" ref="B89:C89" si="83">C$4*EXP(-0.5*(LN($A89)-LN(C$5))^2/(LN(C$6))^2)/($A89*SQRT(2*PI())*LN(C$6))</f>
        <v>3.2124598843482381</v>
      </c>
      <c r="C89" s="25">
        <f t="shared" si="83"/>
        <v>0</v>
      </c>
      <c r="D89" s="27">
        <f t="shared" si="72"/>
        <v>3.2124598843482381</v>
      </c>
      <c r="E89" s="27"/>
      <c r="F89" s="26">
        <f t="shared" si="73"/>
        <v>7.3303529766244171E-2</v>
      </c>
      <c r="G89" s="26">
        <f t="shared" si="73"/>
        <v>0</v>
      </c>
      <c r="H89" s="26">
        <f t="shared" si="73"/>
        <v>7.3303529766244171E-2</v>
      </c>
      <c r="I89" s="26">
        <f>IF(F$320=0,0,SUM(F$17:F89)/F$320)</f>
        <v>1.3778845117916718E-2</v>
      </c>
      <c r="J89" s="26">
        <f>IF(G$320=0,0,SUM(G$17:G89)/G$320)</f>
        <v>0</v>
      </c>
      <c r="K89" s="26">
        <f>SUM(H$17:H89)/H$320</f>
        <v>1.3778845117916718E-2</v>
      </c>
      <c r="L89" s="26"/>
      <c r="M89" s="26"/>
      <c r="N89" s="27">
        <f t="shared" si="74"/>
        <v>7.0400048642829144E-2</v>
      </c>
      <c r="O89" s="27">
        <f t="shared" si="75"/>
        <v>0</v>
      </c>
      <c r="P89" s="26">
        <f t="shared" si="76"/>
        <v>7.0400048642829144E-2</v>
      </c>
      <c r="Q89" s="26">
        <f>IF(N$320=0,0,SUM(N$17:N89)/N$320)</f>
        <v>1.3506962088824995E-2</v>
      </c>
      <c r="R89" s="26">
        <f>IF(O$320=0,0,SUM(O$17:O89)/O$320)</f>
        <v>0</v>
      </c>
      <c r="S89" s="26">
        <f>SUM(P$17:P89)/P$320</f>
        <v>1.3506962088824995E-2</v>
      </c>
    </row>
    <row r="90" spans="1:19" x14ac:dyDescent="0.4">
      <c r="A90" s="6">
        <f t="shared" si="70"/>
        <v>0.67329168703636388</v>
      </c>
      <c r="B90" s="25">
        <f t="shared" ref="B90:C90" si="84">C$4*EXP(-0.5*(LN($A90)-LN(C$5))^2/(LN(C$6))^2)/($A90*SQRT(2*PI())*LN(C$6))</f>
        <v>3.2499061472452042</v>
      </c>
      <c r="C90" s="25">
        <f t="shared" si="84"/>
        <v>0</v>
      </c>
      <c r="D90" s="27">
        <f t="shared" si="72"/>
        <v>3.2499061472452042</v>
      </c>
      <c r="E90" s="27"/>
      <c r="F90" s="26">
        <f t="shared" si="73"/>
        <v>7.6759449207725428E-2</v>
      </c>
      <c r="G90" s="26">
        <f t="shared" si="73"/>
        <v>0</v>
      </c>
      <c r="H90" s="26">
        <f t="shared" si="73"/>
        <v>7.6759449207725428E-2</v>
      </c>
      <c r="I90" s="26">
        <f>IF(F$320=0,0,SUM(F$17:F90)/F$320)</f>
        <v>1.4537263403038328E-2</v>
      </c>
      <c r="J90" s="26">
        <f>IF(G$320=0,0,SUM(G$17:G90)/G$320)</f>
        <v>0</v>
      </c>
      <c r="K90" s="26">
        <f>SUM(H$17:H90)/H$320</f>
        <v>1.4537263403038328E-2</v>
      </c>
      <c r="L90" s="26"/>
      <c r="M90" s="26"/>
      <c r="N90" s="27">
        <f t="shared" si="74"/>
        <v>7.3735080694420196E-2</v>
      </c>
      <c r="O90" s="27">
        <f t="shared" si="75"/>
        <v>0</v>
      </c>
      <c r="P90" s="26">
        <f t="shared" si="76"/>
        <v>7.3735080694420196E-2</v>
      </c>
      <c r="Q90" s="26">
        <f>IF(N$320=0,0,SUM(N$17:N90)/N$320)</f>
        <v>1.4248018176206101E-2</v>
      </c>
      <c r="R90" s="26">
        <f>IF(O$320=0,0,SUM(O$17:O90)/O$320)</f>
        <v>0</v>
      </c>
      <c r="S90" s="26">
        <f>SUM(P$17:P90)/P$320</f>
        <v>1.4248018176206101E-2</v>
      </c>
    </row>
    <row r="91" spans="1:19" x14ac:dyDescent="0.4">
      <c r="A91" s="6">
        <f t="shared" si="70"/>
        <v>0.69691066116359857</v>
      </c>
      <c r="B91" s="25">
        <f t="shared" ref="B91:C91" si="85">C$4*EXP(-0.5*(LN($A91)-LN(C$5))^2/(LN(C$6))^2)/($A91*SQRT(2*PI())*LN(C$6))</f>
        <v>3.2863512783296476</v>
      </c>
      <c r="C91" s="25">
        <f t="shared" si="85"/>
        <v>0</v>
      </c>
      <c r="D91" s="27">
        <f t="shared" si="72"/>
        <v>3.2863512783296476</v>
      </c>
      <c r="E91" s="27"/>
      <c r="F91" s="26">
        <f t="shared" si="73"/>
        <v>8.0343152711908228E-2</v>
      </c>
      <c r="G91" s="26">
        <f t="shared" si="73"/>
        <v>0</v>
      </c>
      <c r="H91" s="26">
        <f t="shared" si="73"/>
        <v>8.0343152711908228E-2</v>
      </c>
      <c r="I91" s="26">
        <f>IF(F$320=0,0,SUM(F$17:F91)/F$320)</f>
        <v>1.5331090309431717E-2</v>
      </c>
      <c r="J91" s="26">
        <f>IF(G$320=0,0,SUM(G$17:G91)/G$320)</f>
        <v>0</v>
      </c>
      <c r="K91" s="26">
        <f>SUM(H$17:H91)/H$320</f>
        <v>1.5331090309431717E-2</v>
      </c>
      <c r="L91" s="26"/>
      <c r="M91" s="26"/>
      <c r="N91" s="27">
        <f t="shared" si="74"/>
        <v>7.719433410174649E-2</v>
      </c>
      <c r="O91" s="27">
        <f t="shared" si="75"/>
        <v>0</v>
      </c>
      <c r="P91" s="26">
        <f t="shared" si="76"/>
        <v>7.719433410174649E-2</v>
      </c>
      <c r="Q91" s="26">
        <f>IF(N$320=0,0,SUM(N$17:N91)/N$320)</f>
        <v>1.5023840629489985E-2</v>
      </c>
      <c r="R91" s="26">
        <f>IF(O$320=0,0,SUM(O$17:O91)/O$320)</f>
        <v>0</v>
      </c>
      <c r="S91" s="26">
        <f>SUM(P$17:P91)/P$320</f>
        <v>1.5023840629489985E-2</v>
      </c>
    </row>
    <row r="92" spans="1:19" x14ac:dyDescent="0.4">
      <c r="A92" s="6">
        <f t="shared" si="70"/>
        <v>0.72135818545648067</v>
      </c>
      <c r="B92" s="25">
        <f t="shared" ref="B92:C92" si="86">C$4*EXP(-0.5*(LN($A92)-LN(C$5))^2/(LN(C$6))^2)/($A92*SQRT(2*PI())*LN(C$6))</f>
        <v>3.3217519998100826</v>
      </c>
      <c r="C92" s="25">
        <f t="shared" si="86"/>
        <v>0</v>
      </c>
      <c r="D92" s="27">
        <f t="shared" si="72"/>
        <v>3.3217519998100826</v>
      </c>
      <c r="E92" s="27"/>
      <c r="F92" s="26">
        <f t="shared" si="73"/>
        <v>8.4057398993325108E-2</v>
      </c>
      <c r="G92" s="26">
        <f t="shared" si="73"/>
        <v>0</v>
      </c>
      <c r="H92" s="26">
        <f t="shared" si="73"/>
        <v>8.4057398993325108E-2</v>
      </c>
      <c r="I92" s="26">
        <f>IF(F$320=0,0,SUM(F$17:F92)/F$320)</f>
        <v>1.6161615659135299E-2</v>
      </c>
      <c r="J92" s="26">
        <f>IF(G$320=0,0,SUM(G$17:G92)/G$320)</f>
        <v>0</v>
      </c>
      <c r="K92" s="26">
        <f>SUM(H$17:H92)/H$320</f>
        <v>1.6161615659135299E-2</v>
      </c>
      <c r="L92" s="26"/>
      <c r="M92" s="26"/>
      <c r="N92" s="27">
        <f t="shared" si="74"/>
        <v>8.0780540608804158E-2</v>
      </c>
      <c r="O92" s="27">
        <f t="shared" si="75"/>
        <v>0</v>
      </c>
      <c r="P92" s="26">
        <f t="shared" si="76"/>
        <v>8.0780540608804158E-2</v>
      </c>
      <c r="Q92" s="26">
        <f>IF(N$320=0,0,SUM(N$17:N92)/N$320)</f>
        <v>1.5835705359226709E-2</v>
      </c>
      <c r="R92" s="26">
        <f>IF(O$320=0,0,SUM(O$17:O92)/O$320)</f>
        <v>0</v>
      </c>
      <c r="S92" s="26">
        <f>SUM(P$17:P92)/P$320</f>
        <v>1.5835705359226709E-2</v>
      </c>
    </row>
    <row r="93" spans="1:19" x14ac:dyDescent="0.4">
      <c r="A93" s="6">
        <f t="shared" si="70"/>
        <v>0.74666332533391011</v>
      </c>
      <c r="B93" s="25">
        <f t="shared" ref="B93:C93" si="87">C$4*EXP(-0.5*(LN($A93)-LN(C$5))^2/(LN(C$6))^2)/($A93*SQRT(2*PI())*LN(C$6))</f>
        <v>3.3560659356993177</v>
      </c>
      <c r="C93" s="25">
        <f t="shared" si="87"/>
        <v>0</v>
      </c>
      <c r="D93" s="27">
        <f t="shared" si="72"/>
        <v>3.3560659356993177</v>
      </c>
      <c r="E93" s="27"/>
      <c r="F93" s="26">
        <f t="shared" si="73"/>
        <v>8.7904899732830097E-2</v>
      </c>
      <c r="G93" s="26">
        <f t="shared" si="73"/>
        <v>0</v>
      </c>
      <c r="H93" s="26">
        <f t="shared" si="73"/>
        <v>8.7904899732830097E-2</v>
      </c>
      <c r="I93" s="26">
        <f>IF(F$320=0,0,SUM(F$17:F93)/F$320)</f>
        <v>1.7030156066828197E-2</v>
      </c>
      <c r="J93" s="26">
        <f>IF(G$320=0,0,SUM(G$17:G93)/G$320)</f>
        <v>0</v>
      </c>
      <c r="K93" s="26">
        <f>SUM(H$17:H93)/H$320</f>
        <v>1.7030156066828197E-2</v>
      </c>
      <c r="L93" s="26"/>
      <c r="M93" s="26"/>
      <c r="N93" s="27">
        <f t="shared" si="74"/>
        <v>8.4496389098248637E-2</v>
      </c>
      <c r="O93" s="27">
        <f t="shared" si="75"/>
        <v>0</v>
      </c>
      <c r="P93" s="26">
        <f t="shared" si="76"/>
        <v>8.4496389098248637E-2</v>
      </c>
      <c r="Q93" s="26">
        <f>IF(N$320=0,0,SUM(N$17:N93)/N$320)</f>
        <v>1.6684915299912628E-2</v>
      </c>
      <c r="R93" s="26">
        <f>IF(O$320=0,0,SUM(O$17:O93)/O$320)</f>
        <v>0</v>
      </c>
      <c r="S93" s="26">
        <f>SUM(P$17:P93)/P$320</f>
        <v>1.6684915299912628E-2</v>
      </c>
    </row>
    <row r="94" spans="1:19" x14ac:dyDescent="0.4">
      <c r="A94" s="6">
        <f t="shared" si="70"/>
        <v>0.77285616582544026</v>
      </c>
      <c r="B94" s="25">
        <f t="shared" ref="B94:C94" si="88">C$4*EXP(-0.5*(LN($A94)-LN(C$5))^2/(LN(C$6))^2)/($A94*SQRT(2*PI())*LN(C$6))</f>
        <v>3.3892516960353243</v>
      </c>
      <c r="C94" s="25">
        <f t="shared" si="88"/>
        <v>0</v>
      </c>
      <c r="D94" s="27">
        <f t="shared" si="72"/>
        <v>3.3892516960353243</v>
      </c>
      <c r="E94" s="27"/>
      <c r="F94" s="26">
        <f t="shared" si="73"/>
        <v>9.18883125524418E-2</v>
      </c>
      <c r="G94" s="26">
        <f t="shared" si="73"/>
        <v>0</v>
      </c>
      <c r="H94" s="26">
        <f t="shared" si="73"/>
        <v>9.18883125524418E-2</v>
      </c>
      <c r="I94" s="26">
        <f>IF(F$320=0,0,SUM(F$17:F94)/F$320)</f>
        <v>1.7938054405704337E-2</v>
      </c>
      <c r="J94" s="26">
        <f>IF(G$320=0,0,SUM(G$17:G94)/G$320)</f>
        <v>0</v>
      </c>
      <c r="K94" s="26">
        <f>SUM(H$17:H94)/H$320</f>
        <v>1.7938054405704337E-2</v>
      </c>
      <c r="L94" s="26"/>
      <c r="M94" s="26"/>
      <c r="N94" s="27">
        <f t="shared" si="74"/>
        <v>8.8344518789797502E-2</v>
      </c>
      <c r="O94" s="27">
        <f t="shared" si="75"/>
        <v>0</v>
      </c>
      <c r="P94" s="26">
        <f t="shared" si="76"/>
        <v>8.8344518789797502E-2</v>
      </c>
      <c r="Q94" s="26">
        <f>IF(N$320=0,0,SUM(N$17:N94)/N$320)</f>
        <v>1.7572799910865366E-2</v>
      </c>
      <c r="R94" s="26">
        <f>IF(O$320=0,0,SUM(O$17:O94)/O$320)</f>
        <v>0</v>
      </c>
      <c r="S94" s="26">
        <f>SUM(P$17:P94)/P$320</f>
        <v>1.7572799910865366E-2</v>
      </c>
    </row>
    <row r="95" spans="1:19" x14ac:dyDescent="0.4">
      <c r="A95" s="6">
        <f t="shared" si="70"/>
        <v>0.79996784733907078</v>
      </c>
      <c r="B95" s="25">
        <f t="shared" ref="B95:C95" si="89">C$4*EXP(-0.5*(LN($A95)-LN(C$5))^2/(LN(C$6))^2)/($A95*SQRT(2*PI())*LN(C$6))</f>
        <v>3.4212689598238413</v>
      </c>
      <c r="C95" s="25">
        <f t="shared" si="89"/>
        <v>0</v>
      </c>
      <c r="D95" s="27">
        <f t="shared" si="72"/>
        <v>3.4212689598238413</v>
      </c>
      <c r="E95" s="27"/>
      <c r="F95" s="26">
        <f t="shared" si="73"/>
        <v>9.6010233787950192E-2</v>
      </c>
      <c r="G95" s="26">
        <f t="shared" si="73"/>
        <v>0</v>
      </c>
      <c r="H95" s="26">
        <f t="shared" si="73"/>
        <v>9.6010233787950192E-2</v>
      </c>
      <c r="I95" s="26">
        <f>IF(F$320=0,0,SUM(F$17:F95)/F$320)</f>
        <v>1.8886679201936638E-2</v>
      </c>
      <c r="J95" s="26">
        <f>IF(G$320=0,0,SUM(G$17:G95)/G$320)</f>
        <v>0</v>
      </c>
      <c r="K95" s="26">
        <f>SUM(H$17:H95)/H$320</f>
        <v>1.8886679201936638E-2</v>
      </c>
      <c r="L95" s="26"/>
      <c r="M95" s="26"/>
      <c r="N95" s="27">
        <f t="shared" si="74"/>
        <v>9.2327512235339942E-2</v>
      </c>
      <c r="O95" s="27">
        <f t="shared" si="75"/>
        <v>0</v>
      </c>
      <c r="P95" s="26">
        <f t="shared" si="76"/>
        <v>9.2327512235339942E-2</v>
      </c>
      <c r="Q95" s="26">
        <f>IF(N$320=0,0,SUM(N$17:N95)/N$320)</f>
        <v>1.8500714606697926E-2</v>
      </c>
      <c r="R95" s="26">
        <f>IF(O$320=0,0,SUM(O$17:O95)/O$320)</f>
        <v>0</v>
      </c>
      <c r="S95" s="26">
        <f>SUM(P$17:P95)/P$320</f>
        <v>1.8500714606697926E-2</v>
      </c>
    </row>
    <row r="96" spans="1:19" x14ac:dyDescent="0.4">
      <c r="A96" s="6">
        <f t="shared" si="70"/>
        <v>0.82803060268377005</v>
      </c>
      <c r="B96" s="25">
        <f t="shared" ref="B96:C96" si="90">C$4*EXP(-0.5*(LN($A96)-LN(C$5))^2/(LN(C$6))^2)/($A96*SQRT(2*PI())*LN(C$6))</f>
        <v>3.4520785564708141</v>
      </c>
      <c r="C96" s="25">
        <f t="shared" si="90"/>
        <v>0</v>
      </c>
      <c r="D96" s="27">
        <f t="shared" si="72"/>
        <v>3.4520785564708141</v>
      </c>
      <c r="E96" s="27"/>
      <c r="F96" s="26">
        <f t="shared" si="73"/>
        <v>0.10027319106940841</v>
      </c>
      <c r="G96" s="26">
        <f t="shared" si="73"/>
        <v>0</v>
      </c>
      <c r="H96" s="26">
        <f t="shared" si="73"/>
        <v>0.10027319106940841</v>
      </c>
      <c r="I96" s="26">
        <f>IF(F$320=0,0,SUM(F$17:F96)/F$320)</f>
        <v>1.987742395583305E-2</v>
      </c>
      <c r="J96" s="26">
        <f>IF(G$320=0,0,SUM(G$17:G96)/G$320)</f>
        <v>0</v>
      </c>
      <c r="K96" s="26">
        <f>SUM(H$17:H96)/H$320</f>
        <v>1.987742395583305E-2</v>
      </c>
      <c r="L96" s="26"/>
      <c r="M96" s="26"/>
      <c r="N96" s="27">
        <f t="shared" si="74"/>
        <v>9.6447888120103353E-2</v>
      </c>
      <c r="O96" s="27">
        <f t="shared" si="75"/>
        <v>0</v>
      </c>
      <c r="P96" s="26">
        <f t="shared" si="76"/>
        <v>9.6447888120103353E-2</v>
      </c>
      <c r="Q96" s="26">
        <f>IF(N$320=0,0,SUM(N$17:N96)/N$320)</f>
        <v>1.9470040115442684E-2</v>
      </c>
      <c r="R96" s="26">
        <f>IF(O$320=0,0,SUM(O$17:O96)/O$320)</f>
        <v>0</v>
      </c>
      <c r="S96" s="26">
        <f>SUM(P$17:P96)/P$320</f>
        <v>1.9470040115442684E-2</v>
      </c>
    </row>
    <row r="97" spans="1:19" x14ac:dyDescent="0.4">
      <c r="A97" s="6">
        <f t="shared" si="70"/>
        <v>0.85707779539074058</v>
      </c>
      <c r="B97" s="25">
        <f t="shared" ref="B97:C97" si="91">C$4*EXP(-0.5*(LN($A97)-LN(C$5))^2/(LN(C$6))^2)/($A97*SQRT(2*PI())*LN(C$6))</f>
        <v>3.4816425454751547</v>
      </c>
      <c r="C97" s="25">
        <f t="shared" si="91"/>
        <v>0</v>
      </c>
      <c r="D97" s="27">
        <f t="shared" si="72"/>
        <v>3.4816425454751547</v>
      </c>
      <c r="E97" s="27"/>
      <c r="F97" s="26">
        <f t="shared" si="73"/>
        <v>0.10467963572072693</v>
      </c>
      <c r="G97" s="26">
        <f t="shared" si="73"/>
        <v>0</v>
      </c>
      <c r="H97" s="26">
        <f t="shared" si="73"/>
        <v>0.10467963572072693</v>
      </c>
      <c r="I97" s="26">
        <f>IF(F$320=0,0,SUM(F$17:F97)/F$320)</f>
        <v>2.0911706387897171E-2</v>
      </c>
      <c r="J97" s="26">
        <f>IF(G$320=0,0,SUM(G$17:G97)/G$320)</f>
        <v>0</v>
      </c>
      <c r="K97" s="26">
        <f>SUM(H$17:H97)/H$320</f>
        <v>2.0911706387897171E-2</v>
      </c>
      <c r="L97" s="26"/>
      <c r="M97" s="26"/>
      <c r="N97" s="27">
        <f t="shared" si="74"/>
        <v>0.10070809388047705</v>
      </c>
      <c r="O97" s="27">
        <f t="shared" si="75"/>
        <v>0</v>
      </c>
      <c r="P97" s="26">
        <f t="shared" si="76"/>
        <v>0.10070809388047705</v>
      </c>
      <c r="Q97" s="26">
        <f>IF(N$320=0,0,SUM(N$17:N97)/N$320)</f>
        <v>2.0482181762482652E-2</v>
      </c>
      <c r="R97" s="26">
        <f>IF(O$320=0,0,SUM(O$17:O97)/O$320)</f>
        <v>0</v>
      </c>
      <c r="S97" s="26">
        <f>SUM(P$17:P97)/P$320</f>
        <v>2.0482181762482652E-2</v>
      </c>
    </row>
    <row r="98" spans="1:19" x14ac:dyDescent="0.4">
      <c r="A98" s="6">
        <f t="shared" si="70"/>
        <v>0.88714395937899138</v>
      </c>
      <c r="B98" s="25">
        <f t="shared" ref="B98:C98" si="92">C$4*EXP(-0.5*(LN($A98)-LN(C$5))^2/(LN(C$6))^2)/($A98*SQRT(2*PI())*LN(C$6))</f>
        <v>3.5099242941553546</v>
      </c>
      <c r="C98" s="25">
        <f t="shared" si="92"/>
        <v>0</v>
      </c>
      <c r="D98" s="27">
        <f t="shared" si="72"/>
        <v>3.5099242941553546</v>
      </c>
      <c r="E98" s="27"/>
      <c r="F98" s="26">
        <f t="shared" si="73"/>
        <v>0.10923193499060595</v>
      </c>
      <c r="G98" s="26">
        <f t="shared" si="73"/>
        <v>0</v>
      </c>
      <c r="H98" s="26">
        <f t="shared" si="73"/>
        <v>0.10923193499060595</v>
      </c>
      <c r="I98" s="26">
        <f>IF(F$320=0,0,SUM(F$17:F98)/F$320)</f>
        <v>2.1990967608126889E-2</v>
      </c>
      <c r="J98" s="26">
        <f>IF(G$320=0,0,SUM(G$17:G98)/G$320)</f>
        <v>0</v>
      </c>
      <c r="K98" s="26">
        <f>SUM(H$17:H98)/H$320</f>
        <v>2.1990967608126889E-2</v>
      </c>
      <c r="L98" s="26"/>
      <c r="M98" s="26"/>
      <c r="N98" s="27">
        <f t="shared" si="74"/>
        <v>0.10511049814996044</v>
      </c>
      <c r="O98" s="27">
        <f t="shared" si="75"/>
        <v>0</v>
      </c>
      <c r="P98" s="26">
        <f t="shared" si="76"/>
        <v>0.10511049814996044</v>
      </c>
      <c r="Q98" s="26">
        <f>IF(N$320=0,0,SUM(N$17:N98)/N$320)</f>
        <v>2.1538568678562658E-2</v>
      </c>
      <c r="R98" s="26">
        <f>IF(O$320=0,0,SUM(O$17:O98)/O$320)</f>
        <v>0</v>
      </c>
      <c r="S98" s="26">
        <f>SUM(P$17:P98)/P$320</f>
        <v>2.1538568678562658E-2</v>
      </c>
    </row>
    <row r="99" spans="1:19" x14ac:dyDescent="0.4">
      <c r="A99" s="6">
        <f t="shared" si="70"/>
        <v>0.91826484001237041</v>
      </c>
      <c r="B99" s="25">
        <f t="shared" ref="B99:C99" si="93">C$4*EXP(-0.5*(LN($A99)-LN(C$5))^2/(LN(C$6))^2)/($A99*SQRT(2*PI())*LN(C$6))</f>
        <v>3.5368885531874357</v>
      </c>
      <c r="C99" s="25">
        <f t="shared" si="93"/>
        <v>0</v>
      </c>
      <c r="D99" s="27">
        <f t="shared" si="72"/>
        <v>3.5368885531874357</v>
      </c>
      <c r="E99" s="27"/>
      <c r="F99" s="26">
        <f t="shared" si="73"/>
        <v>0.11393236412817191</v>
      </c>
      <c r="G99" s="26">
        <f t="shared" si="73"/>
        <v>0</v>
      </c>
      <c r="H99" s="26">
        <f t="shared" si="73"/>
        <v>0.11393236412817191</v>
      </c>
      <c r="I99" s="26">
        <f>IF(F$320=0,0,SUM(F$17:F99)/F$320)</f>
        <v>2.3116671207016732E-2</v>
      </c>
      <c r="J99" s="26">
        <f>IF(G$320=0,0,SUM(G$17:G99)/G$320)</f>
        <v>0</v>
      </c>
      <c r="K99" s="26">
        <f>SUM(H$17:H99)/H$320</f>
        <v>2.3116671207016732E-2</v>
      </c>
      <c r="L99" s="26"/>
      <c r="M99" s="26"/>
      <c r="N99" s="27">
        <f t="shared" si="74"/>
        <v>0.10965738304576089</v>
      </c>
      <c r="O99" s="27">
        <f t="shared" si="75"/>
        <v>0</v>
      </c>
      <c r="P99" s="26">
        <f t="shared" si="76"/>
        <v>0.10965738304576089</v>
      </c>
      <c r="Q99" s="26">
        <f>IF(N$320=0,0,SUM(N$17:N99)/N$320)</f>
        <v>2.2640652930278844E-2</v>
      </c>
      <c r="R99" s="26">
        <f>IF(O$320=0,0,SUM(O$17:O99)/O$320)</f>
        <v>0</v>
      </c>
      <c r="S99" s="26">
        <f>SUM(P$17:P99)/P$320</f>
        <v>2.2640652930278844E-2</v>
      </c>
    </row>
    <row r="100" spans="1:19" x14ac:dyDescent="0.4">
      <c r="A100" s="6">
        <f t="shared" si="70"/>
        <v>0.950477436596873</v>
      </c>
      <c r="B100" s="25">
        <f t="shared" ref="B100:C100" si="94">C$4*EXP(-0.5*(LN($A100)-LN(C$5))^2/(LN(C$6))^2)/($A100*SQRT(2*PI())*LN(C$6))</f>
        <v>3.5625015297365521</v>
      </c>
      <c r="C100" s="25">
        <f t="shared" si="94"/>
        <v>0</v>
      </c>
      <c r="D100" s="27">
        <f t="shared" si="72"/>
        <v>3.5625015297365521</v>
      </c>
      <c r="E100" s="27"/>
      <c r="F100" s="26">
        <f t="shared" si="73"/>
        <v>0.11878309831771945</v>
      </c>
      <c r="G100" s="26">
        <f t="shared" si="73"/>
        <v>0</v>
      </c>
      <c r="H100" s="26">
        <f t="shared" si="73"/>
        <v>0.11878309831771945</v>
      </c>
      <c r="I100" s="26">
        <f>IF(F$320=0,0,SUM(F$17:F100)/F$320)</f>
        <v>2.429030226687183E-2</v>
      </c>
      <c r="J100" s="26">
        <f>IF(G$320=0,0,SUM(G$17:G100)/G$320)</f>
        <v>0</v>
      </c>
      <c r="K100" s="26">
        <f>SUM(H$17:H100)/H$320</f>
        <v>2.429030226687183E-2</v>
      </c>
      <c r="L100" s="26"/>
      <c r="M100" s="26"/>
      <c r="N100" s="27">
        <f t="shared" si="74"/>
        <v>0.1143509363098396</v>
      </c>
      <c r="O100" s="27">
        <f t="shared" si="75"/>
        <v>0</v>
      </c>
      <c r="P100" s="26">
        <f t="shared" si="76"/>
        <v>0.1143509363098396</v>
      </c>
      <c r="Q100" s="26">
        <f>IF(N$320=0,0,SUM(N$17:N100)/N$320)</f>
        <v>2.3789908571583761E-2</v>
      </c>
      <c r="R100" s="26">
        <f>IF(O$320=0,0,SUM(O$17:O100)/O$320)</f>
        <v>0</v>
      </c>
      <c r="S100" s="26">
        <f>SUM(P$17:P100)/P$320</f>
        <v>2.3789908571583761E-2</v>
      </c>
    </row>
    <row r="101" spans="1:19" x14ac:dyDescent="0.4">
      <c r="A101" s="6">
        <f t="shared" si="70"/>
        <v>0.98382004636874965</v>
      </c>
      <c r="B101" s="25">
        <f t="shared" ref="B101:C101" si="95">C$4*EXP(-0.5*(LN($A101)-LN(C$5))^2/(LN(C$6))^2)/($A101*SQRT(2*PI())*LN(C$6))</f>
        <v>3.5867309579701279</v>
      </c>
      <c r="C101" s="25">
        <f t="shared" si="95"/>
        <v>0</v>
      </c>
      <c r="D101" s="27">
        <f t="shared" si="72"/>
        <v>3.5867309579701279</v>
      </c>
      <c r="E101" s="27"/>
      <c r="F101" s="26">
        <f t="shared" si="73"/>
        <v>0.12378620448804627</v>
      </c>
      <c r="G101" s="26">
        <f t="shared" si="73"/>
        <v>0</v>
      </c>
      <c r="H101" s="26">
        <f t="shared" si="73"/>
        <v>0.12378620448804627</v>
      </c>
      <c r="I101" s="26">
        <f>IF(F$320=0,0,SUM(F$17:F101)/F$320)</f>
        <v>2.551336629219431E-2</v>
      </c>
      <c r="J101" s="26">
        <f>IF(G$320=0,0,SUM(G$17:G101)/G$320)</f>
        <v>0</v>
      </c>
      <c r="K101" s="26">
        <f>SUM(H$17:H101)/H$320</f>
        <v>2.551336629219431E-2</v>
      </c>
      <c r="L101" s="26"/>
      <c r="M101" s="26"/>
      <c r="N101" s="27">
        <f t="shared" si="74"/>
        <v>0.1191932433189196</v>
      </c>
      <c r="O101" s="27">
        <f t="shared" si="75"/>
        <v>0</v>
      </c>
      <c r="P101" s="26">
        <f t="shared" si="76"/>
        <v>0.1191932433189196</v>
      </c>
      <c r="Q101" s="26">
        <f>IF(N$320=0,0,SUM(N$17:N101)/N$320)</f>
        <v>2.4987830614989992E-2</v>
      </c>
      <c r="R101" s="26">
        <f>IF(O$320=0,0,SUM(O$17:O101)/O$320)</f>
        <v>0</v>
      </c>
      <c r="S101" s="26">
        <f>SUM(P$17:P101)/P$320</f>
        <v>2.4987830614989992E-2</v>
      </c>
    </row>
    <row r="102" spans="1:19" x14ac:dyDescent="0.4">
      <c r="A102" s="6">
        <f t="shared" si="70"/>
        <v>1.0183323100257098</v>
      </c>
      <c r="B102" s="25">
        <f t="shared" ref="B102:C102" si="96">C$4*EXP(-0.5*(LN($A102)-LN(C$5))^2/(LN(C$6))^2)/($A102*SQRT(2*PI())*LN(C$6))</f>
        <v>3.609546166746695</v>
      </c>
      <c r="C102" s="25">
        <f t="shared" si="96"/>
        <v>0</v>
      </c>
      <c r="D102" s="27">
        <f t="shared" si="72"/>
        <v>3.609546166746695</v>
      </c>
      <c r="E102" s="27"/>
      <c r="F102" s="26">
        <f t="shared" si="73"/>
        <v>0.12894363301292902</v>
      </c>
      <c r="G102" s="26">
        <f t="shared" si="73"/>
        <v>0</v>
      </c>
      <c r="H102" s="26">
        <f t="shared" si="73"/>
        <v>0.12894363301292902</v>
      </c>
      <c r="I102" s="26">
        <f>IF(F$320=0,0,SUM(F$17:F102)/F$320)</f>
        <v>2.6787388058066668E-2</v>
      </c>
      <c r="J102" s="26">
        <f>IF(G$320=0,0,SUM(G$17:G102)/G$320)</f>
        <v>0</v>
      </c>
      <c r="K102" s="26">
        <f>SUM(H$17:H102)/H$320</f>
        <v>2.6787388058066668E-2</v>
      </c>
      <c r="L102" s="26"/>
      <c r="M102" s="26"/>
      <c r="N102" s="27">
        <f t="shared" si="74"/>
        <v>0.12418627897933486</v>
      </c>
      <c r="O102" s="27">
        <f t="shared" si="75"/>
        <v>0</v>
      </c>
      <c r="P102" s="26">
        <f t="shared" si="76"/>
        <v>0.12418627897933486</v>
      </c>
      <c r="Q102" s="26">
        <f>IF(N$320=0,0,SUM(N$17:N102)/N$320)</f>
        <v>2.6235933921314961E-2</v>
      </c>
      <c r="R102" s="26">
        <f>IF(O$320=0,0,SUM(O$17:O102)/O$320)</f>
        <v>0</v>
      </c>
      <c r="S102" s="26">
        <f>SUM(P$17:P102)/P$320</f>
        <v>2.6235933921314961E-2</v>
      </c>
    </row>
    <row r="103" spans="1:19" x14ac:dyDescent="0.4">
      <c r="A103" s="6">
        <f t="shared" si="70"/>
        <v>1.0540552588553536</v>
      </c>
      <c r="B103" s="25">
        <f t="shared" ref="B103:C103" si="97">C$4*EXP(-0.5*(LN($A103)-LN(C$5))^2/(LN(C$6))^2)/($A103*SQRT(2*PI())*LN(C$6))</f>
        <v>3.630918144281865</v>
      </c>
      <c r="C103" s="25">
        <f t="shared" si="97"/>
        <v>0</v>
      </c>
      <c r="D103" s="27">
        <f t="shared" si="72"/>
        <v>3.630918144281865</v>
      </c>
      <c r="E103" s="27"/>
      <c r="F103" s="26">
        <f t="shared" si="73"/>
        <v>0.13425720932033716</v>
      </c>
      <c r="G103" s="26">
        <f t="shared" si="73"/>
        <v>0</v>
      </c>
      <c r="H103" s="26">
        <f t="shared" si="73"/>
        <v>0.13425720932033716</v>
      </c>
      <c r="I103" s="26">
        <f>IF(F$320=0,0,SUM(F$17:F103)/F$320)</f>
        <v>2.8113910375630345E-2</v>
      </c>
      <c r="J103" s="26">
        <f>IF(G$320=0,0,SUM(G$17:G103)/G$320)</f>
        <v>0</v>
      </c>
      <c r="K103" s="26">
        <f>SUM(H$17:H103)/H$320</f>
        <v>2.8113910375630345E-2</v>
      </c>
      <c r="L103" s="26"/>
      <c r="M103" s="26"/>
      <c r="N103" s="27">
        <f t="shared" si="74"/>
        <v>0.129331899523423</v>
      </c>
      <c r="O103" s="27">
        <f t="shared" si="75"/>
        <v>0</v>
      </c>
      <c r="P103" s="26">
        <f t="shared" si="76"/>
        <v>0.129331899523423</v>
      </c>
      <c r="Q103" s="26">
        <f>IF(N$320=0,0,SUM(N$17:N103)/N$320)</f>
        <v>2.7535752006977502E-2</v>
      </c>
      <c r="R103" s="26">
        <f>IF(O$320=0,0,SUM(O$17:O103)/O$320)</f>
        <v>0</v>
      </c>
      <c r="S103" s="26">
        <f>SUM(P$17:P103)/P$320</f>
        <v>2.7535752006977502E-2</v>
      </c>
    </row>
    <row r="104" spans="1:19" x14ac:dyDescent="0.4">
      <c r="A104" s="6">
        <f t="shared" si="70"/>
        <v>1.0910313635168623</v>
      </c>
      <c r="B104" s="25">
        <f t="shared" ref="B104:C104" si="98">C$4*EXP(-0.5*(LN($A104)-LN(C$5))^2/(LN(C$6))^2)/($A104*SQRT(2*PI())*LN(C$6))</f>
        <v>3.6508195996006427</v>
      </c>
      <c r="C104" s="25">
        <f t="shared" si="98"/>
        <v>0</v>
      </c>
      <c r="D104" s="27">
        <f t="shared" si="72"/>
        <v>3.6508195996006427</v>
      </c>
      <c r="E104" s="27"/>
      <c r="F104" s="26">
        <f t="shared" si="73"/>
        <v>0.13972862542900849</v>
      </c>
      <c r="G104" s="26">
        <f t="shared" si="73"/>
        <v>0</v>
      </c>
      <c r="H104" s="26">
        <f t="shared" si="73"/>
        <v>0.13972862542900849</v>
      </c>
      <c r="I104" s="26">
        <f>IF(F$320=0,0,SUM(F$17:F104)/F$320)</f>
        <v>2.9494492773941807E-2</v>
      </c>
      <c r="J104" s="26">
        <f>IF(G$320=0,0,SUM(G$17:G104)/G$320)</f>
        <v>0</v>
      </c>
      <c r="K104" s="26">
        <f>SUM(H$17:H104)/H$320</f>
        <v>2.9494492773941807E-2</v>
      </c>
      <c r="L104" s="26"/>
      <c r="M104" s="26"/>
      <c r="N104" s="27">
        <f t="shared" si="74"/>
        <v>0.13463183422528155</v>
      </c>
      <c r="O104" s="27">
        <f t="shared" si="75"/>
        <v>0</v>
      </c>
      <c r="P104" s="26">
        <f t="shared" si="76"/>
        <v>0.13463183422528155</v>
      </c>
      <c r="Q104" s="26">
        <f>IF(N$320=0,0,SUM(N$17:N104)/N$320)</f>
        <v>2.8888835768035605E-2</v>
      </c>
      <c r="R104" s="26">
        <f>IF(O$320=0,0,SUM(O$17:O104)/O$320)</f>
        <v>0</v>
      </c>
      <c r="S104" s="26">
        <f>SUM(P$17:P104)/P$320</f>
        <v>2.8888835768035605E-2</v>
      </c>
    </row>
    <row r="105" spans="1:19" x14ac:dyDescent="0.4">
      <c r="A105" s="6">
        <f t="shared" si="70"/>
        <v>1.1293045845339438</v>
      </c>
      <c r="B105" s="25">
        <f t="shared" ref="B105:C105" si="99">C$4*EXP(-0.5*(LN($A105)-LN(C$5))^2/(LN(C$6))^2)/($A105*SQRT(2*PI())*LN(C$6))</f>
        <v>3.66922502059399</v>
      </c>
      <c r="C105" s="25">
        <f t="shared" si="99"/>
        <v>0</v>
      </c>
      <c r="D105" s="27">
        <f t="shared" si="72"/>
        <v>3.66922502059399</v>
      </c>
      <c r="E105" s="27"/>
      <c r="F105" s="26">
        <f t="shared" si="73"/>
        <v>0.14535943143201457</v>
      </c>
      <c r="G105" s="26">
        <f t="shared" si="73"/>
        <v>0</v>
      </c>
      <c r="H105" s="26">
        <f t="shared" si="73"/>
        <v>0.14535943143201457</v>
      </c>
      <c r="I105" s="26">
        <f>IF(F$320=0,0,SUM(F$17:F105)/F$320)</f>
        <v>3.093071009768239E-2</v>
      </c>
      <c r="J105" s="26">
        <f>IF(G$320=0,0,SUM(G$17:G105)/G$320)</f>
        <v>0</v>
      </c>
      <c r="K105" s="26">
        <f>SUM(H$17:H105)/H$320</f>
        <v>3.093071009768239E-2</v>
      </c>
      <c r="L105" s="26"/>
      <c r="M105" s="26"/>
      <c r="N105" s="27">
        <f t="shared" si="74"/>
        <v>0.14008767705474198</v>
      </c>
      <c r="O105" s="27">
        <f t="shared" si="75"/>
        <v>0</v>
      </c>
      <c r="P105" s="26">
        <f t="shared" si="76"/>
        <v>0.14008767705474198</v>
      </c>
      <c r="Q105" s="26">
        <f>IF(N$320=0,0,SUM(N$17:N105)/N$320)</f>
        <v>3.0296752120344567E-2</v>
      </c>
      <c r="R105" s="26">
        <f>IF(O$320=0,0,SUM(O$17:O105)/O$320)</f>
        <v>0</v>
      </c>
      <c r="S105" s="26">
        <f>SUM(P$17:P105)/P$320</f>
        <v>3.0296752120344567E-2</v>
      </c>
    </row>
    <row r="106" spans="1:19" x14ac:dyDescent="0.4">
      <c r="A106" s="6">
        <f t="shared" si="70"/>
        <v>1.1689204245590625</v>
      </c>
      <c r="B106" s="25">
        <f t="shared" ref="B106:C106" si="100">C$4*EXP(-0.5*(LN($A106)-LN(C$5))^2/(LN(C$6))^2)/($A106*SQRT(2*PI())*LN(C$6))</f>
        <v>3.6861107285067698</v>
      </c>
      <c r="C106" s="25">
        <f t="shared" si="100"/>
        <v>0</v>
      </c>
      <c r="D106" s="27">
        <f t="shared" si="72"/>
        <v>3.6861107285067698</v>
      </c>
      <c r="E106" s="27"/>
      <c r="F106" s="26">
        <f t="shared" si="73"/>
        <v>0.15115102694793323</v>
      </c>
      <c r="G106" s="26">
        <f t="shared" si="73"/>
        <v>0</v>
      </c>
      <c r="H106" s="26">
        <f t="shared" si="73"/>
        <v>0.15115102694793323</v>
      </c>
      <c r="I106" s="26">
        <f>IF(F$320=0,0,SUM(F$17:F106)/F$320)</f>
        <v>3.2424151020401831E-2</v>
      </c>
      <c r="J106" s="26">
        <f>IF(G$320=0,0,SUM(G$17:G106)/G$320)</f>
        <v>0</v>
      </c>
      <c r="K106" s="26">
        <f>SUM(H$17:H106)/H$320</f>
        <v>3.2424151020401831E-2</v>
      </c>
      <c r="L106" s="26"/>
      <c r="M106" s="26"/>
      <c r="N106" s="27">
        <f t="shared" si="74"/>
        <v>0.14570087828922434</v>
      </c>
      <c r="O106" s="27">
        <f t="shared" si="75"/>
        <v>0</v>
      </c>
      <c r="P106" s="26">
        <f t="shared" si="76"/>
        <v>0.14570087828922434</v>
      </c>
      <c r="Q106" s="26">
        <f>IF(N$320=0,0,SUM(N$17:N106)/N$320)</f>
        <v>3.176108255541215E-2</v>
      </c>
      <c r="R106" s="26">
        <f>IF(O$320=0,0,SUM(O$17:O106)/O$320)</f>
        <v>0</v>
      </c>
      <c r="S106" s="26">
        <f>SUM(P$17:P106)/P$320</f>
        <v>3.176108255541215E-2</v>
      </c>
    </row>
    <row r="107" spans="1:19" x14ac:dyDescent="0.4">
      <c r="A107" s="6">
        <f t="shared" si="70"/>
        <v>1.2099259824710908</v>
      </c>
      <c r="B107" s="25">
        <f t="shared" ref="B107:C107" si="101">C$4*EXP(-0.5*(LN($A107)-LN(C$5))^2/(LN(C$6))^2)/($A107*SQRT(2*PI())*LN(C$6))</f>
        <v>3.7014549286942424</v>
      </c>
      <c r="C107" s="25">
        <f t="shared" si="101"/>
        <v>0</v>
      </c>
      <c r="D107" s="27">
        <f t="shared" si="72"/>
        <v>3.7014549286942424</v>
      </c>
      <c r="E107" s="27"/>
      <c r="F107" s="26">
        <f t="shared" si="73"/>
        <v>0.15710465256118511</v>
      </c>
      <c r="G107" s="26">
        <f t="shared" si="73"/>
        <v>0</v>
      </c>
      <c r="H107" s="26">
        <f t="shared" si="73"/>
        <v>0.15710465256118511</v>
      </c>
      <c r="I107" s="26">
        <f>IF(F$320=0,0,SUM(F$17:F107)/F$320)</f>
        <v>3.3976416473188435E-2</v>
      </c>
      <c r="J107" s="26">
        <f>IF(G$320=0,0,SUM(G$17:G107)/G$320)</f>
        <v>0</v>
      </c>
      <c r="K107" s="26">
        <f>SUM(H$17:H107)/H$320</f>
        <v>3.3976416473188435E-2</v>
      </c>
      <c r="L107" s="26"/>
      <c r="M107" s="26"/>
      <c r="N107" s="27">
        <f t="shared" si="74"/>
        <v>0.15147273610434109</v>
      </c>
      <c r="O107" s="27">
        <f t="shared" si="75"/>
        <v>0</v>
      </c>
      <c r="P107" s="26">
        <f t="shared" si="76"/>
        <v>0.15147273610434109</v>
      </c>
      <c r="Q107" s="26">
        <f>IF(N$320=0,0,SUM(N$17:N107)/N$320)</f>
        <v>3.3283421611737182E-2</v>
      </c>
      <c r="R107" s="26">
        <f>IF(O$320=0,0,SUM(O$17:O107)/O$320)</f>
        <v>0</v>
      </c>
      <c r="S107" s="26">
        <f>SUM(P$17:P107)/P$320</f>
        <v>3.3283421611737182E-2</v>
      </c>
    </row>
    <row r="108" spans="1:19" x14ac:dyDescent="0.4">
      <c r="A108" s="6">
        <f t="shared" si="70"/>
        <v>1.2523700093706989</v>
      </c>
      <c r="B108" s="25">
        <f t="shared" ref="B108:C108" si="102">C$4*EXP(-0.5*(LN($A108)-LN(C$5))^2/(LN(C$6))^2)/($A108*SQRT(2*PI())*LN(C$6))</f>
        <v>3.7152377574948292</v>
      </c>
      <c r="C108" s="25">
        <f t="shared" si="102"/>
        <v>0</v>
      </c>
      <c r="D108" s="27">
        <f t="shared" si="72"/>
        <v>3.7152377574948292</v>
      </c>
      <c r="E108" s="27"/>
      <c r="F108" s="26">
        <f t="shared" si="73"/>
        <v>0.16322138127399075</v>
      </c>
      <c r="G108" s="26">
        <f t="shared" si="73"/>
        <v>0</v>
      </c>
      <c r="H108" s="26">
        <f t="shared" si="73"/>
        <v>0.16322138127399075</v>
      </c>
      <c r="I108" s="26">
        <f>IF(F$320=0,0,SUM(F$17:F108)/F$320)</f>
        <v>3.5589117988880682E-2</v>
      </c>
      <c r="J108" s="26">
        <f>IF(G$320=0,0,SUM(G$17:G108)/G$320)</f>
        <v>0</v>
      </c>
      <c r="K108" s="26">
        <f>SUM(H$17:H108)/H$320</f>
        <v>3.5589117988880682E-2</v>
      </c>
      <c r="L108" s="26"/>
      <c r="M108" s="26"/>
      <c r="N108" s="27">
        <f t="shared" si="74"/>
        <v>0.15740438816476549</v>
      </c>
      <c r="O108" s="27">
        <f t="shared" si="75"/>
        <v>0</v>
      </c>
      <c r="P108" s="26">
        <f t="shared" si="76"/>
        <v>0.15740438816476549</v>
      </c>
      <c r="Q108" s="26">
        <f>IF(N$320=0,0,SUM(N$17:N108)/N$320)</f>
        <v>3.4865375261634322E-2</v>
      </c>
      <c r="R108" s="26">
        <f>IF(O$320=0,0,SUM(O$17:O108)/O$320)</f>
        <v>0</v>
      </c>
      <c r="S108" s="26">
        <f>SUM(P$17:P108)/P$320</f>
        <v>3.4865375261634322E-2</v>
      </c>
    </row>
    <row r="109" spans="1:19" x14ac:dyDescent="0.4">
      <c r="A109" s="6">
        <f t="shared" si="70"/>
        <v>1.2963029665400538</v>
      </c>
      <c r="B109" s="25">
        <f t="shared" ref="B109:C109" si="103">C$4*EXP(-0.5*(LN($A109)-LN(C$5))^2/(LN(C$6))^2)/($A109*SQRT(2*PI())*LN(C$6))</f>
        <v>3.7274413250780198</v>
      </c>
      <c r="C109" s="25">
        <f t="shared" si="103"/>
        <v>0</v>
      </c>
      <c r="D109" s="27">
        <f t="shared" si="72"/>
        <v>3.7274413250780198</v>
      </c>
      <c r="E109" s="27"/>
      <c r="F109" s="26">
        <f t="shared" si="73"/>
        <v>0.16950210999328372</v>
      </c>
      <c r="G109" s="26">
        <f t="shared" si="73"/>
        <v>0</v>
      </c>
      <c r="H109" s="26">
        <f t="shared" si="73"/>
        <v>0.16950210999328372</v>
      </c>
      <c r="I109" s="26">
        <f>IF(F$320=0,0,SUM(F$17:F109)/F$320)</f>
        <v>3.7263875962165648E-2</v>
      </c>
      <c r="J109" s="26">
        <f>IF(G$320=0,0,SUM(G$17:G109)/G$320)</f>
        <v>0</v>
      </c>
      <c r="K109" s="26">
        <f>SUM(H$17:H109)/H$320</f>
        <v>3.7263875962165648E-2</v>
      </c>
      <c r="L109" s="26"/>
      <c r="M109" s="26"/>
      <c r="N109" s="27">
        <f t="shared" si="74"/>
        <v>0.1634968032379433</v>
      </c>
      <c r="O109" s="27">
        <f t="shared" si="75"/>
        <v>0</v>
      </c>
      <c r="P109" s="26">
        <f t="shared" si="76"/>
        <v>0.1634968032379433</v>
      </c>
      <c r="Q109" s="26">
        <f>IF(N$320=0,0,SUM(N$17:N109)/N$320)</f>
        <v>3.6508559213774452E-2</v>
      </c>
      <c r="R109" s="26">
        <f>IF(O$320=0,0,SUM(O$17:O109)/O$320)</f>
        <v>0</v>
      </c>
      <c r="S109" s="26">
        <f>SUM(P$17:P109)/P$320</f>
        <v>3.6508559213774452E-2</v>
      </c>
    </row>
    <row r="110" spans="1:19" x14ac:dyDescent="0.4">
      <c r="A110" s="6">
        <f t="shared" si="70"/>
        <v>1.3417770854357378</v>
      </c>
      <c r="B110" s="25">
        <f t="shared" ref="B110:C110" si="104">C$4*EXP(-0.5*(LN($A110)-LN(C$5))^2/(LN(C$6))^2)/($A110*SQRT(2*PI())*LN(C$6))</f>
        <v>3.7380497541381152</v>
      </c>
      <c r="C110" s="25">
        <f t="shared" si="104"/>
        <v>0</v>
      </c>
      <c r="D110" s="27">
        <f t="shared" si="72"/>
        <v>3.7380497541381152</v>
      </c>
      <c r="E110" s="27"/>
      <c r="F110" s="26">
        <f t="shared" si="73"/>
        <v>0.17594755107671481</v>
      </c>
      <c r="G110" s="26">
        <f t="shared" si="73"/>
        <v>0</v>
      </c>
      <c r="H110" s="26">
        <f t="shared" si="73"/>
        <v>0.17594755107671481</v>
      </c>
      <c r="I110" s="26">
        <f>IF(F$320=0,0,SUM(F$17:F110)/F$320)</f>
        <v>3.9002317826148158E-2</v>
      </c>
      <c r="J110" s="26">
        <f>IF(G$320=0,0,SUM(G$17:G110)/G$320)</f>
        <v>0</v>
      </c>
      <c r="K110" s="26">
        <f>SUM(H$17:H110)/H$320</f>
        <v>3.9002317826148158E-2</v>
      </c>
      <c r="L110" s="26"/>
      <c r="M110" s="26"/>
      <c r="N110" s="27">
        <f t="shared" si="74"/>
        <v>0.16975077285394796</v>
      </c>
      <c r="O110" s="27">
        <f t="shared" si="75"/>
        <v>0</v>
      </c>
      <c r="P110" s="26">
        <f t="shared" si="76"/>
        <v>0.16975077285394796</v>
      </c>
      <c r="Q110" s="26">
        <f>IF(N$320=0,0,SUM(N$17:N110)/N$320)</f>
        <v>3.821459713190458E-2</v>
      </c>
      <c r="R110" s="26">
        <f>IF(O$320=0,0,SUM(O$17:O110)/O$320)</f>
        <v>0</v>
      </c>
      <c r="S110" s="26">
        <f>SUM(P$17:P110)/P$320</f>
        <v>3.821459713190458E-2</v>
      </c>
    </row>
    <row r="111" spans="1:19" x14ac:dyDescent="0.4">
      <c r="A111" s="6">
        <f t="shared" si="70"/>
        <v>1.3888464297862073</v>
      </c>
      <c r="B111" s="25">
        <f t="shared" ref="B111:C111" si="105">C$4*EXP(-0.5*(LN($A111)-LN(C$5))^2/(LN(C$6))^2)/($A111*SQRT(2*PI())*LN(C$6))</f>
        <v>3.7470492143165992</v>
      </c>
      <c r="C111" s="25">
        <f t="shared" si="105"/>
        <v>0</v>
      </c>
      <c r="D111" s="27">
        <f t="shared" si="72"/>
        <v>3.7470492143165992</v>
      </c>
      <c r="E111" s="27"/>
      <c r="F111" s="26">
        <f t="shared" si="73"/>
        <v>0.18255822396266044</v>
      </c>
      <c r="G111" s="26">
        <f t="shared" si="73"/>
        <v>0</v>
      </c>
      <c r="H111" s="26">
        <f t="shared" si="73"/>
        <v>0.18255822396266044</v>
      </c>
      <c r="I111" s="26">
        <f>IF(F$320=0,0,SUM(F$17:F111)/F$320)</f>
        <v>4.0806076146220532E-2</v>
      </c>
      <c r="J111" s="26">
        <f>IF(G$320=0,0,SUM(G$17:G111)/G$320)</f>
        <v>0</v>
      </c>
      <c r="K111" s="26">
        <f>SUM(H$17:H111)/H$320</f>
        <v>4.0806076146220532E-2</v>
      </c>
      <c r="L111" s="26"/>
      <c r="M111" s="26"/>
      <c r="N111" s="27">
        <f t="shared" si="74"/>
        <v>0.17616690303560584</v>
      </c>
      <c r="O111" s="27">
        <f t="shared" si="75"/>
        <v>0</v>
      </c>
      <c r="P111" s="26">
        <f t="shared" si="76"/>
        <v>0.17616690303560584</v>
      </c>
      <c r="Q111" s="26">
        <f>IF(N$320=0,0,SUM(N$17:N111)/N$320)</f>
        <v>3.9985118770453382E-2</v>
      </c>
      <c r="R111" s="26">
        <f>IF(O$320=0,0,SUM(O$17:O111)/O$320)</f>
        <v>0</v>
      </c>
      <c r="S111" s="26">
        <f>SUM(P$17:P111)/P$320</f>
        <v>3.9985118770453382E-2</v>
      </c>
    </row>
    <row r="112" spans="1:19" x14ac:dyDescent="0.4">
      <c r="A112" s="6">
        <f t="shared" si="70"/>
        <v>1.437566959867624</v>
      </c>
      <c r="B112" s="25">
        <f t="shared" ref="B112:C112" si="106">C$4*EXP(-0.5*(LN($A112)-LN(C$5))^2/(LN(C$6))^2)/($A112*SQRT(2*PI())*LN(C$6))</f>
        <v>3.7544279522487161</v>
      </c>
      <c r="C112" s="25">
        <f t="shared" si="106"/>
        <v>0</v>
      </c>
      <c r="D112" s="27">
        <f t="shared" si="72"/>
        <v>3.7544279522487161</v>
      </c>
      <c r="E112" s="27"/>
      <c r="F112" s="26">
        <f t="shared" si="73"/>
        <v>0.18933444690982476</v>
      </c>
      <c r="G112" s="26">
        <f t="shared" si="73"/>
        <v>0</v>
      </c>
      <c r="H112" s="26">
        <f t="shared" si="73"/>
        <v>0.18933444690982476</v>
      </c>
      <c r="I112" s="26">
        <f>IF(F$320=0,0,SUM(F$17:F112)/F$320)</f>
        <v>4.2676786632315909E-2</v>
      </c>
      <c r="J112" s="26">
        <f>IF(G$320=0,0,SUM(G$17:G112)/G$320)</f>
        <v>0</v>
      </c>
      <c r="K112" s="26">
        <f>SUM(H$17:H112)/H$320</f>
        <v>4.2676786632315909E-2</v>
      </c>
      <c r="L112" s="26"/>
      <c r="M112" s="26"/>
      <c r="N112" s="27">
        <f t="shared" si="74"/>
        <v>0.1827456061237083</v>
      </c>
      <c r="O112" s="27">
        <f t="shared" si="75"/>
        <v>0</v>
      </c>
      <c r="P112" s="26">
        <f t="shared" si="76"/>
        <v>0.1827456061237083</v>
      </c>
      <c r="Q112" s="26">
        <f>IF(N$320=0,0,SUM(N$17:N112)/N$320)</f>
        <v>4.1821758027978086E-2</v>
      </c>
      <c r="R112" s="26">
        <f>IF(O$320=0,0,SUM(O$17:O112)/O$320)</f>
        <v>0</v>
      </c>
      <c r="S112" s="26">
        <f>SUM(P$17:P112)/P$320</f>
        <v>4.1821758027978086E-2</v>
      </c>
    </row>
    <row r="113" spans="1:19" x14ac:dyDescent="0.4">
      <c r="A113" s="6">
        <f t="shared" si="70"/>
        <v>1.4879965990344703</v>
      </c>
      <c r="B113" s="25">
        <f t="shared" ref="B113:C113" si="107">C$4*EXP(-0.5*(LN($A113)-LN(C$5))^2/(LN(C$6))^2)/($A113*SQRT(2*PI())*LN(C$6))</f>
        <v>3.7601763171428693</v>
      </c>
      <c r="C113" s="25">
        <f t="shared" si="107"/>
        <v>0</v>
      </c>
      <c r="D113" s="27">
        <f t="shared" si="72"/>
        <v>3.7601763171428693</v>
      </c>
      <c r="E113" s="27"/>
      <c r="F113" s="26">
        <f t="shared" si="73"/>
        <v>0.19627632887269675</v>
      </c>
      <c r="G113" s="26">
        <f t="shared" si="73"/>
        <v>0</v>
      </c>
      <c r="H113" s="26">
        <f t="shared" si="73"/>
        <v>0.19627632887269675</v>
      </c>
      <c r="I113" s="26">
        <f>IF(F$320=0,0,SUM(F$17:F113)/F$320)</f>
        <v>4.4616086070887365E-2</v>
      </c>
      <c r="J113" s="26">
        <f>IF(G$320=0,0,SUM(G$17:G113)/G$320)</f>
        <v>0</v>
      </c>
      <c r="K113" s="26">
        <f>SUM(H$17:H113)/H$320</f>
        <v>4.4616086070887365E-2</v>
      </c>
      <c r="L113" s="26"/>
      <c r="M113" s="26"/>
      <c r="N113" s="27">
        <f t="shared" si="74"/>
        <v>0.18948709272276557</v>
      </c>
      <c r="O113" s="27">
        <f t="shared" si="75"/>
        <v>0</v>
      </c>
      <c r="P113" s="26">
        <f t="shared" si="76"/>
        <v>0.18948709272276557</v>
      </c>
      <c r="Q113" s="26">
        <f>IF(N$320=0,0,SUM(N$17:N113)/N$320)</f>
        <v>4.3726150919664163E-2</v>
      </c>
      <c r="R113" s="26">
        <f>IF(O$320=0,0,SUM(O$17:O113)/O$320)</f>
        <v>0</v>
      </c>
      <c r="S113" s="26">
        <f>SUM(P$17:P113)/P$320</f>
        <v>4.3726150919664163E-2</v>
      </c>
    </row>
    <row r="114" spans="1:19" x14ac:dyDescent="0.4">
      <c r="A114" s="6">
        <f t="shared" si="70"/>
        <v>1.5401953025840516</v>
      </c>
      <c r="B114" s="25">
        <f t="shared" ref="B114:C114" si="108">C$4*EXP(-0.5*(LN($A114)-LN(C$5))^2/(LN(C$6))^2)/($A114*SQRT(2*PI())*LN(C$6))</f>
        <v>3.7642867818149099</v>
      </c>
      <c r="C114" s="25">
        <f t="shared" si="108"/>
        <v>0</v>
      </c>
      <c r="D114" s="27">
        <f t="shared" si="72"/>
        <v>3.7642867818149099</v>
      </c>
      <c r="E114" s="27"/>
      <c r="F114" s="26">
        <f t="shared" si="73"/>
        <v>0.20338376153965779</v>
      </c>
      <c r="G114" s="26">
        <f t="shared" si="73"/>
        <v>0</v>
      </c>
      <c r="H114" s="26">
        <f t="shared" si="73"/>
        <v>0.20338376153965779</v>
      </c>
      <c r="I114" s="26">
        <f>IF(F$320=0,0,SUM(F$17:F114)/F$320)</f>
        <v>4.6625610178219874E-2</v>
      </c>
      <c r="J114" s="26">
        <f>IF(G$320=0,0,SUM(G$17:G114)/G$320)</f>
        <v>0</v>
      </c>
      <c r="K114" s="26">
        <f>SUM(H$17:H114)/H$320</f>
        <v>4.6625610178219874E-2</v>
      </c>
      <c r="L114" s="26"/>
      <c r="M114" s="26"/>
      <c r="N114" s="27">
        <f t="shared" si="74"/>
        <v>0.19639136379345987</v>
      </c>
      <c r="O114" s="27">
        <f t="shared" si="75"/>
        <v>0</v>
      </c>
      <c r="P114" s="26">
        <f t="shared" si="76"/>
        <v>0.19639136379345987</v>
      </c>
      <c r="Q114" s="26">
        <f>IF(N$320=0,0,SUM(N$17:N114)/N$320)</f>
        <v>4.56999334703522E-2</v>
      </c>
      <c r="R114" s="26">
        <f>IF(O$320=0,0,SUM(O$17:O114)/O$320)</f>
        <v>0</v>
      </c>
      <c r="S114" s="26">
        <f>SUM(P$17:P114)/P$320</f>
        <v>4.56999334703522E-2</v>
      </c>
    </row>
    <row r="115" spans="1:19" x14ac:dyDescent="0.4">
      <c r="A115" s="6">
        <f t="shared" si="70"/>
        <v>1.5942251290367531</v>
      </c>
      <c r="B115" s="25">
        <f t="shared" ref="B115:C115" si="109">C$4*EXP(-0.5*(LN($A115)-LN(C$5))^2/(LN(C$6))^2)/($A115*SQRT(2*PI())*LN(C$6))</f>
        <v>3.766753959113152</v>
      </c>
      <c r="C115" s="25">
        <f t="shared" si="109"/>
        <v>0</v>
      </c>
      <c r="D115" s="27">
        <f t="shared" si="72"/>
        <v>3.766753959113152</v>
      </c>
      <c r="E115" s="27"/>
      <c r="F115" s="26">
        <f t="shared" si="73"/>
        <v>0.21065641156104803</v>
      </c>
      <c r="G115" s="26">
        <f t="shared" si="73"/>
        <v>0</v>
      </c>
      <c r="H115" s="26">
        <f t="shared" si="73"/>
        <v>0.21065641156104803</v>
      </c>
      <c r="I115" s="26">
        <f>IF(F$320=0,0,SUM(F$17:F115)/F$320)</f>
        <v>4.8706991376952113E-2</v>
      </c>
      <c r="J115" s="26">
        <f>IF(G$320=0,0,SUM(G$17:G115)/G$320)</f>
        <v>0</v>
      </c>
      <c r="K115" s="26">
        <f>SUM(H$17:H115)/H$320</f>
        <v>4.8706991376952113E-2</v>
      </c>
      <c r="L115" s="26"/>
      <c r="M115" s="26"/>
      <c r="N115" s="27">
        <f t="shared" si="74"/>
        <v>0.2034582029183031</v>
      </c>
      <c r="O115" s="27">
        <f t="shared" si="75"/>
        <v>0</v>
      </c>
      <c r="P115" s="26">
        <f t="shared" si="76"/>
        <v>0.2034582029183031</v>
      </c>
      <c r="Q115" s="26">
        <f>IF(N$320=0,0,SUM(N$17:N115)/N$320)</f>
        <v>4.774473952983263E-2</v>
      </c>
      <c r="R115" s="26">
        <f>IF(O$320=0,0,SUM(O$17:O115)/O$320)</f>
        <v>0</v>
      </c>
      <c r="S115" s="26">
        <f>SUM(P$17:P115)/P$320</f>
        <v>4.774473952983263E-2</v>
      </c>
    </row>
    <row r="116" spans="1:19" x14ac:dyDescent="0.4">
      <c r="A116" s="6">
        <f t="shared" si="70"/>
        <v>1.650150313916799</v>
      </c>
      <c r="B116" s="25">
        <f t="shared" ref="B116:C116" si="110">C$4*EXP(-0.5*(LN($A116)-LN(C$5))^2/(LN(C$6))^2)/($A116*SQRT(2*PI())*LN(C$6))</f>
        <v>3.7675746136839425</v>
      </c>
      <c r="C116" s="25">
        <f t="shared" si="110"/>
        <v>0</v>
      </c>
      <c r="D116" s="27">
        <f t="shared" si="72"/>
        <v>3.7675746136839425</v>
      </c>
      <c r="E116" s="27"/>
      <c r="F116" s="26">
        <f t="shared" si="73"/>
        <v>0.21809371299491709</v>
      </c>
      <c r="G116" s="26">
        <f t="shared" si="73"/>
        <v>0</v>
      </c>
      <c r="H116" s="26">
        <f t="shared" si="73"/>
        <v>0.21809371299491709</v>
      </c>
      <c r="I116" s="26">
        <f>IF(F$320=0,0,SUM(F$17:F116)/F$320)</f>
        <v>5.0861856497958768E-2</v>
      </c>
      <c r="J116" s="26">
        <f>IF(G$320=0,0,SUM(G$17:G116)/G$320)</f>
        <v>0</v>
      </c>
      <c r="K116" s="26">
        <f>SUM(H$17:H116)/H$320</f>
        <v>5.0861856497958768E-2</v>
      </c>
      <c r="L116" s="26"/>
      <c r="M116" s="26"/>
      <c r="N116" s="27">
        <f t="shared" si="74"/>
        <v>0.21068716876761207</v>
      </c>
      <c r="O116" s="27">
        <f t="shared" si="75"/>
        <v>0</v>
      </c>
      <c r="P116" s="26">
        <f t="shared" si="76"/>
        <v>0.21068716876761207</v>
      </c>
      <c r="Q116" s="26">
        <f>IF(N$320=0,0,SUM(N$17:N116)/N$320)</f>
        <v>4.9862198512421699E-2</v>
      </c>
      <c r="R116" s="26">
        <f>IF(O$320=0,0,SUM(O$17:O116)/O$320)</f>
        <v>0</v>
      </c>
      <c r="S116" s="26">
        <f>SUM(P$17:P116)/P$320</f>
        <v>4.9862198512421699E-2</v>
      </c>
    </row>
    <row r="117" spans="1:19" x14ac:dyDescent="0.4">
      <c r="A117" s="6">
        <f t="shared" si="70"/>
        <v>1.7080373461212295</v>
      </c>
      <c r="B117" s="25">
        <f t="shared" ref="B117:C117" si="111">C$4*EXP(-0.5*(LN($A117)-LN(C$5))^2/(LN(C$6))^2)/($A117*SQRT(2*PI())*LN(C$6))</f>
        <v>3.7667476690418042</v>
      </c>
      <c r="C117" s="25">
        <f t="shared" si="111"/>
        <v>0</v>
      </c>
      <c r="D117" s="27">
        <f t="shared" si="72"/>
        <v>3.7667476690418042</v>
      </c>
      <c r="E117" s="27"/>
      <c r="F117" s="26">
        <f t="shared" si="73"/>
        <v>0.2256948599985025</v>
      </c>
      <c r="G117" s="26">
        <f t="shared" si="73"/>
        <v>0</v>
      </c>
      <c r="H117" s="26">
        <f t="shared" si="73"/>
        <v>0.2256948599985025</v>
      </c>
      <c r="I117" s="26">
        <f>IF(F$320=0,0,SUM(F$17:F117)/F$320)</f>
        <v>5.309182441002136E-2</v>
      </c>
      <c r="J117" s="26">
        <f>IF(G$320=0,0,SUM(G$17:G117)/G$320)</f>
        <v>0</v>
      </c>
      <c r="K117" s="26">
        <f>SUM(H$17:H117)/H$320</f>
        <v>5.309182441002136E-2</v>
      </c>
      <c r="L117" s="26"/>
      <c r="M117" s="26"/>
      <c r="N117" s="27">
        <f t="shared" si="74"/>
        <v>0.21807758779318343</v>
      </c>
      <c r="O117" s="27">
        <f t="shared" si="75"/>
        <v>0</v>
      </c>
      <c r="P117" s="26">
        <f t="shared" si="76"/>
        <v>0.21807758779318343</v>
      </c>
      <c r="Q117" s="26">
        <f>IF(N$320=0,0,SUM(N$17:N117)/N$320)</f>
        <v>5.2053933063106954E-2</v>
      </c>
      <c r="R117" s="26">
        <f>IF(O$320=0,0,SUM(O$17:O117)/O$320)</f>
        <v>0</v>
      </c>
      <c r="S117" s="26">
        <f>SUM(P$17:P117)/P$320</f>
        <v>5.2053933063106954E-2</v>
      </c>
    </row>
    <row r="118" spans="1:19" x14ac:dyDescent="0.4">
      <c r="A118" s="6">
        <f t="shared" si="70"/>
        <v>1.76795504696789</v>
      </c>
      <c r="B118" s="25">
        <f t="shared" ref="B118:C118" si="112">C$4*EXP(-0.5*(LN($A118)-LN(C$5))^2/(LN(C$6))^2)/($A118*SQRT(2*PI())*LN(C$6))</f>
        <v>3.7642742099225499</v>
      </c>
      <c r="C118" s="25">
        <f t="shared" si="112"/>
        <v>0</v>
      </c>
      <c r="D118" s="27">
        <f t="shared" si="72"/>
        <v>3.7642742099225499</v>
      </c>
      <c r="E118" s="27"/>
      <c r="F118" s="26">
        <f t="shared" si="73"/>
        <v>0.23345879979373624</v>
      </c>
      <c r="G118" s="26">
        <f t="shared" si="73"/>
        <v>0</v>
      </c>
      <c r="H118" s="26">
        <f t="shared" si="73"/>
        <v>0.23345879979373624</v>
      </c>
      <c r="I118" s="26">
        <f>IF(F$320=0,0,SUM(F$17:F118)/F$320)</f>
        <v>5.5398503579995054E-2</v>
      </c>
      <c r="J118" s="26">
        <f>IF(G$320=0,0,SUM(G$17:G118)/G$320)</f>
        <v>0</v>
      </c>
      <c r="K118" s="26">
        <f>SUM(H$17:H118)/H$320</f>
        <v>5.5398503579995054E-2</v>
      </c>
      <c r="L118" s="26"/>
      <c r="M118" s="26"/>
      <c r="N118" s="27">
        <f t="shared" si="74"/>
        <v>0.22562854717740125</v>
      </c>
      <c r="O118" s="27">
        <f t="shared" si="75"/>
        <v>0</v>
      </c>
      <c r="P118" s="26">
        <f t="shared" si="76"/>
        <v>0.22562854717740125</v>
      </c>
      <c r="Q118" s="26">
        <f>IF(N$320=0,0,SUM(N$17:N118)/N$320)</f>
        <v>5.4321556652829575E-2</v>
      </c>
      <c r="R118" s="26">
        <f>IF(O$320=0,0,SUM(O$17:O118)/O$320)</f>
        <v>0</v>
      </c>
      <c r="S118" s="26">
        <f>SUM(P$17:P118)/P$320</f>
        <v>5.4321556652829575E-2</v>
      </c>
    </row>
    <row r="119" spans="1:19" x14ac:dyDescent="0.4">
      <c r="A119" s="6">
        <f t="shared" si="70"/>
        <v>1.8299746520164126</v>
      </c>
      <c r="B119" s="25">
        <f t="shared" ref="B119:C119" si="113">C$4*EXP(-0.5*(LN($A119)-LN(C$5))^2/(LN(C$6))^2)/($A119*SQRT(2*PI())*LN(C$6))</f>
        <v>3.7601574799121305</v>
      </c>
      <c r="C119" s="25">
        <f t="shared" si="113"/>
        <v>0</v>
      </c>
      <c r="D119" s="27">
        <f t="shared" si="72"/>
        <v>3.7601574799121305</v>
      </c>
      <c r="E119" s="27"/>
      <c r="F119" s="26">
        <f t="shared" si="73"/>
        <v>0.2413842259352251</v>
      </c>
      <c r="G119" s="26">
        <f t="shared" si="73"/>
        <v>0</v>
      </c>
      <c r="H119" s="26">
        <f t="shared" si="73"/>
        <v>0.2413842259352251</v>
      </c>
      <c r="I119" s="26">
        <f>IF(F$320=0,0,SUM(F$17:F119)/F$320)</f>
        <v>5.7783489566460101E-2</v>
      </c>
      <c r="J119" s="26">
        <f>IF(G$320=0,0,SUM(G$17:G119)/G$320)</f>
        <v>0</v>
      </c>
      <c r="K119" s="26">
        <f>SUM(H$17:H119)/H$320</f>
        <v>5.7783489566460101E-2</v>
      </c>
      <c r="L119" s="26"/>
      <c r="M119" s="26"/>
      <c r="N119" s="27">
        <f t="shared" si="74"/>
        <v>0.23333888806560121</v>
      </c>
      <c r="O119" s="27">
        <f t="shared" si="75"/>
        <v>0</v>
      </c>
      <c r="P119" s="26">
        <f t="shared" si="76"/>
        <v>0.23333888806560121</v>
      </c>
      <c r="Q119" s="26">
        <f>IF(N$320=0,0,SUM(N$17:N119)/N$320)</f>
        <v>5.6666671105750195E-2</v>
      </c>
      <c r="R119" s="26">
        <f>IF(O$320=0,0,SUM(O$17:O119)/O$320)</f>
        <v>0</v>
      </c>
      <c r="S119" s="26">
        <f>SUM(P$17:P119)/P$320</f>
        <v>5.6666671105750195E-2</v>
      </c>
    </row>
    <row r="120" spans="1:19" x14ac:dyDescent="0.4">
      <c r="A120" s="6">
        <f t="shared" si="70"/>
        <v>1.8941698957594661</v>
      </c>
      <c r="B120" s="25">
        <f t="shared" ref="B120:C120" si="114">C$4*EXP(-0.5*(LN($A120)-LN(C$5))^2/(LN(C$6))^2)/($A120*SQRT(2*PI())*LN(C$6))</f>
        <v>3.7544028743585272</v>
      </c>
      <c r="C120" s="25">
        <f t="shared" si="114"/>
        <v>0</v>
      </c>
      <c r="D120" s="27">
        <f t="shared" si="72"/>
        <v>3.7544028743585272</v>
      </c>
      <c r="E120" s="27"/>
      <c r="F120" s="26">
        <f t="shared" si="73"/>
        <v>0.24946957190920965</v>
      </c>
      <c r="G120" s="26">
        <f t="shared" si="73"/>
        <v>0</v>
      </c>
      <c r="H120" s="26">
        <f t="shared" si="73"/>
        <v>0.24946957190920965</v>
      </c>
      <c r="I120" s="26">
        <f>IF(F$320=0,0,SUM(F$17:F120)/F$320)</f>
        <v>6.024836245012799E-2</v>
      </c>
      <c r="J120" s="26">
        <f>IF(G$320=0,0,SUM(G$17:G120)/G$320)</f>
        <v>0</v>
      </c>
      <c r="K120" s="26">
        <f>SUM(H$17:H120)/H$320</f>
        <v>6.024836245012799E-2</v>
      </c>
      <c r="L120" s="26"/>
      <c r="M120" s="26"/>
      <c r="N120" s="27">
        <f t="shared" si="74"/>
        <v>0.24120719910978097</v>
      </c>
      <c r="O120" s="27">
        <f t="shared" si="75"/>
        <v>0</v>
      </c>
      <c r="P120" s="26">
        <f t="shared" si="76"/>
        <v>0.24120719910978097</v>
      </c>
      <c r="Q120" s="26">
        <f>IF(N$320=0,0,SUM(N$17:N120)/N$320)</f>
        <v>5.9090864061627391E-2</v>
      </c>
      <c r="R120" s="26">
        <f>IF(O$320=0,0,SUM(O$17:O120)/O$320)</f>
        <v>0</v>
      </c>
      <c r="S120" s="26">
        <f>SUM(P$17:P120)/P$320</f>
        <v>5.9090864061627391E-2</v>
      </c>
    </row>
    <row r="121" spans="1:19" x14ac:dyDescent="0.4">
      <c r="A121" s="6">
        <f t="shared" si="70"/>
        <v>1.9606170992849625</v>
      </c>
      <c r="B121" s="25">
        <f t="shared" ref="B121:C121" si="115">C$4*EXP(-0.5*(LN($A121)-LN(C$5))^2/(LN(C$6))^2)/($A121*SQRT(2*PI())*LN(C$6))</f>
        <v>3.7470179285882987</v>
      </c>
      <c r="C121" s="25">
        <f t="shared" si="115"/>
        <v>0</v>
      </c>
      <c r="D121" s="27">
        <f t="shared" si="72"/>
        <v>3.7470179285882987</v>
      </c>
      <c r="E121" s="27"/>
      <c r="F121" s="26">
        <f t="shared" si="73"/>
        <v>0.25771300509194661</v>
      </c>
      <c r="G121" s="26">
        <f t="shared" si="73"/>
        <v>0</v>
      </c>
      <c r="H121" s="26">
        <f t="shared" si="73"/>
        <v>0.25771300509194661</v>
      </c>
      <c r="I121" s="26">
        <f>IF(F$320=0,0,SUM(F$17:F121)/F$320)</f>
        <v>6.2794684204553752E-2</v>
      </c>
      <c r="J121" s="26">
        <f>IF(G$320=0,0,SUM(G$17:G121)/G$320)</f>
        <v>0</v>
      </c>
      <c r="K121" s="26">
        <f>SUM(H$17:H121)/H$320</f>
        <v>6.2794684204553752E-2</v>
      </c>
      <c r="L121" s="26"/>
      <c r="M121" s="26"/>
      <c r="N121" s="27">
        <f t="shared" si="74"/>
        <v>0.24923181035156408</v>
      </c>
      <c r="O121" s="27">
        <f t="shared" si="75"/>
        <v>0</v>
      </c>
      <c r="P121" s="26">
        <f t="shared" si="76"/>
        <v>0.24923181035156408</v>
      </c>
      <c r="Q121" s="26">
        <f>IF(N$320=0,0,SUM(N$17:N121)/N$320)</f>
        <v>6.159570637671849E-2</v>
      </c>
      <c r="R121" s="26">
        <f>IF(O$320=0,0,SUM(O$17:O121)/O$320)</f>
        <v>0</v>
      </c>
      <c r="S121" s="26">
        <f>SUM(P$17:P121)/P$320</f>
        <v>6.159570637671849E-2</v>
      </c>
    </row>
    <row r="122" spans="1:19" x14ac:dyDescent="0.4">
      <c r="A122" s="6">
        <f t="shared" si="70"/>
        <v>2.0293952610134389</v>
      </c>
      <c r="B122" s="25">
        <f t="shared" ref="B122:C122" si="116">C$4*EXP(-0.5*(LN($A122)-LN(C$5))^2/(LN(C$6))^2)/($A122*SQRT(2*PI())*LN(C$6))</f>
        <v>3.7380123014638706</v>
      </c>
      <c r="C122" s="25">
        <f t="shared" si="116"/>
        <v>0</v>
      </c>
      <c r="D122" s="27">
        <f t="shared" si="72"/>
        <v>3.7380123014638706</v>
      </c>
      <c r="E122" s="27"/>
      <c r="F122" s="26">
        <f t="shared" si="73"/>
        <v>0.26611242109586541</v>
      </c>
      <c r="G122" s="26">
        <f t="shared" si="73"/>
        <v>0</v>
      </c>
      <c r="H122" s="26">
        <f t="shared" si="73"/>
        <v>0.26611242109586541</v>
      </c>
      <c r="I122" s="26">
        <f>IF(F$320=0,0,SUM(F$17:F122)/F$320)</f>
        <v>6.5423996010985697E-2</v>
      </c>
      <c r="J122" s="26">
        <f>IF(G$320=0,0,SUM(G$17:G122)/G$320)</f>
        <v>0</v>
      </c>
      <c r="K122" s="26">
        <f>SUM(H$17:H122)/H$320</f>
        <v>6.5423996010985697E-2</v>
      </c>
      <c r="L122" s="26"/>
      <c r="M122" s="26"/>
      <c r="N122" s="27">
        <f t="shared" si="74"/>
        <v>0.25741078747239382</v>
      </c>
      <c r="O122" s="27">
        <f t="shared" si="75"/>
        <v>0</v>
      </c>
      <c r="P122" s="26">
        <f t="shared" si="76"/>
        <v>0.25741078747239382</v>
      </c>
      <c r="Q122" s="26">
        <f>IF(N$320=0,0,SUM(N$17:N122)/N$320)</f>
        <v>6.4182749466893299E-2</v>
      </c>
      <c r="R122" s="26">
        <f>IF(O$320=0,0,SUM(O$17:O122)/O$320)</f>
        <v>0</v>
      </c>
      <c r="S122" s="26">
        <f>SUM(P$17:P122)/P$320</f>
        <v>6.4182749466893299E-2</v>
      </c>
    </row>
    <row r="123" spans="1:19" x14ac:dyDescent="0.4">
      <c r="A123" s="6">
        <f t="shared" si="70"/>
        <v>2.1005861506184975</v>
      </c>
      <c r="B123" s="25">
        <f t="shared" ref="B123:C123" si="117">C$4*EXP(-0.5*(LN($A123)-LN(C$5))^2/(LN(C$6))^2)/($A123*SQRT(2*PI())*LN(C$6))</f>
        <v>3.7273977543317587</v>
      </c>
      <c r="C123" s="25">
        <f t="shared" si="117"/>
        <v>0</v>
      </c>
      <c r="D123" s="27">
        <f t="shared" si="72"/>
        <v>3.7273977543317587</v>
      </c>
      <c r="E123" s="27"/>
      <c r="F123" s="26">
        <f t="shared" si="73"/>
        <v>0.27466543853150915</v>
      </c>
      <c r="G123" s="26">
        <f t="shared" si="73"/>
        <v>0</v>
      </c>
      <c r="H123" s="26">
        <f t="shared" si="73"/>
        <v>0.27466543853150915</v>
      </c>
      <c r="I123" s="26">
        <f>IF(F$320=0,0,SUM(F$17:F123)/F$320)</f>
        <v>6.8137815521460726E-2</v>
      </c>
      <c r="J123" s="26">
        <f>IF(G$320=0,0,SUM(G$17:G123)/G$320)</f>
        <v>0</v>
      </c>
      <c r="K123" s="26">
        <f>SUM(H$17:H123)/H$320</f>
        <v>6.8137815521460726E-2</v>
      </c>
      <c r="L123" s="26"/>
      <c r="M123" s="26"/>
      <c r="N123" s="27">
        <f t="shared" si="74"/>
        <v>0.26574192643863681</v>
      </c>
      <c r="O123" s="27">
        <f t="shared" si="75"/>
        <v>0</v>
      </c>
      <c r="P123" s="26">
        <f t="shared" si="76"/>
        <v>0.26574192643863681</v>
      </c>
      <c r="Q123" s="26">
        <f>IF(N$320=0,0,SUM(N$17:N123)/N$320)</f>
        <v>6.6853522596929851E-2</v>
      </c>
      <c r="R123" s="26">
        <f>IF(O$320=0,0,SUM(O$17:O123)/O$320)</f>
        <v>0</v>
      </c>
      <c r="S123" s="26">
        <f>SUM(P$17:P123)/P$320</f>
        <v>6.6853522596929851E-2</v>
      </c>
    </row>
    <row r="124" spans="1:19" x14ac:dyDescent="0.4">
      <c r="A124" s="6">
        <f t="shared" si="70"/>
        <v>2.1742744062419574</v>
      </c>
      <c r="B124" s="25">
        <f t="shared" ref="B124:C124" si="118">C$4*EXP(-0.5*(LN($A124)-LN(C$5))^2/(LN(C$6))^2)/($A124*SQRT(2*PI())*LN(C$6))</f>
        <v>3.7151881254259633</v>
      </c>
      <c r="C124" s="25">
        <f t="shared" si="118"/>
        <v>0</v>
      </c>
      <c r="D124" s="27">
        <f t="shared" si="72"/>
        <v>3.7151881254259633</v>
      </c>
      <c r="E124" s="27"/>
      <c r="F124" s="26">
        <f t="shared" si="73"/>
        <v>0.28336939421300594</v>
      </c>
      <c r="G124" s="26">
        <f t="shared" si="73"/>
        <v>0</v>
      </c>
      <c r="H124" s="26">
        <f t="shared" si="73"/>
        <v>0.28336939421300594</v>
      </c>
      <c r="I124" s="26">
        <f>IF(F$320=0,0,SUM(F$17:F124)/F$320)</f>
        <v>7.0937634074527509E-2</v>
      </c>
      <c r="J124" s="26">
        <f>IF(G$320=0,0,SUM(G$17:G124)/G$320)</f>
        <v>0</v>
      </c>
      <c r="K124" s="26">
        <f>SUM(H$17:H124)/H$320</f>
        <v>7.0937634074527509E-2</v>
      </c>
      <c r="L124" s="26"/>
      <c r="M124" s="26"/>
      <c r="N124" s="27">
        <f t="shared" si="74"/>
        <v>0.27422274856905154</v>
      </c>
      <c r="O124" s="27">
        <f t="shared" si="75"/>
        <v>0</v>
      </c>
      <c r="P124" s="26">
        <f t="shared" si="76"/>
        <v>0.27422274856905154</v>
      </c>
      <c r="Q124" s="26">
        <f>IF(N$320=0,0,SUM(N$17:N124)/N$320)</f>
        <v>6.9609530120236893E-2</v>
      </c>
      <c r="R124" s="26">
        <f>IF(O$320=0,0,SUM(O$17:O124)/O$320)</f>
        <v>0</v>
      </c>
      <c r="S124" s="26">
        <f>SUM(P$17:P124)/P$320</f>
        <v>6.9609530120236893E-2</v>
      </c>
    </row>
    <row r="125" spans="1:19" x14ac:dyDescent="0.4">
      <c r="A125" s="6">
        <f t="shared" si="70"/>
        <v>2.2505476351193017</v>
      </c>
      <c r="B125" s="25">
        <f t="shared" ref="B125:C125" si="119">C$4*EXP(-0.5*(LN($A125)-LN(C$5))^2/(LN(C$6))^2)/($A125*SQRT(2*PI())*LN(C$6))</f>
        <v>3.7013992998044931</v>
      </c>
      <c r="C125" s="25">
        <f t="shared" si="119"/>
        <v>0</v>
      </c>
      <c r="D125" s="27">
        <f t="shared" si="72"/>
        <v>3.7013992998044931</v>
      </c>
      <c r="E125" s="27"/>
      <c r="F125" s="26">
        <f t="shared" si="73"/>
        <v>0.2922213388342737</v>
      </c>
      <c r="G125" s="26">
        <f t="shared" si="73"/>
        <v>0</v>
      </c>
      <c r="H125" s="26">
        <f t="shared" si="73"/>
        <v>0.2922213388342737</v>
      </c>
      <c r="I125" s="26">
        <f>IF(F$320=0,0,SUM(F$17:F125)/F$320)</f>
        <v>7.3824913868248673E-2</v>
      </c>
      <c r="J125" s="26">
        <f>IF(G$320=0,0,SUM(G$17:G125)/G$320)</f>
        <v>0</v>
      </c>
      <c r="K125" s="26">
        <f>SUM(H$17:H125)/H$320</f>
        <v>7.3824913868248673E-2</v>
      </c>
      <c r="L125" s="26"/>
      <c r="M125" s="26"/>
      <c r="N125" s="27">
        <f t="shared" si="74"/>
        <v>0.28285049605149548</v>
      </c>
      <c r="O125" s="27">
        <f t="shared" si="75"/>
        <v>0</v>
      </c>
      <c r="P125" s="26">
        <f t="shared" si="76"/>
        <v>0.28285049605149548</v>
      </c>
      <c r="Q125" s="26">
        <f>IF(N$320=0,0,SUM(N$17:N125)/N$320)</f>
        <v>7.2452248673518252E-2</v>
      </c>
      <c r="R125" s="26">
        <f>IF(O$320=0,0,SUM(O$17:O125)/O$320)</f>
        <v>0</v>
      </c>
      <c r="S125" s="26">
        <f>SUM(P$17:P125)/P$320</f>
        <v>7.2452248673518252E-2</v>
      </c>
    </row>
    <row r="126" spans="1:19" x14ac:dyDescent="0.4">
      <c r="A126" s="6">
        <f t="shared" si="70"/>
        <v>2.3294965177350488</v>
      </c>
      <c r="B126" s="25">
        <f t="shared" ref="B126:C126" si="120">C$4*EXP(-0.5*(LN($A126)-LN(C$5))^2/(LN(C$6))^2)/($A126*SQRT(2*PI())*LN(C$6))</f>
        <v>3.686049174910484</v>
      </c>
      <c r="C126" s="25">
        <f t="shared" si="120"/>
        <v>0</v>
      </c>
      <c r="D126" s="27">
        <f t="shared" si="72"/>
        <v>3.686049174910484</v>
      </c>
      <c r="E126" s="27"/>
      <c r="F126" s="26">
        <f t="shared" si="73"/>
        <v>0.30121803314262874</v>
      </c>
      <c r="G126" s="26">
        <f t="shared" si="73"/>
        <v>0</v>
      </c>
      <c r="H126" s="26">
        <f t="shared" si="73"/>
        <v>0.30121803314262874</v>
      </c>
      <c r="I126" s="26">
        <f>IF(F$320=0,0,SUM(F$17:F126)/F$320)</f>
        <v>7.6801085095396349E-2</v>
      </c>
      <c r="J126" s="26">
        <f>IF(G$320=0,0,SUM(G$17:G126)/G$320)</f>
        <v>0</v>
      </c>
      <c r="K126" s="26">
        <f>SUM(H$17:H126)/H$320</f>
        <v>7.6801085095396349E-2</v>
      </c>
      <c r="L126" s="26"/>
      <c r="M126" s="26"/>
      <c r="N126" s="27">
        <f t="shared" si="74"/>
        <v>0.29162212793561737</v>
      </c>
      <c r="O126" s="27">
        <f t="shared" si="75"/>
        <v>0</v>
      </c>
      <c r="P126" s="26">
        <f t="shared" si="76"/>
        <v>0.29162212793561737</v>
      </c>
      <c r="Q126" s="26">
        <f>IF(N$320=0,0,SUM(N$17:N126)/N$320)</f>
        <v>7.5383124331162649E-2</v>
      </c>
      <c r="R126" s="26">
        <f>IF(O$320=0,0,SUM(O$17:O126)/O$320)</f>
        <v>0</v>
      </c>
      <c r="S126" s="26">
        <f>SUM(P$17:P126)/P$320</f>
        <v>7.5383124331162649E-2</v>
      </c>
    </row>
    <row r="127" spans="1:19" x14ac:dyDescent="0.4">
      <c r="A127" s="6">
        <f t="shared" si="70"/>
        <v>2.4112149156318821</v>
      </c>
      <c r="B127" s="25">
        <f t="shared" ref="B127:C127" si="121">C$4*EXP(-0.5*(LN($A127)-LN(C$5))^2/(LN(C$6))^2)/($A127*SQRT(2*PI())*LN(C$6))</f>
        <v>3.6691576218623672</v>
      </c>
      <c r="C127" s="25">
        <f t="shared" si="121"/>
        <v>0</v>
      </c>
      <c r="D127" s="27">
        <f t="shared" si="72"/>
        <v>3.6691576218623672</v>
      </c>
      <c r="E127" s="27"/>
      <c r="F127" s="26">
        <f t="shared" si="73"/>
        <v>0.3103559446357253</v>
      </c>
      <c r="G127" s="26">
        <f t="shared" si="73"/>
        <v>0</v>
      </c>
      <c r="H127" s="26">
        <f t="shared" si="73"/>
        <v>0.3103559446357253</v>
      </c>
      <c r="I127" s="26">
        <f>IF(F$320=0,0,SUM(F$17:F127)/F$320)</f>
        <v>7.9867543046012207E-2</v>
      </c>
      <c r="J127" s="26">
        <f>IF(G$320=0,0,SUM(G$17:G127)/G$320)</f>
        <v>0</v>
      </c>
      <c r="K127" s="26">
        <f>SUM(H$17:H127)/H$320</f>
        <v>7.9867543046012207E-2</v>
      </c>
      <c r="L127" s="26"/>
      <c r="M127" s="26"/>
      <c r="N127" s="27">
        <f t="shared" si="74"/>
        <v>0.30053431662701996</v>
      </c>
      <c r="O127" s="27">
        <f t="shared" si="75"/>
        <v>0</v>
      </c>
      <c r="P127" s="26">
        <f t="shared" si="76"/>
        <v>0.30053431662701996</v>
      </c>
      <c r="Q127" s="26">
        <f>IF(N$320=0,0,SUM(N$17:N127)/N$320)</f>
        <v>7.8403569724399019E-2</v>
      </c>
      <c r="R127" s="26">
        <f>IF(O$320=0,0,SUM(O$17:O127)/O$320)</f>
        <v>0</v>
      </c>
      <c r="S127" s="26">
        <f>SUM(P$17:P127)/P$320</f>
        <v>7.8403569724399019E-2</v>
      </c>
    </row>
    <row r="128" spans="1:19" x14ac:dyDescent="0.4">
      <c r="A128" s="6">
        <f t="shared" si="70"/>
        <v>2.4957999830017044</v>
      </c>
      <c r="B128" s="25">
        <f t="shared" ref="B128:C128" si="122">C$4*EXP(-0.5*(LN($A128)-LN(C$5))^2/(LN(C$6))^2)/($A128*SQRT(2*PI())*LN(C$6))</f>
        <v>3.6507464425903295</v>
      </c>
      <c r="C128" s="25">
        <f t="shared" si="122"/>
        <v>0</v>
      </c>
      <c r="D128" s="27">
        <f t="shared" si="72"/>
        <v>3.6507464425903295</v>
      </c>
      <c r="E128" s="27"/>
      <c r="F128" s="26">
        <f t="shared" si="73"/>
        <v>0.31963124480699528</v>
      </c>
      <c r="G128" s="26">
        <f t="shared" si="73"/>
        <v>0</v>
      </c>
      <c r="H128" s="26">
        <f t="shared" si="73"/>
        <v>0.31963124480699528</v>
      </c>
      <c r="I128" s="26">
        <f>IF(F$320=0,0,SUM(F$17:F128)/F$320)</f>
        <v>8.3025645182750948E-2</v>
      </c>
      <c r="J128" s="26">
        <f>IF(G$320=0,0,SUM(G$17:G128)/G$320)</f>
        <v>0</v>
      </c>
      <c r="K128" s="26">
        <f>SUM(H$17:H128)/H$320</f>
        <v>8.3025645182750948E-2</v>
      </c>
      <c r="L128" s="26"/>
      <c r="M128" s="26"/>
      <c r="N128" s="27">
        <f t="shared" si="74"/>
        <v>0.3095834449084553</v>
      </c>
      <c r="O128" s="27">
        <f t="shared" si="75"/>
        <v>0</v>
      </c>
      <c r="P128" s="26">
        <f t="shared" si="76"/>
        <v>0.3095834449084553</v>
      </c>
      <c r="Q128" s="26">
        <f>IF(N$320=0,0,SUM(N$17:N128)/N$320)</f>
        <v>8.1514961130514138E-2</v>
      </c>
      <c r="R128" s="26">
        <f>IF(O$320=0,0,SUM(O$17:O128)/O$320)</f>
        <v>0</v>
      </c>
      <c r="S128" s="26">
        <f>SUM(P$17:P128)/P$320</f>
        <v>8.1514961130514138E-2</v>
      </c>
    </row>
    <row r="129" spans="1:19" x14ac:dyDescent="0.4">
      <c r="A129" s="6">
        <f t="shared" si="70"/>
        <v>2.5833522821912931</v>
      </c>
      <c r="B129" s="25">
        <f t="shared" ref="B129:C129" si="123">C$4*EXP(-0.5*(LN($A129)-LN(C$5))^2/(LN(C$6))^2)/($A129*SQRT(2*PI())*LN(C$6))</f>
        <v>3.6308393229484563</v>
      </c>
      <c r="C129" s="25">
        <f t="shared" si="123"/>
        <v>0</v>
      </c>
      <c r="D129" s="27">
        <f t="shared" si="72"/>
        <v>3.6308393229484563</v>
      </c>
      <c r="E129" s="27"/>
      <c r="F129" s="26">
        <f t="shared" si="73"/>
        <v>0.32903980696378538</v>
      </c>
      <c r="G129" s="26">
        <f t="shared" si="73"/>
        <v>0</v>
      </c>
      <c r="H129" s="26">
        <f t="shared" si="73"/>
        <v>0.32903980696378538</v>
      </c>
      <c r="I129" s="26">
        <f>IF(F$320=0,0,SUM(F$17:F129)/F$320)</f>
        <v>8.6276708194666152E-2</v>
      </c>
      <c r="J129" s="26">
        <f>IF(G$320=0,0,SUM(G$17:G129)/G$320)</f>
        <v>0</v>
      </c>
      <c r="K129" s="26">
        <f>SUM(H$17:H129)/H$320</f>
        <v>8.6276708194666152E-2</v>
      </c>
      <c r="L129" s="26"/>
      <c r="M129" s="26"/>
      <c r="N129" s="27">
        <f t="shared" si="74"/>
        <v>0.31876560351193767</v>
      </c>
      <c r="O129" s="27">
        <f t="shared" si="75"/>
        <v>0</v>
      </c>
      <c r="P129" s="26">
        <f t="shared" si="76"/>
        <v>0.31876560351193767</v>
      </c>
      <c r="Q129" s="26">
        <f>IF(N$320=0,0,SUM(N$17:N129)/N$320)</f>
        <v>8.4718635537669298E-2</v>
      </c>
      <c r="R129" s="26">
        <f>IF(O$320=0,0,SUM(O$17:O129)/O$320)</f>
        <v>0</v>
      </c>
      <c r="S129" s="26">
        <f>SUM(P$17:P129)/P$320</f>
        <v>8.4718635537669298E-2</v>
      </c>
    </row>
    <row r="130" spans="1:19" x14ac:dyDescent="0.4">
      <c r="A130" s="6">
        <f t="shared" si="70"/>
        <v>2.6739759032598744</v>
      </c>
      <c r="B130" s="25">
        <f t="shared" ref="B130:C130" si="124">C$4*EXP(-0.5*(LN($A130)-LN(C$5))^2/(LN(C$6))^2)/($A130*SQRT(2*PI())*LN(C$6))</f>
        <v>3.6094617819436903</v>
      </c>
      <c r="C130" s="25">
        <f t="shared" si="124"/>
        <v>0</v>
      </c>
      <c r="D130" s="27">
        <f t="shared" si="72"/>
        <v>3.6094617819436903</v>
      </c>
      <c r="E130" s="27"/>
      <c r="F130" s="26">
        <f t="shared" si="73"/>
        <v>0.33857720464139518</v>
      </c>
      <c r="G130" s="26">
        <f t="shared" si="73"/>
        <v>0</v>
      </c>
      <c r="H130" s="26">
        <f t="shared" si="73"/>
        <v>0.33857720464139518</v>
      </c>
      <c r="I130" s="26">
        <f>IF(F$320=0,0,SUM(F$17:F130)/F$320)</f>
        <v>8.9622005035325997E-2</v>
      </c>
      <c r="J130" s="26">
        <f>IF(G$320=0,0,SUM(G$17:G130)/G$320)</f>
        <v>0</v>
      </c>
      <c r="K130" s="26">
        <f>SUM(H$17:H130)/H$320</f>
        <v>8.9622005035325997E-2</v>
      </c>
      <c r="L130" s="26"/>
      <c r="M130" s="26"/>
      <c r="N130" s="27">
        <f t="shared" si="74"/>
        <v>0.32807658926518879</v>
      </c>
      <c r="O130" s="27">
        <f t="shared" si="75"/>
        <v>0</v>
      </c>
      <c r="P130" s="26">
        <f t="shared" si="76"/>
        <v>0.32807658926518879</v>
      </c>
      <c r="Q130" s="26">
        <f>IF(N$320=0,0,SUM(N$17:N130)/N$320)</f>
        <v>8.8015887691088285E-2</v>
      </c>
      <c r="R130" s="26">
        <f>IF(O$320=0,0,SUM(O$17:O130)/O$320)</f>
        <v>0</v>
      </c>
      <c r="S130" s="26">
        <f>SUM(P$17:P130)/P$320</f>
        <v>8.8015887691088285E-2</v>
      </c>
    </row>
    <row r="131" spans="1:19" x14ac:dyDescent="0.4">
      <c r="A131" s="6">
        <f t="shared" si="70"/>
        <v>2.767778587730763</v>
      </c>
      <c r="B131" s="25">
        <f t="shared" ref="B131:C131" si="125">C$4*EXP(-0.5*(LN($A131)-LN(C$5))^2/(LN(C$6))^2)/($A131*SQRT(2*PI())*LN(C$6))</f>
        <v>3.5866411172339343</v>
      </c>
      <c r="C131" s="25">
        <f t="shared" si="125"/>
        <v>0</v>
      </c>
      <c r="D131" s="27">
        <f t="shared" si="72"/>
        <v>3.5866411172339343</v>
      </c>
      <c r="E131" s="27"/>
      <c r="F131" s="26">
        <f t="shared" si="73"/>
        <v>0.34823871063501016</v>
      </c>
      <c r="G131" s="26">
        <f t="shared" si="73"/>
        <v>0</v>
      </c>
      <c r="H131" s="26">
        <f t="shared" si="73"/>
        <v>0.34823871063501016</v>
      </c>
      <c r="I131" s="26">
        <f>IF(F$320=0,0,SUM(F$17:F131)/F$320)</f>
        <v>9.3062761951364217E-2</v>
      </c>
      <c r="J131" s="26">
        <f>IF(G$320=0,0,SUM(G$17:G131)/G$320)</f>
        <v>0</v>
      </c>
      <c r="K131" s="26">
        <f>SUM(H$17:H131)/H$320</f>
        <v>9.3062761951364217E-2</v>
      </c>
      <c r="L131" s="26"/>
      <c r="M131" s="26"/>
      <c r="N131" s="27">
        <f t="shared" si="74"/>
        <v>0.33751190383490004</v>
      </c>
      <c r="O131" s="27">
        <f t="shared" si="75"/>
        <v>0</v>
      </c>
      <c r="P131" s="26">
        <f t="shared" si="76"/>
        <v>0.33751190383490004</v>
      </c>
      <c r="Q131" s="26">
        <f>IF(N$320=0,0,SUM(N$17:N131)/N$320)</f>
        <v>9.1407967126614906E-2</v>
      </c>
      <c r="R131" s="26">
        <f>IF(O$320=0,0,SUM(O$17:O131)/O$320)</f>
        <v>0</v>
      </c>
      <c r="S131" s="26">
        <f>SUM(P$17:P131)/P$320</f>
        <v>9.1407967126614906E-2</v>
      </c>
    </row>
    <row r="132" spans="1:19" x14ac:dyDescent="0.4">
      <c r="A132" s="6">
        <f t="shared" si="70"/>
        <v>2.8648718566841889</v>
      </c>
      <c r="B132" s="25">
        <f t="shared" ref="B132:C132" si="126">C$4*EXP(-0.5*(LN($A132)-LN(C$5))^2/(LN(C$6))^2)/($A132*SQRT(2*PI())*LN(C$6))</f>
        <v>3.562406347058205</v>
      </c>
      <c r="C132" s="25">
        <f t="shared" si="126"/>
        <v>0</v>
      </c>
      <c r="D132" s="27">
        <f t="shared" si="72"/>
        <v>3.562406347058205</v>
      </c>
      <c r="E132" s="27"/>
      <c r="F132" s="26">
        <f t="shared" si="73"/>
        <v>0.35801929667031401</v>
      </c>
      <c r="G132" s="26">
        <f t="shared" si="73"/>
        <v>0</v>
      </c>
      <c r="H132" s="26">
        <f t="shared" si="73"/>
        <v>0.35801929667031401</v>
      </c>
      <c r="I132" s="26">
        <f>IF(F$320=0,0,SUM(F$17:F132)/F$320)</f>
        <v>9.6600155507776245E-2</v>
      </c>
      <c r="J132" s="26">
        <f>IF(G$320=0,0,SUM(G$17:G132)/G$320)</f>
        <v>0</v>
      </c>
      <c r="K132" s="26">
        <f>SUM(H$17:H132)/H$320</f>
        <v>9.6600155507776245E-2</v>
      </c>
      <c r="L132" s="26"/>
      <c r="M132" s="26"/>
      <c r="N132" s="27">
        <f t="shared" si="74"/>
        <v>0.34706675308735779</v>
      </c>
      <c r="O132" s="27">
        <f t="shared" si="75"/>
        <v>0</v>
      </c>
      <c r="P132" s="26">
        <f t="shared" si="76"/>
        <v>0.34706675308735779</v>
      </c>
      <c r="Q132" s="26">
        <f>IF(N$320=0,0,SUM(N$17:N132)/N$320)</f>
        <v>9.4896075197844626E-2</v>
      </c>
      <c r="R132" s="26">
        <f>IF(O$320=0,0,SUM(O$17:O132)/O$320)</f>
        <v>0</v>
      </c>
      <c r="S132" s="26">
        <f>SUM(P$17:P132)/P$320</f>
        <v>9.4896075197844626E-2</v>
      </c>
    </row>
    <row r="133" spans="1:19" x14ac:dyDescent="0.4">
      <c r="A133" s="6">
        <f t="shared" si="70"/>
        <v>2.9653711433436016</v>
      </c>
      <c r="B133" s="25">
        <f t="shared" ref="B133:C133" si="127">C$4*EXP(-0.5*(LN($A133)-LN(C$5))^2/(LN(C$6))^2)/($A133*SQRT(2*PI())*LN(C$6))</f>
        <v>3.536788148771687</v>
      </c>
      <c r="C133" s="25">
        <f t="shared" si="127"/>
        <v>0</v>
      </c>
      <c r="D133" s="27">
        <f t="shared" si="72"/>
        <v>3.536788148771687</v>
      </c>
      <c r="E133" s="27"/>
      <c r="F133" s="26">
        <f t="shared" si="73"/>
        <v>0.36791363373216623</v>
      </c>
      <c r="G133" s="26">
        <f t="shared" si="73"/>
        <v>0</v>
      </c>
      <c r="H133" s="26">
        <f t="shared" si="73"/>
        <v>0.36791363373216623</v>
      </c>
      <c r="I133" s="26">
        <f>IF(F$320=0,0,SUM(F$17:F133)/F$320)</f>
        <v>0.10023530961646319</v>
      </c>
      <c r="J133" s="26">
        <f>IF(G$320=0,0,SUM(G$17:G133)/G$320)</f>
        <v>0</v>
      </c>
      <c r="K133" s="26">
        <f>SUM(H$17:H133)/H$320</f>
        <v>0.10023530961646319</v>
      </c>
      <c r="L133" s="26"/>
      <c r="M133" s="26"/>
      <c r="N133" s="27">
        <f t="shared" si="74"/>
        <v>0.35673604708665041</v>
      </c>
      <c r="O133" s="27">
        <f t="shared" si="75"/>
        <v>0</v>
      </c>
      <c r="P133" s="26">
        <f t="shared" si="76"/>
        <v>0.35673604708665041</v>
      </c>
      <c r="Q133" s="26">
        <f>IF(N$320=0,0,SUM(N$17:N133)/N$320)</f>
        <v>9.8481362103238101E-2</v>
      </c>
      <c r="R133" s="26">
        <f>IF(O$320=0,0,SUM(O$17:O133)/O$320)</f>
        <v>0</v>
      </c>
      <c r="S133" s="26">
        <f>SUM(P$17:P133)/P$320</f>
        <v>9.8481362103238101E-2</v>
      </c>
    </row>
    <row r="134" spans="1:19" x14ac:dyDescent="0.4">
      <c r="A134" s="6">
        <f t="shared" si="70"/>
        <v>3.0693959303130844</v>
      </c>
      <c r="B134" s="25">
        <f t="shared" ref="B134:C134" si="128">C$4*EXP(-0.5*(LN($A134)-LN(C$5))^2/(LN(C$6))^2)/($A134*SQRT(2*PI())*LN(C$6))</f>
        <v>3.5098187941678494</v>
      </c>
      <c r="C134" s="25">
        <f t="shared" si="128"/>
        <v>0</v>
      </c>
      <c r="D134" s="27">
        <f t="shared" si="72"/>
        <v>3.5098187941678494</v>
      </c>
      <c r="E134" s="27"/>
      <c r="F134" s="26">
        <f t="shared" si="73"/>
        <v>0.37791609306922669</v>
      </c>
      <c r="G134" s="26">
        <f t="shared" si="73"/>
        <v>0</v>
      </c>
      <c r="H134" s="26">
        <f t="shared" si="73"/>
        <v>0.37791609306922669</v>
      </c>
      <c r="I134" s="26">
        <f>IF(F$320=0,0,SUM(F$17:F134)/F$320)</f>
        <v>0.10396929257470169</v>
      </c>
      <c r="J134" s="26">
        <f>IF(G$320=0,0,SUM(G$17:G134)/G$320)</f>
        <v>0</v>
      </c>
      <c r="K134" s="26">
        <f>SUM(H$17:H134)/H$320</f>
        <v>0.10396929257470169</v>
      </c>
      <c r="L134" s="26"/>
      <c r="M134" s="26"/>
      <c r="N134" s="27">
        <f t="shared" si="74"/>
        <v>0.36651440074841057</v>
      </c>
      <c r="O134" s="27">
        <f t="shared" si="75"/>
        <v>0</v>
      </c>
      <c r="P134" s="26">
        <f t="shared" si="76"/>
        <v>0.36651440074841057</v>
      </c>
      <c r="Q134" s="26">
        <f>IF(N$320=0,0,SUM(N$17:N134)/N$320)</f>
        <v>0.10216492391980504</v>
      </c>
      <c r="R134" s="26">
        <f>IF(O$320=0,0,SUM(O$17:O134)/O$320)</f>
        <v>0</v>
      </c>
      <c r="S134" s="26">
        <f>SUM(P$17:P134)/P$320</f>
        <v>0.10216492391980504</v>
      </c>
    </row>
    <row r="135" spans="1:19" x14ac:dyDescent="0.4">
      <c r="A135" s="6">
        <f t="shared" si="70"/>
        <v>3.1770698916290354</v>
      </c>
      <c r="B135" s="25">
        <f t="shared" ref="B135:C135" si="129">C$4*EXP(-0.5*(LN($A135)-LN(C$5))^2/(LN(C$6))^2)/($A135*SQRT(2*PI())*LN(C$6))</f>
        <v>3.4815320817784419</v>
      </c>
      <c r="C135" s="25">
        <f t="shared" si="129"/>
        <v>0</v>
      </c>
      <c r="D135" s="27">
        <f t="shared" si="72"/>
        <v>3.4815320817784419</v>
      </c>
      <c r="E135" s="27"/>
      <c r="F135" s="26">
        <f t="shared" si="73"/>
        <v>0.38802074789085439</v>
      </c>
      <c r="G135" s="26">
        <f t="shared" si="73"/>
        <v>0</v>
      </c>
      <c r="H135" s="26">
        <f t="shared" si="73"/>
        <v>0.38802074789085439</v>
      </c>
      <c r="I135" s="26">
        <f>IF(F$320=0,0,SUM(F$17:F135)/F$320)</f>
        <v>0.10780311412038011</v>
      </c>
      <c r="J135" s="26">
        <f>IF(G$320=0,0,SUM(G$17:G135)/G$320)</f>
        <v>0</v>
      </c>
      <c r="K135" s="26">
        <f>SUM(H$17:H135)/H$320</f>
        <v>0.10780311412038011</v>
      </c>
      <c r="L135" s="26"/>
      <c r="M135" s="26"/>
      <c r="N135" s="27">
        <f t="shared" si="74"/>
        <v>0.3763961351662487</v>
      </c>
      <c r="O135" s="27">
        <f t="shared" si="75"/>
        <v>0</v>
      </c>
      <c r="P135" s="26">
        <f t="shared" si="76"/>
        <v>0.3763961351662487</v>
      </c>
      <c r="Q135" s="26">
        <f>IF(N$320=0,0,SUM(N$17:N135)/N$320)</f>
        <v>0.10594779965011911</v>
      </c>
      <c r="R135" s="26">
        <f>IF(O$320=0,0,SUM(O$17:O135)/O$320)</f>
        <v>0</v>
      </c>
      <c r="S135" s="26">
        <f>SUM(P$17:P135)/P$320</f>
        <v>0.10594779965011911</v>
      </c>
    </row>
    <row r="136" spans="1:19" x14ac:dyDescent="0.4">
      <c r="A136" s="6">
        <f t="shared" si="70"/>
        <v>3.2885210397950018</v>
      </c>
      <c r="B136" s="25">
        <f t="shared" ref="B136:C136" si="130">C$4*EXP(-0.5*(LN($A136)-LN(C$5))^2/(LN(C$6))^2)/($A136*SQRT(2*PI())*LN(C$6))</f>
        <v>3.4519632663499689</v>
      </c>
      <c r="C136" s="25">
        <f t="shared" si="130"/>
        <v>0</v>
      </c>
      <c r="D136" s="27">
        <f t="shared" si="72"/>
        <v>3.4519632663499689</v>
      </c>
      <c r="E136" s="27"/>
      <c r="F136" s="26">
        <f t="shared" si="73"/>
        <v>0.39822137577088024</v>
      </c>
      <c r="G136" s="26">
        <f t="shared" si="73"/>
        <v>0</v>
      </c>
      <c r="H136" s="26">
        <f t="shared" si="73"/>
        <v>0.39822137577088024</v>
      </c>
      <c r="I136" s="26">
        <f>IF(F$320=0,0,SUM(F$17:F136)/F$320)</f>
        <v>0.11173772251098492</v>
      </c>
      <c r="J136" s="26">
        <f>IF(G$320=0,0,SUM(G$17:G136)/G$320)</f>
        <v>0</v>
      </c>
      <c r="K136" s="26">
        <f>SUM(H$17:H136)/H$320</f>
        <v>0.11173772251098492</v>
      </c>
      <c r="L136" s="26"/>
      <c r="M136" s="26"/>
      <c r="N136" s="27">
        <f t="shared" si="74"/>
        <v>0.38637527962572249</v>
      </c>
      <c r="O136" s="27">
        <f t="shared" si="75"/>
        <v>0</v>
      </c>
      <c r="P136" s="26">
        <f t="shared" si="76"/>
        <v>0.38637527962572249</v>
      </c>
      <c r="Q136" s="26">
        <f>IF(N$320=0,0,SUM(N$17:N136)/N$320)</f>
        <v>0.1098309682895736</v>
      </c>
      <c r="R136" s="26">
        <f>IF(O$320=0,0,SUM(O$17:O136)/O$320)</f>
        <v>0</v>
      </c>
      <c r="S136" s="26">
        <f>SUM(P$17:P136)/P$320</f>
        <v>0.1098309682895736</v>
      </c>
    </row>
    <row r="137" spans="1:19" x14ac:dyDescent="0.4">
      <c r="A137" s="6">
        <f t="shared" si="70"/>
        <v>3.4038818779744737</v>
      </c>
      <c r="B137" s="25">
        <f t="shared" ref="B137:C137" si="131">C$4*EXP(-0.5*(LN($A137)-LN(C$5))^2/(LN(C$6))^2)/($A137*SQRT(2*PI())*LN(C$6))</f>
        <v>3.4211489857025024</v>
      </c>
      <c r="C137" s="25">
        <f t="shared" si="131"/>
        <v>0</v>
      </c>
      <c r="D137" s="27">
        <f t="shared" si="72"/>
        <v>3.4211489857025024</v>
      </c>
      <c r="E137" s="27"/>
      <c r="F137" s="26">
        <f t="shared" si="73"/>
        <v>0.40851146177109698</v>
      </c>
      <c r="G137" s="26">
        <f t="shared" si="73"/>
        <v>0</v>
      </c>
      <c r="H137" s="26">
        <f t="shared" si="73"/>
        <v>0.40851146177109698</v>
      </c>
      <c r="I137" s="26">
        <f>IF(F$320=0,0,SUM(F$17:F137)/F$320)</f>
        <v>0.11577400163344864</v>
      </c>
      <c r="J137" s="26">
        <f>IF(G$320=0,0,SUM(G$17:G137)/G$320)</f>
        <v>0</v>
      </c>
      <c r="K137" s="26">
        <f>SUM(H$17:H137)/H$320</f>
        <v>0.11577400163344864</v>
      </c>
      <c r="L137" s="26"/>
      <c r="M137" s="26"/>
      <c r="N137" s="27">
        <f t="shared" si="74"/>
        <v>0.39644557431972455</v>
      </c>
      <c r="O137" s="27">
        <f t="shared" si="75"/>
        <v>0</v>
      </c>
      <c r="P137" s="26">
        <f t="shared" si="76"/>
        <v>0.39644557431972455</v>
      </c>
      <c r="Q137" s="26">
        <f>IF(N$320=0,0,SUM(N$17:N137)/N$320)</f>
        <v>0.11381534592092761</v>
      </c>
      <c r="R137" s="26">
        <f>IF(O$320=0,0,SUM(O$17:O137)/O$320)</f>
        <v>0</v>
      </c>
      <c r="S137" s="26">
        <f>SUM(P$17:P137)/P$320</f>
        <v>0.11381534592092761</v>
      </c>
    </row>
    <row r="138" spans="1:19" x14ac:dyDescent="0.4">
      <c r="A138" s="6">
        <f t="shared" si="70"/>
        <v>3.5232895575225811</v>
      </c>
      <c r="B138" s="25">
        <f t="shared" ref="B138:C138" si="132">C$4*EXP(-0.5*(LN($A138)-LN(C$5))^2/(LN(C$6))^2)/($A138*SQRT(2*PI())*LN(C$6))</f>
        <v>3.3891271851829274</v>
      </c>
      <c r="C138" s="25">
        <f t="shared" si="132"/>
        <v>0</v>
      </c>
      <c r="D138" s="27">
        <f t="shared" si="72"/>
        <v>3.3891271851829274</v>
      </c>
      <c r="E138" s="27"/>
      <c r="F138" s="26">
        <f t="shared" si="73"/>
        <v>0.41888420229537487</v>
      </c>
      <c r="G138" s="26">
        <f t="shared" si="73"/>
        <v>0</v>
      </c>
      <c r="H138" s="26">
        <f t="shared" si="73"/>
        <v>0.41888420229537487</v>
      </c>
      <c r="I138" s="26">
        <f>IF(F$320=0,0,SUM(F$17:F138)/F$320)</f>
        <v>0.11991276815207837</v>
      </c>
      <c r="J138" s="26">
        <f>IF(G$320=0,0,SUM(G$17:G138)/G$320)</f>
        <v>0</v>
      </c>
      <c r="K138" s="26">
        <f>SUM(H$17:H138)/H$320</f>
        <v>0.11991276815207837</v>
      </c>
      <c r="L138" s="26"/>
      <c r="M138" s="26"/>
      <c r="N138" s="27">
        <f t="shared" si="74"/>
        <v>0.40660047377656522</v>
      </c>
      <c r="O138" s="27">
        <f t="shared" si="75"/>
        <v>0</v>
      </c>
      <c r="P138" s="26">
        <f t="shared" si="76"/>
        <v>0.40660047377656522</v>
      </c>
      <c r="Q138" s="26">
        <f>IF(N$320=0,0,SUM(N$17:N138)/N$320)</f>
        <v>0.11790178284330514</v>
      </c>
      <c r="R138" s="26">
        <f>IF(O$320=0,0,SUM(O$17:O138)/O$320)</f>
        <v>0</v>
      </c>
      <c r="S138" s="26">
        <f>SUM(P$17:P138)/P$320</f>
        <v>0.11790178284330514</v>
      </c>
    </row>
    <row r="139" spans="1:19" x14ac:dyDescent="0.4">
      <c r="A139" s="6">
        <f t="shared" si="70"/>
        <v>3.6468860410439765</v>
      </c>
      <c r="B139" s="25">
        <f t="shared" ref="B139:C139" si="133">C$4*EXP(-0.5*(LN($A139)-LN(C$5))^2/(LN(C$6))^2)/($A139*SQRT(2*PI())*LN(C$6))</f>
        <v>3.355937039930418</v>
      </c>
      <c r="C139" s="25">
        <f t="shared" si="133"/>
        <v>0</v>
      </c>
      <c r="D139" s="27">
        <f t="shared" si="72"/>
        <v>3.355937039930418</v>
      </c>
      <c r="E139" s="27"/>
      <c r="F139" s="26">
        <f t="shared" si="73"/>
        <v>0.4293325096833997</v>
      </c>
      <c r="G139" s="26">
        <f t="shared" si="73"/>
        <v>0</v>
      </c>
      <c r="H139" s="26">
        <f t="shared" si="73"/>
        <v>0.4293325096833997</v>
      </c>
      <c r="I139" s="26">
        <f>IF(F$320=0,0,SUM(F$17:F139)/F$320)</f>
        <v>0.12415476870187217</v>
      </c>
      <c r="J139" s="26">
        <f>IF(G$320=0,0,SUM(G$17:G139)/G$320)</f>
        <v>0</v>
      </c>
      <c r="K139" s="26">
        <f>SUM(H$17:H139)/H$320</f>
        <v>0.12415476870187217</v>
      </c>
      <c r="L139" s="26"/>
      <c r="M139" s="26"/>
      <c r="N139" s="27">
        <f t="shared" si="74"/>
        <v>0.41683315101094104</v>
      </c>
      <c r="O139" s="27">
        <f t="shared" si="75"/>
        <v>0</v>
      </c>
      <c r="P139" s="26">
        <f t="shared" si="76"/>
        <v>0.41683315101094104</v>
      </c>
      <c r="Q139" s="26">
        <f>IF(N$320=0,0,SUM(N$17:N139)/N$320)</f>
        <v>0.12209106074291259</v>
      </c>
      <c r="R139" s="26">
        <f>IF(O$320=0,0,SUM(O$17:O139)/O$320)</f>
        <v>0</v>
      </c>
      <c r="S139" s="26">
        <f>SUM(P$17:P139)/P$320</f>
        <v>0.12209106074291259</v>
      </c>
    </row>
    <row r="140" spans="1:19" x14ac:dyDescent="0.4">
      <c r="A140" s="6">
        <f t="shared" si="70"/>
        <v>3.7748182711707674</v>
      </c>
      <c r="B140" s="25">
        <f t="shared" ref="B140:C140" si="134">C$4*EXP(-0.5*(LN($A140)-LN(C$5))^2/(LN(C$6))^2)/($A140*SQRT(2*PI())*LN(C$6))</f>
        <v>3.3216188751766098</v>
      </c>
      <c r="C140" s="25">
        <f t="shared" si="134"/>
        <v>0</v>
      </c>
      <c r="D140" s="27">
        <f t="shared" si="72"/>
        <v>3.3216188751766098</v>
      </c>
      <c r="E140" s="27"/>
      <c r="F140" s="26">
        <f t="shared" si="73"/>
        <v>0.43984901755090844</v>
      </c>
      <c r="G140" s="26">
        <f t="shared" si="73"/>
        <v>0</v>
      </c>
      <c r="H140" s="26">
        <f t="shared" si="73"/>
        <v>0.43984901755090844</v>
      </c>
      <c r="I140" s="26">
        <f>IF(F$320=0,0,SUM(F$17:F140)/F$320)</f>
        <v>0.12850067713459984</v>
      </c>
      <c r="J140" s="26">
        <f>IF(G$320=0,0,SUM(G$17:G140)/G$320)</f>
        <v>0</v>
      </c>
      <c r="K140" s="26">
        <f>SUM(H$17:H140)/H$320</f>
        <v>0.12850067713459984</v>
      </c>
      <c r="L140" s="26"/>
      <c r="M140" s="26"/>
      <c r="N140" s="27">
        <f t="shared" si="74"/>
        <v>0.42713650240525508</v>
      </c>
      <c r="O140" s="27">
        <f t="shared" si="75"/>
        <v>0</v>
      </c>
      <c r="P140" s="26">
        <f t="shared" si="76"/>
        <v>0.42713650240525508</v>
      </c>
      <c r="Q140" s="26">
        <f>IF(N$320=0,0,SUM(N$17:N140)/N$320)</f>
        <v>0.12638388991281463</v>
      </c>
      <c r="R140" s="26">
        <f>IF(O$320=0,0,SUM(O$17:O140)/O$320)</f>
        <v>0</v>
      </c>
      <c r="S140" s="26">
        <f>SUM(P$17:P140)/P$320</f>
        <v>0.12638388991281463</v>
      </c>
    </row>
    <row r="141" spans="1:19" x14ac:dyDescent="0.4">
      <c r="A141" s="6">
        <f t="shared" si="70"/>
        <v>3.9072383452611525</v>
      </c>
      <c r="B141" s="25">
        <f t="shared" ref="B141:C141" si="135">C$4*EXP(-0.5*(LN($A141)-LN(C$5))^2/(LN(C$6))^2)/($A141*SQRT(2*PI())*LN(C$6))</f>
        <v>3.2862140848069323</v>
      </c>
      <c r="C141" s="25">
        <f t="shared" si="135"/>
        <v>0</v>
      </c>
      <c r="D141" s="27">
        <f t="shared" si="72"/>
        <v>3.2862140848069323</v>
      </c>
      <c r="E141" s="27"/>
      <c r="F141" s="26">
        <f t="shared" si="73"/>
        <v>0.45042608688119523</v>
      </c>
      <c r="G141" s="26">
        <f t="shared" si="73"/>
        <v>0</v>
      </c>
      <c r="H141" s="26">
        <f t="shared" si="73"/>
        <v>0.45042608688119523</v>
      </c>
      <c r="I141" s="26">
        <f>IF(F$320=0,0,SUM(F$17:F141)/F$320)</f>
        <v>0.13295109182507017</v>
      </c>
      <c r="J141" s="26">
        <f>IF(G$320=0,0,SUM(G$17:G141)/G$320)</f>
        <v>0</v>
      </c>
      <c r="K141" s="26">
        <f>SUM(H$17:H141)/H$320</f>
        <v>0.13295109182507017</v>
      </c>
      <c r="L141" s="26"/>
      <c r="M141" s="26"/>
      <c r="N141" s="27">
        <f t="shared" si="74"/>
        <v>0.43750315332724277</v>
      </c>
      <c r="O141" s="27">
        <f t="shared" si="75"/>
        <v>0</v>
      </c>
      <c r="P141" s="26">
        <f t="shared" si="76"/>
        <v>0.43750315332724277</v>
      </c>
      <c r="Q141" s="26">
        <f>IF(N$320=0,0,SUM(N$17:N141)/N$320)</f>
        <v>0.13078090652916882</v>
      </c>
      <c r="R141" s="26">
        <f>IF(O$320=0,0,SUM(O$17:O141)/O$320)</f>
        <v>0</v>
      </c>
      <c r="S141" s="26">
        <f>SUM(P$17:P141)/P$320</f>
        <v>0.13078090652916882</v>
      </c>
    </row>
    <row r="142" spans="1:19" x14ac:dyDescent="0.4">
      <c r="A142" s="6">
        <f t="shared" si="70"/>
        <v>4.0443036962264589</v>
      </c>
      <c r="B142" s="25">
        <f t="shared" ref="B142:C142" si="136">C$4*EXP(-0.5*(LN($A142)-LN(C$5))^2/(LN(C$6))^2)/($A142*SQRT(2*PI())*LN(C$6))</f>
        <v>3.2497650484126934</v>
      </c>
      <c r="C142" s="25">
        <f t="shared" si="136"/>
        <v>0</v>
      </c>
      <c r="D142" s="27">
        <f t="shared" si="72"/>
        <v>3.2497650484126934</v>
      </c>
      <c r="E142" s="27"/>
      <c r="F142" s="26">
        <f t="shared" si="73"/>
        <v>0.46105581287048009</v>
      </c>
      <c r="G142" s="26">
        <f t="shared" si="73"/>
        <v>0</v>
      </c>
      <c r="H142" s="26">
        <f t="shared" si="73"/>
        <v>0.46105581287048009</v>
      </c>
      <c r="I142" s="26">
        <f>IF(F$320=0,0,SUM(F$17:F142)/F$320)</f>
        <v>0.13750653304503385</v>
      </c>
      <c r="J142" s="26">
        <f>IF(G$320=0,0,SUM(G$17:G142)/G$320)</f>
        <v>0</v>
      </c>
      <c r="K142" s="26">
        <f>SUM(H$17:H142)/H$320</f>
        <v>0.13750653304503385</v>
      </c>
      <c r="L142" s="26"/>
      <c r="M142" s="26"/>
      <c r="N142" s="27">
        <f t="shared" si="74"/>
        <v>0.44792546448737258</v>
      </c>
      <c r="O142" s="27">
        <f t="shared" si="75"/>
        <v>0</v>
      </c>
      <c r="P142" s="26">
        <f t="shared" si="76"/>
        <v>0.44792546448737258</v>
      </c>
      <c r="Q142" s="26">
        <f>IF(N$320=0,0,SUM(N$17:N142)/N$320)</f>
        <v>0.13528266999135347</v>
      </c>
      <c r="R142" s="26">
        <f>IF(O$320=0,0,SUM(O$17:O142)/O$320)</f>
        <v>0</v>
      </c>
      <c r="S142" s="26">
        <f>SUM(P$17:P142)/P$320</f>
        <v>0.13528266999135347</v>
      </c>
    </row>
    <row r="143" spans="1:19" x14ac:dyDescent="0.4">
      <c r="A143" s="6">
        <f t="shared" si="70"/>
        <v>4.1861772797015711</v>
      </c>
      <c r="B143" s="25">
        <f t="shared" ref="B143:C143" si="137">C$4*EXP(-0.5*(LN($A143)-LN(C$5))^2/(LN(C$6))^2)/($A143*SQRT(2*PI())*LN(C$6))</f>
        <v>3.2123150470657871</v>
      </c>
      <c r="C143" s="25">
        <f t="shared" si="137"/>
        <v>0</v>
      </c>
      <c r="D143" s="27">
        <f t="shared" si="72"/>
        <v>3.2123150470657871</v>
      </c>
      <c r="E143" s="27"/>
      <c r="F143" s="26">
        <f t="shared" si="73"/>
        <v>0.47173003252735218</v>
      </c>
      <c r="G143" s="26">
        <f t="shared" si="73"/>
        <v>0</v>
      </c>
      <c r="H143" s="26">
        <f t="shared" si="73"/>
        <v>0.47173003252735218</v>
      </c>
      <c r="I143" s="26">
        <f>IF(F$320=0,0,SUM(F$17:F143)/F$320)</f>
        <v>0.14216744041217202</v>
      </c>
      <c r="J143" s="26">
        <f>IF(G$320=0,0,SUM(G$17:G143)/G$320)</f>
        <v>0</v>
      </c>
      <c r="K143" s="26">
        <f>SUM(H$17:H143)/H$320</f>
        <v>0.14216744041217202</v>
      </c>
      <c r="L143" s="26"/>
      <c r="M143" s="26"/>
      <c r="N143" s="27">
        <f t="shared" si="74"/>
        <v>0.4583955390376232</v>
      </c>
      <c r="O143" s="27">
        <f t="shared" si="75"/>
        <v>0</v>
      </c>
      <c r="P143" s="26">
        <f t="shared" si="76"/>
        <v>0.4583955390376232</v>
      </c>
      <c r="Q143" s="26">
        <f>IF(N$320=0,0,SUM(N$17:N143)/N$320)</f>
        <v>0.13988966033344014</v>
      </c>
      <c r="R143" s="26">
        <f>IF(O$320=0,0,SUM(O$17:O143)/O$320)</f>
        <v>0</v>
      </c>
      <c r="S143" s="26">
        <f>SUM(P$17:P143)/P$320</f>
        <v>0.13988966033344014</v>
      </c>
    </row>
    <row r="144" spans="1:19" x14ac:dyDescent="0.4">
      <c r="A144" s="6">
        <f t="shared" si="70"/>
        <v>4.3330277677812639</v>
      </c>
      <c r="B144" s="25">
        <f t="shared" ref="B144:C144" si="138">C$4*EXP(-0.5*(LN($A144)-LN(C$5))^2/(LN(C$6))^2)/($A144*SQRT(2*PI())*LN(C$6))</f>
        <v>3.1739081780493863</v>
      </c>
      <c r="C144" s="25">
        <f t="shared" si="138"/>
        <v>0</v>
      </c>
      <c r="D144" s="27">
        <f t="shared" si="72"/>
        <v>3.1739081780493863</v>
      </c>
      <c r="E144" s="27"/>
      <c r="F144" s="26">
        <f t="shared" si="73"/>
        <v>0.48244033302433093</v>
      </c>
      <c r="G144" s="26">
        <f t="shared" si="73"/>
        <v>0</v>
      </c>
      <c r="H144" s="26">
        <f t="shared" si="73"/>
        <v>0.48244033302433093</v>
      </c>
      <c r="I144" s="26">
        <f>IF(F$320=0,0,SUM(F$17:F144)/F$320)</f>
        <v>0.14693417042160239</v>
      </c>
      <c r="J144" s="26">
        <f>IF(G$320=0,0,SUM(G$17:G144)/G$320)</f>
        <v>0</v>
      </c>
      <c r="K144" s="26">
        <f>SUM(H$17:H144)/H$320</f>
        <v>0.14693417042160239</v>
      </c>
      <c r="L144" s="26"/>
      <c r="M144" s="26"/>
      <c r="N144" s="27">
        <f t="shared" si="74"/>
        <v>0.46890523041042964</v>
      </c>
      <c r="O144" s="27">
        <f t="shared" si="75"/>
        <v>0</v>
      </c>
      <c r="P144" s="26">
        <f t="shared" si="76"/>
        <v>0.46890523041042964</v>
      </c>
      <c r="Q144" s="26">
        <f>IF(N$320=0,0,SUM(N$17:N144)/N$320)</f>
        <v>0.14460227571444947</v>
      </c>
      <c r="R144" s="26">
        <f>IF(O$320=0,0,SUM(O$17:O144)/O$320)</f>
        <v>0</v>
      </c>
      <c r="S144" s="26">
        <f>SUM(P$17:P144)/P$320</f>
        <v>0.14460227571444947</v>
      </c>
    </row>
    <row r="145" spans="1:19" x14ac:dyDescent="0.4">
      <c r="A145" s="6">
        <f t="shared" si="70"/>
        <v>4.4850297495527807</v>
      </c>
      <c r="B145" s="25">
        <f t="shared" ref="B145:C145" si="139">C$4*EXP(-0.5*(LN($A145)-LN(C$5))^2/(LN(C$6))^2)/($A145*SQRT(2*PI())*LN(C$6))</f>
        <v>3.1345892687785928</v>
      </c>
      <c r="C145" s="25">
        <f t="shared" si="139"/>
        <v>0</v>
      </c>
      <c r="D145" s="27">
        <f t="shared" si="72"/>
        <v>3.1345892687785928</v>
      </c>
      <c r="E145" s="27"/>
      <c r="F145" s="26">
        <f t="shared" si="73"/>
        <v>0.49317806079709592</v>
      </c>
      <c r="G145" s="26">
        <f t="shared" si="73"/>
        <v>0</v>
      </c>
      <c r="H145" s="26">
        <f t="shared" si="73"/>
        <v>0.49317806079709592</v>
      </c>
      <c r="I145" s="26">
        <f>IF(F$320=0,0,SUM(F$17:F145)/F$320)</f>
        <v>0.15180699406728965</v>
      </c>
      <c r="J145" s="26">
        <f>IF(G$320=0,0,SUM(G$17:G145)/G$320)</f>
        <v>0</v>
      </c>
      <c r="K145" s="26">
        <f>SUM(H$17:H145)/H$320</f>
        <v>0.15180699406728965</v>
      </c>
      <c r="L145" s="26"/>
      <c r="M145" s="26"/>
      <c r="N145" s="27">
        <f t="shared" si="74"/>
        <v>0.47944615089507425</v>
      </c>
      <c r="O145" s="27">
        <f t="shared" si="75"/>
        <v>0</v>
      </c>
      <c r="P145" s="26">
        <f t="shared" si="76"/>
        <v>0.47944615089507425</v>
      </c>
      <c r="Q145" s="26">
        <f>IF(N$320=0,0,SUM(N$17:N145)/N$320)</f>
        <v>0.14942082999480197</v>
      </c>
      <c r="R145" s="26">
        <f>IF(O$320=0,0,SUM(O$17:O145)/O$320)</f>
        <v>0</v>
      </c>
      <c r="S145" s="26">
        <f>SUM(P$17:P145)/P$320</f>
        <v>0.14942082999480197</v>
      </c>
    </row>
    <row r="146" spans="1:19" x14ac:dyDescent="0.4">
      <c r="A146" s="6">
        <f t="shared" ref="A146:A209" si="140">10^((LOG(A$318)-LOG(A$17))/301+LOG(A145))</f>
        <v>4.6423639386630704</v>
      </c>
      <c r="B146" s="25">
        <f t="shared" ref="B146:C146" si="141">C$4*EXP(-0.5*(LN($A146)-LN(C$5))^2/(LN(C$6))^2)/($A146*SQRT(2*PI())*LN(C$6))</f>
        <v>3.0944037901448533</v>
      </c>
      <c r="C146" s="25">
        <f t="shared" si="141"/>
        <v>0</v>
      </c>
      <c r="D146" s="27">
        <f t="shared" ref="D146:D209" si="142">B146+C146</f>
        <v>3.0944037901448533</v>
      </c>
      <c r="E146" s="27"/>
      <c r="F146" s="26">
        <f t="shared" ref="F146:H209" si="143">B146*($A147-$A146)</f>
        <v>0.50393433138449928</v>
      </c>
      <c r="G146" s="26">
        <f t="shared" si="143"/>
        <v>0</v>
      </c>
      <c r="H146" s="26">
        <f t="shared" si="143"/>
        <v>0.50393433138449928</v>
      </c>
      <c r="I146" s="26">
        <f>IF(F$320=0,0,SUM(F$17:F146)/F$320)</f>
        <v>0.15678609456067974</v>
      </c>
      <c r="J146" s="26">
        <f>IF(G$320=0,0,SUM(G$17:G146)/G$320)</f>
        <v>0</v>
      </c>
      <c r="K146" s="26">
        <f>SUM(H$17:H146)/H$320</f>
        <v>0.15678609456067974</v>
      </c>
      <c r="L146" s="26"/>
      <c r="M146" s="26"/>
      <c r="N146" s="27">
        <f t="shared" ref="N146:N209" si="144">C$4*((NORMDIST(LN($A146),LN(C$5),LN(C$6),TRUE))-(NORMDIST(LN($A145),LN(C$5),LN(C$6),TRUE)))</f>
        <v>0.49000968094562725</v>
      </c>
      <c r="O146" s="27">
        <f t="shared" ref="O146:O209" si="145">D$4*((NORMDIST(LN($A146),LN(D$5),LN(D$6),TRUE))-(NORMDIST(LN($A145),LN(D$5),LN(D$6),TRUE)))</f>
        <v>0</v>
      </c>
      <c r="P146" s="26">
        <f t="shared" ref="P146:P209" si="146">N146+O146</f>
        <v>0.49000968094562725</v>
      </c>
      <c r="Q146" s="26">
        <f>IF(N$320=0,0,SUM(N$17:N146)/N$320)</f>
        <v>0.15434555040631581</v>
      </c>
      <c r="R146" s="26">
        <f>IF(O$320=0,0,SUM(O$17:O146)/O$320)</f>
        <v>0</v>
      </c>
      <c r="S146" s="26">
        <f>SUM(P$17:P146)/P$320</f>
        <v>0.15434555040631581</v>
      </c>
    </row>
    <row r="147" spans="1:19" x14ac:dyDescent="0.4">
      <c r="A147" s="6">
        <f t="shared" si="140"/>
        <v>4.8052173881674447</v>
      </c>
      <c r="B147" s="25">
        <f t="shared" ref="B147:C147" si="147">C$4*EXP(-0.5*(LN($A147)-LN(C$5))^2/(LN(C$6))^2)/($A147*SQRT(2*PI())*LN(C$6))</f>
        <v>3.0533977695169816</v>
      </c>
      <c r="C147" s="25">
        <f t="shared" si="147"/>
        <v>0</v>
      </c>
      <c r="D147" s="27">
        <f t="shared" si="142"/>
        <v>3.0533977695169816</v>
      </c>
      <c r="E147" s="27"/>
      <c r="F147" s="26">
        <f t="shared" si="143"/>
        <v>0.51470004000015335</v>
      </c>
      <c r="G147" s="26">
        <f t="shared" si="143"/>
        <v>0</v>
      </c>
      <c r="H147" s="26">
        <f t="shared" si="143"/>
        <v>0.51470004000015335</v>
      </c>
      <c r="I147" s="26">
        <f>IF(F$320=0,0,SUM(F$17:F147)/F$320)</f>
        <v>0.16187156515378623</v>
      </c>
      <c r="J147" s="26">
        <f>IF(G$320=0,0,SUM(G$17:G147)/G$320)</f>
        <v>0</v>
      </c>
      <c r="K147" s="26">
        <f>SUM(H$17:H147)/H$320</f>
        <v>0.16187156515378623</v>
      </c>
      <c r="L147" s="26"/>
      <c r="M147" s="26"/>
      <c r="N147" s="27">
        <f t="shared" si="144"/>
        <v>0.50058697921267492</v>
      </c>
      <c r="O147" s="27">
        <f t="shared" si="145"/>
        <v>0</v>
      </c>
      <c r="P147" s="26">
        <f t="shared" si="146"/>
        <v>0.50058697921267492</v>
      </c>
      <c r="Q147" s="26">
        <f>IF(N$320=0,0,SUM(N$17:N147)/N$320)</f>
        <v>0.1593765753230261</v>
      </c>
      <c r="R147" s="26">
        <f>IF(O$320=0,0,SUM(O$17:O147)/O$320)</f>
        <v>0</v>
      </c>
      <c r="S147" s="26">
        <f>SUM(P$17:P147)/P$320</f>
        <v>0.1593765753230261</v>
      </c>
    </row>
    <row r="148" spans="1:19" x14ac:dyDescent="0.4">
      <c r="A148" s="6">
        <f t="shared" si="140"/>
        <v>4.9737837129150959</v>
      </c>
      <c r="B148" s="25">
        <f t="shared" ref="B148:C148" si="148">C$4*EXP(-0.5*(LN($A148)-LN(C$5))^2/(LN(C$6))^2)/($A148*SQRT(2*PI())*LN(C$6))</f>
        <v>3.0116177036297791</v>
      </c>
      <c r="C148" s="25">
        <f t="shared" si="148"/>
        <v>0</v>
      </c>
      <c r="D148" s="27">
        <f t="shared" si="142"/>
        <v>3.0116177036297791</v>
      </c>
      <c r="E148" s="27"/>
      <c r="F148" s="26">
        <f t="shared" si="143"/>
        <v>0.52546587282381918</v>
      </c>
      <c r="G148" s="26">
        <f t="shared" si="143"/>
        <v>0</v>
      </c>
      <c r="H148" s="26">
        <f t="shared" si="143"/>
        <v>0.52546587282381918</v>
      </c>
      <c r="I148" s="26">
        <f>IF(F$320=0,0,SUM(F$17:F148)/F$320)</f>
        <v>0.16706340707384085</v>
      </c>
      <c r="J148" s="26">
        <f>IF(G$320=0,0,SUM(G$17:G148)/G$320)</f>
        <v>0</v>
      </c>
      <c r="K148" s="26">
        <f>SUM(H$17:H148)/H$320</f>
        <v>0.16706340707384085</v>
      </c>
      <c r="L148" s="26"/>
      <c r="M148" s="26"/>
      <c r="N148" s="27">
        <f t="shared" si="144"/>
        <v>0.51116899328848275</v>
      </c>
      <c r="O148" s="27">
        <f t="shared" si="145"/>
        <v>0</v>
      </c>
      <c r="P148" s="26">
        <f t="shared" si="146"/>
        <v>0.51116899328848275</v>
      </c>
      <c r="Q148" s="26">
        <f>IF(N$320=0,0,SUM(N$17:N148)/N$320)</f>
        <v>0.16451395213999578</v>
      </c>
      <c r="R148" s="26">
        <f>IF(O$320=0,0,SUM(O$17:O148)/O$320)</f>
        <v>0</v>
      </c>
      <c r="S148" s="26">
        <f>SUM(P$17:P148)/P$320</f>
        <v>0.16451395213999578</v>
      </c>
    </row>
    <row r="149" spans="1:19" x14ac:dyDescent="0.4">
      <c r="A149" s="6">
        <f t="shared" si="140"/>
        <v>5.1482633197358743</v>
      </c>
      <c r="B149" s="25">
        <f t="shared" ref="B149:C149" si="149">C$4*EXP(-0.5*(LN($A149)-LN(C$5))^2/(LN(C$6))^2)/($A149*SQRT(2*PI())*LN(C$6))</f>
        <v>2.9691104715887366</v>
      </c>
      <c r="C149" s="25">
        <f t="shared" si="149"/>
        <v>0</v>
      </c>
      <c r="D149" s="27">
        <f t="shared" si="142"/>
        <v>2.9691104715887366</v>
      </c>
      <c r="E149" s="27"/>
      <c r="F149" s="26">
        <f t="shared" si="143"/>
        <v>0.53622231899829331</v>
      </c>
      <c r="G149" s="26">
        <f t="shared" si="143"/>
        <v>0</v>
      </c>
      <c r="H149" s="26">
        <f t="shared" si="143"/>
        <v>0.53622231899829331</v>
      </c>
      <c r="I149" s="26">
        <f>IF(F$320=0,0,SUM(F$17:F149)/F$320)</f>
        <v>0.17236152757647843</v>
      </c>
      <c r="J149" s="26">
        <f>IF(G$320=0,0,SUM(G$17:G149)/G$320)</f>
        <v>0</v>
      </c>
      <c r="K149" s="26">
        <f>SUM(H$17:H149)/H$320</f>
        <v>0.17236152757647843</v>
      </c>
      <c r="L149" s="26"/>
      <c r="M149" s="26"/>
      <c r="N149" s="27">
        <f t="shared" si="144"/>
        <v>0.52174647115289241</v>
      </c>
      <c r="O149" s="27">
        <f t="shared" si="145"/>
        <v>0</v>
      </c>
      <c r="P149" s="26">
        <f t="shared" si="146"/>
        <v>0.52174647115289241</v>
      </c>
      <c r="Q149" s="26">
        <f>IF(N$320=0,0,SUM(N$17:N149)/N$320)</f>
        <v>0.16975763526716051</v>
      </c>
      <c r="R149" s="26">
        <f>IF(O$320=0,0,SUM(O$17:O149)/O$320)</f>
        <v>0</v>
      </c>
      <c r="S149" s="26">
        <f>SUM(P$17:P149)/P$320</f>
        <v>0.16975763526716051</v>
      </c>
    </row>
    <row r="150" spans="1:19" x14ac:dyDescent="0.4">
      <c r="A150" s="6">
        <f t="shared" si="140"/>
        <v>5.3288636457019765</v>
      </c>
      <c r="B150" s="25">
        <f t="shared" ref="B150:C150" si="150">C$4*EXP(-0.5*(LN($A150)-LN(C$5))^2/(LN(C$6))^2)/($A150*SQRT(2*PI())*LN(C$6))</f>
        <v>2.9259232482159381</v>
      </c>
      <c r="C150" s="25">
        <f t="shared" si="150"/>
        <v>0</v>
      </c>
      <c r="D150" s="27">
        <f t="shared" si="142"/>
        <v>2.9259232482159381</v>
      </c>
      <c r="E150" s="27"/>
      <c r="F150" s="26">
        <f t="shared" si="143"/>
        <v>0.54695968331511746</v>
      </c>
      <c r="G150" s="26">
        <f t="shared" si="143"/>
        <v>0</v>
      </c>
      <c r="H150" s="26">
        <f t="shared" si="143"/>
        <v>0.54695968331511746</v>
      </c>
      <c r="I150" s="26">
        <f>IF(F$320=0,0,SUM(F$17:F150)/F$320)</f>
        <v>0.17776573812426283</v>
      </c>
      <c r="J150" s="26">
        <f>IF(G$320=0,0,SUM(G$17:G150)/G$320)</f>
        <v>0</v>
      </c>
      <c r="K150" s="26">
        <f>SUM(H$17:H150)/H$320</f>
        <v>0.17776573812426283</v>
      </c>
      <c r="L150" s="26"/>
      <c r="M150" s="26"/>
      <c r="N150" s="27">
        <f t="shared" si="144"/>
        <v>0.53230997330443452</v>
      </c>
      <c r="O150" s="27">
        <f t="shared" si="145"/>
        <v>0</v>
      </c>
      <c r="P150" s="26">
        <f t="shared" si="146"/>
        <v>0.53230997330443452</v>
      </c>
      <c r="Q150" s="26">
        <f>IF(N$320=0,0,SUM(N$17:N150)/N$320)</f>
        <v>0.17510748424509454</v>
      </c>
      <c r="R150" s="26">
        <f>IF(O$320=0,0,SUM(O$17:O150)/O$320)</f>
        <v>0</v>
      </c>
      <c r="S150" s="26">
        <f>SUM(P$17:P150)/P$320</f>
        <v>0.17510748424509454</v>
      </c>
    </row>
    <row r="151" spans="1:19" x14ac:dyDescent="0.4">
      <c r="A151" s="6">
        <f t="shared" si="140"/>
        <v>5.5157994047478169</v>
      </c>
      <c r="B151" s="25">
        <f t="shared" ref="B151:C151" si="151">C$4*EXP(-0.5*(LN($A151)-LN(C$5))^2/(LN(C$6))^2)/($A151*SQRT(2*PI())*LN(C$6))</f>
        <v>2.8821034179582243</v>
      </c>
      <c r="C151" s="25">
        <f t="shared" si="151"/>
        <v>0</v>
      </c>
      <c r="D151" s="27">
        <f t="shared" si="142"/>
        <v>2.8821034179582243</v>
      </c>
      <c r="E151" s="27"/>
      <c r="F151" s="26">
        <f t="shared" si="143"/>
        <v>0.5576680995699218</v>
      </c>
      <c r="G151" s="26">
        <f t="shared" si="143"/>
        <v>0</v>
      </c>
      <c r="H151" s="26">
        <f t="shared" si="143"/>
        <v>0.5576680995699218</v>
      </c>
      <c r="I151" s="26">
        <f>IF(F$320=0,0,SUM(F$17:F151)/F$320)</f>
        <v>0.18327575269716939</v>
      </c>
      <c r="J151" s="26">
        <f>IF(G$320=0,0,SUM(G$17:G151)/G$320)</f>
        <v>0</v>
      </c>
      <c r="K151" s="26">
        <f>SUM(H$17:H151)/H$320</f>
        <v>0.18327575269716939</v>
      </c>
      <c r="L151" s="26"/>
      <c r="M151" s="26"/>
      <c r="N151" s="27">
        <f t="shared" si="144"/>
        <v>0.54284988555951263</v>
      </c>
      <c r="O151" s="27">
        <f t="shared" si="145"/>
        <v>0</v>
      </c>
      <c r="P151" s="26">
        <f t="shared" si="146"/>
        <v>0.54284988555951263</v>
      </c>
      <c r="Q151" s="26">
        <f>IF(N$320=0,0,SUM(N$17:N151)/N$320)</f>
        <v>0.18056326198941122</v>
      </c>
      <c r="R151" s="26">
        <f>IF(O$320=0,0,SUM(O$17:O151)/O$320)</f>
        <v>0</v>
      </c>
      <c r="S151" s="26">
        <f>SUM(P$17:P151)/P$320</f>
        <v>0.18056326198941122</v>
      </c>
    </row>
    <row r="152" spans="1:19" x14ac:dyDescent="0.4">
      <c r="A152" s="6">
        <f t="shared" si="140"/>
        <v>5.7092928429412986</v>
      </c>
      <c r="B152" s="25">
        <f t="shared" ref="B152:C152" si="152">C$4*EXP(-0.5*(LN($A152)-LN(C$5))^2/(LN(C$6))^2)/($A152*SQRT(2*PI())*LN(C$6))</f>
        <v>2.8376984895738926</v>
      </c>
      <c r="C152" s="25">
        <f t="shared" si="152"/>
        <v>0</v>
      </c>
      <c r="D152" s="27">
        <f t="shared" si="142"/>
        <v>2.8376984895738926</v>
      </c>
      <c r="E152" s="27"/>
      <c r="F152" s="26">
        <f t="shared" si="143"/>
        <v>0.56833754456562136</v>
      </c>
      <c r="G152" s="26">
        <f t="shared" si="143"/>
        <v>0</v>
      </c>
      <c r="H152" s="26">
        <f t="shared" si="143"/>
        <v>0.56833754456562136</v>
      </c>
      <c r="I152" s="26">
        <f>IF(F$320=0,0,SUM(F$17:F152)/F$320)</f>
        <v>0.18889118624142551</v>
      </c>
      <c r="J152" s="26">
        <f>IF(G$320=0,0,SUM(G$17:G152)/G$320)</f>
        <v>0</v>
      </c>
      <c r="K152" s="26">
        <f>SUM(H$17:H152)/H$320</f>
        <v>0.18889118624142551</v>
      </c>
      <c r="L152" s="26"/>
      <c r="M152" s="26"/>
      <c r="N152" s="27">
        <f t="shared" si="144"/>
        <v>0.55335643249893596</v>
      </c>
      <c r="O152" s="27">
        <f t="shared" si="145"/>
        <v>0</v>
      </c>
      <c r="P152" s="26">
        <f t="shared" si="146"/>
        <v>0.55335643249893596</v>
      </c>
      <c r="Q152" s="26">
        <f>IF(N$320=0,0,SUM(N$17:N152)/N$320)</f>
        <v>0.18612463317030506</v>
      </c>
      <c r="R152" s="26">
        <f>IF(O$320=0,0,SUM(O$17:O152)/O$320)</f>
        <v>0</v>
      </c>
      <c r="S152" s="26">
        <f>SUM(P$17:P152)/P$320</f>
        <v>0.18612463317030506</v>
      </c>
    </row>
    <row r="153" spans="1:19" x14ac:dyDescent="0.4">
      <c r="A153" s="6">
        <f t="shared" si="140"/>
        <v>5.9095740027099541</v>
      </c>
      <c r="B153" s="25">
        <f t="shared" ref="B153:C153" si="153">C$4*EXP(-0.5*(LN($A153)-LN(C$5))^2/(LN(C$6))^2)/($A153*SQRT(2*PI())*LN(C$6))</f>
        <v>2.7927560118087604</v>
      </c>
      <c r="C153" s="25">
        <f t="shared" si="153"/>
        <v>0</v>
      </c>
      <c r="D153" s="27">
        <f t="shared" si="142"/>
        <v>2.7927560118087604</v>
      </c>
      <c r="E153" s="27"/>
      <c r="F153" s="26">
        <f t="shared" si="143"/>
        <v>0.57895785273942157</v>
      </c>
      <c r="G153" s="26">
        <f t="shared" si="143"/>
        <v>0</v>
      </c>
      <c r="H153" s="26">
        <f t="shared" si="143"/>
        <v>0.57895785273942157</v>
      </c>
      <c r="I153" s="26">
        <f>IF(F$320=0,0,SUM(F$17:F153)/F$320)</f>
        <v>0.19461155326287269</v>
      </c>
      <c r="J153" s="26">
        <f>IF(G$320=0,0,SUM(G$17:G153)/G$320)</f>
        <v>0</v>
      </c>
      <c r="K153" s="26">
        <f>SUM(H$17:H153)/H$320</f>
        <v>0.19461155326287269</v>
      </c>
      <c r="L153" s="26"/>
      <c r="M153" s="26"/>
      <c r="N153" s="27">
        <f t="shared" si="144"/>
        <v>0.56381969153982969</v>
      </c>
      <c r="O153" s="27">
        <f t="shared" si="145"/>
        <v>0</v>
      </c>
      <c r="P153" s="26">
        <f t="shared" si="146"/>
        <v>0.56381969153982969</v>
      </c>
      <c r="Q153" s="26">
        <f>IF(N$320=0,0,SUM(N$17:N153)/N$320)</f>
        <v>0.19179116273351943</v>
      </c>
      <c r="R153" s="26">
        <f>IF(O$320=0,0,SUM(O$17:O153)/O$320)</f>
        <v>0</v>
      </c>
      <c r="S153" s="26">
        <f>SUM(P$17:P153)/P$320</f>
        <v>0.19179116273351943</v>
      </c>
    </row>
    <row r="154" spans="1:19" x14ac:dyDescent="0.4">
      <c r="A154" s="6">
        <f t="shared" si="140"/>
        <v>6.1168809963361008</v>
      </c>
      <c r="B154" s="25">
        <f t="shared" ref="B154:C154" si="154">C$4*EXP(-0.5*(LN($A154)-LN(C$5))^2/(LN(C$6))^2)/($A154*SQRT(2*PI())*LN(C$6))</f>
        <v>2.7473234902662829</v>
      </c>
      <c r="C154" s="25">
        <f t="shared" si="154"/>
        <v>0</v>
      </c>
      <c r="D154" s="27">
        <f t="shared" si="142"/>
        <v>2.7473234902662829</v>
      </c>
      <c r="E154" s="27"/>
      <c r="F154" s="26">
        <f t="shared" si="143"/>
        <v>0.58951873138711464</v>
      </c>
      <c r="G154" s="26">
        <f t="shared" si="143"/>
        <v>0</v>
      </c>
      <c r="H154" s="26">
        <f t="shared" si="143"/>
        <v>0.58951873138711464</v>
      </c>
      <c r="I154" s="26">
        <f>IF(F$320=0,0,SUM(F$17:F154)/F$320)</f>
        <v>0.20043626657075145</v>
      </c>
      <c r="J154" s="26">
        <f>IF(G$320=0,0,SUM(G$17:G154)/G$320)</f>
        <v>0</v>
      </c>
      <c r="K154" s="26">
        <f>SUM(H$17:H154)/H$320</f>
        <v>0.20043626657075145</v>
      </c>
      <c r="L154" s="26"/>
      <c r="M154" s="26"/>
      <c r="N154" s="27">
        <f t="shared" si="144"/>
        <v>0.57422960760769304</v>
      </c>
      <c r="O154" s="27">
        <f t="shared" si="145"/>
        <v>0</v>
      </c>
      <c r="P154" s="26">
        <f t="shared" si="146"/>
        <v>0.57422960760769304</v>
      </c>
      <c r="Q154" s="26">
        <f>IF(N$320=0,0,SUM(N$17:N154)/N$320)</f>
        <v>0.19756231456877266</v>
      </c>
      <c r="R154" s="26">
        <f>IF(O$320=0,0,SUM(O$17:O154)/O$320)</f>
        <v>0</v>
      </c>
      <c r="S154" s="26">
        <f>SUM(P$17:P154)/P$320</f>
        <v>0.19756231456877266</v>
      </c>
    </row>
    <row r="155" spans="1:19" x14ac:dyDescent="0.4">
      <c r="A155" s="6">
        <f t="shared" si="140"/>
        <v>6.3314602890461762</v>
      </c>
      <c r="B155" s="25">
        <f t="shared" ref="B155:C155" si="155">C$4*EXP(-0.5*(LN($A155)-LN(C$5))^2/(LN(C$6))^2)/($A155*SQRT(2*PI())*LN(C$6))</f>
        <v>2.7014483056696856</v>
      </c>
      <c r="C155" s="25">
        <f t="shared" si="155"/>
        <v>0</v>
      </c>
      <c r="D155" s="27">
        <f t="shared" si="142"/>
        <v>2.7014483056696856</v>
      </c>
      <c r="E155" s="27"/>
      <c r="F155" s="26">
        <f t="shared" si="143"/>
        <v>0.60000977645566977</v>
      </c>
      <c r="G155" s="26">
        <f t="shared" si="143"/>
        <v>0</v>
      </c>
      <c r="H155" s="26">
        <f t="shared" si="143"/>
        <v>0.60000977645566977</v>
      </c>
      <c r="I155" s="26">
        <f>IF(F$320=0,0,SUM(F$17:F155)/F$320)</f>
        <v>0.2063646361775244</v>
      </c>
      <c r="J155" s="26">
        <f>IF(G$320=0,0,SUM(G$17:G155)/G$320)</f>
        <v>0</v>
      </c>
      <c r="K155" s="26">
        <f>SUM(H$17:H155)/H$320</f>
        <v>0.2063646361775244</v>
      </c>
      <c r="L155" s="26"/>
      <c r="M155" s="26"/>
      <c r="N155" s="27">
        <f t="shared" si="144"/>
        <v>0.58457600838144885</v>
      </c>
      <c r="O155" s="27">
        <f t="shared" si="145"/>
        <v>0</v>
      </c>
      <c r="P155" s="26">
        <f t="shared" si="146"/>
        <v>0.58457600838144885</v>
      </c>
      <c r="Q155" s="26">
        <f>IF(N$320=0,0,SUM(N$17:N155)/N$320)</f>
        <v>0.20343745033140029</v>
      </c>
      <c r="R155" s="26">
        <f>IF(O$320=0,0,SUM(O$17:O155)/O$320)</f>
        <v>0</v>
      </c>
      <c r="S155" s="26">
        <f>SUM(P$17:P155)/P$320</f>
        <v>0.20343745033140029</v>
      </c>
    </row>
    <row r="156" spans="1:19" x14ac:dyDescent="0.4">
      <c r="A156" s="6">
        <f t="shared" si="140"/>
        <v>6.5535669920307917</v>
      </c>
      <c r="B156" s="25">
        <f t="shared" ref="B156:C156" si="156">C$4*EXP(-0.5*(LN($A156)-LN(C$5))^2/(LN(C$6))^2)/($A156*SQRT(2*PI())*LN(C$6))</f>
        <v>2.6551776337067761</v>
      </c>
      <c r="C156" s="25">
        <f t="shared" si="156"/>
        <v>0</v>
      </c>
      <c r="D156" s="27">
        <f t="shared" si="142"/>
        <v>2.6551776337067761</v>
      </c>
      <c r="E156" s="27"/>
      <c r="F156" s="26">
        <f t="shared" si="143"/>
        <v>0.61042048887306843</v>
      </c>
      <c r="G156" s="26">
        <f t="shared" si="143"/>
        <v>0</v>
      </c>
      <c r="H156" s="26">
        <f t="shared" si="143"/>
        <v>0.61042048887306843</v>
      </c>
      <c r="I156" s="26">
        <f>IF(F$320=0,0,SUM(F$17:F156)/F$320)</f>
        <v>0.21239586836004523</v>
      </c>
      <c r="J156" s="26">
        <f>IF(G$320=0,0,SUM(G$17:G156)/G$320)</f>
        <v>0</v>
      </c>
      <c r="K156" s="26">
        <f>SUM(H$17:H156)/H$320</f>
        <v>0.21239586836004523</v>
      </c>
      <c r="L156" s="26"/>
      <c r="M156" s="26"/>
      <c r="N156" s="27">
        <f t="shared" si="144"/>
        <v>0.59484862008212513</v>
      </c>
      <c r="O156" s="27">
        <f t="shared" si="145"/>
        <v>0</v>
      </c>
      <c r="P156" s="26">
        <f t="shared" si="146"/>
        <v>0.59484862008212513</v>
      </c>
      <c r="Q156" s="26">
        <f>IF(N$320=0,0,SUM(N$17:N156)/N$320)</f>
        <v>0.20941582842267792</v>
      </c>
      <c r="R156" s="26">
        <f>IF(O$320=0,0,SUM(O$17:O156)/O$320)</f>
        <v>0</v>
      </c>
      <c r="S156" s="26">
        <f>SUM(P$17:P156)/P$320</f>
        <v>0.20941582842267792</v>
      </c>
    </row>
    <row r="157" spans="1:19" x14ac:dyDescent="0.4">
      <c r="A157" s="6">
        <f t="shared" si="140"/>
        <v>6.7834651657438956</v>
      </c>
      <c r="B157" s="25">
        <f t="shared" ref="B157:C157" si="157">C$4*EXP(-0.5*(LN($A157)-LN(C$5))^2/(LN(C$6))^2)/($A157*SQRT(2*PI())*LN(C$6))</f>
        <v>2.6085583666402004</v>
      </c>
      <c r="C157" s="25">
        <f t="shared" si="157"/>
        <v>0</v>
      </c>
      <c r="D157" s="27">
        <f t="shared" si="142"/>
        <v>2.6085583666402004</v>
      </c>
      <c r="E157" s="27"/>
      <c r="F157" s="26">
        <f t="shared" si="143"/>
        <v>0.6207402913818767</v>
      </c>
      <c r="G157" s="26">
        <f t="shared" si="143"/>
        <v>0</v>
      </c>
      <c r="H157" s="26">
        <f t="shared" si="143"/>
        <v>0.6207402913818767</v>
      </c>
      <c r="I157" s="26">
        <f>IF(F$320=0,0,SUM(F$17:F157)/F$320)</f>
        <v>0.21852906488705146</v>
      </c>
      <c r="J157" s="26">
        <f>IF(G$320=0,0,SUM(G$17:G157)/G$320)</f>
        <v>0</v>
      </c>
      <c r="K157" s="26">
        <f>SUM(H$17:H157)/H$320</f>
        <v>0.21852906488705146</v>
      </c>
      <c r="L157" s="26"/>
      <c r="M157" s="26"/>
      <c r="N157" s="27">
        <f t="shared" si="144"/>
        <v>0.60503708377300236</v>
      </c>
      <c r="O157" s="27">
        <f t="shared" si="145"/>
        <v>0</v>
      </c>
      <c r="P157" s="26">
        <f t="shared" si="146"/>
        <v>0.60503708377300236</v>
      </c>
      <c r="Q157" s="26">
        <f>IF(N$320=0,0,SUM(N$17:N157)/N$320)</f>
        <v>0.21549660313396438</v>
      </c>
      <c r="R157" s="26">
        <f>IF(O$320=0,0,SUM(O$17:O157)/O$320)</f>
        <v>0</v>
      </c>
      <c r="S157" s="26">
        <f>SUM(P$17:P157)/P$320</f>
        <v>0.21549660313396438</v>
      </c>
    </row>
    <row r="158" spans="1:19" x14ac:dyDescent="0.4">
      <c r="A158" s="6">
        <f t="shared" si="140"/>
        <v>7.0214281338416287</v>
      </c>
      <c r="B158" s="25">
        <f t="shared" ref="B158:C158" si="158">C$4*EXP(-0.5*(LN($A158)-LN(C$5))^2/(LN(C$6))^2)/($A158*SQRT(2*PI())*LN(C$6))</f>
        <v>2.5616370368575714</v>
      </c>
      <c r="C158" s="25">
        <f t="shared" si="158"/>
        <v>0</v>
      </c>
      <c r="D158" s="27">
        <f t="shared" si="142"/>
        <v>2.5616370368575714</v>
      </c>
      <c r="E158" s="27"/>
      <c r="F158" s="26">
        <f t="shared" si="143"/>
        <v>0.63095854584096034</v>
      </c>
      <c r="G158" s="26">
        <f t="shared" si="143"/>
        <v>0</v>
      </c>
      <c r="H158" s="26">
        <f t="shared" si="143"/>
        <v>0.63095854584096034</v>
      </c>
      <c r="I158" s="26">
        <f>IF(F$320=0,0,SUM(F$17:F158)/F$320)</f>
        <v>0.22476322241760555</v>
      </c>
      <c r="J158" s="26">
        <f>IF(G$320=0,0,SUM(G$17:G158)/G$320)</f>
        <v>0</v>
      </c>
      <c r="K158" s="26">
        <f>SUM(H$17:H158)/H$320</f>
        <v>0.22476322241760555</v>
      </c>
      <c r="L158" s="26"/>
      <c r="M158" s="26"/>
      <c r="N158" s="27">
        <f t="shared" si="144"/>
        <v>0.61513097213788948</v>
      </c>
      <c r="O158" s="27">
        <f t="shared" si="145"/>
        <v>0</v>
      </c>
      <c r="P158" s="26">
        <f t="shared" si="146"/>
        <v>0.61513097213788948</v>
      </c>
      <c r="Q158" s="26">
        <f>IF(N$320=0,0,SUM(N$17:N158)/N$320)</f>
        <v>0.22167882395947081</v>
      </c>
      <c r="R158" s="26">
        <f>IF(O$320=0,0,SUM(O$17:O158)/O$320)</f>
        <v>0</v>
      </c>
      <c r="S158" s="26">
        <f>SUM(P$17:P158)/P$320</f>
        <v>0.22167882395947081</v>
      </c>
    </row>
    <row r="159" spans="1:19" x14ac:dyDescent="0.4">
      <c r="A159" s="6">
        <f t="shared" si="140"/>
        <v>7.2677388081341014</v>
      </c>
      <c r="B159" s="25">
        <f t="shared" ref="B159:C159" si="159">C$4*EXP(-0.5*(LN($A159)-LN(C$5))^2/(LN(C$6))^2)/($A159*SQRT(2*PI())*LN(C$6))</f>
        <v>2.5144597425270416</v>
      </c>
      <c r="C159" s="25">
        <f t="shared" si="159"/>
        <v>0</v>
      </c>
      <c r="D159" s="27">
        <f t="shared" si="142"/>
        <v>2.5144597425270416</v>
      </c>
      <c r="E159" s="27"/>
      <c r="F159" s="26">
        <f t="shared" si="143"/>
        <v>0.64106457095776059</v>
      </c>
      <c r="G159" s="26">
        <f t="shared" si="143"/>
        <v>0</v>
      </c>
      <c r="H159" s="26">
        <f t="shared" si="143"/>
        <v>0.64106457095776059</v>
      </c>
      <c r="I159" s="26">
        <f>IF(F$320=0,0,SUM(F$17:F159)/F$320)</f>
        <v>0.23109723207473937</v>
      </c>
      <c r="J159" s="26">
        <f>IF(G$320=0,0,SUM(G$17:G159)/G$320)</f>
        <v>0</v>
      </c>
      <c r="K159" s="26">
        <f>SUM(H$17:H159)/H$320</f>
        <v>0.23109723207473937</v>
      </c>
      <c r="L159" s="26"/>
      <c r="M159" s="26"/>
      <c r="N159" s="27">
        <f t="shared" si="144"/>
        <v>0.62511980670089395</v>
      </c>
      <c r="O159" s="27">
        <f t="shared" si="145"/>
        <v>0</v>
      </c>
      <c r="P159" s="26">
        <f t="shared" si="146"/>
        <v>0.62511980670089395</v>
      </c>
      <c r="Q159" s="26">
        <f>IF(N$320=0,0,SUM(N$17:N159)/N$320)</f>
        <v>0.22796143508209285</v>
      </c>
      <c r="R159" s="26">
        <f>IF(O$320=0,0,SUM(O$17:O159)/O$320)</f>
        <v>0</v>
      </c>
      <c r="S159" s="26">
        <f>SUM(P$17:P159)/P$320</f>
        <v>0.22796143508209285</v>
      </c>
    </row>
    <row r="160" spans="1:19" x14ac:dyDescent="0.4">
      <c r="A160" s="6">
        <f t="shared" si="140"/>
        <v>7.5226900249364386</v>
      </c>
      <c r="B160" s="25">
        <f t="shared" ref="B160:C160" si="160">C$4*EXP(-0.5*(LN($A160)-LN(C$5))^2/(LN(C$6))^2)/($A160*SQRT(2*PI())*LN(C$6))</f>
        <v>2.4670720755146456</v>
      </c>
      <c r="C160" s="25">
        <f t="shared" si="160"/>
        <v>0</v>
      </c>
      <c r="D160" s="27">
        <f t="shared" si="142"/>
        <v>2.4670720755146456</v>
      </c>
      <c r="E160" s="27"/>
      <c r="F160" s="26">
        <f t="shared" si="143"/>
        <v>0.65104766041143858</v>
      </c>
      <c r="G160" s="26">
        <f t="shared" si="143"/>
        <v>0</v>
      </c>
      <c r="H160" s="26">
        <f t="shared" si="143"/>
        <v>0.65104766041143858</v>
      </c>
      <c r="I160" s="26">
        <f>IF(F$320=0,0,SUM(F$17:F160)/F$320)</f>
        <v>0.23752987919816329</v>
      </c>
      <c r="J160" s="26">
        <f>IF(G$320=0,0,SUM(G$17:G160)/G$320)</f>
        <v>0</v>
      </c>
      <c r="K160" s="26">
        <f>SUM(H$17:H160)/H$320</f>
        <v>0.23752987919816329</v>
      </c>
      <c r="L160" s="26"/>
      <c r="M160" s="26"/>
      <c r="N160" s="27">
        <f t="shared" si="144"/>
        <v>0.63499307545027972</v>
      </c>
      <c r="O160" s="27">
        <f t="shared" si="145"/>
        <v>0</v>
      </c>
      <c r="P160" s="26">
        <f t="shared" si="146"/>
        <v>0.63499307545027972</v>
      </c>
      <c r="Q160" s="26">
        <f>IF(N$320=0,0,SUM(N$17:N160)/N$320)</f>
        <v>0.23434327503636701</v>
      </c>
      <c r="R160" s="26">
        <f>IF(O$320=0,0,SUM(O$17:O160)/O$320)</f>
        <v>0</v>
      </c>
      <c r="S160" s="26">
        <f>SUM(P$17:P160)/P$320</f>
        <v>0.23434327503636701</v>
      </c>
    </row>
    <row r="161" spans="1:19" x14ac:dyDescent="0.4">
      <c r="A161" s="6">
        <f t="shared" si="140"/>
        <v>7.7865848932189659</v>
      </c>
      <c r="B161" s="25">
        <f t="shared" ref="B161:C161" si="161">C$4*EXP(-0.5*(LN($A161)-LN(C$5))^2/(LN(C$6))^2)/($A161*SQRT(2*PI())*LN(C$6))</f>
        <v>2.4195190517101013</v>
      </c>
      <c r="C161" s="25">
        <f t="shared" si="161"/>
        <v>0</v>
      </c>
      <c r="D161" s="27">
        <f t="shared" si="142"/>
        <v>2.4195190517101013</v>
      </c>
      <c r="E161" s="27"/>
      <c r="F161" s="26">
        <f t="shared" si="143"/>
        <v>0.66089710132542667</v>
      </c>
      <c r="G161" s="26">
        <f t="shared" si="143"/>
        <v>0</v>
      </c>
      <c r="H161" s="26">
        <f t="shared" si="143"/>
        <v>0.66089710132542667</v>
      </c>
      <c r="I161" s="26">
        <f>IF(F$320=0,0,SUM(F$17:F161)/F$320)</f>
        <v>0.24405984327949268</v>
      </c>
      <c r="J161" s="26">
        <f>IF(G$320=0,0,SUM(G$17:G161)/G$320)</f>
        <v>0</v>
      </c>
      <c r="K161" s="26">
        <f>SUM(H$17:H161)/H$320</f>
        <v>0.24405984327949268</v>
      </c>
      <c r="L161" s="26"/>
      <c r="M161" s="26"/>
      <c r="N161" s="27">
        <f t="shared" si="144"/>
        <v>0.64474025082608966</v>
      </c>
      <c r="O161" s="27">
        <f t="shared" si="145"/>
        <v>0</v>
      </c>
      <c r="P161" s="26">
        <f t="shared" si="146"/>
        <v>0.64474025082608966</v>
      </c>
      <c r="Q161" s="26">
        <f>IF(N$320=0,0,SUM(N$17:N161)/N$320)</f>
        <v>0.24082307655220708</v>
      </c>
      <c r="R161" s="26">
        <f>IF(O$320=0,0,SUM(O$17:O161)/O$320)</f>
        <v>0</v>
      </c>
      <c r="S161" s="26">
        <f>SUM(P$17:P161)/P$320</f>
        <v>0.24082307655220708</v>
      </c>
    </row>
    <row r="162" spans="1:19" x14ac:dyDescent="0.4">
      <c r="A162" s="6">
        <f t="shared" si="140"/>
        <v>8.0597371549704526</v>
      </c>
      <c r="B162" s="25">
        <f t="shared" ref="B162:C162" si="162">C$4*EXP(-0.5*(LN($A162)-LN(C$5))^2/(LN(C$6))^2)/($A162*SQRT(2*PI())*LN(C$6))</f>
        <v>2.3718450438977809</v>
      </c>
      <c r="C162" s="25">
        <f t="shared" si="162"/>
        <v>0</v>
      </c>
      <c r="D162" s="27">
        <f t="shared" si="142"/>
        <v>2.3718450438977809</v>
      </c>
      <c r="E162" s="27"/>
      <c r="F162" s="26">
        <f t="shared" si="143"/>
        <v>0.67060219304615609</v>
      </c>
      <c r="G162" s="26">
        <f t="shared" si="143"/>
        <v>0</v>
      </c>
      <c r="H162" s="26">
        <f t="shared" si="143"/>
        <v>0.67060219304615609</v>
      </c>
      <c r="I162" s="26">
        <f>IF(F$320=0,0,SUM(F$17:F162)/F$320)</f>
        <v>0.25068569808301661</v>
      </c>
      <c r="J162" s="26">
        <f>IF(G$320=0,0,SUM(G$17:G162)/G$320)</f>
        <v>0</v>
      </c>
      <c r="K162" s="26">
        <f>SUM(H$17:H162)/H$320</f>
        <v>0.25068569808301661</v>
      </c>
      <c r="L162" s="26"/>
      <c r="M162" s="26"/>
      <c r="N162" s="27">
        <f t="shared" si="144"/>
        <v>0.65435080803017687</v>
      </c>
      <c r="O162" s="27">
        <f t="shared" si="145"/>
        <v>0</v>
      </c>
      <c r="P162" s="26">
        <f t="shared" si="146"/>
        <v>0.65435080803017687</v>
      </c>
      <c r="Q162" s="26">
        <f>IF(N$320=0,0,SUM(N$17:N162)/N$320)</f>
        <v>0.24739946658266113</v>
      </c>
      <c r="R162" s="26">
        <f>IF(O$320=0,0,SUM(O$17:O162)/O$320)</f>
        <v>0</v>
      </c>
      <c r="S162" s="26">
        <f>SUM(P$17:P162)/P$320</f>
        <v>0.24739946658266113</v>
      </c>
    </row>
    <row r="163" spans="1:19" x14ac:dyDescent="0.4">
      <c r="A163" s="6">
        <f t="shared" si="140"/>
        <v>8.342471558202849</v>
      </c>
      <c r="B163" s="25">
        <f t="shared" ref="B163:C163" si="163">C$4*EXP(-0.5*(LN($A163)-LN(C$5))^2/(LN(C$6))^2)/($A163*SQRT(2*PI())*LN(C$6))</f>
        <v>2.3240937172993008</v>
      </c>
      <c r="C163" s="25">
        <f t="shared" si="163"/>
        <v>0</v>
      </c>
      <c r="D163" s="27">
        <f t="shared" si="142"/>
        <v>2.3240937172993008</v>
      </c>
      <c r="E163" s="27"/>
      <c r="F163" s="26">
        <f t="shared" si="143"/>
        <v>0.68015226618307367</v>
      </c>
      <c r="G163" s="26">
        <f t="shared" si="143"/>
        <v>0</v>
      </c>
      <c r="H163" s="26">
        <f t="shared" si="143"/>
        <v>0.68015226618307367</v>
      </c>
      <c r="I163" s="26">
        <f>IF(F$320=0,0,SUM(F$17:F163)/F$320)</f>
        <v>0.25740591195459067</v>
      </c>
      <c r="J163" s="26">
        <f>IF(G$320=0,0,SUM(G$17:G163)/G$320)</f>
        <v>0</v>
      </c>
      <c r="K163" s="26">
        <f>SUM(H$17:H163)/H$320</f>
        <v>0.25740591195459067</v>
      </c>
      <c r="L163" s="26"/>
      <c r="M163" s="26"/>
      <c r="N163" s="27">
        <f t="shared" si="144"/>
        <v>0.66381424361518504</v>
      </c>
      <c r="O163" s="27">
        <f t="shared" si="145"/>
        <v>0</v>
      </c>
      <c r="P163" s="26">
        <f t="shared" si="146"/>
        <v>0.66381424361518504</v>
      </c>
      <c r="Q163" s="26">
        <f>IF(N$320=0,0,SUM(N$17:N163)/N$320)</f>
        <v>0.25407096651849215</v>
      </c>
      <c r="R163" s="26">
        <f>IF(O$320=0,0,SUM(O$17:O163)/O$320)</f>
        <v>0</v>
      </c>
      <c r="S163" s="26">
        <f>SUM(P$17:P163)/P$320</f>
        <v>0.25407096651849215</v>
      </c>
    </row>
    <row r="164" spans="1:19" x14ac:dyDescent="0.4">
      <c r="A164" s="6">
        <f t="shared" si="140"/>
        <v>8.6351242430409805</v>
      </c>
      <c r="B164" s="25">
        <f t="shared" ref="B164:C164" si="164">C$4*EXP(-0.5*(LN($A164)-LN(C$5))^2/(LN(C$6))^2)/($A164*SQRT(2*PI())*LN(C$6))</f>
        <v>2.2763079679036884</v>
      </c>
      <c r="C164" s="25">
        <f t="shared" si="164"/>
        <v>0</v>
      </c>
      <c r="D164" s="27">
        <f t="shared" si="142"/>
        <v>2.2763079679036884</v>
      </c>
      <c r="E164" s="27"/>
      <c r="F164" s="26">
        <f t="shared" si="143"/>
        <v>0.68953670186351312</v>
      </c>
      <c r="G164" s="26">
        <f t="shared" si="143"/>
        <v>0</v>
      </c>
      <c r="H164" s="26">
        <f t="shared" si="143"/>
        <v>0.68953670186351312</v>
      </c>
      <c r="I164" s="26">
        <f>IF(F$320=0,0,SUM(F$17:F164)/F$320)</f>
        <v>0.26421884832077691</v>
      </c>
      <c r="J164" s="26">
        <f>IF(G$320=0,0,SUM(G$17:G164)/G$320)</f>
        <v>0</v>
      </c>
      <c r="K164" s="26">
        <f>SUM(H$17:H164)/H$320</f>
        <v>0.26421884832077691</v>
      </c>
      <c r="L164" s="26"/>
      <c r="M164" s="26"/>
      <c r="N164" s="27">
        <f t="shared" si="144"/>
        <v>0.67312009430771091</v>
      </c>
      <c r="O164" s="27">
        <f t="shared" si="145"/>
        <v>0</v>
      </c>
      <c r="P164" s="26">
        <f t="shared" si="146"/>
        <v>0.67312009430771091</v>
      </c>
      <c r="Q164" s="26">
        <f>IF(N$320=0,0,SUM(N$17:N164)/N$320)</f>
        <v>0.26083599259193646</v>
      </c>
      <c r="R164" s="26">
        <f>IF(O$320=0,0,SUM(O$17:O164)/O$320)</f>
        <v>0</v>
      </c>
      <c r="S164" s="26">
        <f>SUM(P$17:P164)/P$320</f>
        <v>0.26083599259193646</v>
      </c>
    </row>
    <row r="165" spans="1:19" x14ac:dyDescent="0.4">
      <c r="A165" s="6">
        <f t="shared" si="140"/>
        <v>8.9380431413561876</v>
      </c>
      <c r="B165" s="25">
        <f t="shared" ref="B165:C165" si="165">C$4*EXP(-0.5*(LN($A165)-LN(C$5))^2/(LN(C$6))^2)/($A165*SQRT(2*PI())*LN(C$6))</f>
        <v>2.2285298636903583</v>
      </c>
      <c r="C165" s="25">
        <f t="shared" si="165"/>
        <v>0</v>
      </c>
      <c r="D165" s="27">
        <f t="shared" si="142"/>
        <v>2.2285298636903583</v>
      </c>
      <c r="E165" s="27"/>
      <c r="F165" s="26">
        <f t="shared" si="143"/>
        <v>0.69874495115491897</v>
      </c>
      <c r="G165" s="26">
        <f t="shared" si="143"/>
        <v>0</v>
      </c>
      <c r="H165" s="26">
        <f t="shared" si="143"/>
        <v>0.69874495115491897</v>
      </c>
      <c r="I165" s="26">
        <f>IF(F$320=0,0,SUM(F$17:F165)/F$320)</f>
        <v>0.27112276637988358</v>
      </c>
      <c r="J165" s="26">
        <f>IF(G$320=0,0,SUM(G$17:G165)/G$320)</f>
        <v>0</v>
      </c>
      <c r="K165" s="26">
        <f>SUM(H$17:H165)/H$320</f>
        <v>0.27112276637988358</v>
      </c>
      <c r="L165" s="26"/>
      <c r="M165" s="26"/>
      <c r="N165" s="27">
        <f t="shared" si="144"/>
        <v>0.68225795601922767</v>
      </c>
      <c r="O165" s="27">
        <f t="shared" si="145"/>
        <v>0</v>
      </c>
      <c r="P165" s="26">
        <f t="shared" si="146"/>
        <v>0.68225795601922767</v>
      </c>
      <c r="Q165" s="26">
        <f>IF(N$320=0,0,SUM(N$17:N165)/N$320)</f>
        <v>0.26769285647152669</v>
      </c>
      <c r="R165" s="26">
        <f>IF(O$320=0,0,SUM(O$17:O165)/O$320)</f>
        <v>0</v>
      </c>
      <c r="S165" s="26">
        <f>SUM(P$17:P165)/P$320</f>
        <v>0.26769285647152669</v>
      </c>
    </row>
    <row r="166" spans="1:19" x14ac:dyDescent="0.4">
      <c r="A166" s="6">
        <f t="shared" si="140"/>
        <v>9.2515883904190943</v>
      </c>
      <c r="B166" s="25">
        <f t="shared" ref="B166:C166" si="166">C$4*EXP(-0.5*(LN($A166)-LN(C$5))^2/(LN(C$6))^2)/($A166*SQRT(2*PI())*LN(C$6))</f>
        <v>2.1808005888392805</v>
      </c>
      <c r="C166" s="25">
        <f t="shared" si="166"/>
        <v>0</v>
      </c>
      <c r="D166" s="27">
        <f t="shared" si="142"/>
        <v>2.1808005888392805</v>
      </c>
      <c r="E166" s="27"/>
      <c r="F166" s="26">
        <f t="shared" si="143"/>
        <v>0.70776655460517301</v>
      </c>
      <c r="G166" s="26">
        <f t="shared" si="143"/>
        <v>0</v>
      </c>
      <c r="H166" s="26">
        <f t="shared" si="143"/>
        <v>0.70776655460517301</v>
      </c>
      <c r="I166" s="26">
        <f>IF(F$320=0,0,SUM(F$17:F166)/F$320)</f>
        <v>0.27811582198607282</v>
      </c>
      <c r="J166" s="26">
        <f>IF(G$320=0,0,SUM(G$17:G166)/G$320)</f>
        <v>0</v>
      </c>
      <c r="K166" s="26">
        <f>SUM(H$17:H166)/H$320</f>
        <v>0.27811582198607282</v>
      </c>
      <c r="L166" s="26"/>
      <c r="M166" s="26"/>
      <c r="N166" s="27">
        <f t="shared" si="144"/>
        <v>0.69121750299766527</v>
      </c>
      <c r="O166" s="27">
        <f t="shared" si="145"/>
        <v>0</v>
      </c>
      <c r="P166" s="26">
        <f t="shared" si="146"/>
        <v>0.69121750299766527</v>
      </c>
      <c r="Q166" s="26">
        <f>IF(N$320=0,0,SUM(N$17:N166)/N$320)</f>
        <v>0.27463976604939266</v>
      </c>
      <c r="R166" s="26">
        <f>IF(O$320=0,0,SUM(O$17:O166)/O$320)</f>
        <v>0</v>
      </c>
      <c r="S166" s="26">
        <f>SUM(P$17:P166)/P$320</f>
        <v>0.27463976604939266</v>
      </c>
    </row>
    <row r="167" spans="1:19" x14ac:dyDescent="0.4">
      <c r="A167" s="6">
        <f t="shared" si="140"/>
        <v>9.5761327610632154</v>
      </c>
      <c r="B167" s="25">
        <f t="shared" ref="B167:C167" si="167">C$4*EXP(-0.5*(LN($A167)-LN(C$5))^2/(LN(C$6))^2)/($A167*SQRT(2*PI())*LN(C$6))</f>
        <v>2.1331603910117636</v>
      </c>
      <c r="C167" s="25">
        <f t="shared" si="167"/>
        <v>0</v>
      </c>
      <c r="D167" s="27">
        <f t="shared" si="142"/>
        <v>2.1331603910117636</v>
      </c>
      <c r="E167" s="27"/>
      <c r="F167" s="26">
        <f t="shared" si="143"/>
        <v>0.71659116185138327</v>
      </c>
      <c r="G167" s="26">
        <f t="shared" si="143"/>
        <v>0</v>
      </c>
      <c r="H167" s="26">
        <f t="shared" si="143"/>
        <v>0.71659116185138327</v>
      </c>
      <c r="I167" s="26">
        <f>IF(F$320=0,0,SUM(F$17:F167)/F$320)</f>
        <v>0.28519606872721193</v>
      </c>
      <c r="J167" s="26">
        <f>IF(G$320=0,0,SUM(G$17:G167)/G$320)</f>
        <v>0</v>
      </c>
      <c r="K167" s="26">
        <f>SUM(H$17:H167)/H$320</f>
        <v>0.28519606872721193</v>
      </c>
      <c r="L167" s="26"/>
      <c r="M167" s="26"/>
      <c r="N167" s="27">
        <f t="shared" si="144"/>
        <v>0.69998850707042592</v>
      </c>
      <c r="O167" s="27">
        <f t="shared" si="145"/>
        <v>0</v>
      </c>
      <c r="P167" s="26">
        <f t="shared" si="146"/>
        <v>0.69998850707042592</v>
      </c>
      <c r="Q167" s="26">
        <f>IF(N$320=0,0,SUM(N$17:N167)/N$320)</f>
        <v>0.28167482642195979</v>
      </c>
      <c r="R167" s="26">
        <f>IF(O$320=0,0,SUM(O$17:O167)/O$320)</f>
        <v>0</v>
      </c>
      <c r="S167" s="26">
        <f>SUM(P$17:P167)/P$320</f>
        <v>0.28167482642195979</v>
      </c>
    </row>
    <row r="168" spans="1:19" x14ac:dyDescent="0.4">
      <c r="A168" s="6">
        <f t="shared" si="140"/>
        <v>9.9120621008685088</v>
      </c>
      <c r="B168" s="25">
        <f t="shared" ref="B168:C168" si="168">C$4*EXP(-0.5*(LN($A168)-LN(C$5))^2/(LN(C$6))^2)/($A168*SQRT(2*PI())*LN(C$6))</f>
        <v>2.0856485317742313</v>
      </c>
      <c r="C168" s="25">
        <f t="shared" si="168"/>
        <v>0</v>
      </c>
      <c r="D168" s="27">
        <f t="shared" si="142"/>
        <v>2.0856485317742313</v>
      </c>
      <c r="E168" s="27"/>
      <c r="F168" s="26">
        <f t="shared" si="143"/>
        <v>0.72520855124603301</v>
      </c>
      <c r="G168" s="26">
        <f t="shared" si="143"/>
        <v>0</v>
      </c>
      <c r="H168" s="26">
        <f t="shared" si="143"/>
        <v>0.72520855124603301</v>
      </c>
      <c r="I168" s="26">
        <f>IF(F$320=0,0,SUM(F$17:F168)/F$320)</f>
        <v>0.29236145919663947</v>
      </c>
      <c r="J168" s="26">
        <f>IF(G$320=0,0,SUM(G$17:G168)/G$320)</f>
        <v>0</v>
      </c>
      <c r="K168" s="26">
        <f>SUM(H$17:H168)/H$320</f>
        <v>0.29236145919663947</v>
      </c>
      <c r="L168" s="26"/>
      <c r="M168" s="26"/>
      <c r="N168" s="27">
        <f t="shared" si="144"/>
        <v>0.70856085692989623</v>
      </c>
      <c r="O168" s="27">
        <f t="shared" si="145"/>
        <v>0</v>
      </c>
      <c r="P168" s="26">
        <f t="shared" si="146"/>
        <v>0.70856085692989623</v>
      </c>
      <c r="Q168" s="26">
        <f>IF(N$320=0,0,SUM(N$17:N168)/N$320)</f>
        <v>0.28879604106447126</v>
      </c>
      <c r="R168" s="26">
        <f>IF(O$320=0,0,SUM(O$17:O168)/O$320)</f>
        <v>0</v>
      </c>
      <c r="S168" s="26">
        <f>SUM(P$17:P168)/P$320</f>
        <v>0.28879604106447126</v>
      </c>
    </row>
    <row r="169" spans="1:19" x14ac:dyDescent="0.4">
      <c r="A169" s="6">
        <f t="shared" si="140"/>
        <v>10.259775792891732</v>
      </c>
      <c r="B169" s="25">
        <f t="shared" ref="B169:C169" si="169">C$4*EXP(-0.5*(LN($A169)-LN(C$5))^2/(LN(C$6))^2)/($A169*SQRT(2*PI())*LN(C$6))</f>
        <v>2.0383032402263295</v>
      </c>
      <c r="C169" s="25">
        <f t="shared" si="169"/>
        <v>0</v>
      </c>
      <c r="D169" s="27">
        <f t="shared" si="142"/>
        <v>2.0383032402263295</v>
      </c>
      <c r="E169" s="27"/>
      <c r="F169" s="26">
        <f t="shared" si="143"/>
        <v>0.73360864944901882</v>
      </c>
      <c r="G169" s="26">
        <f t="shared" si="143"/>
        <v>0</v>
      </c>
      <c r="H169" s="26">
        <f t="shared" si="143"/>
        <v>0.73360864944901882</v>
      </c>
      <c r="I169" s="26">
        <f>IF(F$320=0,0,SUM(F$17:F169)/F$320)</f>
        <v>0.29960984645851035</v>
      </c>
      <c r="J169" s="26">
        <f>IF(G$320=0,0,SUM(G$17:G169)/G$320)</f>
        <v>0</v>
      </c>
      <c r="K169" s="26">
        <f>SUM(H$17:H169)/H$320</f>
        <v>0.29960984645851035</v>
      </c>
      <c r="L169" s="26"/>
      <c r="M169" s="26"/>
      <c r="N169" s="27">
        <f t="shared" si="144"/>
        <v>0.7169245774106936</v>
      </c>
      <c r="O169" s="27">
        <f t="shared" si="145"/>
        <v>0</v>
      </c>
      <c r="P169" s="26">
        <f t="shared" si="146"/>
        <v>0.7169245774106936</v>
      </c>
      <c r="Q169" s="26">
        <f>IF(N$320=0,0,SUM(N$17:N169)/N$320)</f>
        <v>0.2960013131992521</v>
      </c>
      <c r="R169" s="26">
        <f>IF(O$320=0,0,SUM(O$17:O169)/O$320)</f>
        <v>0</v>
      </c>
      <c r="S169" s="26">
        <f>SUM(P$17:P169)/P$320</f>
        <v>0.2960013131992521</v>
      </c>
    </row>
    <row r="170" spans="1:19" x14ac:dyDescent="0.4">
      <c r="A170" s="6">
        <f t="shared" si="140"/>
        <v>10.619687230488996</v>
      </c>
      <c r="B170" s="25">
        <f t="shared" ref="B170:C170" si="170">C$4*EXP(-0.5*(LN($A170)-LN(C$5))^2/(LN(C$6))^2)/($A170*SQRT(2*PI())*LN(C$6))</f>
        <v>1.9911616698836792</v>
      </c>
      <c r="C170" s="25">
        <f t="shared" si="170"/>
        <v>0</v>
      </c>
      <c r="D170" s="27">
        <f t="shared" si="142"/>
        <v>1.9911616698836792</v>
      </c>
      <c r="E170" s="27"/>
      <c r="F170" s="26">
        <f t="shared" si="143"/>
        <v>0.74178155093337472</v>
      </c>
      <c r="G170" s="26">
        <f t="shared" si="143"/>
        <v>0</v>
      </c>
      <c r="H170" s="26">
        <f t="shared" si="143"/>
        <v>0.74178155093337472</v>
      </c>
      <c r="I170" s="26">
        <f>IF(F$320=0,0,SUM(F$17:F170)/F$320)</f>
        <v>0.30693898570586597</v>
      </c>
      <c r="J170" s="26">
        <f>IF(G$320=0,0,SUM(G$17:G170)/G$320)</f>
        <v>0</v>
      </c>
      <c r="K170" s="26">
        <f>SUM(H$17:H170)/H$320</f>
        <v>0.30693898570586597</v>
      </c>
      <c r="L170" s="26"/>
      <c r="M170" s="26"/>
      <c r="N170" s="27">
        <f t="shared" si="144"/>
        <v>0.72506984870768232</v>
      </c>
      <c r="O170" s="27">
        <f t="shared" si="145"/>
        <v>0</v>
      </c>
      <c r="P170" s="26">
        <f t="shared" si="146"/>
        <v>0.72506984870768232</v>
      </c>
      <c r="Q170" s="26">
        <f>IF(N$320=0,0,SUM(N$17:N170)/N$320)</f>
        <v>0.3032884473571183</v>
      </c>
      <c r="R170" s="26">
        <f>IF(O$320=0,0,SUM(O$17:O170)/O$320)</f>
        <v>0</v>
      </c>
      <c r="S170" s="26">
        <f>SUM(P$17:P170)/P$320</f>
        <v>0.3032884473571183</v>
      </c>
    </row>
    <row r="171" spans="1:19" x14ac:dyDescent="0.4">
      <c r="A171" s="6">
        <f t="shared" si="140"/>
        <v>10.992224308795002</v>
      </c>
      <c r="B171" s="25">
        <f t="shared" ref="B171:C171" si="171">C$4*EXP(-0.5*(LN($A171)-LN(C$5))^2/(LN(C$6))^2)/($A171*SQRT(2*PI())*LN(C$6))</f>
        <v>1.94425985885463</v>
      </c>
      <c r="C171" s="25">
        <f t="shared" si="171"/>
        <v>0</v>
      </c>
      <c r="D171" s="27">
        <f t="shared" si="142"/>
        <v>1.94425985885463</v>
      </c>
      <c r="E171" s="27"/>
      <c r="F171" s="26">
        <f t="shared" si="143"/>
        <v>0.74971753735234015</v>
      </c>
      <c r="G171" s="26">
        <f t="shared" si="143"/>
        <v>0</v>
      </c>
      <c r="H171" s="26">
        <f t="shared" si="143"/>
        <v>0.74971753735234015</v>
      </c>
      <c r="I171" s="26">
        <f>IF(F$320=0,0,SUM(F$17:F171)/F$320)</f>
        <v>0.31434653611005947</v>
      </c>
      <c r="J171" s="26">
        <f>IF(G$320=0,0,SUM(G$17:G171)/G$320)</f>
        <v>0</v>
      </c>
      <c r="K171" s="26">
        <f>SUM(H$17:H171)/H$320</f>
        <v>0.31434653611005947</v>
      </c>
      <c r="L171" s="26"/>
      <c r="M171" s="26"/>
      <c r="N171" s="27">
        <f t="shared" si="144"/>
        <v>0.73298702548364458</v>
      </c>
      <c r="O171" s="27">
        <f t="shared" si="145"/>
        <v>0</v>
      </c>
      <c r="P171" s="26">
        <f t="shared" si="146"/>
        <v>0.73298702548364458</v>
      </c>
      <c r="Q171" s="26">
        <f>IF(N$320=0,0,SUM(N$17:N171)/N$320)</f>
        <v>0.31065515113082326</v>
      </c>
      <c r="R171" s="26">
        <f>IF(O$320=0,0,SUM(O$17:O171)/O$320)</f>
        <v>0</v>
      </c>
      <c r="S171" s="26">
        <f>SUM(P$17:P171)/P$320</f>
        <v>0.31065515113082326</v>
      </c>
    </row>
    <row r="172" spans="1:19" x14ac:dyDescent="0.4">
      <c r="A172" s="6">
        <f t="shared" si="140"/>
        <v>11.377829933443346</v>
      </c>
      <c r="B172" s="25">
        <f t="shared" ref="B172:C172" si="172">C$4*EXP(-0.5*(LN($A172)-LN(C$5))^2/(LN(C$6))^2)/($A172*SQRT(2*PI())*LN(C$6))</f>
        <v>1.8976326933395071</v>
      </c>
      <c r="C172" s="25">
        <f t="shared" si="172"/>
        <v>0</v>
      </c>
      <c r="D172" s="27">
        <f t="shared" si="142"/>
        <v>1.8976326933395071</v>
      </c>
      <c r="E172" s="27"/>
      <c r="F172" s="26">
        <f t="shared" si="143"/>
        <v>0.75740709671479278</v>
      </c>
      <c r="G172" s="26">
        <f t="shared" si="143"/>
        <v>0</v>
      </c>
      <c r="H172" s="26">
        <f t="shared" si="143"/>
        <v>0.75740709671479278</v>
      </c>
      <c r="I172" s="26">
        <f>IF(F$320=0,0,SUM(F$17:F172)/F$320)</f>
        <v>0.32183006285964377</v>
      </c>
      <c r="J172" s="26">
        <f>IF(G$320=0,0,SUM(G$17:G172)/G$320)</f>
        <v>0</v>
      </c>
      <c r="K172" s="26">
        <f>SUM(H$17:H172)/H$320</f>
        <v>0.32183006285964377</v>
      </c>
      <c r="L172" s="26"/>
      <c r="M172" s="26"/>
      <c r="N172" s="27">
        <f t="shared" si="144"/>
        <v>0.74066665581441482</v>
      </c>
      <c r="O172" s="27">
        <f t="shared" si="145"/>
        <v>0</v>
      </c>
      <c r="P172" s="26">
        <f t="shared" si="146"/>
        <v>0.74066665581441482</v>
      </c>
      <c r="Q172" s="26">
        <f>IF(N$320=0,0,SUM(N$17:N172)/N$320)</f>
        <v>0.3180990371189078</v>
      </c>
      <c r="R172" s="26">
        <f>IF(O$320=0,0,SUM(O$17:O172)/O$320)</f>
        <v>0</v>
      </c>
      <c r="S172" s="26">
        <f>SUM(P$17:P172)/P$320</f>
        <v>0.3180990371189078</v>
      </c>
    </row>
    <row r="173" spans="1:19" x14ac:dyDescent="0.4">
      <c r="A173" s="6">
        <f t="shared" si="140"/>
        <v>11.776962547132609</v>
      </c>
      <c r="B173" s="25">
        <f t="shared" ref="B173:C173" si="173">C$4*EXP(-0.5*(LN($A173)-LN(C$5))^2/(LN(C$6))^2)/($A173*SQRT(2*PI())*LN(C$6))</f>
        <v>1.8513138744701663</v>
      </c>
      <c r="C173" s="25">
        <f t="shared" si="173"/>
        <v>0</v>
      </c>
      <c r="D173" s="27">
        <f t="shared" si="142"/>
        <v>1.8513138744701663</v>
      </c>
      <c r="E173" s="27"/>
      <c r="F173" s="26">
        <f t="shared" si="143"/>
        <v>0.7648409423166328</v>
      </c>
      <c r="G173" s="26">
        <f t="shared" si="143"/>
        <v>0</v>
      </c>
      <c r="H173" s="26">
        <f t="shared" si="143"/>
        <v>0.7648409423166328</v>
      </c>
      <c r="I173" s="26">
        <f>IF(F$320=0,0,SUM(F$17:F173)/F$320)</f>
        <v>0.32938703938630953</v>
      </c>
      <c r="J173" s="26">
        <f>IF(G$320=0,0,SUM(G$17:G173)/G$320)</f>
        <v>0</v>
      </c>
      <c r="K173" s="26">
        <f>SUM(H$17:H173)/H$320</f>
        <v>0.32938703938630953</v>
      </c>
      <c r="L173" s="26"/>
      <c r="M173" s="26"/>
      <c r="N173" s="27">
        <f t="shared" si="144"/>
        <v>0.74809949992012958</v>
      </c>
      <c r="O173" s="27">
        <f t="shared" si="145"/>
        <v>0</v>
      </c>
      <c r="P173" s="26">
        <f t="shared" si="146"/>
        <v>0.74809949992012958</v>
      </c>
      <c r="Q173" s="26">
        <f>IF(N$320=0,0,SUM(N$17:N173)/N$320)</f>
        <v>0.32561762505780362</v>
      </c>
      <c r="R173" s="26">
        <f>IF(O$320=0,0,SUM(O$17:O173)/O$320)</f>
        <v>0</v>
      </c>
      <c r="S173" s="26">
        <f>SUM(P$17:P173)/P$320</f>
        <v>0.32561762505780362</v>
      </c>
    </row>
    <row r="174" spans="1:19" x14ac:dyDescent="0.4">
      <c r="A174" s="6">
        <f t="shared" si="140"/>
        <v>12.190096674664346</v>
      </c>
      <c r="B174" s="25">
        <f t="shared" ref="B174:C174" si="174">C$4*EXP(-0.5*(LN($A174)-LN(C$5))^2/(LN(C$6))^2)/($A174*SQRT(2*PI())*LN(C$6))</f>
        <v>1.8053358884971329</v>
      </c>
      <c r="C174" s="25">
        <f t="shared" si="174"/>
        <v>0</v>
      </c>
      <c r="D174" s="27">
        <f t="shared" si="142"/>
        <v>1.8053358884971329</v>
      </c>
      <c r="E174" s="27"/>
      <c r="F174" s="26">
        <f t="shared" si="143"/>
        <v>0.77201003137533919</v>
      </c>
      <c r="G174" s="26">
        <f t="shared" si="143"/>
        <v>0</v>
      </c>
      <c r="H174" s="26">
        <f t="shared" si="143"/>
        <v>0.77201003137533919</v>
      </c>
      <c r="I174" s="26">
        <f>IF(F$320=0,0,SUM(F$17:F174)/F$320)</f>
        <v>0.33701484977494162</v>
      </c>
      <c r="J174" s="26">
        <f>IF(G$320=0,0,SUM(G$17:G174)/G$320)</f>
        <v>0</v>
      </c>
      <c r="K174" s="26">
        <f>SUM(H$17:H174)/H$320</f>
        <v>0.33701484977494162</v>
      </c>
      <c r="L174" s="26"/>
      <c r="M174" s="26"/>
      <c r="N174" s="27">
        <f t="shared" si="144"/>
        <v>0.75527654863051796</v>
      </c>
      <c r="O174" s="27">
        <f t="shared" si="145"/>
        <v>0</v>
      </c>
      <c r="P174" s="26">
        <f t="shared" si="146"/>
        <v>0.75527654863051796</v>
      </c>
      <c r="Q174" s="26">
        <f>IF(N$320=0,0,SUM(N$17:N174)/N$320)</f>
        <v>0.33320834413951733</v>
      </c>
      <c r="R174" s="26">
        <f>IF(O$320=0,0,SUM(O$17:O174)/O$320)</f>
        <v>0</v>
      </c>
      <c r="S174" s="26">
        <f>SUM(P$17:P174)/P$320</f>
        <v>0.33320834413951733</v>
      </c>
    </row>
    <row r="175" spans="1:19" x14ac:dyDescent="0.4">
      <c r="A175" s="6">
        <f t="shared" si="140"/>
        <v>12.617723487100898</v>
      </c>
      <c r="B175" s="25">
        <f t="shared" ref="B175:C175" si="175">C$4*EXP(-0.5*(LN($A175)-LN(C$5))^2/(LN(C$6))^2)/($A175*SQRT(2*PI())*LN(C$6))</f>
        <v>1.7597299803213207</v>
      </c>
      <c r="C175" s="25">
        <f t="shared" si="175"/>
        <v>0</v>
      </c>
      <c r="D175" s="27">
        <f t="shared" si="142"/>
        <v>1.7597299803213207</v>
      </c>
      <c r="E175" s="27"/>
      <c r="F175" s="26">
        <f t="shared" si="143"/>
        <v>0.77890558331574522</v>
      </c>
      <c r="G175" s="26">
        <f t="shared" si="143"/>
        <v>0</v>
      </c>
      <c r="H175" s="26">
        <f t="shared" si="143"/>
        <v>0.77890558331574522</v>
      </c>
      <c r="I175" s="26">
        <f>IF(F$320=0,0,SUM(F$17:F175)/F$320)</f>
        <v>0.34471079135434685</v>
      </c>
      <c r="J175" s="26">
        <f>IF(G$320=0,0,SUM(G$17:G175)/G$320)</f>
        <v>0</v>
      </c>
      <c r="K175" s="26">
        <f>SUM(H$17:H175)/H$320</f>
        <v>0.34471079135434685</v>
      </c>
      <c r="L175" s="26"/>
      <c r="M175" s="26"/>
      <c r="N175" s="27">
        <f t="shared" si="144"/>
        <v>0.76218904153284583</v>
      </c>
      <c r="O175" s="27">
        <f t="shared" si="145"/>
        <v>0</v>
      </c>
      <c r="P175" s="26">
        <f t="shared" si="146"/>
        <v>0.76218904153284583</v>
      </c>
      <c r="Q175" s="26">
        <f>IF(N$320=0,0,SUM(N$17:N175)/N$320)</f>
        <v>0.34086853551170676</v>
      </c>
      <c r="R175" s="26">
        <f>IF(O$320=0,0,SUM(O$17:O175)/O$320)</f>
        <v>0</v>
      </c>
      <c r="S175" s="26">
        <f>SUM(P$17:P175)/P$320</f>
        <v>0.34086853551170676</v>
      </c>
    </row>
    <row r="176" spans="1:19" x14ac:dyDescent="0.4">
      <c r="A176" s="6">
        <f t="shared" si="140"/>
        <v>13.060351385713798</v>
      </c>
      <c r="B176" s="25">
        <f t="shared" ref="B176:C176" si="176">C$4*EXP(-0.5*(LN($A176)-LN(C$5))^2/(LN(C$6))^2)/($A176*SQRT(2*PI())*LN(C$6))</f>
        <v>1.7145261303572796</v>
      </c>
      <c r="C176" s="25">
        <f t="shared" si="176"/>
        <v>0</v>
      </c>
      <c r="D176" s="27">
        <f t="shared" si="142"/>
        <v>1.7145261303572796</v>
      </c>
      <c r="E176" s="27"/>
      <c r="F176" s="26">
        <f t="shared" si="143"/>
        <v>0.78551909765523265</v>
      </c>
      <c r="G176" s="26">
        <f t="shared" si="143"/>
        <v>0</v>
      </c>
      <c r="H176" s="26">
        <f t="shared" si="143"/>
        <v>0.78551909765523265</v>
      </c>
      <c r="I176" s="26">
        <f>IF(F$320=0,0,SUM(F$17:F176)/F$320)</f>
        <v>0.35247207746469578</v>
      </c>
      <c r="J176" s="26">
        <f>IF(G$320=0,0,SUM(G$17:G176)/G$320)</f>
        <v>0</v>
      </c>
      <c r="K176" s="26">
        <f>SUM(H$17:H176)/H$320</f>
        <v>0.35247207746469578</v>
      </c>
      <c r="L176" s="26"/>
      <c r="M176" s="26"/>
      <c r="N176" s="27">
        <f t="shared" si="144"/>
        <v>0.76882848475167687</v>
      </c>
      <c r="O176" s="27">
        <f t="shared" si="145"/>
        <v>0</v>
      </c>
      <c r="P176" s="26">
        <f t="shared" si="146"/>
        <v>0.76882848475167687</v>
      </c>
      <c r="Q176" s="26">
        <f>IF(N$320=0,0,SUM(N$17:N176)/N$320)</f>
        <v>0.34859545495644728</v>
      </c>
      <c r="R176" s="26">
        <f>IF(O$320=0,0,SUM(O$17:O176)/O$320)</f>
        <v>0</v>
      </c>
      <c r="S176" s="26">
        <f>SUM(P$17:P176)/P$320</f>
        <v>0.34859545495644728</v>
      </c>
    </row>
    <row r="177" spans="1:19" x14ac:dyDescent="0.4">
      <c r="A177" s="6">
        <f t="shared" si="140"/>
        <v>13.518506606416992</v>
      </c>
      <c r="B177" s="25">
        <f t="shared" ref="B177:C177" si="177">C$4*EXP(-0.5*(LN($A177)-LN(C$5))^2/(LN(C$6))^2)/($A177*SQRT(2*PI())*LN(C$6))</f>
        <v>1.6697530347051837</v>
      </c>
      <c r="C177" s="25">
        <f t="shared" si="177"/>
        <v>0</v>
      </c>
      <c r="D177" s="27">
        <f t="shared" si="142"/>
        <v>1.6697530347051837</v>
      </c>
      <c r="E177" s="27"/>
      <c r="F177" s="26">
        <f t="shared" si="143"/>
        <v>0.79184237143756708</v>
      </c>
      <c r="G177" s="26">
        <f t="shared" si="143"/>
        <v>0</v>
      </c>
      <c r="H177" s="26">
        <f t="shared" si="143"/>
        <v>0.79184237143756708</v>
      </c>
      <c r="I177" s="26">
        <f>IF(F$320=0,0,SUM(F$17:F177)/F$320)</f>
        <v>0.36029584039721912</v>
      </c>
      <c r="J177" s="26">
        <f>IF(G$320=0,0,SUM(G$17:G177)/G$320)</f>
        <v>0</v>
      </c>
      <c r="K177" s="26">
        <f>SUM(H$17:H177)/H$320</f>
        <v>0.36029584039721912</v>
      </c>
      <c r="L177" s="26"/>
      <c r="M177" s="26"/>
      <c r="N177" s="27">
        <f t="shared" si="144"/>
        <v>0.77518666830984073</v>
      </c>
      <c r="O177" s="27">
        <f t="shared" si="145"/>
        <v>0</v>
      </c>
      <c r="P177" s="26">
        <f t="shared" si="146"/>
        <v>0.77518666830984073</v>
      </c>
      <c r="Q177" s="26">
        <f>IF(N$320=0,0,SUM(N$17:N177)/N$320)</f>
        <v>0.35638627574348086</v>
      </c>
      <c r="R177" s="26">
        <f>IF(O$320=0,0,SUM(O$17:O177)/O$320)</f>
        <v>0</v>
      </c>
      <c r="S177" s="26">
        <f>SUM(P$17:P177)/P$320</f>
        <v>0.35638627574348086</v>
      </c>
    </row>
    <row r="178" spans="1:19" x14ac:dyDescent="0.4">
      <c r="A178" s="6">
        <f t="shared" si="140"/>
        <v>13.992733845403491</v>
      </c>
      <c r="B178" s="25">
        <f t="shared" ref="B178:C178" si="178">C$4*EXP(-0.5*(LN($A178)-LN(C$5))^2/(LN(C$6))^2)/($A178*SQRT(2*PI())*LN(C$6))</f>
        <v>1.6254380885993382</v>
      </c>
      <c r="C178" s="25">
        <f t="shared" si="178"/>
        <v>0</v>
      </c>
      <c r="D178" s="27">
        <f t="shared" si="142"/>
        <v>1.6254380885993382</v>
      </c>
      <c r="E178" s="27"/>
      <c r="F178" s="26">
        <f t="shared" si="143"/>
        <v>0.7978675161653942</v>
      </c>
      <c r="G178" s="26">
        <f t="shared" si="143"/>
        <v>0</v>
      </c>
      <c r="H178" s="26">
        <f t="shared" si="143"/>
        <v>0.7978675161653942</v>
      </c>
      <c r="I178" s="26">
        <f>IF(F$320=0,0,SUM(F$17:F178)/F$320)</f>
        <v>0.3681791345012041</v>
      </c>
      <c r="J178" s="26">
        <f>IF(G$320=0,0,SUM(G$17:G178)/G$320)</f>
        <v>0</v>
      </c>
      <c r="K178" s="26">
        <f>SUM(H$17:H178)/H$320</f>
        <v>0.3681791345012041</v>
      </c>
      <c r="L178" s="26"/>
      <c r="M178" s="26"/>
      <c r="N178" s="27">
        <f t="shared" si="144"/>
        <v>0.78125568302105375</v>
      </c>
      <c r="O178" s="27">
        <f t="shared" si="145"/>
        <v>0</v>
      </c>
      <c r="P178" s="26">
        <f t="shared" si="146"/>
        <v>0.78125568302105375</v>
      </c>
      <c r="Q178" s="26">
        <f>IF(N$320=0,0,SUM(N$17:N178)/N$320)</f>
        <v>0.36423809165324017</v>
      </c>
      <c r="R178" s="26">
        <f>IF(O$320=0,0,SUM(O$17:O178)/O$320)</f>
        <v>0</v>
      </c>
      <c r="S178" s="26">
        <f>SUM(P$17:P178)/P$320</f>
        <v>0.36423809165324017</v>
      </c>
    </row>
    <row r="179" spans="1:19" x14ac:dyDescent="0.4">
      <c r="A179" s="6">
        <f t="shared" si="140"/>
        <v>14.48359690672927</v>
      </c>
      <c r="B179" s="25">
        <f t="shared" ref="B179:C179" si="179">C$4*EXP(-0.5*(LN($A179)-LN(C$5))^2/(LN(C$6))^2)/($A179*SQRT(2*PI())*LN(C$6))</f>
        <v>1.5816073730919125</v>
      </c>
      <c r="C179" s="25">
        <f t="shared" si="179"/>
        <v>0</v>
      </c>
      <c r="D179" s="27">
        <f t="shared" si="142"/>
        <v>1.5816073730919125</v>
      </c>
      <c r="E179" s="27"/>
      <c r="F179" s="26">
        <f t="shared" si="143"/>
        <v>0.80358697418250891</v>
      </c>
      <c r="G179" s="26">
        <f t="shared" si="143"/>
        <v>0</v>
      </c>
      <c r="H179" s="26">
        <f t="shared" si="143"/>
        <v>0.80358697418250891</v>
      </c>
      <c r="I179" s="26">
        <f>IF(F$320=0,0,SUM(F$17:F179)/F$320)</f>
        <v>0.3761189394528559</v>
      </c>
      <c r="J179" s="26">
        <f>IF(G$320=0,0,SUM(G$17:G179)/G$320)</f>
        <v>0</v>
      </c>
      <c r="K179" s="26">
        <f>SUM(H$17:H179)/H$320</f>
        <v>0.3761189394528559</v>
      </c>
      <c r="L179" s="26"/>
      <c r="M179" s="26"/>
      <c r="N179" s="27">
        <f t="shared" si="144"/>
        <v>0.78702793686581951</v>
      </c>
      <c r="O179" s="27">
        <f t="shared" si="145"/>
        <v>0</v>
      </c>
      <c r="P179" s="26">
        <f t="shared" si="146"/>
        <v>0.78702793686581951</v>
      </c>
      <c r="Q179" s="26">
        <f>IF(N$320=0,0,SUM(N$17:N179)/N$320)</f>
        <v>0.37214792016445442</v>
      </c>
      <c r="R179" s="26">
        <f>IF(O$320=0,0,SUM(O$17:O179)/O$320)</f>
        <v>0</v>
      </c>
      <c r="S179" s="26">
        <f>SUM(P$17:P179)/P$320</f>
        <v>0.37214792016445442</v>
      </c>
    </row>
    <row r="180" spans="1:19" x14ac:dyDescent="0.4">
      <c r="A180" s="6">
        <f t="shared" si="140"/>
        <v>14.991679372614316</v>
      </c>
      <c r="B180" s="25">
        <f t="shared" ref="B180:C180" si="180">C$4*EXP(-0.5*(LN($A180)-LN(C$5))^2/(LN(C$6))^2)/($A180*SQRT(2*PI())*LN(C$6))</f>
        <v>1.5382856449218942</v>
      </c>
      <c r="C180" s="25">
        <f t="shared" si="180"/>
        <v>0</v>
      </c>
      <c r="D180" s="27">
        <f t="shared" si="142"/>
        <v>1.5382856449218942</v>
      </c>
      <c r="E180" s="27"/>
      <c r="F180" s="26">
        <f t="shared" si="143"/>
        <v>0.80899353445832844</v>
      </c>
      <c r="G180" s="26">
        <f t="shared" si="143"/>
        <v>0</v>
      </c>
      <c r="H180" s="26">
        <f t="shared" si="143"/>
        <v>0.80899353445832844</v>
      </c>
      <c r="I180" s="26">
        <f>IF(F$320=0,0,SUM(F$17:F180)/F$320)</f>
        <v>0.3841121636801163</v>
      </c>
      <c r="J180" s="26">
        <f>IF(G$320=0,0,SUM(G$17:G180)/G$320)</f>
        <v>0</v>
      </c>
      <c r="K180" s="26">
        <f>SUM(H$17:H180)/H$320</f>
        <v>0.3841121636801163</v>
      </c>
      <c r="L180" s="26"/>
      <c r="M180" s="26"/>
      <c r="N180" s="27">
        <f t="shared" si="144"/>
        <v>0.79249617080289769</v>
      </c>
      <c r="O180" s="27">
        <f t="shared" si="145"/>
        <v>0</v>
      </c>
      <c r="P180" s="26">
        <f t="shared" si="146"/>
        <v>0.79249617080289769</v>
      </c>
      <c r="Q180" s="26">
        <f>IF(N$320=0,0,SUM(N$17:N180)/N$320)</f>
        <v>0.38011270580066447</v>
      </c>
      <c r="R180" s="26">
        <f>IF(O$320=0,0,SUM(O$17:O180)/O$320)</f>
        <v>0</v>
      </c>
      <c r="S180" s="26">
        <f>SUM(P$17:P180)/P$320</f>
        <v>0.38011270580066447</v>
      </c>
    </row>
    <row r="181" spans="1:19" x14ac:dyDescent="0.4">
      <c r="A181" s="6">
        <f t="shared" si="140"/>
        <v>15.517585297257723</v>
      </c>
      <c r="B181" s="25">
        <f t="shared" ref="B181:C181" si="181">C$4*EXP(-0.5*(LN($A181)-LN(C$5))^2/(LN(C$6))^2)/($A181*SQRT(2*PI())*LN(C$6))</f>
        <v>1.4954963295109787</v>
      </c>
      <c r="C181" s="25">
        <f t="shared" si="181"/>
        <v>0</v>
      </c>
      <c r="D181" s="27">
        <f t="shared" si="142"/>
        <v>1.4954963295109787</v>
      </c>
      <c r="E181" s="27"/>
      <c r="F181" s="26">
        <f t="shared" si="143"/>
        <v>0.81408034772853888</v>
      </c>
      <c r="G181" s="26">
        <f t="shared" si="143"/>
        <v>0</v>
      </c>
      <c r="H181" s="26">
        <f t="shared" si="143"/>
        <v>0.81408034772853888</v>
      </c>
      <c r="I181" s="26">
        <f>IF(F$320=0,0,SUM(F$17:F181)/F$320)</f>
        <v>0.39215564793707924</v>
      </c>
      <c r="J181" s="26">
        <f>IF(G$320=0,0,SUM(G$17:G181)/G$320)</f>
        <v>0</v>
      </c>
      <c r="K181" s="26">
        <f>SUM(H$17:H181)/H$320</f>
        <v>0.39215564793707924</v>
      </c>
      <c r="L181" s="26"/>
      <c r="M181" s="26"/>
      <c r="N181" s="27">
        <f t="shared" si="144"/>
        <v>0.79765347397063868</v>
      </c>
      <c r="O181" s="27">
        <f t="shared" si="145"/>
        <v>0</v>
      </c>
      <c r="P181" s="26">
        <f t="shared" si="146"/>
        <v>0.79765347397063868</v>
      </c>
      <c r="Q181" s="26">
        <f>IF(N$320=0,0,SUM(N$17:N181)/N$320)</f>
        <v>0.38812932362951508</v>
      </c>
      <c r="R181" s="26">
        <f>IF(O$320=0,0,SUM(O$17:O181)/O$320)</f>
        <v>0</v>
      </c>
      <c r="S181" s="26">
        <f>SUM(P$17:P181)/P$320</f>
        <v>0.38812932362951508</v>
      </c>
    </row>
    <row r="182" spans="1:19" x14ac:dyDescent="0.4">
      <c r="A182" s="6">
        <f t="shared" si="140"/>
        <v>16.061939924991741</v>
      </c>
      <c r="B182" s="25">
        <f t="shared" ref="B182:C182" si="182">C$4*EXP(-0.5*(LN($A182)-LN(C$5))^2/(LN(C$6))^2)/($A182*SQRT(2*PI())*LN(C$6))</f>
        <v>1.4532615170202043</v>
      </c>
      <c r="C182" s="25">
        <f t="shared" si="182"/>
        <v>0</v>
      </c>
      <c r="D182" s="27">
        <f t="shared" si="142"/>
        <v>1.4532615170202043</v>
      </c>
      <c r="E182" s="27"/>
      <c r="F182" s="26">
        <f t="shared" si="143"/>
        <v>0.81884094094734983</v>
      </c>
      <c r="G182" s="26">
        <f t="shared" si="143"/>
        <v>0</v>
      </c>
      <c r="H182" s="26">
        <f t="shared" si="143"/>
        <v>0.81884094094734983</v>
      </c>
      <c r="I182" s="26">
        <f>IF(F$320=0,0,SUM(F$17:F182)/F$320)</f>
        <v>0.40024616902120069</v>
      </c>
      <c r="J182" s="26">
        <f>IF(G$320=0,0,SUM(G$17:G182)/G$320)</f>
        <v>0</v>
      </c>
      <c r="K182" s="26">
        <f>SUM(H$17:H182)/H$320</f>
        <v>0.40024616902120069</v>
      </c>
      <c r="L182" s="26"/>
      <c r="M182" s="26"/>
      <c r="N182" s="27">
        <f t="shared" si="144"/>
        <v>0.80249329823325888</v>
      </c>
      <c r="O182" s="27">
        <f t="shared" si="145"/>
        <v>0</v>
      </c>
      <c r="P182" s="26">
        <f t="shared" si="146"/>
        <v>0.80249329823325888</v>
      </c>
      <c r="Q182" s="26">
        <f>IF(N$320=0,0,SUM(N$17:N182)/N$320)</f>
        <v>0.39619458290824133</v>
      </c>
      <c r="R182" s="26">
        <f>IF(O$320=0,0,SUM(O$17:O182)/O$320)</f>
        <v>0</v>
      </c>
      <c r="S182" s="26">
        <f>SUM(P$17:P182)/P$320</f>
        <v>0.39619458290824133</v>
      </c>
    </row>
    <row r="183" spans="1:19" x14ac:dyDescent="0.4">
      <c r="A183" s="6">
        <f t="shared" si="140"/>
        <v>16.62539043362856</v>
      </c>
      <c r="B183" s="25">
        <f t="shared" ref="B183:C183" si="183">C$4*EXP(-0.5*(LN($A183)-LN(C$5))^2/(LN(C$6))^2)/($A183*SQRT(2*PI())*LN(C$6))</f>
        <v>1.4116019613937212</v>
      </c>
      <c r="C183" s="25">
        <f t="shared" si="183"/>
        <v>0</v>
      </c>
      <c r="D183" s="27">
        <f t="shared" si="142"/>
        <v>1.4116019613937212</v>
      </c>
      <c r="E183" s="27"/>
      <c r="F183" s="26">
        <f t="shared" si="143"/>
        <v>0.82326923100870475</v>
      </c>
      <c r="G183" s="26">
        <f t="shared" si="143"/>
        <v>0</v>
      </c>
      <c r="H183" s="26">
        <f t="shared" si="143"/>
        <v>0.82326923100870475</v>
      </c>
      <c r="I183" s="26">
        <f>IF(F$320=0,0,SUM(F$17:F183)/F$320)</f>
        <v>0.40838044362608106</v>
      </c>
      <c r="J183" s="26">
        <f>IF(G$320=0,0,SUM(G$17:G183)/G$320)</f>
        <v>0</v>
      </c>
      <c r="K183" s="26">
        <f>SUM(H$17:H183)/H$320</f>
        <v>0.40838044362608106</v>
      </c>
      <c r="L183" s="26"/>
      <c r="M183" s="26"/>
      <c r="N183" s="27">
        <f t="shared" si="144"/>
        <v>0.80700947202965723</v>
      </c>
      <c r="O183" s="27">
        <f t="shared" si="145"/>
        <v>0</v>
      </c>
      <c r="P183" s="26">
        <f t="shared" si="146"/>
        <v>0.80700947202965723</v>
      </c>
      <c r="Q183" s="26">
        <f>IF(N$320=0,0,SUM(N$17:N183)/N$320)</f>
        <v>0.40430523086833836</v>
      </c>
      <c r="R183" s="26">
        <f>IF(O$320=0,0,SUM(O$17:O183)/O$320)</f>
        <v>0</v>
      </c>
      <c r="S183" s="26">
        <f>SUM(P$17:P183)/P$320</f>
        <v>0.40430523086833836</v>
      </c>
    </row>
    <row r="184" spans="1:19" x14ac:dyDescent="0.4">
      <c r="A184" s="6">
        <f t="shared" si="140"/>
        <v>17.208606703883571</v>
      </c>
      <c r="B184" s="25">
        <f t="shared" ref="B184:C184" si="184">C$4*EXP(-0.5*(LN($A184)-LN(C$5))^2/(LN(C$6))^2)/($A184*SQRT(2*PI())*LN(C$6))</f>
        <v>1.3705370823090919</v>
      </c>
      <c r="C184" s="25">
        <f t="shared" si="184"/>
        <v>0</v>
      </c>
      <c r="D184" s="27">
        <f t="shared" si="142"/>
        <v>1.3705370823090919</v>
      </c>
      <c r="E184" s="27"/>
      <c r="F184" s="26">
        <f t="shared" si="143"/>
        <v>0.8273595376958558</v>
      </c>
      <c r="G184" s="26">
        <f t="shared" si="143"/>
        <v>0</v>
      </c>
      <c r="H184" s="26">
        <f t="shared" si="143"/>
        <v>0.8273595376958558</v>
      </c>
      <c r="I184" s="26">
        <f>IF(F$320=0,0,SUM(F$17:F184)/F$320)</f>
        <v>0.41655513232219465</v>
      </c>
      <c r="J184" s="26">
        <f>IF(G$320=0,0,SUM(G$17:G184)/G$320)</f>
        <v>0</v>
      </c>
      <c r="K184" s="26">
        <f>SUM(H$17:H184)/H$320</f>
        <v>0.41655513232219465</v>
      </c>
      <c r="L184" s="26"/>
      <c r="M184" s="26"/>
      <c r="N184" s="27">
        <f t="shared" si="144"/>
        <v>0.81119621348344495</v>
      </c>
      <c r="O184" s="27">
        <f t="shared" si="145"/>
        <v>0</v>
      </c>
      <c r="P184" s="26">
        <f t="shared" si="146"/>
        <v>0.81119621348344495</v>
      </c>
      <c r="Q184" s="26">
        <f>IF(N$320=0,0,SUM(N$17:N184)/N$320)</f>
        <v>0.41245795663199103</v>
      </c>
      <c r="R184" s="26">
        <f>IF(O$320=0,0,SUM(O$17:O184)/O$320)</f>
        <v>0</v>
      </c>
      <c r="S184" s="26">
        <f>SUM(P$17:P184)/P$320</f>
        <v>0.41245795663199103</v>
      </c>
    </row>
    <row r="185" spans="1:19" x14ac:dyDescent="0.4">
      <c r="A185" s="6">
        <f t="shared" si="140"/>
        <v>17.812282115789912</v>
      </c>
      <c r="B185" s="25">
        <f t="shared" ref="B185:C185" si="185">C$4*EXP(-0.5*(LN($A185)-LN(C$5))^2/(LN(C$6))^2)/($A185*SQRT(2*PI())*LN(C$6))</f>
        <v>1.3300849699470119</v>
      </c>
      <c r="C185" s="25">
        <f t="shared" si="185"/>
        <v>0</v>
      </c>
      <c r="D185" s="27">
        <f t="shared" si="142"/>
        <v>1.3300849699470119</v>
      </c>
      <c r="E185" s="27"/>
      <c r="F185" s="26">
        <f t="shared" si="143"/>
        <v>0.83110659582054747</v>
      </c>
      <c r="G185" s="26">
        <f t="shared" si="143"/>
        <v>0</v>
      </c>
      <c r="H185" s="26">
        <f t="shared" si="143"/>
        <v>0.83110659582054747</v>
      </c>
      <c r="I185" s="26">
        <f>IF(F$320=0,0,SUM(F$17:F185)/F$320)</f>
        <v>0.42476684365756001</v>
      </c>
      <c r="J185" s="26">
        <f>IF(G$320=0,0,SUM(G$17:G185)/G$320)</f>
        <v>0</v>
      </c>
      <c r="K185" s="26">
        <f>SUM(H$17:H185)/H$320</f>
        <v>0.42476684365756001</v>
      </c>
      <c r="L185" s="26"/>
      <c r="M185" s="26"/>
      <c r="N185" s="27">
        <f t="shared" si="144"/>
        <v>0.81504814273534731</v>
      </c>
      <c r="O185" s="27">
        <f t="shared" si="145"/>
        <v>0</v>
      </c>
      <c r="P185" s="26">
        <f t="shared" si="146"/>
        <v>0.81504814273534731</v>
      </c>
      <c r="Q185" s="26">
        <f>IF(N$320=0,0,SUM(N$17:N185)/N$320)</f>
        <v>0.42064939525244677</v>
      </c>
      <c r="R185" s="26">
        <f>IF(O$320=0,0,SUM(O$17:O185)/O$320)</f>
        <v>0</v>
      </c>
      <c r="S185" s="26">
        <f>SUM(P$17:P185)/P$320</f>
        <v>0.42064939525244677</v>
      </c>
    </row>
    <row r="186" spans="1:19" x14ac:dyDescent="0.4">
      <c r="A186" s="6">
        <f t="shared" si="140"/>
        <v>18.437134373051084</v>
      </c>
      <c r="B186" s="25">
        <f t="shared" ref="B186:C186" si="186">C$4*EXP(-0.5*(LN($A186)-LN(C$5))^2/(LN(C$6))^2)/($A186*SQRT(2*PI())*LN(C$6))</f>
        <v>1.2902623924873224</v>
      </c>
      <c r="C186" s="25">
        <f t="shared" si="186"/>
        <v>0</v>
      </c>
      <c r="D186" s="27">
        <f t="shared" si="142"/>
        <v>1.2902623924873224</v>
      </c>
      <c r="E186" s="27"/>
      <c r="F186" s="26">
        <f t="shared" si="143"/>
        <v>0.83450556651572438</v>
      </c>
      <c r="G186" s="26">
        <f t="shared" si="143"/>
        <v>0</v>
      </c>
      <c r="H186" s="26">
        <f t="shared" si="143"/>
        <v>0.83450556651572438</v>
      </c>
      <c r="I186" s="26">
        <f>IF(F$320=0,0,SUM(F$17:F186)/F$320)</f>
        <v>0.43301213836998731</v>
      </c>
      <c r="J186" s="26">
        <f>IF(G$320=0,0,SUM(G$17:G186)/G$320)</f>
        <v>0</v>
      </c>
      <c r="K186" s="26">
        <f>SUM(H$17:H186)/H$320</f>
        <v>0.43301213836998731</v>
      </c>
      <c r="L186" s="26"/>
      <c r="M186" s="26"/>
      <c r="N186" s="27">
        <f t="shared" si="144"/>
        <v>0.8185602934612457</v>
      </c>
      <c r="O186" s="27">
        <f t="shared" si="145"/>
        <v>0</v>
      </c>
      <c r="P186" s="26">
        <f t="shared" si="146"/>
        <v>0.8185602934612457</v>
      </c>
      <c r="Q186" s="26">
        <f>IF(N$320=0,0,SUM(N$17:N186)/N$320)</f>
        <v>0.42887613187014773</v>
      </c>
      <c r="R186" s="26">
        <f>IF(O$320=0,0,SUM(O$17:O186)/O$320)</f>
        <v>0</v>
      </c>
      <c r="S186" s="26">
        <f>SUM(P$17:P186)/P$320</f>
        <v>0.42887613187014773</v>
      </c>
    </row>
    <row r="187" spans="1:19" x14ac:dyDescent="0.4">
      <c r="A187" s="6">
        <f t="shared" si="140"/>
        <v>19.083906356311786</v>
      </c>
      <c r="B187" s="25">
        <f t="shared" ref="B187:C187" si="187">C$4*EXP(-0.5*(LN($A187)-LN(C$5))^2/(LN(C$6))^2)/($A187*SQRT(2*PI())*LN(C$6))</f>
        <v>1.2510848062326405</v>
      </c>
      <c r="C187" s="25">
        <f t="shared" si="187"/>
        <v>0</v>
      </c>
      <c r="D187" s="27">
        <f t="shared" si="142"/>
        <v>1.2510848062326405</v>
      </c>
      <c r="E187" s="27"/>
      <c r="F187" s="26">
        <f t="shared" si="143"/>
        <v>0.83755204764758895</v>
      </c>
      <c r="G187" s="26">
        <f t="shared" si="143"/>
        <v>0</v>
      </c>
      <c r="H187" s="26">
        <f t="shared" si="143"/>
        <v>0.83755204764758895</v>
      </c>
      <c r="I187" s="26">
        <f>IF(F$320=0,0,SUM(F$17:F187)/F$320)</f>
        <v>0.44128753370220197</v>
      </c>
      <c r="J187" s="26">
        <f>IF(G$320=0,0,SUM(G$17:G187)/G$320)</f>
        <v>0</v>
      </c>
      <c r="K187" s="26">
        <f>SUM(H$17:H187)/H$320</f>
        <v>0.44128753370220197</v>
      </c>
      <c r="L187" s="26"/>
      <c r="M187" s="26"/>
      <c r="N187" s="27">
        <f t="shared" si="144"/>
        <v>0.8217281235412266</v>
      </c>
      <c r="O187" s="27">
        <f t="shared" si="145"/>
        <v>0</v>
      </c>
      <c r="P187" s="26">
        <f t="shared" si="146"/>
        <v>0.8217281235412266</v>
      </c>
      <c r="Q187" s="26">
        <f>IF(N$320=0,0,SUM(N$17:N187)/N$320)</f>
        <v>0.43713470597608972</v>
      </c>
      <c r="R187" s="26">
        <f>IF(O$320=0,0,SUM(O$17:O187)/O$320)</f>
        <v>0</v>
      </c>
      <c r="S187" s="26">
        <f>SUM(P$17:P187)/P$320</f>
        <v>0.43713470597608972</v>
      </c>
    </row>
    <row r="188" spans="1:19" x14ac:dyDescent="0.4">
      <c r="A188" s="6">
        <f t="shared" si="140"/>
        <v>19.753367006361312</v>
      </c>
      <c r="B188" s="25">
        <f t="shared" ref="B188:C188" si="188">C$4*EXP(-0.5*(LN($A188)-LN(C$5))^2/(LN(C$6))^2)/($A188*SQRT(2*PI())*LN(C$6))</f>
        <v>1.2125663682559087</v>
      </c>
      <c r="C188" s="25">
        <f t="shared" si="188"/>
        <v>0</v>
      </c>
      <c r="D188" s="27">
        <f t="shared" si="142"/>
        <v>1.2125663682559087</v>
      </c>
      <c r="E188" s="27"/>
      <c r="F188" s="26">
        <f t="shared" si="143"/>
        <v>0.84024208331595163</v>
      </c>
      <c r="G188" s="26">
        <f t="shared" si="143"/>
        <v>0</v>
      </c>
      <c r="H188" s="26">
        <f t="shared" si="143"/>
        <v>0.84024208331595163</v>
      </c>
      <c r="I188" s="26">
        <f>IF(F$320=0,0,SUM(F$17:F188)/F$320)</f>
        <v>0.44958950781083529</v>
      </c>
      <c r="J188" s="26">
        <f>IF(G$320=0,0,SUM(G$17:G188)/G$320)</f>
        <v>0</v>
      </c>
      <c r="K188" s="26">
        <f>SUM(H$17:H188)/H$320</f>
        <v>0.44958950781083529</v>
      </c>
      <c r="L188" s="26"/>
      <c r="M188" s="26"/>
      <c r="N188" s="27">
        <f t="shared" si="144"/>
        <v>0.82454752484759086</v>
      </c>
      <c r="O188" s="27">
        <f t="shared" si="145"/>
        <v>0</v>
      </c>
      <c r="P188" s="26">
        <f t="shared" si="146"/>
        <v>0.82454752484759086</v>
      </c>
      <c r="Q188" s="26">
        <f>IF(N$320=0,0,SUM(N$17:N188)/N$320)</f>
        <v>0.44542161577355294</v>
      </c>
      <c r="R188" s="26">
        <f>IF(O$320=0,0,SUM(O$17:O188)/O$320)</f>
        <v>0</v>
      </c>
      <c r="S188" s="26">
        <f>SUM(P$17:P188)/P$320</f>
        <v>0.44542161577355294</v>
      </c>
    </row>
    <row r="189" spans="1:19" x14ac:dyDescent="0.4">
      <c r="A189" s="6">
        <f t="shared" si="140"/>
        <v>20.446312238319635</v>
      </c>
      <c r="B189" s="25">
        <f t="shared" ref="B189:C189" si="189">C$4*EXP(-0.5*(LN($A189)-LN(C$5))^2/(LN(C$6))^2)/($A189*SQRT(2*PI())*LN(C$6))</f>
        <v>1.1747199514636475</v>
      </c>
      <c r="C189" s="25">
        <f t="shared" si="189"/>
        <v>0</v>
      </c>
      <c r="D189" s="27">
        <f t="shared" si="142"/>
        <v>1.1747199514636475</v>
      </c>
      <c r="E189" s="27"/>
      <c r="F189" s="26">
        <f t="shared" si="143"/>
        <v>0.84257217241394344</v>
      </c>
      <c r="G189" s="26">
        <f t="shared" si="143"/>
        <v>0</v>
      </c>
      <c r="H189" s="26">
        <f t="shared" si="143"/>
        <v>0.84257217241394344</v>
      </c>
      <c r="I189" s="26">
        <f>IF(F$320=0,0,SUM(F$17:F189)/F$320)</f>
        <v>0.45791450425998986</v>
      </c>
      <c r="J189" s="26">
        <f>IF(G$320=0,0,SUM(G$17:G189)/G$320)</f>
        <v>0</v>
      </c>
      <c r="K189" s="26">
        <f>SUM(H$17:H189)/H$320</f>
        <v>0.45791450425998986</v>
      </c>
      <c r="L189" s="26"/>
      <c r="M189" s="26"/>
      <c r="N189" s="27">
        <f t="shared" si="144"/>
        <v>0.82701483212230809</v>
      </c>
      <c r="O189" s="27">
        <f t="shared" si="145"/>
        <v>0</v>
      </c>
      <c r="P189" s="26">
        <f t="shared" si="146"/>
        <v>0.82701483212230809</v>
      </c>
      <c r="Q189" s="26">
        <f>IF(N$320=0,0,SUM(N$17:N189)/N$320)</f>
        <v>0.45373332262905347</v>
      </c>
      <c r="R189" s="26">
        <f>IF(O$320=0,0,SUM(O$17:O189)/O$320)</f>
        <v>0</v>
      </c>
      <c r="S189" s="26">
        <f>SUM(P$17:P189)/P$320</f>
        <v>0.45373332262905347</v>
      </c>
    </row>
    <row r="190" spans="1:19" x14ac:dyDescent="0.4">
      <c r="A190" s="6">
        <f t="shared" si="140"/>
        <v>21.163565887892997</v>
      </c>
      <c r="B190" s="25">
        <f t="shared" ref="B190:C190" si="190">C$4*EXP(-0.5*(LN($A190)-LN(C$5))^2/(LN(C$6))^2)/($A190*SQRT(2*PI())*LN(C$6))</f>
        <v>1.1375571619626581</v>
      </c>
      <c r="C190" s="25">
        <f t="shared" si="190"/>
        <v>0</v>
      </c>
      <c r="D190" s="27">
        <f t="shared" si="142"/>
        <v>1.1375571619626581</v>
      </c>
      <c r="E190" s="27"/>
      <c r="F190" s="26">
        <f t="shared" si="143"/>
        <v>0.84453927622124036</v>
      </c>
      <c r="G190" s="26">
        <f t="shared" si="143"/>
        <v>0</v>
      </c>
      <c r="H190" s="26">
        <f t="shared" si="143"/>
        <v>0.84453927622124036</v>
      </c>
      <c r="I190" s="26">
        <f>IF(F$320=0,0,SUM(F$17:F190)/F$320)</f>
        <v>0.46625893658982859</v>
      </c>
      <c r="J190" s="26">
        <f>IF(G$320=0,0,SUM(G$17:G190)/G$320)</f>
        <v>0</v>
      </c>
      <c r="K190" s="26">
        <f>SUM(H$17:H190)/H$320</f>
        <v>0.46625893658982859</v>
      </c>
      <c r="L190" s="26"/>
      <c r="M190" s="26"/>
      <c r="N190" s="27">
        <f t="shared" si="144"/>
        <v>0.82912683091712625</v>
      </c>
      <c r="O190" s="27">
        <f t="shared" si="145"/>
        <v>0</v>
      </c>
      <c r="P190" s="26">
        <f t="shared" si="146"/>
        <v>0.82912683091712625</v>
      </c>
      <c r="Q190" s="26">
        <f>IF(N$320=0,0,SUM(N$17:N190)/N$320)</f>
        <v>0.46206625560309494</v>
      </c>
      <c r="R190" s="26">
        <f>IF(O$320=0,0,SUM(O$17:O190)/O$320)</f>
        <v>0</v>
      </c>
      <c r="S190" s="26">
        <f>SUM(P$17:P190)/P$320</f>
        <v>0.46206625560309494</v>
      </c>
    </row>
    <row r="191" spans="1:19" x14ac:dyDescent="0.4">
      <c r="A191" s="6">
        <f t="shared" si="140"/>
        <v>21.905980690823984</v>
      </c>
      <c r="B191" s="25">
        <f t="shared" ref="B191:C191" si="191">C$4*EXP(-0.5*(LN($A191)-LN(C$5))^2/(LN(C$6))^2)/($A191*SQRT(2*PI())*LN(C$6))</f>
        <v>1.1010883586144373</v>
      </c>
      <c r="C191" s="25">
        <f t="shared" si="191"/>
        <v>0</v>
      </c>
      <c r="D191" s="27">
        <f t="shared" si="142"/>
        <v>1.1010883586144373</v>
      </c>
      <c r="E191" s="27"/>
      <c r="F191" s="26">
        <f t="shared" si="143"/>
        <v>0.84614082500782317</v>
      </c>
      <c r="G191" s="26">
        <f t="shared" si="143"/>
        <v>0</v>
      </c>
      <c r="H191" s="26">
        <f t="shared" si="143"/>
        <v>0.84614082500782317</v>
      </c>
      <c r="I191" s="26">
        <f>IF(F$320=0,0,SUM(F$17:F191)/F$320)</f>
        <v>0.47461919295041266</v>
      </c>
      <c r="J191" s="26">
        <f>IF(G$320=0,0,SUM(G$17:G191)/G$320)</f>
        <v>0</v>
      </c>
      <c r="K191" s="26">
        <f>SUM(H$17:H191)/H$320</f>
        <v>0.47461919295041266</v>
      </c>
      <c r="L191" s="26"/>
      <c r="M191" s="26"/>
      <c r="N191" s="27">
        <f t="shared" si="144"/>
        <v>0.83088076457213389</v>
      </c>
      <c r="O191" s="27">
        <f t="shared" si="145"/>
        <v>0</v>
      </c>
      <c r="P191" s="26">
        <f t="shared" si="146"/>
        <v>0.83088076457213389</v>
      </c>
      <c r="Q191" s="26">
        <f>IF(N$320=0,0,SUM(N$17:N191)/N$320)</f>
        <v>0.47041681605105612</v>
      </c>
      <c r="R191" s="26">
        <f>IF(O$320=0,0,SUM(O$17:O191)/O$320)</f>
        <v>0</v>
      </c>
      <c r="S191" s="26">
        <f>SUM(P$17:P191)/P$320</f>
        <v>0.47041681605105612</v>
      </c>
    </row>
    <row r="192" spans="1:19" x14ac:dyDescent="0.4">
      <c r="A192" s="6">
        <f t="shared" si="140"/>
        <v>22.674439296700601</v>
      </c>
      <c r="B192" s="25">
        <f t="shared" ref="B192:C192" si="192">C$4*EXP(-0.5*(LN($A192)-LN(C$5))^2/(LN(C$6))^2)/($A192*SQRT(2*PI())*LN(C$6))</f>
        <v>1.0653226746585411</v>
      </c>
      <c r="C192" s="25">
        <f t="shared" si="192"/>
        <v>0</v>
      </c>
      <c r="D192" s="27">
        <f t="shared" si="142"/>
        <v>1.0653226746585411</v>
      </c>
      <c r="E192" s="27"/>
      <c r="F192" s="26">
        <f t="shared" si="143"/>
        <v>0.84737472362804178</v>
      </c>
      <c r="G192" s="26">
        <f t="shared" si="143"/>
        <v>0</v>
      </c>
      <c r="H192" s="26">
        <f t="shared" si="143"/>
        <v>0.84737472362804178</v>
      </c>
      <c r="I192" s="26">
        <f>IF(F$320=0,0,SUM(F$17:F192)/F$320)</f>
        <v>0.48299164079081092</v>
      </c>
      <c r="J192" s="26">
        <f>IF(G$320=0,0,SUM(G$17:G192)/G$320)</f>
        <v>0</v>
      </c>
      <c r="K192" s="26">
        <f>SUM(H$17:H192)/H$320</f>
        <v>0.48299164079081092</v>
      </c>
      <c r="L192" s="26"/>
      <c r="M192" s="26"/>
      <c r="N192" s="27">
        <f t="shared" si="144"/>
        <v>0.83227434021160285</v>
      </c>
      <c r="O192" s="27">
        <f t="shared" si="145"/>
        <v>0</v>
      </c>
      <c r="P192" s="26">
        <f t="shared" si="146"/>
        <v>0.83227434021160285</v>
      </c>
      <c r="Q192" s="26">
        <f>IF(N$320=0,0,SUM(N$17:N192)/N$320)</f>
        <v>0.47878138228433859</v>
      </c>
      <c r="R192" s="26">
        <f>IF(O$320=0,0,SUM(O$17:O192)/O$320)</f>
        <v>0</v>
      </c>
      <c r="S192" s="26">
        <f>SUM(P$17:P192)/P$320</f>
        <v>0.47878138228433859</v>
      </c>
    </row>
    <row r="193" spans="1:19" x14ac:dyDescent="0.4">
      <c r="A193" s="6">
        <f t="shared" si="140"/>
        <v>23.469855318329582</v>
      </c>
      <c r="B193" s="25">
        <f t="shared" ref="B193:C193" si="193">C$4*EXP(-0.5*(LN($A193)-LN(C$5))^2/(LN(C$6))^2)/($A193*SQRT(2*PI())*LN(C$6))</f>
        <v>1.0302680412836542</v>
      </c>
      <c r="C193" s="25">
        <f t="shared" si="193"/>
        <v>0</v>
      </c>
      <c r="D193" s="27">
        <f t="shared" si="142"/>
        <v>1.0302680412836542</v>
      </c>
      <c r="E193" s="27"/>
      <c r="F193" s="26">
        <f t="shared" si="143"/>
        <v>0.84823935608809198</v>
      </c>
      <c r="G193" s="26">
        <f t="shared" si="143"/>
        <v>0</v>
      </c>
      <c r="H193" s="26">
        <f t="shared" si="143"/>
        <v>0.84823935608809198</v>
      </c>
      <c r="I193" s="26">
        <f>IF(F$320=0,0,SUM(F$17:F193)/F$320)</f>
        <v>0.49137263159333799</v>
      </c>
      <c r="J193" s="26">
        <f>IF(G$320=0,0,SUM(G$17:G193)/G$320)</f>
        <v>0</v>
      </c>
      <c r="K193" s="26">
        <f>SUM(H$17:H193)/H$320</f>
        <v>0.49137263159333799</v>
      </c>
      <c r="L193" s="26"/>
      <c r="M193" s="26"/>
      <c r="N193" s="27">
        <f t="shared" si="144"/>
        <v>0.83330573373905925</v>
      </c>
      <c r="O193" s="27">
        <f t="shared" si="145"/>
        <v>0</v>
      </c>
      <c r="P193" s="26">
        <f t="shared" si="146"/>
        <v>0.83330573373905925</v>
      </c>
      <c r="Q193" s="26">
        <f>IF(N$320=0,0,SUM(N$17:N193)/N$320)</f>
        <v>0.48715631428171602</v>
      </c>
      <c r="R193" s="26">
        <f>IF(O$320=0,0,SUM(O$17:O193)/O$320)</f>
        <v>0</v>
      </c>
      <c r="S193" s="26">
        <f>SUM(P$17:P193)/P$320</f>
        <v>0.48715631428171602</v>
      </c>
    </row>
    <row r="194" spans="1:19" x14ac:dyDescent="0.4">
      <c r="A194" s="6">
        <f t="shared" si="140"/>
        <v>24.293174417921602</v>
      </c>
      <c r="B194" s="25">
        <f t="shared" ref="B194:C194" si="194">C$4*EXP(-0.5*(LN($A194)-LN(C$5))^2/(LN(C$6))^2)/($A194*SQRT(2*PI())*LN(C$6))</f>
        <v>0.99593121302309984</v>
      </c>
      <c r="C194" s="25">
        <f t="shared" si="194"/>
        <v>0</v>
      </c>
      <c r="D194" s="27">
        <f t="shared" si="142"/>
        <v>0.99593121302309984</v>
      </c>
      <c r="E194" s="27"/>
      <c r="F194" s="26">
        <f t="shared" si="143"/>
        <v>0.84873358907282948</v>
      </c>
      <c r="G194" s="26">
        <f t="shared" si="143"/>
        <v>0</v>
      </c>
      <c r="H194" s="26">
        <f t="shared" si="143"/>
        <v>0.84873358907282948</v>
      </c>
      <c r="I194" s="26">
        <f>IF(F$320=0,0,SUM(F$17:F194)/F$320)</f>
        <v>0.49975850564263924</v>
      </c>
      <c r="J194" s="26">
        <f>IF(G$320=0,0,SUM(G$17:G194)/G$320)</f>
        <v>0</v>
      </c>
      <c r="K194" s="26">
        <f>SUM(H$17:H194)/H$320</f>
        <v>0.49975850564263924</v>
      </c>
      <c r="L194" s="26"/>
      <c r="M194" s="26"/>
      <c r="N194" s="27">
        <f t="shared" si="144"/>
        <v>0.83397359381594538</v>
      </c>
      <c r="O194" s="27">
        <f t="shared" si="145"/>
        <v>0</v>
      </c>
      <c r="P194" s="26">
        <f t="shared" si="146"/>
        <v>0.83397359381594538</v>
      </c>
      <c r="Q194" s="26">
        <f>IF(N$320=0,0,SUM(N$17:N194)/N$320)</f>
        <v>0.49553795844067028</v>
      </c>
      <c r="R194" s="26">
        <f>IF(O$320=0,0,SUM(O$17:O194)/O$320)</f>
        <v>0</v>
      </c>
      <c r="S194" s="26">
        <f>SUM(P$17:P194)/P$320</f>
        <v>0.49553795844067028</v>
      </c>
    </row>
    <row r="195" spans="1:19" x14ac:dyDescent="0.4">
      <c r="A195" s="6">
        <f t="shared" si="140"/>
        <v>25.145375431379691</v>
      </c>
      <c r="B195" s="25">
        <f t="shared" ref="B195:C195" si="195">C$4*EXP(-0.5*(LN($A195)-LN(C$5))^2/(LN(C$6))^2)/($A195*SQRT(2*PI())*LN(C$6))</f>
        <v>0.96231779485002644</v>
      </c>
      <c r="C195" s="25">
        <f t="shared" si="195"/>
        <v>0</v>
      </c>
      <c r="D195" s="27">
        <f t="shared" si="142"/>
        <v>0.96231779485002644</v>
      </c>
      <c r="E195" s="27"/>
      <c r="F195" s="26">
        <f t="shared" si="143"/>
        <v>0.84885677442122187</v>
      </c>
      <c r="G195" s="26">
        <f t="shared" si="143"/>
        <v>0</v>
      </c>
      <c r="H195" s="26">
        <f t="shared" si="143"/>
        <v>0.84885677442122187</v>
      </c>
      <c r="I195" s="26">
        <f>IF(F$320=0,0,SUM(F$17:F195)/F$320)</f>
        <v>0.50814559681923421</v>
      </c>
      <c r="J195" s="26">
        <f>IF(G$320=0,0,SUM(G$17:G195)/G$320)</f>
        <v>0</v>
      </c>
      <c r="K195" s="26">
        <f>SUM(H$17:H195)/H$320</f>
        <v>0.50814559681923421</v>
      </c>
      <c r="L195" s="26"/>
      <c r="M195" s="26"/>
      <c r="N195" s="27">
        <f t="shared" si="144"/>
        <v>0.83427704481215392</v>
      </c>
      <c r="O195" s="27">
        <f t="shared" si="145"/>
        <v>0</v>
      </c>
      <c r="P195" s="26">
        <f t="shared" si="146"/>
        <v>0.83427704481215392</v>
      </c>
      <c r="Q195" s="26">
        <f>IF(N$320=0,0,SUM(N$17:N195)/N$320)</f>
        <v>0.50392265235838041</v>
      </c>
      <c r="R195" s="26">
        <f>IF(O$320=0,0,SUM(O$17:O195)/O$320)</f>
        <v>0</v>
      </c>
      <c r="S195" s="26">
        <f>SUM(P$17:P195)/P$320</f>
        <v>0.50392265235838041</v>
      </c>
    </row>
    <row r="196" spans="1:19" x14ac:dyDescent="0.4">
      <c r="A196" s="6">
        <f t="shared" si="140"/>
        <v>26.027471532027516</v>
      </c>
      <c r="B196" s="25">
        <f t="shared" ref="B196:C196" si="196">C$4*EXP(-0.5*(LN($A196)-LN(C$5))^2/(LN(C$6))^2)/($A196*SQRT(2*PI())*LN(C$6))</f>
        <v>0.92943227084645752</v>
      </c>
      <c r="C196" s="25">
        <f t="shared" si="196"/>
        <v>0</v>
      </c>
      <c r="D196" s="27">
        <f t="shared" si="142"/>
        <v>0.92943227084645752</v>
      </c>
      <c r="E196" s="27"/>
      <c r="F196" s="26">
        <f t="shared" si="143"/>
        <v>0.84860875054284635</v>
      </c>
      <c r="G196" s="26">
        <f t="shared" si="143"/>
        <v>0</v>
      </c>
      <c r="H196" s="26">
        <f t="shared" si="143"/>
        <v>0.84860875054284635</v>
      </c>
      <c r="I196" s="26">
        <f>IF(F$320=0,0,SUM(F$17:F196)/F$320)</f>
        <v>0.51653023740705539</v>
      </c>
      <c r="J196" s="26">
        <f>IF(G$320=0,0,SUM(G$17:G196)/G$320)</f>
        <v>0</v>
      </c>
      <c r="K196" s="26">
        <f>SUM(H$17:H196)/H$320</f>
        <v>0.51653023740705539</v>
      </c>
      <c r="L196" s="26"/>
      <c r="M196" s="26"/>
      <c r="N196" s="27">
        <f t="shared" si="144"/>
        <v>0.83421568871913099</v>
      </c>
      <c r="O196" s="27">
        <f t="shared" si="145"/>
        <v>0</v>
      </c>
      <c r="P196" s="26">
        <f t="shared" si="146"/>
        <v>0.83421568871913099</v>
      </c>
      <c r="Q196" s="26">
        <f>IF(N$320=0,0,SUM(N$17:N196)/N$320)</f>
        <v>0.51230672963193946</v>
      </c>
      <c r="R196" s="26">
        <f>IF(O$320=0,0,SUM(O$17:O196)/O$320)</f>
        <v>0</v>
      </c>
      <c r="S196" s="26">
        <f>SUM(P$17:P196)/P$320</f>
        <v>0.51230672963193946</v>
      </c>
    </row>
    <row r="197" spans="1:19" x14ac:dyDescent="0.4">
      <c r="A197" s="6">
        <f t="shared" si="140"/>
        <v>26.940511435161067</v>
      </c>
      <c r="B197" s="25">
        <f t="shared" ref="B197:C197" si="197">C$4*EXP(-0.5*(LN($A197)-LN(C$5))^2/(LN(C$6))^2)/($A197*SQRT(2*PI())*LN(C$6))</f>
        <v>0.89727803431982789</v>
      </c>
      <c r="C197" s="25">
        <f t="shared" si="197"/>
        <v>0</v>
      </c>
      <c r="D197" s="27">
        <f t="shared" si="142"/>
        <v>0.89727803431982789</v>
      </c>
      <c r="E197" s="27"/>
      <c r="F197" s="26">
        <f t="shared" si="143"/>
        <v>0.84798984277116596</v>
      </c>
      <c r="G197" s="26">
        <f t="shared" si="143"/>
        <v>0</v>
      </c>
      <c r="H197" s="26">
        <f t="shared" si="143"/>
        <v>0.84798984277116596</v>
      </c>
      <c r="I197" s="26">
        <f>IF(F$320=0,0,SUM(F$17:F197)/F$320)</f>
        <v>0.52490876290447819</v>
      </c>
      <c r="J197" s="26">
        <f>IF(G$320=0,0,SUM(G$17:G197)/G$320)</f>
        <v>0</v>
      </c>
      <c r="K197" s="26">
        <f>SUM(H$17:H197)/H$320</f>
        <v>0.52490876290447819</v>
      </c>
      <c r="L197" s="26"/>
      <c r="M197" s="26"/>
      <c r="N197" s="27">
        <f t="shared" si="144"/>
        <v>0.83378960601971919</v>
      </c>
      <c r="O197" s="27">
        <f t="shared" si="145"/>
        <v>0</v>
      </c>
      <c r="P197" s="26">
        <f t="shared" si="146"/>
        <v>0.83378960601971919</v>
      </c>
      <c r="Q197" s="26">
        <f>IF(N$320=0,0,SUM(N$17:N197)/N$320)</f>
        <v>0.52068652466731358</v>
      </c>
      <c r="R197" s="26">
        <f>IF(O$320=0,0,SUM(O$17:O197)/O$320)</f>
        <v>0</v>
      </c>
      <c r="S197" s="26">
        <f>SUM(P$17:P197)/P$320</f>
        <v>0.52068652466731358</v>
      </c>
    </row>
    <row r="198" spans="1:19" x14ac:dyDescent="0.4">
      <c r="A198" s="6">
        <f t="shared" si="140"/>
        <v>27.885580644855892</v>
      </c>
      <c r="B198" s="25">
        <f t="shared" ref="B198:C198" si="198">C$4*EXP(-0.5*(LN($A198)-LN(C$5))^2/(LN(C$6))^2)/($A198*SQRT(2*PI())*LN(C$6))</f>
        <v>0.86585741924051085</v>
      </c>
      <c r="C198" s="25">
        <f t="shared" si="198"/>
        <v>0</v>
      </c>
      <c r="D198" s="27">
        <f t="shared" si="142"/>
        <v>0.86585741924051085</v>
      </c>
      <c r="E198" s="27"/>
      <c r="F198" s="26">
        <f t="shared" si="143"/>
        <v>0.84700086265235763</v>
      </c>
      <c r="G198" s="26">
        <f t="shared" si="143"/>
        <v>0</v>
      </c>
      <c r="H198" s="26">
        <f t="shared" si="143"/>
        <v>0.84700086265235763</v>
      </c>
      <c r="I198" s="26">
        <f>IF(F$320=0,0,SUM(F$17:F198)/F$320)</f>
        <v>0.53327751682832303</v>
      </c>
      <c r="J198" s="26">
        <f>IF(G$320=0,0,SUM(G$17:G198)/G$320)</f>
        <v>0</v>
      </c>
      <c r="K198" s="26">
        <f>SUM(H$17:H198)/H$320</f>
        <v>0.53327751682832303</v>
      </c>
      <c r="L198" s="26"/>
      <c r="M198" s="26"/>
      <c r="N198" s="27">
        <f t="shared" si="144"/>
        <v>0.83299935551239823</v>
      </c>
      <c r="O198" s="27">
        <f t="shared" si="145"/>
        <v>0</v>
      </c>
      <c r="P198" s="26">
        <f t="shared" si="146"/>
        <v>0.83299935551239823</v>
      </c>
      <c r="Q198" s="26">
        <f>IF(N$320=0,0,SUM(N$17:N198)/N$320)</f>
        <v>0.52905837748653362</v>
      </c>
      <c r="R198" s="26">
        <f>IF(O$320=0,0,SUM(O$17:O198)/O$320)</f>
        <v>0</v>
      </c>
      <c r="S198" s="26">
        <f>SUM(P$17:P198)/P$320</f>
        <v>0.52905837748653362</v>
      </c>
    </row>
    <row r="199" spans="1:19" x14ac:dyDescent="0.4">
      <c r="A199" s="6">
        <f t="shared" si="140"/>
        <v>28.8638027445121</v>
      </c>
      <c r="B199" s="25">
        <f t="shared" ref="B199:C199" si="199">C$4*EXP(-0.5*(LN($A199)-LN(C$5))^2/(LN(C$6))^2)/($A199*SQRT(2*PI())*LN(C$6))</f>
        <v>0.8351717328741588</v>
      </c>
      <c r="C199" s="25">
        <f t="shared" si="199"/>
        <v>0</v>
      </c>
      <c r="D199" s="27">
        <f t="shared" si="142"/>
        <v>0.8351717328741588</v>
      </c>
      <c r="E199" s="27"/>
      <c r="F199" s="26">
        <f t="shared" si="143"/>
        <v>0.8456431061719929</v>
      </c>
      <c r="G199" s="26">
        <f t="shared" si="143"/>
        <v>0</v>
      </c>
      <c r="H199" s="26">
        <f t="shared" si="143"/>
        <v>0.8456431061719929</v>
      </c>
      <c r="I199" s="26">
        <f>IF(F$320=0,0,SUM(F$17:F199)/F$320)</f>
        <v>0.54163285550033791</v>
      </c>
      <c r="J199" s="26">
        <f>IF(G$320=0,0,SUM(G$17:G199)/G$320)</f>
        <v>0</v>
      </c>
      <c r="K199" s="26">
        <f>SUM(H$17:H199)/H$320</f>
        <v>0.54163285550033791</v>
      </c>
      <c r="L199" s="26"/>
      <c r="M199" s="26"/>
      <c r="N199" s="27">
        <f t="shared" si="144"/>
        <v>0.83184597308983976</v>
      </c>
      <c r="O199" s="27">
        <f t="shared" si="145"/>
        <v>0</v>
      </c>
      <c r="P199" s="26">
        <f t="shared" si="146"/>
        <v>0.83184597308983976</v>
      </c>
      <c r="Q199" s="26">
        <f>IF(N$320=0,0,SUM(N$17:N199)/N$320)</f>
        <v>0.5374186385226124</v>
      </c>
      <c r="R199" s="26">
        <f>IF(O$320=0,0,SUM(O$17:O199)/O$320)</f>
        <v>0</v>
      </c>
      <c r="S199" s="26">
        <f>SUM(P$17:P199)/P$320</f>
        <v>0.5374186385226124</v>
      </c>
    </row>
    <row r="200" spans="1:19" x14ac:dyDescent="0.4">
      <c r="A200" s="6">
        <f t="shared" si="140"/>
        <v>29.87634073267149</v>
      </c>
      <c r="B200" s="25">
        <f t="shared" ref="B200:C200" si="200">C$4*EXP(-0.5*(LN($A200)-LN(C$5))^2/(LN(C$6))^2)/($A200*SQRT(2*PI())*LN(C$6))</f>
        <v>0.80522128948343585</v>
      </c>
      <c r="C200" s="25">
        <f t="shared" si="200"/>
        <v>0</v>
      </c>
      <c r="D200" s="27">
        <f t="shared" si="142"/>
        <v>0.80522128948343585</v>
      </c>
      <c r="E200" s="27"/>
      <c r="F200" s="26">
        <f t="shared" si="143"/>
        <v>0.84391835092502054</v>
      </c>
      <c r="G200" s="26">
        <f t="shared" si="143"/>
        <v>0</v>
      </c>
      <c r="H200" s="26">
        <f t="shared" si="143"/>
        <v>0.84391835092502054</v>
      </c>
      <c r="I200" s="26">
        <f>IF(F$320=0,0,SUM(F$17:F200)/F$320)</f>
        <v>0.54997115280571773</v>
      </c>
      <c r="J200" s="26">
        <f>IF(G$320=0,0,SUM(G$17:G200)/G$320)</f>
        <v>0</v>
      </c>
      <c r="K200" s="26">
        <f>SUM(H$17:H200)/H$320</f>
        <v>0.54997115280571773</v>
      </c>
      <c r="L200" s="26"/>
      <c r="M200" s="26"/>
      <c r="N200" s="27">
        <f t="shared" si="144"/>
        <v>0.83033096947627838</v>
      </c>
      <c r="O200" s="27">
        <f t="shared" si="145"/>
        <v>0</v>
      </c>
      <c r="P200" s="26">
        <f t="shared" si="146"/>
        <v>0.83033096947627838</v>
      </c>
      <c r="Q200" s="26">
        <f>IF(N$320=0,0,SUM(N$17:N200)/N$320)</f>
        <v>0.54576367339172083</v>
      </c>
      <c r="R200" s="26">
        <f>IF(O$320=0,0,SUM(O$17:O200)/O$320)</f>
        <v>0</v>
      </c>
      <c r="S200" s="26">
        <f>SUM(P$17:P200)/P$320</f>
        <v>0.54576367339172083</v>
      </c>
    </row>
    <row r="201" spans="1:19" x14ac:dyDescent="0.4">
      <c r="A201" s="6">
        <f t="shared" si="140"/>
        <v>30.924398405695026</v>
      </c>
      <c r="B201" s="25">
        <f t="shared" ref="B201:C201" si="201">C$4*EXP(-0.5*(LN($A201)-LN(C$5))^2/(LN(C$6))^2)/($A201*SQRT(2*PI())*LN(C$6))</f>
        <v>0.77600544497485402</v>
      </c>
      <c r="C201" s="25">
        <f t="shared" si="201"/>
        <v>0</v>
      </c>
      <c r="D201" s="27">
        <f t="shared" si="142"/>
        <v>0.77600544497485402</v>
      </c>
      <c r="E201" s="27"/>
      <c r="F201" s="26">
        <f t="shared" si="143"/>
        <v>0.84182885223749748</v>
      </c>
      <c r="G201" s="26">
        <f t="shared" si="143"/>
        <v>0</v>
      </c>
      <c r="H201" s="26">
        <f t="shared" si="143"/>
        <v>0.84182885223749748</v>
      </c>
      <c r="I201" s="26">
        <f>IF(F$320=0,0,SUM(F$17:F201)/F$320)</f>
        <v>0.55828880491330479</v>
      </c>
      <c r="J201" s="26">
        <f>IF(G$320=0,0,SUM(G$17:G201)/G$320)</f>
        <v>0</v>
      </c>
      <c r="K201" s="26">
        <f>SUM(H$17:H201)/H$320</f>
        <v>0.55828880491330479</v>
      </c>
      <c r="L201" s="26"/>
      <c r="M201" s="26"/>
      <c r="N201" s="27">
        <f t="shared" si="144"/>
        <v>0.8284563269298939</v>
      </c>
      <c r="O201" s="27">
        <f t="shared" si="145"/>
        <v>0</v>
      </c>
      <c r="P201" s="26">
        <f t="shared" si="146"/>
        <v>0.8284563269298939</v>
      </c>
      <c r="Q201" s="26">
        <f>IF(N$320=0,0,SUM(N$17:N201)/N$320)</f>
        <v>0.55408986763222223</v>
      </c>
      <c r="R201" s="26">
        <f>IF(O$320=0,0,SUM(O$17:O201)/O$320)</f>
        <v>0</v>
      </c>
      <c r="S201" s="26">
        <f>SUM(P$17:P201)/P$320</f>
        <v>0.55408986763222223</v>
      </c>
    </row>
    <row r="202" spans="1:19" x14ac:dyDescent="0.4">
      <c r="A202" s="6">
        <f t="shared" si="140"/>
        <v>32.009221788944323</v>
      </c>
      <c r="B202" s="25">
        <f t="shared" ref="B202:C202" si="202">C$4*EXP(-0.5*(LN($A202)-LN(C$5))^2/(LN(C$6))^2)/($A202*SQRT(2*PI())*LN(C$6))</f>
        <v>0.747522632367977</v>
      </c>
      <c r="C202" s="25">
        <f t="shared" si="202"/>
        <v>0</v>
      </c>
      <c r="D202" s="27">
        <f t="shared" si="142"/>
        <v>0.747522632367977</v>
      </c>
      <c r="E202" s="27"/>
      <c r="F202" s="26">
        <f t="shared" si="143"/>
        <v>0.83937733825218941</v>
      </c>
      <c r="G202" s="26">
        <f t="shared" si="143"/>
        <v>0</v>
      </c>
      <c r="H202" s="26">
        <f t="shared" si="143"/>
        <v>0.83937733825218941</v>
      </c>
      <c r="I202" s="26">
        <f>IF(F$320=0,0,SUM(F$17:F202)/F$320)</f>
        <v>0.56658223494723337</v>
      </c>
      <c r="J202" s="26">
        <f>IF(G$320=0,0,SUM(G$17:G202)/G$320)</f>
        <v>0</v>
      </c>
      <c r="K202" s="26">
        <f>SUM(H$17:H202)/H$320</f>
        <v>0.56658223494723337</v>
      </c>
      <c r="L202" s="26"/>
      <c r="M202" s="26"/>
      <c r="N202" s="27">
        <f t="shared" si="144"/>
        <v>0.82622449492080197</v>
      </c>
      <c r="O202" s="27">
        <f t="shared" si="145"/>
        <v>0</v>
      </c>
      <c r="P202" s="26">
        <f t="shared" si="146"/>
        <v>0.82622449492080197</v>
      </c>
      <c r="Q202" s="26">
        <f>IF(N$320=0,0,SUM(N$17:N202)/N$320)</f>
        <v>0.56239363140027043</v>
      </c>
      <c r="R202" s="26">
        <f>IF(O$320=0,0,SUM(O$17:O202)/O$320)</f>
        <v>0</v>
      </c>
      <c r="S202" s="26">
        <f>SUM(P$17:P202)/P$320</f>
        <v>0.56239363140027043</v>
      </c>
    </row>
    <row r="203" spans="1:19" x14ac:dyDescent="0.4">
      <c r="A203" s="6">
        <f t="shared" si="140"/>
        <v>33.132100618168849</v>
      </c>
      <c r="B203" s="25">
        <f t="shared" ref="B203:C203" si="203">C$4*EXP(-0.5*(LN($A203)-LN(C$5))^2/(LN(C$6))^2)/($A203*SQRT(2*PI())*LN(C$6))</f>
        <v>0.71977039796614994</v>
      </c>
      <c r="C203" s="25">
        <f t="shared" si="203"/>
        <v>0</v>
      </c>
      <c r="D203" s="27">
        <f t="shared" si="142"/>
        <v>0.71977039796614994</v>
      </c>
      <c r="E203" s="27"/>
      <c r="F203" s="26">
        <f t="shared" si="143"/>
        <v>0.83656700399283646</v>
      </c>
      <c r="G203" s="26">
        <f t="shared" si="143"/>
        <v>0</v>
      </c>
      <c r="H203" s="26">
        <f t="shared" si="143"/>
        <v>0.83656700399283646</v>
      </c>
      <c r="I203" s="26">
        <f>IF(F$320=0,0,SUM(F$17:F203)/F$320)</f>
        <v>0.57484789759992616</v>
      </c>
      <c r="J203" s="26">
        <f>IF(G$320=0,0,SUM(G$17:G203)/G$320)</f>
        <v>0</v>
      </c>
      <c r="K203" s="26">
        <f>SUM(H$17:H203)/H$320</f>
        <v>0.57484789759992616</v>
      </c>
      <c r="L203" s="26"/>
      <c r="M203" s="26"/>
      <c r="N203" s="27">
        <f t="shared" si="144"/>
        <v>0.8236383847975981</v>
      </c>
      <c r="O203" s="27">
        <f t="shared" si="145"/>
        <v>0</v>
      </c>
      <c r="P203" s="26">
        <f t="shared" si="146"/>
        <v>0.8236383847975981</v>
      </c>
      <c r="Q203" s="26">
        <f>IF(N$320=0,0,SUM(N$17:N203)/N$320)</f>
        <v>0.57067140411180406</v>
      </c>
      <c r="R203" s="26">
        <f>IF(O$320=0,0,SUM(O$17:O203)/O$320)</f>
        <v>0</v>
      </c>
      <c r="S203" s="26">
        <f>SUM(P$17:P203)/P$320</f>
        <v>0.57067140411180406</v>
      </c>
    </row>
    <row r="204" spans="1:19" x14ac:dyDescent="0.4">
      <c r="A204" s="6">
        <f t="shared" si="140"/>
        <v>34.294369872859953</v>
      </c>
      <c r="B204" s="25">
        <f t="shared" ref="B204:C204" si="204">C$4*EXP(-0.5*(LN($A204)-LN(C$5))^2/(LN(C$6))^2)/($A204*SQRT(2*PI())*LN(C$6))</f>
        <v>0.69274543811016442</v>
      </c>
      <c r="C204" s="25">
        <f t="shared" si="204"/>
        <v>0</v>
      </c>
      <c r="D204" s="27">
        <f t="shared" si="142"/>
        <v>0.69274543811016442</v>
      </c>
      <c r="E204" s="27"/>
      <c r="F204" s="26">
        <f t="shared" si="143"/>
        <v>0.83340150442522121</v>
      </c>
      <c r="G204" s="26">
        <f t="shared" si="143"/>
        <v>0</v>
      </c>
      <c r="H204" s="26">
        <f t="shared" si="143"/>
        <v>0.83340150442522121</v>
      </c>
      <c r="I204" s="26">
        <f>IF(F$320=0,0,SUM(F$17:F204)/F$320)</f>
        <v>0.58308228367653092</v>
      </c>
      <c r="J204" s="26">
        <f>IF(G$320=0,0,SUM(G$17:G204)/G$320)</f>
        <v>0</v>
      </c>
      <c r="K204" s="26">
        <f>SUM(H$17:H204)/H$320</f>
        <v>0.58308228367653092</v>
      </c>
      <c r="L204" s="26"/>
      <c r="M204" s="26"/>
      <c r="N204" s="27">
        <f t="shared" si="144"/>
        <v>0.82070136345870903</v>
      </c>
      <c r="O204" s="27">
        <f t="shared" si="145"/>
        <v>0</v>
      </c>
      <c r="P204" s="26">
        <f t="shared" si="146"/>
        <v>0.82070136345870903</v>
      </c>
      <c r="Q204" s="26">
        <f>IF(N$320=0,0,SUM(N$17:N204)/N$320)</f>
        <v>0.57891965902093689</v>
      </c>
      <c r="R204" s="26">
        <f>IF(O$320=0,0,SUM(O$17:O204)/O$320)</f>
        <v>0</v>
      </c>
      <c r="S204" s="26">
        <f>SUM(P$17:P204)/P$320</f>
        <v>0.57891965902093689</v>
      </c>
    </row>
    <row r="205" spans="1:19" x14ac:dyDescent="0.4">
      <c r="A205" s="6">
        <f t="shared" si="140"/>
        <v>35.497411363394733</v>
      </c>
      <c r="B205" s="25">
        <f t="shared" ref="B205:C205" si="205">C$4*EXP(-0.5*(LN($A205)-LN(C$5))^2/(LN(C$6))^2)/($A205*SQRT(2*PI())*LN(C$6))</f>
        <v>0.66644363639884785</v>
      </c>
      <c r="C205" s="25">
        <f t="shared" si="205"/>
        <v>0</v>
      </c>
      <c r="D205" s="27">
        <f t="shared" si="142"/>
        <v>0.66644363639884785</v>
      </c>
      <c r="E205" s="27"/>
      <c r="F205" s="26">
        <f t="shared" si="143"/>
        <v>0.82988494653612976</v>
      </c>
      <c r="G205" s="26">
        <f t="shared" si="143"/>
        <v>0</v>
      </c>
      <c r="H205" s="26">
        <f t="shared" si="143"/>
        <v>0.82988494653612976</v>
      </c>
      <c r="I205" s="26">
        <f>IF(F$320=0,0,SUM(F$17:F205)/F$320)</f>
        <v>0.59128192456109352</v>
      </c>
      <c r="J205" s="26">
        <f>IF(G$320=0,0,SUM(G$17:G205)/G$320)</f>
        <v>0</v>
      </c>
      <c r="K205" s="26">
        <f>SUM(H$17:H205)/H$320</f>
        <v>0.59128192456109352</v>
      </c>
      <c r="L205" s="26"/>
      <c r="M205" s="26"/>
      <c r="N205" s="27">
        <f t="shared" si="144"/>
        <v>0.81741724604806887</v>
      </c>
      <c r="O205" s="27">
        <f t="shared" si="145"/>
        <v>0</v>
      </c>
      <c r="P205" s="26">
        <f t="shared" si="146"/>
        <v>0.81741724604806887</v>
      </c>
      <c r="Q205" s="26">
        <f>IF(N$320=0,0,SUM(N$17:N205)/N$320)</f>
        <v>0.58713490772493748</v>
      </c>
      <c r="R205" s="26">
        <f>IF(O$320=0,0,SUM(O$17:O205)/O$320)</f>
        <v>0</v>
      </c>
      <c r="S205" s="26">
        <f>SUM(P$17:P205)/P$320</f>
        <v>0.58713490772493748</v>
      </c>
    </row>
    <row r="206" spans="1:19" x14ac:dyDescent="0.4">
      <c r="A206" s="6">
        <f t="shared" si="140"/>
        <v>36.742655373856657</v>
      </c>
      <c r="B206" s="25">
        <f t="shared" ref="B206:C206" si="206">C$4*EXP(-0.5*(LN($A206)-LN(C$5))^2/(LN(C$6))^2)/($A206*SQRT(2*PI())*LN(C$6))</f>
        <v>0.64086010126344251</v>
      </c>
      <c r="C206" s="25">
        <f t="shared" si="206"/>
        <v>0</v>
      </c>
      <c r="D206" s="27">
        <f t="shared" si="142"/>
        <v>0.64086010126344251</v>
      </c>
      <c r="E206" s="27"/>
      <c r="F206" s="26">
        <f t="shared" si="143"/>
        <v>0.82602188045425695</v>
      </c>
      <c r="G206" s="26">
        <f t="shared" si="143"/>
        <v>0</v>
      </c>
      <c r="H206" s="26">
        <f t="shared" si="143"/>
        <v>0.82602188045425695</v>
      </c>
      <c r="I206" s="26">
        <f>IF(F$320=0,0,SUM(F$17:F206)/F$320)</f>
        <v>0.59944339659500168</v>
      </c>
      <c r="J206" s="26">
        <f>IF(G$320=0,0,SUM(G$17:G206)/G$320)</f>
        <v>0</v>
      </c>
      <c r="K206" s="26">
        <f>SUM(H$17:H206)/H$320</f>
        <v>0.59944339659500168</v>
      </c>
      <c r="L206" s="26"/>
      <c r="M206" s="26"/>
      <c r="N206" s="27">
        <f t="shared" si="144"/>
        <v>0.81379028769670292</v>
      </c>
      <c r="O206" s="27">
        <f t="shared" si="145"/>
        <v>0</v>
      </c>
      <c r="P206" s="26">
        <f t="shared" si="146"/>
        <v>0.81379028769670292</v>
      </c>
      <c r="Q206" s="26">
        <f>IF(N$320=0,0,SUM(N$17:N206)/N$320)</f>
        <v>0.59531370458621091</v>
      </c>
      <c r="R206" s="26">
        <f>IF(O$320=0,0,SUM(O$17:O206)/O$320)</f>
        <v>0</v>
      </c>
      <c r="S206" s="26">
        <f>SUM(P$17:P206)/P$320</f>
        <v>0.59531370458621091</v>
      </c>
    </row>
    <row r="207" spans="1:19" x14ac:dyDescent="0.4">
      <c r="A207" s="6">
        <f t="shared" si="140"/>
        <v>38.031582362486112</v>
      </c>
      <c r="B207" s="25">
        <f t="shared" ref="B207:C207" si="207">C$4*EXP(-0.5*(LN($A207)-LN(C$5))^2/(LN(C$6))^2)/($A207*SQRT(2*PI())*LN(C$6))</f>
        <v>0.61598920378580069</v>
      </c>
      <c r="C207" s="25">
        <f t="shared" si="207"/>
        <v>0</v>
      </c>
      <c r="D207" s="27">
        <f t="shared" si="142"/>
        <v>0.61598920378580069</v>
      </c>
      <c r="E207" s="27"/>
      <c r="F207" s="26">
        <f t="shared" si="143"/>
        <v>0.82181728963992129</v>
      </c>
      <c r="G207" s="26">
        <f t="shared" si="143"/>
        <v>0</v>
      </c>
      <c r="H207" s="26">
        <f t="shared" si="143"/>
        <v>0.82181728963992129</v>
      </c>
      <c r="I207" s="26">
        <f>IF(F$320=0,0,SUM(F$17:F207)/F$320)</f>
        <v>0.60756332535849877</v>
      </c>
      <c r="J207" s="26">
        <f>IF(G$320=0,0,SUM(G$17:G207)/G$320)</f>
        <v>0</v>
      </c>
      <c r="K207" s="26">
        <f>SUM(H$17:H207)/H$320</f>
        <v>0.60756332535849877</v>
      </c>
      <c r="L207" s="26"/>
      <c r="M207" s="26"/>
      <c r="N207" s="27">
        <f t="shared" si="144"/>
        <v>0.80982517433610957</v>
      </c>
      <c r="O207" s="27">
        <f t="shared" si="145"/>
        <v>0</v>
      </c>
      <c r="P207" s="26">
        <f t="shared" si="146"/>
        <v>0.80982517433610957</v>
      </c>
      <c r="Q207" s="26">
        <f>IF(N$320=0,0,SUM(N$17:N207)/N$320)</f>
        <v>0.60345265106195078</v>
      </c>
      <c r="R207" s="26">
        <f>IF(O$320=0,0,SUM(O$17:O207)/O$320)</f>
        <v>0</v>
      </c>
      <c r="S207" s="26">
        <f>SUM(P$17:P207)/P$320</f>
        <v>0.60345265106195078</v>
      </c>
    </row>
    <row r="208" spans="1:19" x14ac:dyDescent="0.4">
      <c r="A208" s="6">
        <f t="shared" si="140"/>
        <v>39.365724721782549</v>
      </c>
      <c r="B208" s="25">
        <f t="shared" ref="B208:C208" si="208">C$4*EXP(-0.5*(LN($A208)-LN(C$5))^2/(LN(C$6))^2)/($A208*SQRT(2*PI())*LN(C$6))</f>
        <v>0.59182461565384048</v>
      </c>
      <c r="C208" s="25">
        <f t="shared" si="208"/>
        <v>0</v>
      </c>
      <c r="D208" s="27">
        <f t="shared" si="142"/>
        <v>0.59182461565384048</v>
      </c>
      <c r="E208" s="27"/>
      <c r="F208" s="26">
        <f t="shared" si="143"/>
        <v>0.81727658017307925</v>
      </c>
      <c r="G208" s="26">
        <f t="shared" si="143"/>
        <v>0</v>
      </c>
      <c r="H208" s="26">
        <f t="shared" si="143"/>
        <v>0.81727658017307925</v>
      </c>
      <c r="I208" s="26">
        <f>IF(F$320=0,0,SUM(F$17:F208)/F$320)</f>
        <v>0.61563838984635777</v>
      </c>
      <c r="J208" s="26">
        <f>IF(G$320=0,0,SUM(G$17:G208)/G$320)</f>
        <v>0</v>
      </c>
      <c r="K208" s="26">
        <f>SUM(H$17:H208)/H$320</f>
        <v>0.61563838984635777</v>
      </c>
      <c r="L208" s="26"/>
      <c r="M208" s="26"/>
      <c r="N208" s="27">
        <f t="shared" si="144"/>
        <v>0.80552701261034088</v>
      </c>
      <c r="O208" s="27">
        <f t="shared" si="145"/>
        <v>0</v>
      </c>
      <c r="P208" s="26">
        <f t="shared" si="146"/>
        <v>0.80552701261034088</v>
      </c>
      <c r="Q208" s="26">
        <f>IF(N$320=0,0,SUM(N$17:N208)/N$320)</f>
        <v>0.61154839993240639</v>
      </c>
      <c r="R208" s="26">
        <f>IF(O$320=0,0,SUM(O$17:O208)/O$320)</f>
        <v>0</v>
      </c>
      <c r="S208" s="26">
        <f>SUM(P$17:P208)/P$320</f>
        <v>0.61154839993240639</v>
      </c>
    </row>
    <row r="209" spans="1:19" x14ac:dyDescent="0.4">
      <c r="A209" s="6">
        <f t="shared" si="140"/>
        <v>40.746668600350631</v>
      </c>
      <c r="B209" s="25">
        <f t="shared" ref="B209:C209" si="209">C$4*EXP(-0.5*(LN($A209)-LN(C$5))^2/(LN(C$6))^2)/($A209*SQRT(2*PI())*LN(C$6))</f>
        <v>0.56835934715136893</v>
      </c>
      <c r="C209" s="25">
        <f t="shared" si="209"/>
        <v>0</v>
      </c>
      <c r="D209" s="27">
        <f t="shared" si="142"/>
        <v>0.56835934715136893</v>
      </c>
      <c r="E209" s="27"/>
      <c r="F209" s="26">
        <f t="shared" si="143"/>
        <v>0.81240556917212614</v>
      </c>
      <c r="G209" s="26">
        <f t="shared" si="143"/>
        <v>0</v>
      </c>
      <c r="H209" s="26">
        <f t="shared" si="143"/>
        <v>0.81240556917212614</v>
      </c>
      <c r="I209" s="26">
        <f>IF(F$320=0,0,SUM(F$17:F209)/F$320)</f>
        <v>0.62366532652912854</v>
      </c>
      <c r="J209" s="26">
        <f>IF(G$320=0,0,SUM(G$17:G209)/G$320)</f>
        <v>0</v>
      </c>
      <c r="K209" s="26">
        <f>SUM(H$17:H209)/H$320</f>
        <v>0.62366532652912854</v>
      </c>
      <c r="L209" s="26"/>
      <c r="M209" s="26"/>
      <c r="N209" s="27">
        <f t="shared" si="144"/>
        <v>0.80090131891777938</v>
      </c>
      <c r="O209" s="27">
        <f t="shared" si="145"/>
        <v>0</v>
      </c>
      <c r="P209" s="26">
        <f t="shared" si="146"/>
        <v>0.80090131891777938</v>
      </c>
      <c r="Q209" s="26">
        <f>IF(N$320=0,0,SUM(N$17:N209)/N$320)</f>
        <v>0.61959765941901723</v>
      </c>
      <c r="R209" s="26">
        <f>IF(O$320=0,0,SUM(O$17:O209)/O$320)</f>
        <v>0</v>
      </c>
      <c r="S209" s="26">
        <f>SUM(P$17:P209)/P$320</f>
        <v>0.61959765941901723</v>
      </c>
    </row>
    <row r="210" spans="1:19" x14ac:dyDescent="0.4">
      <c r="A210" s="6">
        <f t="shared" ref="A210:A273" si="210">10^((LOG(A$318)-LOG(A$17))/301+LOG(A209))</f>
        <v>42.176055788656626</v>
      </c>
      <c r="B210" s="25">
        <f t="shared" ref="B210:C210" si="211">C$4*EXP(-0.5*(LN($A210)-LN(C$5))^2/(LN(C$6))^2)/($A210*SQRT(2*PI())*LN(C$6))</f>
        <v>0.54558578508323363</v>
      </c>
      <c r="C210" s="25">
        <f t="shared" si="211"/>
        <v>0</v>
      </c>
      <c r="D210" s="27">
        <f t="shared" ref="D210:D273" si="212">B210+C210</f>
        <v>0.54558578508323363</v>
      </c>
      <c r="E210" s="27"/>
      <c r="F210" s="26">
        <f t="shared" ref="F210:H273" si="213">B210*($A211-$A210)</f>
        <v>0.80721047237791443</v>
      </c>
      <c r="G210" s="26">
        <f t="shared" si="213"/>
        <v>0</v>
      </c>
      <c r="H210" s="26">
        <f t="shared" si="213"/>
        <v>0.80721047237791443</v>
      </c>
      <c r="I210" s="26">
        <f>IF(F$320=0,0,SUM(F$17:F210)/F$320)</f>
        <v>0.63164093329170867</v>
      </c>
      <c r="J210" s="26">
        <f>IF(G$320=0,0,SUM(G$17:G210)/G$320)</f>
        <v>0</v>
      </c>
      <c r="K210" s="26">
        <f>SUM(H$17:H210)/H$320</f>
        <v>0.63164093329170867</v>
      </c>
      <c r="L210" s="26"/>
      <c r="M210" s="26"/>
      <c r="N210" s="27">
        <f t="shared" ref="N210:N273" si="214">C$4*((NORMDIST(LN($A210),LN(C$5),LN(C$6),TRUE))-(NORMDIST(LN($A209),LN(C$5),LN(C$6),TRUE)))</f>
        <v>0.79595400761525159</v>
      </c>
      <c r="O210" s="27">
        <f t="shared" ref="O210:O273" si="215">D$4*((NORMDIST(LN($A210),LN(D$5),LN(D$6),TRUE))-(NORMDIST(LN($A209),LN(D$5),LN(D$6),TRUE)))</f>
        <v>0</v>
      </c>
      <c r="P210" s="26">
        <f t="shared" ref="P210:P273" si="216">N210+O210</f>
        <v>0.79595400761525159</v>
      </c>
      <c r="Q210" s="26">
        <f>IF(N$320=0,0,SUM(N$17:N210)/N$320)</f>
        <v>0.62759719718399465</v>
      </c>
      <c r="R210" s="26">
        <f>IF(O$320=0,0,SUM(O$17:O210)/O$320)</f>
        <v>0</v>
      </c>
      <c r="S210" s="26">
        <f>SUM(P$17:P210)/P$320</f>
        <v>0.62759719718399465</v>
      </c>
    </row>
    <row r="211" spans="1:19" x14ac:dyDescent="0.4">
      <c r="A211" s="6">
        <f t="shared" si="210"/>
        <v>43.655585670936766</v>
      </c>
      <c r="B211" s="25">
        <f t="shared" ref="B211:C211" si="217">C$4*EXP(-0.5*(LN($A211)-LN(C$5))^2/(LN(C$6))^2)/($A211*SQRT(2*PI())*LN(C$6))</f>
        <v>0.52349573054083476</v>
      </c>
      <c r="C211" s="25">
        <f t="shared" si="217"/>
        <v>0</v>
      </c>
      <c r="D211" s="27">
        <f t="shared" si="212"/>
        <v>0.52349573054083476</v>
      </c>
      <c r="E211" s="27"/>
      <c r="F211" s="26">
        <f t="shared" si="213"/>
        <v>0.80169789094026145</v>
      </c>
      <c r="G211" s="26">
        <f t="shared" si="213"/>
        <v>0</v>
      </c>
      <c r="H211" s="26">
        <f t="shared" si="213"/>
        <v>0.80169789094026145</v>
      </c>
      <c r="I211" s="26">
        <f>IF(F$320=0,0,SUM(F$17:F211)/F$320)</f>
        <v>0.63956207324135972</v>
      </c>
      <c r="J211" s="26">
        <f>IF(G$320=0,0,SUM(G$17:G211)/G$320)</f>
        <v>0</v>
      </c>
      <c r="K211" s="26">
        <f>SUM(H$17:H211)/H$320</f>
        <v>0.63956207324135972</v>
      </c>
      <c r="L211" s="26"/>
      <c r="M211" s="26"/>
      <c r="N211" s="27">
        <f t="shared" si="214"/>
        <v>0.79069137841981663</v>
      </c>
      <c r="O211" s="27">
        <f t="shared" si="215"/>
        <v>0</v>
      </c>
      <c r="P211" s="26">
        <f t="shared" si="216"/>
        <v>0.79069137841981663</v>
      </c>
      <c r="Q211" s="26">
        <f>IF(N$320=0,0,SUM(N$17:N211)/N$320)</f>
        <v>0.63554384420328924</v>
      </c>
      <c r="R211" s="26">
        <f>IF(O$320=0,0,SUM(O$17:O211)/O$320)</f>
        <v>0</v>
      </c>
      <c r="S211" s="26">
        <f>SUM(P$17:P211)/P$320</f>
        <v>0.63554384420328924</v>
      </c>
    </row>
    <row r="212" spans="1:19" x14ac:dyDescent="0.4">
      <c r="A212" s="6">
        <f t="shared" si="210"/>
        <v>45.187017245578282</v>
      </c>
      <c r="B212" s="25">
        <f t="shared" ref="B212:C212" si="218">C$4*EXP(-0.5*(LN($A212)-LN(C$5))^2/(LN(C$6))^2)/($A212*SQRT(2*PI())*LN(C$6))</f>
        <v>0.50208043641724442</v>
      </c>
      <c r="C212" s="25">
        <f t="shared" si="218"/>
        <v>0</v>
      </c>
      <c r="D212" s="27">
        <f t="shared" si="212"/>
        <v>0.50208043641724442</v>
      </c>
      <c r="E212" s="27"/>
      <c r="F212" s="26">
        <f t="shared" si="213"/>
        <v>0.79587479744623313</v>
      </c>
      <c r="G212" s="26">
        <f t="shared" si="213"/>
        <v>0</v>
      </c>
      <c r="H212" s="26">
        <f t="shared" si="213"/>
        <v>0.79587479744623313</v>
      </c>
      <c r="I212" s="26">
        <f>IF(F$320=0,0,SUM(F$17:F212)/F$320)</f>
        <v>0.64742567837767606</v>
      </c>
      <c r="J212" s="26">
        <f>IF(G$320=0,0,SUM(G$17:G212)/G$320)</f>
        <v>0</v>
      </c>
      <c r="K212" s="26">
        <f>SUM(H$17:H212)/H$320</f>
        <v>0.64742567837767606</v>
      </c>
      <c r="L212" s="26"/>
      <c r="M212" s="26"/>
      <c r="N212" s="27">
        <f t="shared" si="214"/>
        <v>0.78512010304575552</v>
      </c>
      <c r="O212" s="27">
        <f t="shared" si="215"/>
        <v>0</v>
      </c>
      <c r="P212" s="26">
        <f t="shared" si="216"/>
        <v>0.78512010304575552</v>
      </c>
      <c r="Q212" s="26">
        <f>IF(N$320=0,0,SUM(N$17:N212)/N$320)</f>
        <v>0.64343449850525658</v>
      </c>
      <c r="R212" s="26">
        <f>IF(O$320=0,0,SUM(O$17:O212)/O$320)</f>
        <v>0</v>
      </c>
      <c r="S212" s="26">
        <f>SUM(P$17:P212)/P$320</f>
        <v>0.64343449850525658</v>
      </c>
    </row>
    <row r="213" spans="1:19" x14ac:dyDescent="0.4">
      <c r="A213" s="6">
        <f t="shared" si="210"/>
        <v>46.772171216375177</v>
      </c>
      <c r="B213" s="25">
        <f t="shared" ref="B213:C213" si="219">C$4*EXP(-0.5*(LN($A213)-LN(C$5))^2/(LN(C$6))^2)/($A213*SQRT(2*PI())*LN(C$6))</f>
        <v>0.48133064458554958</v>
      </c>
      <c r="C213" s="25">
        <f t="shared" si="219"/>
        <v>0</v>
      </c>
      <c r="D213" s="27">
        <f t="shared" si="212"/>
        <v>0.48133064458554958</v>
      </c>
      <c r="E213" s="27"/>
      <c r="F213" s="26">
        <f t="shared" si="213"/>
        <v>0.789748521231453</v>
      </c>
      <c r="G213" s="26">
        <f t="shared" si="213"/>
        <v>0</v>
      </c>
      <c r="H213" s="26">
        <f t="shared" si="213"/>
        <v>0.789748521231453</v>
      </c>
      <c r="I213" s="26">
        <f>IF(F$320=0,0,SUM(F$17:F213)/F$320)</f>
        <v>0.65522875311742301</v>
      </c>
      <c r="J213" s="26">
        <f>IF(G$320=0,0,SUM(G$17:G213)/G$320)</f>
        <v>0</v>
      </c>
      <c r="K213" s="26">
        <f>SUM(H$17:H213)/H$320</f>
        <v>0.65522875311742301</v>
      </c>
      <c r="L213" s="26"/>
      <c r="M213" s="26"/>
      <c r="N213" s="27">
        <f t="shared" si="214"/>
        <v>0.77924721111669593</v>
      </c>
      <c r="O213" s="27">
        <f t="shared" si="215"/>
        <v>0</v>
      </c>
      <c r="P213" s="26">
        <f t="shared" si="216"/>
        <v>0.77924721111669593</v>
      </c>
      <c r="Q213" s="26">
        <f>IF(N$320=0,0,SUM(N$17:N213)/N$320)</f>
        <v>0.65126612876773593</v>
      </c>
      <c r="R213" s="26">
        <f>IF(O$320=0,0,SUM(O$17:O213)/O$320)</f>
        <v>0</v>
      </c>
      <c r="S213" s="26">
        <f>SUM(P$17:P213)/P$320</f>
        <v>0.65126612876773593</v>
      </c>
    </row>
    <row r="214" spans="1:19" x14ac:dyDescent="0.4">
      <c r="A214" s="6">
        <f t="shared" si="210"/>
        <v>48.412932157144837</v>
      </c>
      <c r="B214" s="25">
        <f t="shared" ref="B214:C214" si="220">C$4*EXP(-0.5*(LN($A214)-LN(C$5))^2/(LN(C$6))^2)/($A214*SQRT(2*PI())*LN(C$6))</f>
        <v>0.46123662265852483</v>
      </c>
      <c r="C214" s="25">
        <f t="shared" si="220"/>
        <v>0</v>
      </c>
      <c r="D214" s="27">
        <f t="shared" si="212"/>
        <v>0.46123662265852483</v>
      </c>
      <c r="E214" s="27"/>
      <c r="F214" s="26">
        <f t="shared" si="213"/>
        <v>0.78332673301790345</v>
      </c>
      <c r="G214" s="26">
        <f t="shared" si="213"/>
        <v>0</v>
      </c>
      <c r="H214" s="26">
        <f t="shared" si="213"/>
        <v>0.78332673301790345</v>
      </c>
      <c r="I214" s="26">
        <f>IF(F$320=0,0,SUM(F$17:F214)/F$320)</f>
        <v>0.6629683776675892</v>
      </c>
      <c r="J214" s="26">
        <f>IF(G$320=0,0,SUM(G$17:G214)/G$320)</f>
        <v>0</v>
      </c>
      <c r="K214" s="26">
        <f>SUM(H$17:H214)/H$320</f>
        <v>0.6629683776675892</v>
      </c>
      <c r="L214" s="26"/>
      <c r="M214" s="26"/>
      <c r="N214" s="27">
        <f t="shared" si="214"/>
        <v>0.77308007539388379</v>
      </c>
      <c r="O214" s="27">
        <f t="shared" si="215"/>
        <v>0</v>
      </c>
      <c r="P214" s="26">
        <f t="shared" si="216"/>
        <v>0.77308007539388379</v>
      </c>
      <c r="Q214" s="26">
        <f>IF(N$320=0,0,SUM(N$17:N214)/N$320)</f>
        <v>0.65903577776666944</v>
      </c>
      <c r="R214" s="26">
        <f>IF(O$320=0,0,SUM(O$17:O214)/O$320)</f>
        <v>0</v>
      </c>
      <c r="S214" s="26">
        <f>SUM(P$17:P214)/P$320</f>
        <v>0.65903577776666944</v>
      </c>
    </row>
    <row r="215" spans="1:19" x14ac:dyDescent="0.4">
      <c r="A215" s="6">
        <f t="shared" si="210"/>
        <v>50.111250752279112</v>
      </c>
      <c r="B215" s="25">
        <f t="shared" ref="B215:C215" si="221">C$4*EXP(-0.5*(LN($A215)-LN(C$5))^2/(LN(C$6))^2)/($A215*SQRT(2*PI())*LN(C$6))</f>
        <v>0.44178820025232607</v>
      </c>
      <c r="C215" s="25">
        <f t="shared" si="221"/>
        <v>0</v>
      </c>
      <c r="D215" s="27">
        <f t="shared" si="212"/>
        <v>0.44178820025232607</v>
      </c>
      <c r="E215" s="27"/>
      <c r="F215" s="26">
        <f t="shared" si="213"/>
        <v>0.77661742892320296</v>
      </c>
      <c r="G215" s="26">
        <f t="shared" si="213"/>
        <v>0</v>
      </c>
      <c r="H215" s="26">
        <f t="shared" si="213"/>
        <v>0.77661742892320296</v>
      </c>
      <c r="I215" s="26">
        <f>IF(F$320=0,0,SUM(F$17:F215)/F$320)</f>
        <v>0.67064171124044403</v>
      </c>
      <c r="J215" s="26">
        <f>IF(G$320=0,0,SUM(G$17:G215)/G$320)</f>
        <v>0</v>
      </c>
      <c r="K215" s="26">
        <f>SUM(H$17:H215)/H$320</f>
        <v>0.67064171124044403</v>
      </c>
      <c r="L215" s="26"/>
      <c r="M215" s="26"/>
      <c r="N215" s="27">
        <f t="shared" si="214"/>
        <v>0.76662639636482233</v>
      </c>
      <c r="O215" s="27">
        <f t="shared" si="215"/>
        <v>0</v>
      </c>
      <c r="P215" s="26">
        <f t="shared" si="216"/>
        <v>0.76662639636482233</v>
      </c>
      <c r="Q215" s="26">
        <f>IF(N$320=0,0,SUM(N$17:N215)/N$320)</f>
        <v>0.66674056566983353</v>
      </c>
      <c r="R215" s="26">
        <f>IF(O$320=0,0,SUM(O$17:O215)/O$320)</f>
        <v>0</v>
      </c>
      <c r="S215" s="26">
        <f>SUM(P$17:P215)/P$320</f>
        <v>0.66674056566983353</v>
      </c>
    </row>
    <row r="216" spans="1:19" x14ac:dyDescent="0.4">
      <c r="A216" s="6">
        <f t="shared" si="210"/>
        <v>51.869146115893713</v>
      </c>
      <c r="B216" s="25">
        <f t="shared" ref="B216:C216" si="222">C$4*EXP(-0.5*(LN($A216)-LN(C$5))^2/(LN(C$6))^2)/($A216*SQRT(2*PI())*LN(C$6))</f>
        <v>0.42297480468155857</v>
      </c>
      <c r="C216" s="25">
        <f t="shared" si="222"/>
        <v>0</v>
      </c>
      <c r="D216" s="27">
        <f t="shared" si="212"/>
        <v>0.42297480468155857</v>
      </c>
      <c r="E216" s="27"/>
      <c r="F216" s="26">
        <f t="shared" si="213"/>
        <v>0.76962891388780164</v>
      </c>
      <c r="G216" s="26">
        <f t="shared" si="213"/>
        <v>0</v>
      </c>
      <c r="H216" s="26">
        <f t="shared" si="213"/>
        <v>0.76962891388780164</v>
      </c>
      <c r="I216" s="26">
        <f>IF(F$320=0,0,SUM(F$17:F216)/F$320)</f>
        <v>0.6782459951048474</v>
      </c>
      <c r="J216" s="26">
        <f>IF(G$320=0,0,SUM(G$17:G216)/G$320)</f>
        <v>0</v>
      </c>
      <c r="K216" s="26">
        <f>SUM(H$17:H216)/H$320</f>
        <v>0.6782459951048474</v>
      </c>
      <c r="L216" s="26"/>
      <c r="M216" s="26"/>
      <c r="N216" s="27">
        <f t="shared" si="214"/>
        <v>0.75989418623658711</v>
      </c>
      <c r="O216" s="27">
        <f t="shared" si="215"/>
        <v>0</v>
      </c>
      <c r="P216" s="26">
        <f t="shared" si="216"/>
        <v>0.75989418623658711</v>
      </c>
      <c r="Q216" s="26">
        <f>IF(N$320=0,0,SUM(N$17:N216)/N$320)</f>
        <v>0.67437769316969876</v>
      </c>
      <c r="R216" s="26">
        <f>IF(O$320=0,0,SUM(O$17:O216)/O$320)</f>
        <v>0</v>
      </c>
      <c r="S216" s="26">
        <f>SUM(P$17:P216)/P$320</f>
        <v>0.67437769316969876</v>
      </c>
    </row>
    <row r="217" spans="1:19" x14ac:dyDescent="0.4">
      <c r="A217" s="6">
        <f t="shared" si="210"/>
        <v>53.688708192332818</v>
      </c>
      <c r="B217" s="25">
        <f t="shared" ref="B217:C217" si="223">C$4*EXP(-0.5*(LN($A217)-LN(C$5))^2/(LN(C$6))^2)/($A217*SQRT(2*PI())*LN(C$6))</f>
        <v>0.40478549601780117</v>
      </c>
      <c r="C217" s="25">
        <f t="shared" si="223"/>
        <v>0</v>
      </c>
      <c r="D217" s="27">
        <f t="shared" si="212"/>
        <v>0.40478549601780117</v>
      </c>
      <c r="E217" s="27"/>
      <c r="F217" s="26">
        <f t="shared" si="213"/>
        <v>0.76236978456846416</v>
      </c>
      <c r="G217" s="26">
        <f t="shared" si="213"/>
        <v>0</v>
      </c>
      <c r="H217" s="26">
        <f t="shared" si="213"/>
        <v>0.76236978456846416</v>
      </c>
      <c r="I217" s="26">
        <f>IF(F$320=0,0,SUM(F$17:F217)/F$320)</f>
        <v>0.68577855546853939</v>
      </c>
      <c r="J217" s="26">
        <f>IF(G$320=0,0,SUM(G$17:G217)/G$320)</f>
        <v>0</v>
      </c>
      <c r="K217" s="26">
        <f>SUM(H$17:H217)/H$320</f>
        <v>0.68577855546853939</v>
      </c>
      <c r="L217" s="26"/>
      <c r="M217" s="26"/>
      <c r="N217" s="27">
        <f t="shared" si="214"/>
        <v>0.7528917523809131</v>
      </c>
      <c r="O217" s="27">
        <f t="shared" si="215"/>
        <v>0</v>
      </c>
      <c r="P217" s="26">
        <f t="shared" si="216"/>
        <v>0.7528917523809131</v>
      </c>
      <c r="Q217" s="26">
        <f>IF(N$320=0,0,SUM(N$17:N217)/N$320)</f>
        <v>0.68194444444990898</v>
      </c>
      <c r="R217" s="26">
        <f>IF(O$320=0,0,SUM(O$17:O217)/O$320)</f>
        <v>0</v>
      </c>
      <c r="S217" s="26">
        <f>SUM(P$17:P217)/P$320</f>
        <v>0.68194444444990898</v>
      </c>
    </row>
    <row r="218" spans="1:19" x14ac:dyDescent="0.4">
      <c r="A218" s="6">
        <f t="shared" si="210"/>
        <v>55.572100240883238</v>
      </c>
      <c r="B218" s="25">
        <f t="shared" ref="B218:C218" si="224">C$4*EXP(-0.5*(LN($A218)-LN(C$5))^2/(LN(C$6))^2)/($A218*SQRT(2*PI())*LN(C$6))</f>
        <v>0.38720900144841131</v>
      </c>
      <c r="C218" s="25">
        <f t="shared" si="224"/>
        <v>0</v>
      </c>
      <c r="D218" s="27">
        <f t="shared" si="212"/>
        <v>0.38720900144841131</v>
      </c>
      <c r="E218" s="27"/>
      <c r="F218" s="26">
        <f t="shared" si="213"/>
        <v>0.7548489117469438</v>
      </c>
      <c r="G218" s="26">
        <f t="shared" si="213"/>
        <v>0</v>
      </c>
      <c r="H218" s="26">
        <f t="shared" si="213"/>
        <v>0.7548489117469438</v>
      </c>
      <c r="I218" s="26">
        <f>IF(F$320=0,0,SUM(F$17:F218)/F$320)</f>
        <v>0.69323680618662065</v>
      </c>
      <c r="J218" s="26">
        <f>IF(G$320=0,0,SUM(G$17:G218)/G$320)</f>
        <v>0</v>
      </c>
      <c r="K218" s="26">
        <f>SUM(H$17:H218)/H$320</f>
        <v>0.69323680618662065</v>
      </c>
      <c r="L218" s="26"/>
      <c r="M218" s="26"/>
      <c r="N218" s="27">
        <f t="shared" si="214"/>
        <v>0.74562768027852666</v>
      </c>
      <c r="O218" s="27">
        <f t="shared" si="215"/>
        <v>0</v>
      </c>
      <c r="P218" s="26">
        <f t="shared" si="216"/>
        <v>0.74562768027852666</v>
      </c>
      <c r="Q218" s="26">
        <f>IF(N$320=0,0,SUM(N$17:N218)/N$320)</f>
        <v>0.68943818998034645</v>
      </c>
      <c r="R218" s="26">
        <f>IF(O$320=0,0,SUM(O$17:O218)/O$320)</f>
        <v>0</v>
      </c>
      <c r="S218" s="26">
        <f>SUM(P$17:P218)/P$320</f>
        <v>0.68943818998034645</v>
      </c>
    </row>
    <row r="219" spans="1:19" x14ac:dyDescent="0.4">
      <c r="A219" s="6">
        <f t="shared" si="210"/>
        <v>57.521561407651888</v>
      </c>
      <c r="B219" s="25">
        <f t="shared" ref="B219:C219" si="225">C$4*EXP(-0.5*(LN($A219)-LN(C$5))^2/(LN(C$6))^2)/($A219*SQRT(2*PI())*LN(C$6))</f>
        <v>0.3702337488772196</v>
      </c>
      <c r="C219" s="25">
        <f t="shared" si="225"/>
        <v>0</v>
      </c>
      <c r="D219" s="27">
        <f t="shared" si="212"/>
        <v>0.3702337488772196</v>
      </c>
      <c r="E219" s="27"/>
      <c r="F219" s="26">
        <f t="shared" si="213"/>
        <v>0.74707542230433344</v>
      </c>
      <c r="G219" s="26">
        <f t="shared" si="213"/>
        <v>0</v>
      </c>
      <c r="H219" s="26">
        <f t="shared" si="213"/>
        <v>0.74707542230433344</v>
      </c>
      <c r="I219" s="26">
        <f>IF(F$320=0,0,SUM(F$17:F219)/F$320)</f>
        <v>0.70061825129192934</v>
      </c>
      <c r="J219" s="26">
        <f>IF(G$320=0,0,SUM(G$17:G219)/G$320)</f>
        <v>0</v>
      </c>
      <c r="K219" s="26">
        <f>SUM(H$17:H219)/H$320</f>
        <v>0.70061825129192934</v>
      </c>
      <c r="L219" s="26"/>
      <c r="M219" s="26"/>
      <c r="N219" s="27">
        <f t="shared" si="214"/>
        <v>0.73811081601165007</v>
      </c>
      <c r="O219" s="27">
        <f t="shared" si="215"/>
        <v>0</v>
      </c>
      <c r="P219" s="26">
        <f t="shared" si="216"/>
        <v>0.73811081601165007</v>
      </c>
      <c r="Q219" s="26">
        <f>IF(N$320=0,0,SUM(N$17:N219)/N$320)</f>
        <v>0.69685638913624248</v>
      </c>
      <c r="R219" s="26">
        <f>IF(O$320=0,0,SUM(O$17:O219)/O$320)</f>
        <v>0</v>
      </c>
      <c r="S219" s="26">
        <f>SUM(P$17:P219)/P$320</f>
        <v>0.69685638913624248</v>
      </c>
    </row>
    <row r="220" spans="1:19" x14ac:dyDescent="0.4">
      <c r="A220" s="6">
        <f t="shared" si="210"/>
        <v>59.539409387664335</v>
      </c>
      <c r="B220" s="25">
        <f t="shared" ref="B220:C220" si="226">C$4*EXP(-0.5*(LN($A220)-LN(C$5))^2/(LN(C$6))^2)/($A220*SQRT(2*PI())*LN(C$6))</f>
        <v>0.35384789971348357</v>
      </c>
      <c r="C220" s="25">
        <f t="shared" si="226"/>
        <v>0</v>
      </c>
      <c r="D220" s="27">
        <f t="shared" si="212"/>
        <v>0.35384789971348357</v>
      </c>
      <c r="E220" s="27"/>
      <c r="F220" s="26">
        <f t="shared" si="213"/>
        <v>0.73905868081223058</v>
      </c>
      <c r="G220" s="26">
        <f t="shared" si="213"/>
        <v>0</v>
      </c>
      <c r="H220" s="26">
        <f t="shared" si="213"/>
        <v>0.73905868081223058</v>
      </c>
      <c r="I220" s="26">
        <f>IF(F$320=0,0,SUM(F$17:F220)/F$320)</f>
        <v>0.70792048734353241</v>
      </c>
      <c r="J220" s="26">
        <f>IF(G$320=0,0,SUM(G$17:G220)/G$320)</f>
        <v>0</v>
      </c>
      <c r="K220" s="26">
        <f>SUM(H$17:H220)/H$320</f>
        <v>0.70792048734353241</v>
      </c>
      <c r="L220" s="26"/>
      <c r="M220" s="26"/>
      <c r="N220" s="27">
        <f t="shared" si="214"/>
        <v>0.73035024835493845</v>
      </c>
      <c r="O220" s="27">
        <f t="shared" si="215"/>
        <v>0</v>
      </c>
      <c r="P220" s="26">
        <f t="shared" si="216"/>
        <v>0.73035024835493845</v>
      </c>
      <c r="Q220" s="26">
        <f>IF(N$320=0,0,SUM(N$17:N220)/N$320)</f>
        <v>0.70419659263729717</v>
      </c>
      <c r="R220" s="26">
        <f>IF(O$320=0,0,SUM(O$17:O220)/O$320)</f>
        <v>0</v>
      </c>
      <c r="S220" s="26">
        <f>SUM(P$17:P220)/P$320</f>
        <v>0.70419659263729717</v>
      </c>
    </row>
    <row r="221" spans="1:19" x14ac:dyDescent="0.4">
      <c r="A221" s="6">
        <f t="shared" si="210"/>
        <v>61.628043180349437</v>
      </c>
      <c r="B221" s="25">
        <f t="shared" ref="B221:C221" si="227">C$4*EXP(-0.5*(LN($A221)-LN(C$5))^2/(LN(C$6))^2)/($A221*SQRT(2*PI())*LN(C$6))</f>
        <v>0.33803938080021634</v>
      </c>
      <c r="C221" s="25">
        <f t="shared" si="227"/>
        <v>0</v>
      </c>
      <c r="D221" s="27">
        <f t="shared" si="212"/>
        <v>0.33803938080021634</v>
      </c>
      <c r="E221" s="27"/>
      <c r="F221" s="26">
        <f t="shared" si="213"/>
        <v>0.73080827079245847</v>
      </c>
      <c r="G221" s="26">
        <f t="shared" si="213"/>
        <v>0</v>
      </c>
      <c r="H221" s="26">
        <f t="shared" si="213"/>
        <v>0.73080827079245847</v>
      </c>
      <c r="I221" s="26">
        <f>IF(F$320=0,0,SUM(F$17:F221)/F$320)</f>
        <v>0.71514120559005323</v>
      </c>
      <c r="J221" s="26">
        <f>IF(G$320=0,0,SUM(G$17:G221)/G$320)</f>
        <v>0</v>
      </c>
      <c r="K221" s="26">
        <f>SUM(H$17:H221)/H$320</f>
        <v>0.71514120559005323</v>
      </c>
      <c r="L221" s="26"/>
      <c r="M221" s="26"/>
      <c r="N221" s="27">
        <f t="shared" si="214"/>
        <v>0.72235529051495329</v>
      </c>
      <c r="O221" s="27">
        <f t="shared" si="215"/>
        <v>0</v>
      </c>
      <c r="P221" s="26">
        <f t="shared" si="216"/>
        <v>0.72235529051495329</v>
      </c>
      <c r="Q221" s="26">
        <f>IF(N$320=0,0,SUM(N$17:N221)/N$320)</f>
        <v>0.71145644480327663</v>
      </c>
      <c r="R221" s="26">
        <f>IF(O$320=0,0,SUM(O$17:O221)/O$320)</f>
        <v>0</v>
      </c>
      <c r="S221" s="26">
        <f>SUM(P$17:P221)/P$320</f>
        <v>0.71145644480327663</v>
      </c>
    </row>
    <row r="222" spans="1:19" x14ac:dyDescent="0.4">
      <c r="A222" s="6">
        <f t="shared" si="210"/>
        <v>63.789945941685907</v>
      </c>
      <c r="B222" s="25">
        <f t="shared" ref="B222:C222" si="228">C$4*EXP(-0.5*(LN($A222)-LN(C$5))^2/(LN(C$6))^2)/($A222*SQRT(2*PI())*LN(C$6))</f>
        <v>0.32279591543772024</v>
      </c>
      <c r="C222" s="25">
        <f t="shared" si="228"/>
        <v>0</v>
      </c>
      <c r="D222" s="27">
        <f t="shared" si="212"/>
        <v>0.32279591543772024</v>
      </c>
      <c r="E222" s="27"/>
      <c r="F222" s="26">
        <f t="shared" si="213"/>
        <v>0.72233397569776181</v>
      </c>
      <c r="G222" s="26">
        <f t="shared" si="213"/>
        <v>0</v>
      </c>
      <c r="H222" s="26">
        <f t="shared" si="213"/>
        <v>0.72233397569776181</v>
      </c>
      <c r="I222" s="26">
        <f>IF(F$320=0,0,SUM(F$17:F222)/F$320)</f>
        <v>0.72227819394507964</v>
      </c>
      <c r="J222" s="26">
        <f>IF(G$320=0,0,SUM(G$17:G222)/G$320)</f>
        <v>0</v>
      </c>
      <c r="K222" s="26">
        <f>SUM(H$17:H222)/H$320</f>
        <v>0.72227819394507964</v>
      </c>
      <c r="L222" s="26"/>
      <c r="M222" s="26"/>
      <c r="N222" s="27">
        <f t="shared" si="214"/>
        <v>0.71413546156963159</v>
      </c>
      <c r="O222" s="27">
        <f t="shared" si="215"/>
        <v>0</v>
      </c>
      <c r="P222" s="26">
        <f t="shared" si="216"/>
        <v>0.71413546156963159</v>
      </c>
      <c r="Q222" s="26">
        <f>IF(N$320=0,0,SUM(N$17:N222)/N$320)</f>
        <v>0.71863368562307184</v>
      </c>
      <c r="R222" s="26">
        <f>IF(O$320=0,0,SUM(O$17:O222)/O$320)</f>
        <v>0</v>
      </c>
      <c r="S222" s="26">
        <f>SUM(P$17:P222)/P$320</f>
        <v>0.71863368562307184</v>
      </c>
    </row>
    <row r="223" spans="1:19" x14ac:dyDescent="0.4">
      <c r="A223" s="6">
        <f t="shared" si="210"/>
        <v>66.027687936401847</v>
      </c>
      <c r="B223" s="25">
        <f t="shared" ref="B223:C223" si="229">C$4*EXP(-0.5*(LN($A223)-LN(C$5))^2/(LN(C$6))^2)/($A223*SQRT(2*PI())*LN(C$6))</f>
        <v>0.30810505346279932</v>
      </c>
      <c r="C223" s="25">
        <f t="shared" si="229"/>
        <v>0</v>
      </c>
      <c r="D223" s="27">
        <f t="shared" si="212"/>
        <v>0.30810505346279932</v>
      </c>
      <c r="E223" s="27"/>
      <c r="F223" s="26">
        <f t="shared" si="213"/>
        <v>0.71364575966598454</v>
      </c>
      <c r="G223" s="26">
        <f t="shared" si="213"/>
        <v>0</v>
      </c>
      <c r="H223" s="26">
        <f t="shared" si="213"/>
        <v>0.71364575966598454</v>
      </c>
      <c r="I223" s="26">
        <f>IF(F$320=0,0,SUM(F$17:F223)/F$320)</f>
        <v>0.72932933877241524</v>
      </c>
      <c r="J223" s="26">
        <f>IF(G$320=0,0,SUM(G$17:G223)/G$320)</f>
        <v>0</v>
      </c>
      <c r="K223" s="26">
        <f>SUM(H$17:H223)/H$320</f>
        <v>0.72932933877241524</v>
      </c>
      <c r="L223" s="26"/>
      <c r="M223" s="26"/>
      <c r="N223" s="27">
        <f t="shared" si="214"/>
        <v>0.7057004676594425</v>
      </c>
      <c r="O223" s="27">
        <f t="shared" si="215"/>
        <v>0</v>
      </c>
      <c r="P223" s="26">
        <f t="shared" si="216"/>
        <v>0.7057004676594425</v>
      </c>
      <c r="Q223" s="26">
        <f>IF(N$320=0,0,SUM(N$17:N223)/N$320)</f>
        <v>0.72572615263472451</v>
      </c>
      <c r="R223" s="26">
        <f>IF(O$320=0,0,SUM(O$17:O223)/O$320)</f>
        <v>0</v>
      </c>
      <c r="S223" s="26">
        <f>SUM(P$17:P223)/P$320</f>
        <v>0.72572615263472451</v>
      </c>
    </row>
    <row r="224" spans="1:19" x14ac:dyDescent="0.4">
      <c r="A224" s="6">
        <f t="shared" si="210"/>
        <v>68.343929593736917</v>
      </c>
      <c r="B224" s="25">
        <f t="shared" ref="B224:C224" si="230">C$4*EXP(-0.5*(LN($A224)-LN(C$5))^2/(LN(C$6))^2)/($A224*SQRT(2*PI())*LN(C$6))</f>
        <v>0.29395420034871345</v>
      </c>
      <c r="C224" s="25">
        <f t="shared" si="230"/>
        <v>0</v>
      </c>
      <c r="D224" s="27">
        <f t="shared" si="212"/>
        <v>0.29395420034871345</v>
      </c>
      <c r="E224" s="27"/>
      <c r="F224" s="26">
        <f t="shared" si="213"/>
        <v>0.7047537481005558</v>
      </c>
      <c r="G224" s="26">
        <f t="shared" si="213"/>
        <v>0</v>
      </c>
      <c r="H224" s="26">
        <f t="shared" si="213"/>
        <v>0.7047537481005558</v>
      </c>
      <c r="I224" s="26">
        <f>IF(F$320=0,0,SUM(F$17:F224)/F$320)</f>
        <v>0.73629262647945692</v>
      </c>
      <c r="J224" s="26">
        <f>IF(G$320=0,0,SUM(G$17:G224)/G$320)</f>
        <v>0</v>
      </c>
      <c r="K224" s="26">
        <f>SUM(H$17:H224)/H$320</f>
        <v>0.73629262647945692</v>
      </c>
      <c r="L224" s="26"/>
      <c r="M224" s="26"/>
      <c r="N224" s="27">
        <f t="shared" si="214"/>
        <v>0.69706018298165695</v>
      </c>
      <c r="O224" s="27">
        <f t="shared" si="215"/>
        <v>0</v>
      </c>
      <c r="P224" s="26">
        <f t="shared" si="216"/>
        <v>0.69706018298165695</v>
      </c>
      <c r="Q224" s="26">
        <f>IF(N$320=0,0,SUM(N$17:N224)/N$320)</f>
        <v>0.73273178261443961</v>
      </c>
      <c r="R224" s="26">
        <f>IF(O$320=0,0,SUM(O$17:O224)/O$320)</f>
        <v>0</v>
      </c>
      <c r="S224" s="26">
        <f>SUM(P$17:P224)/P$320</f>
        <v>0.73273178261443961</v>
      </c>
    </row>
    <row r="225" spans="1:19" x14ac:dyDescent="0.4">
      <c r="A225" s="6">
        <f t="shared" si="210"/>
        <v>70.741424670400278</v>
      </c>
      <c r="B225" s="25">
        <f t="shared" ref="B225:C225" si="231">C$4*EXP(-0.5*(LN($A225)-LN(C$5))^2/(LN(C$6))^2)/($A225*SQRT(2*PI())*LN(C$6))</f>
        <v>0.28033064529542867</v>
      </c>
      <c r="C225" s="25">
        <f t="shared" si="231"/>
        <v>0</v>
      </c>
      <c r="D225" s="27">
        <f t="shared" si="212"/>
        <v>0.28033064529542867</v>
      </c>
      <c r="E225" s="27"/>
      <c r="F225" s="26">
        <f t="shared" si="213"/>
        <v>0.69566820812985519</v>
      </c>
      <c r="G225" s="26">
        <f t="shared" si="213"/>
        <v>0</v>
      </c>
      <c r="H225" s="26">
        <f t="shared" si="213"/>
        <v>0.69566820812985519</v>
      </c>
      <c r="I225" s="26">
        <f>IF(F$320=0,0,SUM(F$17:F225)/F$320)</f>
        <v>0.74316614491750188</v>
      </c>
      <c r="J225" s="26">
        <f>IF(G$320=0,0,SUM(G$17:G225)/G$320)</f>
        <v>0</v>
      </c>
      <c r="K225" s="26">
        <f>SUM(H$17:H225)/H$320</f>
        <v>0.74316614491750188</v>
      </c>
      <c r="L225" s="26"/>
      <c r="M225" s="26"/>
      <c r="N225" s="27">
        <f t="shared" si="214"/>
        <v>0.68822463063995531</v>
      </c>
      <c r="O225" s="27">
        <f t="shared" si="215"/>
        <v>0</v>
      </c>
      <c r="P225" s="26">
        <f t="shared" si="216"/>
        <v>0.68822463063995531</v>
      </c>
      <c r="Q225" s="26">
        <f>IF(N$320=0,0,SUM(N$17:N225)/N$320)</f>
        <v>0.73964861307313257</v>
      </c>
      <c r="R225" s="26">
        <f>IF(O$320=0,0,SUM(O$17:O225)/O$320)</f>
        <v>0</v>
      </c>
      <c r="S225" s="26">
        <f>SUM(P$17:P225)/P$320</f>
        <v>0.73964861307313257</v>
      </c>
    </row>
    <row r="226" spans="1:19" x14ac:dyDescent="0.4">
      <c r="A226" s="6">
        <f t="shared" si="210"/>
        <v>73.223023524484603</v>
      </c>
      <c r="B226" s="25">
        <f t="shared" ref="B226:C226" si="232">C$4*EXP(-0.5*(LN($A226)-LN(C$5))^2/(LN(C$6))^2)/($A226*SQRT(2*PI())*LN(C$6))</f>
        <v>0.26722158828411935</v>
      </c>
      <c r="C226" s="25">
        <f t="shared" si="232"/>
        <v>0</v>
      </c>
      <c r="D226" s="27">
        <f t="shared" si="212"/>
        <v>0.26722158828411935</v>
      </c>
      <c r="E226" s="27"/>
      <c r="F226" s="26">
        <f t="shared" si="213"/>
        <v>0.6863995289978938</v>
      </c>
      <c r="G226" s="26">
        <f t="shared" si="213"/>
        <v>0</v>
      </c>
      <c r="H226" s="26">
        <f t="shared" si="213"/>
        <v>0.6863995289978938</v>
      </c>
      <c r="I226" s="26">
        <f>IF(F$320=0,0,SUM(F$17:F226)/F$320)</f>
        <v>0.74994808458830486</v>
      </c>
      <c r="J226" s="26">
        <f>IF(G$320=0,0,SUM(G$17:G226)/G$320)</f>
        <v>0</v>
      </c>
      <c r="K226" s="26">
        <f>SUM(H$17:H226)/H$320</f>
        <v>0.74994808458830486</v>
      </c>
      <c r="L226" s="26"/>
      <c r="M226" s="26"/>
      <c r="N226" s="27">
        <f t="shared" si="214"/>
        <v>0.67920396340066524</v>
      </c>
      <c r="O226" s="27">
        <f t="shared" si="215"/>
        <v>0</v>
      </c>
      <c r="P226" s="26">
        <f t="shared" si="216"/>
        <v>0.67920396340066524</v>
      </c>
      <c r="Q226" s="26">
        <f>IF(N$320=0,0,SUM(N$17:N226)/N$320)</f>
        <v>0.74647478355957142</v>
      </c>
      <c r="R226" s="26">
        <f>IF(O$320=0,0,SUM(O$17:O226)/O$320)</f>
        <v>0</v>
      </c>
      <c r="S226" s="26">
        <f>SUM(P$17:P226)/P$320</f>
        <v>0.74647478355957142</v>
      </c>
    </row>
    <row r="227" spans="1:19" x14ac:dyDescent="0.4">
      <c r="A227" s="6">
        <f t="shared" si="210"/>
        <v>75.791676504228477</v>
      </c>
      <c r="B227" s="25">
        <f t="shared" ref="B227:C227" si="233">C$4*EXP(-0.5*(LN($A227)-LN(C$5))^2/(LN(C$6))^2)/($A227*SQRT(2*PI())*LN(C$6))</f>
        <v>0.2546141660741621</v>
      </c>
      <c r="C227" s="25">
        <f t="shared" si="233"/>
        <v>0</v>
      </c>
      <c r="D227" s="27">
        <f t="shared" si="212"/>
        <v>0.2546141660741621</v>
      </c>
      <c r="E227" s="27"/>
      <c r="F227" s="26">
        <f t="shared" si="213"/>
        <v>0.67695820243830473</v>
      </c>
      <c r="G227" s="26">
        <f t="shared" si="213"/>
        <v>0</v>
      </c>
      <c r="H227" s="26">
        <f t="shared" si="213"/>
        <v>0.67695820243830473</v>
      </c>
      <c r="I227" s="26">
        <f>IF(F$320=0,0,SUM(F$17:F227)/F$320)</f>
        <v>0.7566367396567234</v>
      </c>
      <c r="J227" s="26">
        <f>IF(G$320=0,0,SUM(G$17:G227)/G$320)</f>
        <v>0</v>
      </c>
      <c r="K227" s="26">
        <f>SUM(H$17:H227)/H$320</f>
        <v>0.7566367396567234</v>
      </c>
      <c r="L227" s="26"/>
      <c r="M227" s="26"/>
      <c r="N227" s="27">
        <f t="shared" si="214"/>
        <v>0.67000844440704421</v>
      </c>
      <c r="O227" s="27">
        <f t="shared" si="215"/>
        <v>0</v>
      </c>
      <c r="P227" s="26">
        <f t="shared" si="216"/>
        <v>0.67000844440704421</v>
      </c>
      <c r="Q227" s="26">
        <f>IF(N$320=0,0,SUM(N$17:N227)/N$320)</f>
        <v>0.75320853676969246</v>
      </c>
      <c r="R227" s="26">
        <f>IF(O$320=0,0,SUM(O$17:O227)/O$320)</f>
        <v>0</v>
      </c>
      <c r="S227" s="26">
        <f>SUM(P$17:P227)/P$320</f>
        <v>0.75320853676969246</v>
      </c>
    </row>
    <row r="228" spans="1:19" x14ac:dyDescent="0.4">
      <c r="A228" s="6">
        <f t="shared" si="210"/>
        <v>78.450437455656157</v>
      </c>
      <c r="B228" s="25">
        <f t="shared" ref="B228:C228" si="234">C$4*EXP(-0.5*(LN($A228)-LN(C$5))^2/(LN(C$6))^2)/($A228*SQRT(2*PI())*LN(C$6))</f>
        <v>0.24249547712502706</v>
      </c>
      <c r="C228" s="25">
        <f t="shared" si="234"/>
        <v>0</v>
      </c>
      <c r="D228" s="27">
        <f t="shared" si="212"/>
        <v>0.24249547712502706</v>
      </c>
      <c r="E228" s="27"/>
      <c r="F228" s="26">
        <f t="shared" si="213"/>
        <v>0.66735480308294226</v>
      </c>
      <c r="G228" s="26">
        <f t="shared" si="213"/>
        <v>0</v>
      </c>
      <c r="H228" s="26">
        <f t="shared" si="213"/>
        <v>0.66735480308294226</v>
      </c>
      <c r="I228" s="26">
        <f>IF(F$320=0,0,SUM(F$17:F228)/F$320)</f>
        <v>0.76323050876978904</v>
      </c>
      <c r="J228" s="26">
        <f>IF(G$320=0,0,SUM(G$17:G228)/G$320)</f>
        <v>0</v>
      </c>
      <c r="K228" s="26">
        <f>SUM(H$17:H228)/H$320</f>
        <v>0.76323050876978904</v>
      </c>
      <c r="L228" s="26"/>
      <c r="M228" s="26"/>
      <c r="N228" s="27">
        <f t="shared" si="214"/>
        <v>0.66064842790264366</v>
      </c>
      <c r="O228" s="27">
        <f t="shared" si="215"/>
        <v>0</v>
      </c>
      <c r="P228" s="26">
        <f t="shared" si="216"/>
        <v>0.66064842790264366</v>
      </c>
      <c r="Q228" s="26">
        <f>IF(N$320=0,0,SUM(N$17:N228)/N$320)</f>
        <v>0.7598482194621814</v>
      </c>
      <c r="R228" s="26">
        <f>IF(O$320=0,0,SUM(O$17:O228)/O$320)</f>
        <v>0</v>
      </c>
      <c r="S228" s="26">
        <f>SUM(P$17:P228)/P$320</f>
        <v>0.7598482194621814</v>
      </c>
    </row>
    <row r="229" spans="1:19" x14ac:dyDescent="0.4">
      <c r="A229" s="6">
        <f t="shared" si="210"/>
        <v>81.20246735326478</v>
      </c>
      <c r="B229" s="25">
        <f t="shared" ref="B229:C229" si="235">C$4*EXP(-0.5*(LN($A229)-LN(C$5))^2/(LN(C$6))^2)/($A229*SQRT(2*PI())*LN(C$6))</f>
        <v>0.23085260542950359</v>
      </c>
      <c r="C229" s="25">
        <f t="shared" si="235"/>
        <v>0</v>
      </c>
      <c r="D229" s="27">
        <f t="shared" si="212"/>
        <v>0.23085260542950359</v>
      </c>
      <c r="E229" s="27"/>
      <c r="F229" s="26">
        <f t="shared" si="213"/>
        <v>0.65759996895572981</v>
      </c>
      <c r="G229" s="26">
        <f t="shared" si="213"/>
        <v>0</v>
      </c>
      <c r="H229" s="26">
        <f t="shared" si="213"/>
        <v>0.65759996895572981</v>
      </c>
      <c r="I229" s="26">
        <f>IF(F$320=0,0,SUM(F$17:F229)/F$320)</f>
        <v>0.76972789568305056</v>
      </c>
      <c r="J229" s="26">
        <f>IF(G$320=0,0,SUM(G$17:G229)/G$320)</f>
        <v>0</v>
      </c>
      <c r="K229" s="26">
        <f>SUM(H$17:H229)/H$320</f>
        <v>0.76972789568305056</v>
      </c>
      <c r="L229" s="26"/>
      <c r="M229" s="26"/>
      <c r="N229" s="27">
        <f t="shared" si="214"/>
        <v>0.65113434001331516</v>
      </c>
      <c r="O229" s="27">
        <f t="shared" si="215"/>
        <v>0</v>
      </c>
      <c r="P229" s="26">
        <f t="shared" si="216"/>
        <v>0.65113434001331516</v>
      </c>
      <c r="Q229" s="26">
        <f>IF(N$320=0,0,SUM(N$17:N229)/N$320)</f>
        <v>0.76639228318090813</v>
      </c>
      <c r="R229" s="26">
        <f>IF(O$320=0,0,SUM(O$17:O229)/O$320)</f>
        <v>0</v>
      </c>
      <c r="S229" s="26">
        <f>SUM(P$17:P229)/P$320</f>
        <v>0.76639228318090813</v>
      </c>
    </row>
    <row r="230" spans="1:19" x14ac:dyDescent="0.4">
      <c r="A230" s="6">
        <f t="shared" si="210"/>
        <v>84.051038058075576</v>
      </c>
      <c r="B230" s="25">
        <f t="shared" ref="B230:C230" si="236">C$4*EXP(-0.5*(LN($A230)-LN(C$5))^2/(LN(C$6))^2)/($A230*SQRT(2*PI())*LN(C$6))</f>
        <v>0.21967264324858532</v>
      </c>
      <c r="C230" s="25">
        <f t="shared" si="236"/>
        <v>0</v>
      </c>
      <c r="D230" s="27">
        <f t="shared" si="212"/>
        <v>0.21967264324858532</v>
      </c>
      <c r="E230" s="27"/>
      <c r="F230" s="26">
        <f t="shared" si="213"/>
        <v>0.64770438210133718</v>
      </c>
      <c r="G230" s="26">
        <f t="shared" si="213"/>
        <v>0</v>
      </c>
      <c r="H230" s="26">
        <f t="shared" si="213"/>
        <v>0.64770438210133718</v>
      </c>
      <c r="I230" s="26">
        <f>IF(F$320=0,0,SUM(F$17:F230)/F$320)</f>
        <v>0.77612750969551803</v>
      </c>
      <c r="J230" s="26">
        <f>IF(G$320=0,0,SUM(G$17:G230)/G$320)</f>
        <v>0</v>
      </c>
      <c r="K230" s="26">
        <f>SUM(H$17:H230)/H$320</f>
        <v>0.77612750969551803</v>
      </c>
      <c r="L230" s="26"/>
      <c r="M230" s="26"/>
      <c r="N230" s="27">
        <f t="shared" si="214"/>
        <v>0.64147665963778522</v>
      </c>
      <c r="O230" s="27">
        <f t="shared" si="215"/>
        <v>0</v>
      </c>
      <c r="P230" s="26">
        <f t="shared" si="216"/>
        <v>0.64147665963778522</v>
      </c>
      <c r="Q230" s="26">
        <f>IF(N$320=0,0,SUM(N$17:N230)/N$320)</f>
        <v>0.77283928478530806</v>
      </c>
      <c r="R230" s="26">
        <f>IF(O$320=0,0,SUM(O$17:O230)/O$320)</f>
        <v>0</v>
      </c>
      <c r="S230" s="26">
        <f>SUM(P$17:P230)/P$320</f>
        <v>0.77283928478530806</v>
      </c>
    </row>
    <row r="231" spans="1:19" x14ac:dyDescent="0.4">
      <c r="A231" s="6">
        <f t="shared" si="210"/>
        <v>86.999536207516897</v>
      </c>
      <c r="B231" s="25">
        <f t="shared" ref="B231:C231" si="237">C$4*EXP(-0.5*(LN($A231)-LN(C$5))^2/(LN(C$6))^2)/($A231*SQRT(2*PI())*LN(C$6))</f>
        <v>0.20894271274208021</v>
      </c>
      <c r="C231" s="25">
        <f t="shared" si="237"/>
        <v>0</v>
      </c>
      <c r="D231" s="27">
        <f t="shared" si="212"/>
        <v>0.20894271274208021</v>
      </c>
      <c r="E231" s="27"/>
      <c r="F231" s="26">
        <f t="shared" si="213"/>
        <v>0.63767874939731173</v>
      </c>
      <c r="G231" s="26">
        <f t="shared" si="213"/>
        <v>0</v>
      </c>
      <c r="H231" s="26">
        <f t="shared" si="213"/>
        <v>0.63767874939731173</v>
      </c>
      <c r="I231" s="26">
        <f>IF(F$320=0,0,SUM(F$17:F231)/F$320)</f>
        <v>0.78242806589502412</v>
      </c>
      <c r="J231" s="26">
        <f>IF(G$320=0,0,SUM(G$17:G231)/G$320)</f>
        <v>0</v>
      </c>
      <c r="K231" s="26">
        <f>SUM(H$17:H231)/H$320</f>
        <v>0.78242806589502412</v>
      </c>
      <c r="L231" s="26"/>
      <c r="M231" s="26"/>
      <c r="N231" s="27">
        <f t="shared" si="214"/>
        <v>0.63168589949452736</v>
      </c>
      <c r="O231" s="27">
        <f t="shared" si="215"/>
        <v>0</v>
      </c>
      <c r="P231" s="26">
        <f t="shared" si="216"/>
        <v>0.63168589949452736</v>
      </c>
      <c r="Q231" s="26">
        <f>IF(N$320=0,0,SUM(N$17:N231)/N$320)</f>
        <v>0.77918788679027817</v>
      </c>
      <c r="R231" s="26">
        <f>IF(O$320=0,0,SUM(O$17:O231)/O$320)</f>
        <v>0</v>
      </c>
      <c r="S231" s="26">
        <f>SUM(P$17:P231)/P$320</f>
        <v>0.77918788679027817</v>
      </c>
    </row>
    <row r="232" spans="1:19" x14ac:dyDescent="0.4">
      <c r="A232" s="6">
        <f t="shared" si="210"/>
        <v>90.051467241763902</v>
      </c>
      <c r="B232" s="25">
        <f t="shared" ref="B232:C232" si="238">C$4*EXP(-0.5*(LN($A232)-LN(C$5))^2/(LN(C$6))^2)/($A232*SQRT(2*PI())*LN(C$6))</f>
        <v>0.19864998649259011</v>
      </c>
      <c r="C232" s="25">
        <f t="shared" si="238"/>
        <v>0</v>
      </c>
      <c r="D232" s="27">
        <f t="shared" si="212"/>
        <v>0.19864998649259011</v>
      </c>
      <c r="E232" s="27"/>
      <c r="F232" s="26">
        <f t="shared" si="213"/>
        <v>0.62753378359681977</v>
      </c>
      <c r="G232" s="26">
        <f t="shared" si="213"/>
        <v>0</v>
      </c>
      <c r="H232" s="26">
        <f t="shared" si="213"/>
        <v>0.62753378359681977</v>
      </c>
      <c r="I232" s="26">
        <f>IF(F$320=0,0,SUM(F$17:F232)/F$320)</f>
        <v>0.78862838521627676</v>
      </c>
      <c r="J232" s="26">
        <f>IF(G$320=0,0,SUM(G$17:G232)/G$320)</f>
        <v>0</v>
      </c>
      <c r="K232" s="26">
        <f>SUM(H$17:H232)/H$320</f>
        <v>0.78862838521627676</v>
      </c>
      <c r="L232" s="26"/>
      <c r="M232" s="26"/>
      <c r="N232" s="27">
        <f t="shared" si="214"/>
        <v>0.62177258737228236</v>
      </c>
      <c r="O232" s="27">
        <f t="shared" si="215"/>
        <v>0</v>
      </c>
      <c r="P232" s="26">
        <f t="shared" si="216"/>
        <v>0.62177258737228236</v>
      </c>
      <c r="Q232" s="26">
        <f>IF(N$320=0,0,SUM(N$17:N232)/N$320)</f>
        <v>0.7854368575176377</v>
      </c>
      <c r="R232" s="26">
        <f>IF(O$320=0,0,SUM(O$17:O232)/O$320)</f>
        <v>0</v>
      </c>
      <c r="S232" s="26">
        <f>SUM(P$17:P232)/P$320</f>
        <v>0.7854368575176377</v>
      </c>
    </row>
    <row r="233" spans="1:19" x14ac:dyDescent="0.4">
      <c r="A233" s="6">
        <f t="shared" si="210"/>
        <v>93.210459571321536</v>
      </c>
      <c r="B233" s="25">
        <f t="shared" ref="B233:C233" si="239">C$4*EXP(-0.5*(LN($A233)-LN(C$5))^2/(LN(C$6))^2)/($A233*SQRT(2*PI())*LN(C$6))</f>
        <v>0.18878170692392457</v>
      </c>
      <c r="C233" s="25">
        <f t="shared" si="239"/>
        <v>0</v>
      </c>
      <c r="D233" s="27">
        <f t="shared" si="212"/>
        <v>0.18878170692392457</v>
      </c>
      <c r="E233" s="27"/>
      <c r="F233" s="26">
        <f t="shared" si="213"/>
        <v>0.61728018464798273</v>
      </c>
      <c r="G233" s="26">
        <f t="shared" si="213"/>
        <v>0</v>
      </c>
      <c r="H233" s="26">
        <f t="shared" si="213"/>
        <v>0.61728018464798273</v>
      </c>
      <c r="I233" s="26">
        <f>IF(F$320=0,0,SUM(F$17:F233)/F$320)</f>
        <v>0.79472739431434036</v>
      </c>
      <c r="J233" s="26">
        <f>IF(G$320=0,0,SUM(G$17:G233)/G$320)</f>
        <v>0</v>
      </c>
      <c r="K233" s="26">
        <f>SUM(H$17:H233)/H$320</f>
        <v>0.79472739431434036</v>
      </c>
      <c r="L233" s="26"/>
      <c r="M233" s="26"/>
      <c r="N233" s="27">
        <f t="shared" si="214"/>
        <v>0.6117472476299457</v>
      </c>
      <c r="O233" s="27">
        <f t="shared" si="215"/>
        <v>0</v>
      </c>
      <c r="P233" s="26">
        <f t="shared" si="216"/>
        <v>0.6117472476299457</v>
      </c>
      <c r="Q233" s="26">
        <f>IF(N$320=0,0,SUM(N$17:N233)/N$320)</f>
        <v>0.79158507106165732</v>
      </c>
      <c r="R233" s="26">
        <f>IF(O$320=0,0,SUM(O$17:O233)/O$320)</f>
        <v>0</v>
      </c>
      <c r="S233" s="26">
        <f>SUM(P$17:P233)/P$320</f>
        <v>0.79158507106165732</v>
      </c>
    </row>
    <row r="234" spans="1:19" x14ac:dyDescent="0.4">
      <c r="A234" s="6">
        <f t="shared" si="210"/>
        <v>96.480268890805732</v>
      </c>
      <c r="B234" s="25">
        <f t="shared" ref="B234:C234" si="240">C$4*EXP(-0.5*(LN($A234)-LN(C$5))^2/(LN(C$6))^2)/($A234*SQRT(2*PI())*LN(C$6))</f>
        <v>0.17932520461825843</v>
      </c>
      <c r="C234" s="25">
        <f t="shared" si="240"/>
        <v>0</v>
      </c>
      <c r="D234" s="27">
        <f t="shared" si="212"/>
        <v>0.17932520461825843</v>
      </c>
      <c r="E234" s="27"/>
      <c r="F234" s="26">
        <f t="shared" si="213"/>
        <v>0.60692862133411263</v>
      </c>
      <c r="G234" s="26">
        <f t="shared" si="213"/>
        <v>0</v>
      </c>
      <c r="H234" s="26">
        <f t="shared" si="213"/>
        <v>0.60692862133411263</v>
      </c>
      <c r="I234" s="26">
        <f>IF(F$320=0,0,SUM(F$17:F234)/F$320)</f>
        <v>0.80072412525671288</v>
      </c>
      <c r="J234" s="26">
        <f>IF(G$320=0,0,SUM(G$17:G234)/G$320)</f>
        <v>0</v>
      </c>
      <c r="K234" s="26">
        <f>SUM(H$17:H234)/H$320</f>
        <v>0.80072412525671288</v>
      </c>
      <c r="L234" s="26"/>
      <c r="M234" s="26"/>
      <c r="N234" s="27">
        <f t="shared" si="214"/>
        <v>0.60162038299033105</v>
      </c>
      <c r="O234" s="27">
        <f t="shared" si="215"/>
        <v>0</v>
      </c>
      <c r="P234" s="26">
        <f t="shared" si="216"/>
        <v>0.60162038299033105</v>
      </c>
      <c r="Q234" s="26">
        <f>IF(N$320=0,0,SUM(N$17:N234)/N$320)</f>
        <v>0.79763150707161035</v>
      </c>
      <c r="R234" s="26">
        <f>IF(O$320=0,0,SUM(O$17:O234)/O$320)</f>
        <v>0</v>
      </c>
      <c r="S234" s="26">
        <f>SUM(P$17:P234)/P$320</f>
        <v>0.79763150707161035</v>
      </c>
    </row>
    <row r="235" spans="1:19" x14ac:dyDescent="0.4">
      <c r="A235" s="6">
        <f t="shared" si="210"/>
        <v>99.86478264405153</v>
      </c>
      <c r="B235" s="25">
        <f t="shared" ref="B235:C235" si="241">C$4*EXP(-0.5*(LN($A235)-LN(C$5))^2/(LN(C$6))^2)/($A235*SQRT(2*PI())*LN(C$6))</f>
        <v>0.17026791553942153</v>
      </c>
      <c r="C235" s="25">
        <f t="shared" si="241"/>
        <v>0</v>
      </c>
      <c r="D235" s="27">
        <f t="shared" si="212"/>
        <v>0.17026791553942153</v>
      </c>
      <c r="E235" s="27"/>
      <c r="F235" s="26">
        <f t="shared" si="213"/>
        <v>0.59648971327744282</v>
      </c>
      <c r="G235" s="26">
        <f t="shared" si="213"/>
        <v>0</v>
      </c>
      <c r="H235" s="26">
        <f t="shared" si="213"/>
        <v>0.59648971327744282</v>
      </c>
      <c r="I235" s="26">
        <f>IF(F$320=0,0,SUM(F$17:F235)/F$320)</f>
        <v>0.80661771503759205</v>
      </c>
      <c r="J235" s="26">
        <f>IF(G$320=0,0,SUM(G$17:G235)/G$320)</f>
        <v>0</v>
      </c>
      <c r="K235" s="26">
        <f>SUM(H$17:H235)/H$320</f>
        <v>0.80661771503759205</v>
      </c>
      <c r="L235" s="26"/>
      <c r="M235" s="26"/>
      <c r="N235" s="27">
        <f t="shared" si="214"/>
        <v>0.59140245667014257</v>
      </c>
      <c r="O235" s="27">
        <f t="shared" si="215"/>
        <v>0</v>
      </c>
      <c r="P235" s="26">
        <f t="shared" si="216"/>
        <v>0.59140245667014257</v>
      </c>
      <c r="Q235" s="26">
        <f>IF(N$320=0,0,SUM(N$17:N235)/N$320)</f>
        <v>0.80357525035472732</v>
      </c>
      <c r="R235" s="26">
        <f>IF(O$320=0,0,SUM(O$17:O235)/O$320)</f>
        <v>0</v>
      </c>
      <c r="S235" s="26">
        <f>SUM(P$17:P235)/P$320</f>
        <v>0.80357525035472732</v>
      </c>
    </row>
    <row r="236" spans="1:19" x14ac:dyDescent="0.4">
      <c r="A236" s="6">
        <f t="shared" si="210"/>
        <v>103.36802464585627</v>
      </c>
      <c r="B236" s="25">
        <f t="shared" ref="B236:C236" si="242">C$4*EXP(-0.5*(LN($A236)-LN(C$5))^2/(LN(C$6))^2)/($A236*SQRT(2*PI())*LN(C$6))</f>
        <v>0.16159739717260269</v>
      </c>
      <c r="C236" s="25">
        <f t="shared" si="242"/>
        <v>0</v>
      </c>
      <c r="D236" s="27">
        <f t="shared" si="212"/>
        <v>0.16159739717260269</v>
      </c>
      <c r="E236" s="27"/>
      <c r="F236" s="26">
        <f t="shared" si="213"/>
        <v>0.58597401334743371</v>
      </c>
      <c r="G236" s="26">
        <f t="shared" si="213"/>
        <v>0</v>
      </c>
      <c r="H236" s="26">
        <f t="shared" si="213"/>
        <v>0.58597401334743371</v>
      </c>
      <c r="I236" s="26">
        <f>IF(F$320=0,0,SUM(F$17:F236)/F$320)</f>
        <v>0.81240740491832752</v>
      </c>
      <c r="J236" s="26">
        <f>IF(G$320=0,0,SUM(G$17:G236)/G$320)</f>
        <v>0</v>
      </c>
      <c r="K236" s="26">
        <f>SUM(H$17:H236)/H$320</f>
        <v>0.81240740491832752</v>
      </c>
      <c r="L236" s="26"/>
      <c r="M236" s="26"/>
      <c r="N236" s="27">
        <f t="shared" si="214"/>
        <v>0.58110387488785609</v>
      </c>
      <c r="O236" s="27">
        <f t="shared" si="215"/>
        <v>0</v>
      </c>
      <c r="P236" s="26">
        <f t="shared" si="216"/>
        <v>0.58110387488785609</v>
      </c>
      <c r="Q236" s="26">
        <f>IF(N$320=0,0,SUM(N$17:N236)/N$320)</f>
        <v>0.80941549030334903</v>
      </c>
      <c r="R236" s="26">
        <f>IF(O$320=0,0,SUM(O$17:O236)/O$320)</f>
        <v>0</v>
      </c>
      <c r="S236" s="26">
        <f>SUM(P$17:P236)/P$320</f>
        <v>0.80941549030334903</v>
      </c>
    </row>
    <row r="237" spans="1:19" x14ac:dyDescent="0.4">
      <c r="A237" s="6">
        <f t="shared" si="210"/>
        <v>106.99415986585336</v>
      </c>
      <c r="B237" s="25">
        <f t="shared" ref="B237:C237" si="243">C$4*EXP(-0.5*(LN($A237)-LN(C$5))^2/(LN(C$6))^2)/($A237*SQRT(2*PI())*LN(C$6))</f>
        <v>0.15330134359347358</v>
      </c>
      <c r="C237" s="25">
        <f t="shared" si="243"/>
        <v>0</v>
      </c>
      <c r="D237" s="27">
        <f t="shared" si="212"/>
        <v>0.15330134359347358</v>
      </c>
      <c r="E237" s="27"/>
      <c r="F237" s="26">
        <f t="shared" si="213"/>
        <v>0.57539199051229184</v>
      </c>
      <c r="G237" s="26">
        <f t="shared" si="213"/>
        <v>0</v>
      </c>
      <c r="H237" s="26">
        <f t="shared" si="213"/>
        <v>0.57539199051229184</v>
      </c>
      <c r="I237" s="26">
        <f>IF(F$320=0,0,SUM(F$17:F237)/F$320)</f>
        <v>0.8180925395984382</v>
      </c>
      <c r="J237" s="26">
        <f>IF(G$320=0,0,SUM(G$17:G237)/G$320)</f>
        <v>0</v>
      </c>
      <c r="K237" s="26">
        <f>SUM(H$17:H237)/H$320</f>
        <v>0.8180925395984382</v>
      </c>
      <c r="L237" s="26"/>
      <c r="M237" s="26"/>
      <c r="N237" s="27">
        <f t="shared" si="214"/>
        <v>0.57073496978817806</v>
      </c>
      <c r="O237" s="27">
        <f t="shared" si="215"/>
        <v>0</v>
      </c>
      <c r="P237" s="26">
        <f t="shared" si="216"/>
        <v>0.57073496978817806</v>
      </c>
      <c r="Q237" s="26">
        <f>IF(N$320=0,0,SUM(N$17:N237)/N$320)</f>
        <v>0.81515152015046644</v>
      </c>
      <c r="R237" s="26">
        <f>IF(O$320=0,0,SUM(O$17:O237)/O$320)</f>
        <v>0</v>
      </c>
      <c r="S237" s="26">
        <f>SUM(P$17:P237)/P$320</f>
        <v>0.81515152015046644</v>
      </c>
    </row>
    <row r="238" spans="1:19" x14ac:dyDescent="0.4">
      <c r="A238" s="6">
        <f t="shared" si="210"/>
        <v>110.74749938020311</v>
      </c>
      <c r="B238" s="25">
        <f t="shared" ref="B238:C238" si="244">C$4*EXP(-0.5*(LN($A238)-LN(C$5))^2/(LN(C$6))^2)/($A238*SQRT(2*PI())*LN(C$6))</f>
        <v>0.14536759948227493</v>
      </c>
      <c r="C238" s="25">
        <f t="shared" si="244"/>
        <v>0</v>
      </c>
      <c r="D238" s="27">
        <f t="shared" si="212"/>
        <v>0.14536759948227493</v>
      </c>
      <c r="E238" s="27"/>
      <c r="F238" s="26">
        <f t="shared" si="213"/>
        <v>0.56475401317102836</v>
      </c>
      <c r="G238" s="26">
        <f t="shared" si="213"/>
        <v>0</v>
      </c>
      <c r="H238" s="26">
        <f t="shared" si="213"/>
        <v>0.56475401317102836</v>
      </c>
      <c r="I238" s="26">
        <f>IF(F$320=0,0,SUM(F$17:F238)/F$320)</f>
        <v>0.82367256622194363</v>
      </c>
      <c r="J238" s="26">
        <f>IF(G$320=0,0,SUM(G$17:G238)/G$320)</f>
        <v>0</v>
      </c>
      <c r="K238" s="26">
        <f>SUM(H$17:H238)/H$320</f>
        <v>0.82367256622194363</v>
      </c>
      <c r="L238" s="26"/>
      <c r="M238" s="26"/>
      <c r="N238" s="27">
        <f t="shared" si="214"/>
        <v>0.56030598282075239</v>
      </c>
      <c r="O238" s="27">
        <f t="shared" si="215"/>
        <v>0</v>
      </c>
      <c r="P238" s="26">
        <f t="shared" si="216"/>
        <v>0.56030598282075239</v>
      </c>
      <c r="Q238" s="26">
        <f>IF(N$320=0,0,SUM(N$17:N238)/N$320)</f>
        <v>0.82078273605821261</v>
      </c>
      <c r="R238" s="26">
        <f>IF(O$320=0,0,SUM(O$17:O238)/O$320)</f>
        <v>0</v>
      </c>
      <c r="S238" s="26">
        <f>SUM(P$17:P238)/P$320</f>
        <v>0.82078273605821261</v>
      </c>
    </row>
    <row r="239" spans="1:19" x14ac:dyDescent="0.4">
      <c r="A239" s="6">
        <f t="shared" si="210"/>
        <v>114.63250549698837</v>
      </c>
      <c r="B239" s="25">
        <f t="shared" ref="B239:C239" si="245">C$4*EXP(-0.5*(LN($A239)-LN(C$5))^2/(LN(C$6))^2)/($A239*SQRT(2*PI())*LN(C$6))</f>
        <v>0.13778417310076432</v>
      </c>
      <c r="C239" s="25">
        <f t="shared" si="245"/>
        <v>0</v>
      </c>
      <c r="D239" s="27">
        <f t="shared" si="212"/>
        <v>0.13778417310076432</v>
      </c>
      <c r="E239" s="27"/>
      <c r="F239" s="26">
        <f t="shared" si="213"/>
        <v>0.5540703330006902</v>
      </c>
      <c r="G239" s="26">
        <f t="shared" si="213"/>
        <v>0</v>
      </c>
      <c r="H239" s="26">
        <f t="shared" si="213"/>
        <v>0.5540703330006902</v>
      </c>
      <c r="I239" s="26">
        <f>IF(F$320=0,0,SUM(F$17:F239)/F$320)</f>
        <v>0.82914703322409677</v>
      </c>
      <c r="J239" s="26">
        <f>IF(G$320=0,0,SUM(G$17:G239)/G$320)</f>
        <v>0</v>
      </c>
      <c r="K239" s="26">
        <f>SUM(H$17:H239)/H$320</f>
        <v>0.82914703322409677</v>
      </c>
      <c r="L239" s="26"/>
      <c r="M239" s="26"/>
      <c r="N239" s="27">
        <f t="shared" si="214"/>
        <v>0.54982704860820908</v>
      </c>
      <c r="O239" s="27">
        <f t="shared" si="215"/>
        <v>0</v>
      </c>
      <c r="P239" s="26">
        <f t="shared" si="216"/>
        <v>0.54982704860820908</v>
      </c>
      <c r="Q239" s="26">
        <f>IF(N$320=0,0,SUM(N$17:N239)/N$320)</f>
        <v>0.82630863604422478</v>
      </c>
      <c r="R239" s="26">
        <f>IF(O$320=0,0,SUM(O$17:O239)/O$320)</f>
        <v>0</v>
      </c>
      <c r="S239" s="26">
        <f>SUM(P$17:P239)/P$320</f>
        <v>0.82630863604422478</v>
      </c>
    </row>
    <row r="240" spans="1:19" x14ac:dyDescent="0.4">
      <c r="A240" s="6">
        <f t="shared" si="210"/>
        <v>118.65379706140838</v>
      </c>
      <c r="B240" s="25">
        <f t="shared" ref="B240:C240" si="246">C$4*EXP(-0.5*(LN($A240)-LN(C$5))^2/(LN(C$6))^2)/($A240*SQRT(2*PI())*LN(C$6))</f>
        <v>0.13053924825210331</v>
      </c>
      <c r="C240" s="25">
        <f t="shared" si="246"/>
        <v>0</v>
      </c>
      <c r="D240" s="27">
        <f t="shared" si="212"/>
        <v>0.13053924825210331</v>
      </c>
      <c r="E240" s="27"/>
      <c r="F240" s="26">
        <f t="shared" si="213"/>
        <v>0.54335106935151356</v>
      </c>
      <c r="G240" s="26">
        <f t="shared" si="213"/>
        <v>0</v>
      </c>
      <c r="H240" s="26">
        <f t="shared" si="213"/>
        <v>0.54335106935151356</v>
      </c>
      <c r="I240" s="26">
        <f>IF(F$320=0,0,SUM(F$17:F240)/F$320)</f>
        <v>0.83451558902393563</v>
      </c>
      <c r="J240" s="26">
        <f>IF(G$320=0,0,SUM(G$17:G240)/G$320)</f>
        <v>0</v>
      </c>
      <c r="K240" s="26">
        <f>SUM(H$17:H240)/H$320</f>
        <v>0.83451558902393563</v>
      </c>
      <c r="L240" s="26"/>
      <c r="M240" s="26"/>
      <c r="N240" s="27">
        <f t="shared" si="214"/>
        <v>0.53930817933706132</v>
      </c>
      <c r="O240" s="27">
        <f t="shared" si="215"/>
        <v>0</v>
      </c>
      <c r="P240" s="26">
        <f t="shared" si="216"/>
        <v>0.53930817933706132</v>
      </c>
      <c r="Q240" s="26">
        <f>IF(N$320=0,0,SUM(N$17:N240)/N$320)</f>
        <v>0.83172881875112981</v>
      </c>
      <c r="R240" s="26">
        <f>IF(O$320=0,0,SUM(O$17:O240)/O$320)</f>
        <v>0</v>
      </c>
      <c r="S240" s="26">
        <f>SUM(P$17:P240)/P$320</f>
        <v>0.83172881875112981</v>
      </c>
    </row>
    <row r="241" spans="1:19" x14ac:dyDescent="0.4">
      <c r="A241" s="6">
        <f t="shared" si="210"/>
        <v>122.81615494707791</v>
      </c>
      <c r="B241" s="25">
        <f t="shared" ref="B241:C241" si="247">C$4*EXP(-0.5*(LN($A241)-LN(C$5))^2/(LN(C$6))^2)/($A241*SQRT(2*PI())*LN(C$6))</f>
        <v>0.12362119524575728</v>
      </c>
      <c r="C241" s="25">
        <f t="shared" si="247"/>
        <v>0</v>
      </c>
      <c r="D241" s="27">
        <f t="shared" si="212"/>
        <v>0.12362119524575728</v>
      </c>
      <c r="E241" s="27"/>
      <c r="F241" s="26">
        <f t="shared" si="213"/>
        <v>0.53260619422044242</v>
      </c>
      <c r="G241" s="26">
        <f t="shared" si="213"/>
        <v>0</v>
      </c>
      <c r="H241" s="26">
        <f t="shared" si="213"/>
        <v>0.53260619422044242</v>
      </c>
      <c r="I241" s="26">
        <f>IF(F$320=0,0,SUM(F$17:F241)/F$320)</f>
        <v>0.83977798056836539</v>
      </c>
      <c r="J241" s="26">
        <f>IF(G$320=0,0,SUM(G$17:G241)/G$320)</f>
        <v>0</v>
      </c>
      <c r="K241" s="26">
        <f>SUM(H$17:H241)/H$320</f>
        <v>0.83977798056836539</v>
      </c>
      <c r="L241" s="26"/>
      <c r="M241" s="26"/>
      <c r="N241" s="27">
        <f t="shared" si="214"/>
        <v>0.5287592497020932</v>
      </c>
      <c r="O241" s="27">
        <f t="shared" si="215"/>
        <v>0</v>
      </c>
      <c r="P241" s="26">
        <f t="shared" si="216"/>
        <v>0.5287592497020932</v>
      </c>
      <c r="Q241" s="26">
        <f>IF(N$320=0,0,SUM(N$17:N241)/N$320)</f>
        <v>0.83704298206471872</v>
      </c>
      <c r="R241" s="26">
        <f>IF(O$320=0,0,SUM(O$17:O241)/O$320)</f>
        <v>0</v>
      </c>
      <c r="S241" s="26">
        <f>SUM(P$17:P241)/P$320</f>
        <v>0.83704298206471872</v>
      </c>
    </row>
    <row r="242" spans="1:19" x14ac:dyDescent="0.4">
      <c r="A242" s="6">
        <f t="shared" si="210"/>
        <v>127.12452773996046</v>
      </c>
      <c r="B242" s="25">
        <f t="shared" ref="B242:C242" si="248">C$4*EXP(-0.5*(LN($A242)-LN(C$5))^2/(LN(C$6))^2)/($A242*SQRT(2*PI())*LN(C$6))</f>
        <v>0.11701858089129905</v>
      </c>
      <c r="C242" s="25">
        <f t="shared" si="248"/>
        <v>0</v>
      </c>
      <c r="D242" s="27">
        <f t="shared" si="212"/>
        <v>0.11701858089129905</v>
      </c>
      <c r="E242" s="27"/>
      <c r="F242" s="26">
        <f t="shared" si="213"/>
        <v>0.52184551783106714</v>
      </c>
      <c r="G242" s="26">
        <f t="shared" si="213"/>
        <v>0</v>
      </c>
      <c r="H242" s="26">
        <f t="shared" si="213"/>
        <v>0.52184551783106714</v>
      </c>
      <c r="I242" s="26">
        <f>IF(F$320=0,0,SUM(F$17:F242)/F$320)</f>
        <v>0.84493405173376401</v>
      </c>
      <c r="J242" s="26">
        <f>IF(G$320=0,0,SUM(G$17:G242)/G$320)</f>
        <v>0</v>
      </c>
      <c r="K242" s="26">
        <f>SUM(H$17:H242)/H$320</f>
        <v>0.84493405173376401</v>
      </c>
      <c r="L242" s="26"/>
      <c r="M242" s="26"/>
      <c r="N242" s="27">
        <f t="shared" si="214"/>
        <v>0.51818998243329251</v>
      </c>
      <c r="O242" s="27">
        <f t="shared" si="215"/>
        <v>0</v>
      </c>
      <c r="P242" s="26">
        <f t="shared" si="216"/>
        <v>0.51818998243329251</v>
      </c>
      <c r="Q242" s="26">
        <f>IF(N$320=0,0,SUM(N$17:N242)/N$320)</f>
        <v>0.84225092158666137</v>
      </c>
      <c r="R242" s="26">
        <f>IF(O$320=0,0,SUM(O$17:O242)/O$320)</f>
        <v>0</v>
      </c>
      <c r="S242" s="26">
        <f>SUM(P$17:P242)/P$320</f>
        <v>0.84225092158666137</v>
      </c>
    </row>
    <row r="243" spans="1:19" x14ac:dyDescent="0.4">
      <c r="A243" s="6">
        <f t="shared" si="210"/>
        <v>131.584037621693</v>
      </c>
      <c r="B243" s="25">
        <f t="shared" ref="B243:C243" si="249">C$4*EXP(-0.5*(LN($A243)-LN(C$5))^2/(LN(C$6))^2)/($A243*SQRT(2*PI())*LN(C$6))</f>
        <v>0.11072017754664996</v>
      </c>
      <c r="C243" s="25">
        <f t="shared" si="249"/>
        <v>0</v>
      </c>
      <c r="D243" s="27">
        <f t="shared" si="212"/>
        <v>0.11072017754664996</v>
      </c>
      <c r="E243" s="27"/>
      <c r="F243" s="26">
        <f t="shared" si="213"/>
        <v>0.51107867484574954</v>
      </c>
      <c r="G243" s="26">
        <f t="shared" si="213"/>
        <v>0</v>
      </c>
      <c r="H243" s="26">
        <f t="shared" si="213"/>
        <v>0.51107867484574954</v>
      </c>
      <c r="I243" s="26">
        <f>IF(F$320=0,0,SUM(F$17:F243)/F$320)</f>
        <v>0.84998374159135781</v>
      </c>
      <c r="J243" s="26">
        <f>IF(G$320=0,0,SUM(G$17:G243)/G$320)</f>
        <v>0</v>
      </c>
      <c r="K243" s="26">
        <f>SUM(H$17:H243)/H$320</f>
        <v>0.84998374159135781</v>
      </c>
      <c r="L243" s="26"/>
      <c r="M243" s="26"/>
      <c r="N243" s="27">
        <f t="shared" si="214"/>
        <v>0.5076099344314855</v>
      </c>
      <c r="O243" s="27">
        <f t="shared" si="215"/>
        <v>0</v>
      </c>
      <c r="P243" s="26">
        <f t="shared" si="216"/>
        <v>0.5076099344314855</v>
      </c>
      <c r="Q243" s="26">
        <f>IF(N$320=0,0,SUM(N$17:N243)/N$320)</f>
        <v>0.84735252896788238</v>
      </c>
      <c r="R243" s="26">
        <f>IF(O$320=0,0,SUM(O$17:O243)/O$320)</f>
        <v>0</v>
      </c>
      <c r="S243" s="26">
        <f>SUM(P$17:P243)/P$320</f>
        <v>0.84735252896788238</v>
      </c>
    </row>
    <row r="244" spans="1:19" x14ac:dyDescent="0.4">
      <c r="A244" s="6">
        <f t="shared" si="210"/>
        <v>136.19998645929684</v>
      </c>
      <c r="B244" s="25">
        <f t="shared" ref="B244:C244" si="250">C$4*EXP(-0.5*(LN($A244)-LN(C$5))^2/(LN(C$6))^2)/($A244*SQRT(2*PI())*LN(C$6))</f>
        <v>0.10471497124776093</v>
      </c>
      <c r="C244" s="25">
        <f t="shared" si="250"/>
        <v>0</v>
      </c>
      <c r="D244" s="27">
        <f t="shared" si="212"/>
        <v>0.10471497124776093</v>
      </c>
      <c r="E244" s="27"/>
      <c r="F244" s="26">
        <f t="shared" si="213"/>
        <v>0.50031511123323436</v>
      </c>
      <c r="G244" s="26">
        <f t="shared" si="213"/>
        <v>0</v>
      </c>
      <c r="H244" s="26">
        <f t="shared" si="213"/>
        <v>0.50031511123323436</v>
      </c>
      <c r="I244" s="26">
        <f>IF(F$320=0,0,SUM(F$17:F244)/F$320)</f>
        <v>0.85492708254284222</v>
      </c>
      <c r="J244" s="26">
        <f>IF(G$320=0,0,SUM(G$17:G244)/G$320)</f>
        <v>0</v>
      </c>
      <c r="K244" s="26">
        <f>SUM(H$17:H244)/H$320</f>
        <v>0.85492708254284222</v>
      </c>
      <c r="L244" s="26"/>
      <c r="M244" s="26"/>
      <c r="N244" s="27">
        <f t="shared" si="214"/>
        <v>0.49702848353729845</v>
      </c>
      <c r="O244" s="27">
        <f t="shared" si="215"/>
        <v>0</v>
      </c>
      <c r="P244" s="26">
        <f t="shared" si="216"/>
        <v>0.49702848353729845</v>
      </c>
      <c r="Q244" s="26">
        <f>IF(N$320=0,0,SUM(N$17:N244)/N$320)</f>
        <v>0.85234779010896067</v>
      </c>
      <c r="R244" s="26">
        <f>IF(O$320=0,0,SUM(O$17:O244)/O$320)</f>
        <v>0</v>
      </c>
      <c r="S244" s="26">
        <f>SUM(P$17:P244)/P$320</f>
        <v>0.85234779010896067</v>
      </c>
    </row>
    <row r="245" spans="1:19" x14ac:dyDescent="0.4">
      <c r="A245" s="6">
        <f t="shared" si="210"/>
        <v>140.97786210851478</v>
      </c>
      <c r="B245" s="25">
        <f t="shared" ref="B245:C245" si="251">C$4*EXP(-0.5*(LN($A245)-LN(C$5))^2/(LN(C$6))^2)/($A245*SQRT(2*PI())*LN(C$6))</f>
        <v>9.8992168948033366E-2</v>
      </c>
      <c r="C245" s="25">
        <f t="shared" si="251"/>
        <v>0</v>
      </c>
      <c r="D245" s="27">
        <f t="shared" si="212"/>
        <v>9.8992168948033366E-2</v>
      </c>
      <c r="E245" s="27"/>
      <c r="F245" s="26">
        <f t="shared" si="213"/>
        <v>0.48956407181251738</v>
      </c>
      <c r="G245" s="26">
        <f t="shared" si="213"/>
        <v>0</v>
      </c>
      <c r="H245" s="26">
        <f t="shared" si="213"/>
        <v>0.48956407181251738</v>
      </c>
      <c r="I245" s="26">
        <f>IF(F$320=0,0,SUM(F$17:F245)/F$320)</f>
        <v>0.85976419833293105</v>
      </c>
      <c r="J245" s="26">
        <f>IF(G$320=0,0,SUM(G$17:G245)/G$320)</f>
        <v>0</v>
      </c>
      <c r="K245" s="26">
        <f>SUM(H$17:H245)/H$320</f>
        <v>0.85976419833293105</v>
      </c>
      <c r="L245" s="26"/>
      <c r="M245" s="26"/>
      <c r="N245" s="27">
        <f t="shared" si="214"/>
        <v>0.48645481595447349</v>
      </c>
      <c r="O245" s="27">
        <f t="shared" si="215"/>
        <v>0</v>
      </c>
      <c r="P245" s="26">
        <f t="shared" si="216"/>
        <v>0.48645481595447349</v>
      </c>
      <c r="Q245" s="26">
        <f>IF(N$320=0,0,SUM(N$17:N245)/N$320)</f>
        <v>0.85723678323413122</v>
      </c>
      <c r="R245" s="26">
        <f>IF(O$320=0,0,SUM(O$17:O245)/O$320)</f>
        <v>0</v>
      </c>
      <c r="S245" s="26">
        <f>SUM(P$17:P245)/P$320</f>
        <v>0.85723678323413122</v>
      </c>
    </row>
    <row r="246" spans="1:19" x14ac:dyDescent="0.4">
      <c r="A246" s="6">
        <f t="shared" si="210"/>
        <v>145.92334493826789</v>
      </c>
      <c r="B246" s="25">
        <f t="shared" ref="B246:C246" si="252">C$4*EXP(-0.5*(LN($A246)-LN(C$5))^2/(LN(C$6))^2)/($A246*SQRT(2*PI())*LN(C$6))</f>
        <v>9.3541204896916155E-2</v>
      </c>
      <c r="C246" s="25">
        <f t="shared" si="252"/>
        <v>0</v>
      </c>
      <c r="D246" s="27">
        <f t="shared" si="212"/>
        <v>9.3541204896916155E-2</v>
      </c>
      <c r="E246" s="27"/>
      <c r="F246" s="26">
        <f t="shared" si="213"/>
        <v>0.47883458849162808</v>
      </c>
      <c r="G246" s="26">
        <f t="shared" si="213"/>
        <v>0</v>
      </c>
      <c r="H246" s="26">
        <f t="shared" si="213"/>
        <v>0.47883458849162808</v>
      </c>
      <c r="I246" s="26">
        <f>IF(F$320=0,0,SUM(F$17:F246)/F$320)</f>
        <v>0.86449530194569868</v>
      </c>
      <c r="J246" s="26">
        <f>IF(G$320=0,0,SUM(G$17:G246)/G$320)</f>
        <v>0</v>
      </c>
      <c r="K246" s="26">
        <f>SUM(H$17:H246)/H$320</f>
        <v>0.86449530194569868</v>
      </c>
      <c r="L246" s="26"/>
      <c r="M246" s="26"/>
      <c r="N246" s="27">
        <f t="shared" si="214"/>
        <v>0.47589791434730078</v>
      </c>
      <c r="O246" s="27">
        <f t="shared" si="215"/>
        <v>0</v>
      </c>
      <c r="P246" s="26">
        <f t="shared" si="216"/>
        <v>0.47589791434730078</v>
      </c>
      <c r="Q246" s="26">
        <f>IF(N$320=0,0,SUM(N$17:N246)/N$320)</f>
        <v>0.86201967684566194</v>
      </c>
      <c r="R246" s="26">
        <f>IF(O$320=0,0,SUM(O$17:O246)/O$320)</f>
        <v>0</v>
      </c>
      <c r="S246" s="26">
        <f>SUM(P$17:P246)/P$320</f>
        <v>0.86201967684566194</v>
      </c>
    </row>
    <row r="247" spans="1:19" x14ac:dyDescent="0.4">
      <c r="A247" s="6">
        <f t="shared" si="210"/>
        <v>151.04231458399045</v>
      </c>
      <c r="B247" s="25">
        <f t="shared" ref="B247:C247" si="253">C$4*EXP(-0.5*(LN($A247)-LN(C$5))^2/(LN(C$6))^2)/($A247*SQRT(2*PI())*LN(C$6))</f>
        <v>8.8351746188082683E-2</v>
      </c>
      <c r="C247" s="25">
        <f t="shared" si="253"/>
        <v>0</v>
      </c>
      <c r="D247" s="27">
        <f t="shared" si="212"/>
        <v>8.8351746188082683E-2</v>
      </c>
      <c r="E247" s="27"/>
      <c r="F247" s="26">
        <f t="shared" si="213"/>
        <v>0.46813546921673488</v>
      </c>
      <c r="G247" s="26">
        <f t="shared" si="213"/>
        <v>0</v>
      </c>
      <c r="H247" s="26">
        <f t="shared" si="213"/>
        <v>0.46813546921673488</v>
      </c>
      <c r="I247" s="26">
        <f>IF(F$320=0,0,SUM(F$17:F247)/F$320)</f>
        <v>0.86912069339173614</v>
      </c>
      <c r="J247" s="26">
        <f>IF(G$320=0,0,SUM(G$17:G247)/G$320)</f>
        <v>0</v>
      </c>
      <c r="K247" s="26">
        <f>SUM(H$17:H247)/H$320</f>
        <v>0.86912069339173614</v>
      </c>
      <c r="L247" s="26"/>
      <c r="M247" s="26"/>
      <c r="N247" s="27">
        <f t="shared" si="214"/>
        <v>0.4653665466289536</v>
      </c>
      <c r="O247" s="27">
        <f t="shared" si="215"/>
        <v>0</v>
      </c>
      <c r="P247" s="26">
        <f t="shared" si="216"/>
        <v>0.4653665466289536</v>
      </c>
      <c r="Q247" s="26">
        <f>IF(N$320=0,0,SUM(N$17:N247)/N$320)</f>
        <v>0.86669672756555094</v>
      </c>
      <c r="R247" s="26">
        <f>IF(O$320=0,0,SUM(O$17:O247)/O$320)</f>
        <v>0</v>
      </c>
      <c r="S247" s="26">
        <f>SUM(P$17:P247)/P$320</f>
        <v>0.86669672756555094</v>
      </c>
    </row>
    <row r="248" spans="1:19" x14ac:dyDescent="0.4">
      <c r="A248" s="6">
        <f t="shared" si="210"/>
        <v>156.34085693786957</v>
      </c>
      <c r="B248" s="25">
        <f t="shared" ref="B248:C248" si="254">C$4*EXP(-0.5*(LN($A248)-LN(C$5))^2/(LN(C$6))^2)/($A248*SQRT(2*PI())*LN(C$6))</f>
        <v>8.3413697508413695E-2</v>
      </c>
      <c r="C248" s="25">
        <f t="shared" si="254"/>
        <v>0</v>
      </c>
      <c r="D248" s="27">
        <f t="shared" si="212"/>
        <v>8.3413697508413695E-2</v>
      </c>
      <c r="E248" s="27"/>
      <c r="F248" s="26">
        <f t="shared" si="213"/>
        <v>0.45747528764551687</v>
      </c>
      <c r="G248" s="26">
        <f t="shared" si="213"/>
        <v>0</v>
      </c>
      <c r="H248" s="26">
        <f t="shared" si="213"/>
        <v>0.45747528764551687</v>
      </c>
      <c r="I248" s="26">
        <f>IF(F$320=0,0,SUM(F$17:F248)/F$320)</f>
        <v>0.87364075739327296</v>
      </c>
      <c r="J248" s="26">
        <f>IF(G$320=0,0,SUM(G$17:G248)/G$320)</f>
        <v>0</v>
      </c>
      <c r="K248" s="26">
        <f>SUM(H$17:H248)/H$320</f>
        <v>0.87364075739327296</v>
      </c>
      <c r="L248" s="26"/>
      <c r="M248" s="26"/>
      <c r="N248" s="27">
        <f t="shared" si="214"/>
        <v>0.45486925545493717</v>
      </c>
      <c r="O248" s="27">
        <f t="shared" si="215"/>
        <v>0</v>
      </c>
      <c r="P248" s="26">
        <f t="shared" si="216"/>
        <v>0.45486925545493717</v>
      </c>
      <c r="Q248" s="26">
        <f>IF(N$320=0,0,SUM(N$17:N248)/N$320)</f>
        <v>0.87126827787163064</v>
      </c>
      <c r="R248" s="26">
        <f>IF(O$320=0,0,SUM(O$17:O248)/O$320)</f>
        <v>0</v>
      </c>
      <c r="S248" s="26">
        <f>SUM(P$17:P248)/P$320</f>
        <v>0.87126827787163064</v>
      </c>
    </row>
    <row r="249" spans="1:19" x14ac:dyDescent="0.4">
      <c r="A249" s="6">
        <f t="shared" si="210"/>
        <v>161.82527138430234</v>
      </c>
      <c r="B249" s="25">
        <f t="shared" ref="B249:C249" si="255">C$4*EXP(-0.5*(LN($A249)-LN(C$5))^2/(LN(C$6))^2)/($A249*SQRT(2*PI())*LN(C$6))</f>
        <v>7.8717205119671452E-2</v>
      </c>
      <c r="C249" s="25">
        <f t="shared" si="255"/>
        <v>0</v>
      </c>
      <c r="D249" s="27">
        <f t="shared" si="212"/>
        <v>7.8717205119671452E-2</v>
      </c>
      <c r="E249" s="27"/>
      <c r="F249" s="26">
        <f t="shared" si="213"/>
        <v>0.44686237355529418</v>
      </c>
      <c r="G249" s="26">
        <f t="shared" si="213"/>
        <v>0</v>
      </c>
      <c r="H249" s="26">
        <f t="shared" si="213"/>
        <v>0.44686237355529418</v>
      </c>
      <c r="I249" s="26">
        <f>IF(F$320=0,0,SUM(F$17:F249)/F$320)</f>
        <v>0.87805596097452876</v>
      </c>
      <c r="J249" s="26">
        <f>IF(G$320=0,0,SUM(G$17:G249)/G$320)</f>
        <v>0</v>
      </c>
      <c r="K249" s="26">
        <f>SUM(H$17:H249)/H$320</f>
        <v>0.87805596097452876</v>
      </c>
      <c r="L249" s="26"/>
      <c r="M249" s="26"/>
      <c r="N249" s="27">
        <f t="shared" si="214"/>
        <v>0.44441434843366379</v>
      </c>
      <c r="O249" s="27">
        <f t="shared" si="215"/>
        <v>0</v>
      </c>
      <c r="P249" s="26">
        <f t="shared" si="216"/>
        <v>0.44441434843366379</v>
      </c>
      <c r="Q249" s="26">
        <f>IF(N$320=0,0,SUM(N$17:N249)/N$320)</f>
        <v>0.87573475373528564</v>
      </c>
      <c r="R249" s="26">
        <f>IF(O$320=0,0,SUM(O$17:O249)/O$320)</f>
        <v>0</v>
      </c>
      <c r="S249" s="26">
        <f>SUM(P$17:P249)/P$320</f>
        <v>0.87573475373528564</v>
      </c>
    </row>
    <row r="250" spans="1:19" x14ac:dyDescent="0.4">
      <c r="A250" s="6">
        <f t="shared" si="210"/>
        <v>167.50207828917075</v>
      </c>
      <c r="B250" s="25">
        <f t="shared" ref="B250:C250" si="256">C$4*EXP(-0.5*(LN($A250)-LN(C$5))^2/(LN(C$6))^2)/($A250*SQRT(2*PI())*LN(C$6))</f>
        <v>7.4252660105275328E-2</v>
      </c>
      <c r="C250" s="25">
        <f t="shared" si="256"/>
        <v>0</v>
      </c>
      <c r="D250" s="27">
        <f t="shared" si="212"/>
        <v>7.4252660105275328E-2</v>
      </c>
      <c r="E250" s="27"/>
      <c r="F250" s="26">
        <f t="shared" si="213"/>
        <v>0.43630480399476612</v>
      </c>
      <c r="G250" s="26">
        <f t="shared" si="213"/>
        <v>0</v>
      </c>
      <c r="H250" s="26">
        <f t="shared" si="213"/>
        <v>0.43630480399476612</v>
      </c>
      <c r="I250" s="26">
        <f>IF(F$320=0,0,SUM(F$17:F250)/F$320)</f>
        <v>0.88236685096463996</v>
      </c>
      <c r="J250" s="26">
        <f>IF(G$320=0,0,SUM(G$17:G250)/G$320)</f>
        <v>0</v>
      </c>
      <c r="K250" s="26">
        <f>SUM(H$17:H250)/H$320</f>
        <v>0.88236685096463996</v>
      </c>
      <c r="L250" s="26"/>
      <c r="M250" s="26"/>
      <c r="N250" s="27">
        <f t="shared" si="214"/>
        <v>0.43400988906387994</v>
      </c>
      <c r="O250" s="27">
        <f t="shared" si="215"/>
        <v>0</v>
      </c>
      <c r="P250" s="26">
        <f t="shared" si="216"/>
        <v>0.43400988906387994</v>
      </c>
      <c r="Q250" s="26">
        <f>IF(N$320=0,0,SUM(N$17:N250)/N$320)</f>
        <v>0.88009666216808846</v>
      </c>
      <c r="R250" s="26">
        <f>IF(O$320=0,0,SUM(O$17:O250)/O$320)</f>
        <v>0</v>
      </c>
      <c r="S250" s="26">
        <f>SUM(P$17:P250)/P$320</f>
        <v>0.88009666216808846</v>
      </c>
    </row>
    <row r="251" spans="1:19" x14ac:dyDescent="0.4">
      <c r="A251" s="6">
        <f t="shared" si="210"/>
        <v>173.37802675184096</v>
      </c>
      <c r="B251" s="25">
        <f t="shared" ref="B251:C251" si="257">C$4*EXP(-0.5*(LN($A251)-LN(C$5))^2/(LN(C$6))^2)/($A251*SQRT(2*PI())*LN(C$6))</f>
        <v>7.0010700914966417E-2</v>
      </c>
      <c r="C251" s="25">
        <f t="shared" si="257"/>
        <v>0</v>
      </c>
      <c r="D251" s="27">
        <f t="shared" si="212"/>
        <v>7.0010700914966417E-2</v>
      </c>
      <c r="E251" s="27"/>
      <c r="F251" s="26">
        <f t="shared" si="213"/>
        <v>0.42581039518490399</v>
      </c>
      <c r="G251" s="26">
        <f t="shared" si="213"/>
        <v>0</v>
      </c>
      <c r="H251" s="26">
        <f t="shared" si="213"/>
        <v>0.42581039518490399</v>
      </c>
      <c r="I251" s="26">
        <f>IF(F$320=0,0,SUM(F$17:F251)/F$320)</f>
        <v>0.88657405142056245</v>
      </c>
      <c r="J251" s="26">
        <f>IF(G$320=0,0,SUM(G$17:G251)/G$320)</f>
        <v>0</v>
      </c>
      <c r="K251" s="26">
        <f>SUM(H$17:H251)/H$320</f>
        <v>0.88657405142056245</v>
      </c>
      <c r="L251" s="26"/>
      <c r="M251" s="26"/>
      <c r="N251" s="27">
        <f t="shared" si="214"/>
        <v>0.42366368840585089</v>
      </c>
      <c r="O251" s="27">
        <f t="shared" si="215"/>
        <v>0</v>
      </c>
      <c r="P251" s="26">
        <f t="shared" si="216"/>
        <v>0.42366368840585089</v>
      </c>
      <c r="Q251" s="26">
        <f>IF(N$320=0,0,SUM(N$17:N251)/N$320)</f>
        <v>0.88435458868473027</v>
      </c>
      <c r="R251" s="26">
        <f>IF(O$320=0,0,SUM(O$17:O251)/O$320)</f>
        <v>0</v>
      </c>
      <c r="S251" s="26">
        <f>SUM(P$17:P251)/P$320</f>
        <v>0.88435458868473027</v>
      </c>
    </row>
    <row r="252" spans="1:19" x14ac:dyDescent="0.4">
      <c r="A252" s="6">
        <f t="shared" si="210"/>
        <v>179.46010262909985</v>
      </c>
      <c r="B252" s="25">
        <f t="shared" ref="B252:C252" si="258">C$4*EXP(-0.5*(LN($A252)-LN(C$5))^2/(LN(C$6))^2)/($A252*SQRT(2*PI())*LN(C$6))</f>
        <v>6.5982215240401668E-2</v>
      </c>
      <c r="C252" s="25">
        <f t="shared" si="258"/>
        <v>0</v>
      </c>
      <c r="D252" s="27">
        <f t="shared" si="212"/>
        <v>6.5982215240401668E-2</v>
      </c>
      <c r="E252" s="27"/>
      <c r="F252" s="26">
        <f t="shared" si="213"/>
        <v>0.41538669517305032</v>
      </c>
      <c r="G252" s="26">
        <f t="shared" si="213"/>
        <v>0</v>
      </c>
      <c r="H252" s="26">
        <f t="shared" si="213"/>
        <v>0.41538669517305032</v>
      </c>
      <c r="I252" s="26">
        <f>IF(F$320=0,0,SUM(F$17:F252)/F$320)</f>
        <v>0.89067826097739411</v>
      </c>
      <c r="J252" s="26">
        <f>IF(G$320=0,0,SUM(G$17:G252)/G$320)</f>
        <v>0</v>
      </c>
      <c r="K252" s="26">
        <f>SUM(H$17:H252)/H$320</f>
        <v>0.89067826097739411</v>
      </c>
      <c r="L252" s="26"/>
      <c r="M252" s="26"/>
      <c r="N252" s="27">
        <f t="shared" si="214"/>
        <v>0.41338329749102121</v>
      </c>
      <c r="O252" s="27">
        <f t="shared" si="215"/>
        <v>0</v>
      </c>
      <c r="P252" s="26">
        <f t="shared" si="216"/>
        <v>0.41338329749102121</v>
      </c>
      <c r="Q252" s="26">
        <f>IF(N$320=0,0,SUM(N$17:N252)/N$320)</f>
        <v>0.88850919468966516</v>
      </c>
      <c r="R252" s="26">
        <f>IF(O$320=0,0,SUM(O$17:O252)/O$320)</f>
        <v>0</v>
      </c>
      <c r="S252" s="26">
        <f>SUM(P$17:P252)/P$320</f>
        <v>0.88850919468966516</v>
      </c>
    </row>
    <row r="253" spans="1:19" x14ac:dyDescent="0.4">
      <c r="A253" s="6">
        <f t="shared" si="210"/>
        <v>185.75553684057058</v>
      </c>
      <c r="B253" s="25">
        <f t="shared" ref="B253:C253" si="259">C$4*EXP(-0.5*(LN($A253)-LN(C$5))^2/(LN(C$6))^2)/($A253*SQRT(2*PI())*LN(C$6))</f>
        <v>6.2158341254836685E-2</v>
      </c>
      <c r="C253" s="25">
        <f t="shared" si="259"/>
        <v>0</v>
      </c>
      <c r="D253" s="27">
        <f t="shared" si="212"/>
        <v>6.2158341254836685E-2</v>
      </c>
      <c r="E253" s="27"/>
      <c r="F253" s="26">
        <f t="shared" si="213"/>
        <v>0.40504097724132337</v>
      </c>
      <c r="G253" s="26">
        <f t="shared" si="213"/>
        <v>0</v>
      </c>
      <c r="H253" s="26">
        <f t="shared" si="213"/>
        <v>0.40504097724132337</v>
      </c>
      <c r="I253" s="26">
        <f>IF(F$320=0,0,SUM(F$17:F253)/F$320)</f>
        <v>0.89468025013356989</v>
      </c>
      <c r="J253" s="26">
        <f>IF(G$320=0,0,SUM(G$17:G253)/G$320)</f>
        <v>0</v>
      </c>
      <c r="K253" s="26">
        <f>SUM(H$17:H253)/H$320</f>
        <v>0.89468025013356989</v>
      </c>
      <c r="L253" s="26"/>
      <c r="M253" s="26"/>
      <c r="N253" s="27">
        <f t="shared" si="214"/>
        <v>0.40317600047263813</v>
      </c>
      <c r="O253" s="27">
        <f t="shared" si="215"/>
        <v>0</v>
      </c>
      <c r="P253" s="26">
        <f t="shared" si="216"/>
        <v>0.40317600047263813</v>
      </c>
      <c r="Q253" s="26">
        <f>IF(N$320=0,0,SUM(N$17:N253)/N$320)</f>
        <v>0.89256121479491779</v>
      </c>
      <c r="R253" s="26">
        <f>IF(O$320=0,0,SUM(O$17:O253)/O$320)</f>
        <v>0</v>
      </c>
      <c r="S253" s="26">
        <f>SUM(P$17:P253)/P$320</f>
        <v>0.89256121479491779</v>
      </c>
    </row>
    <row r="254" spans="1:19" x14ac:dyDescent="0.4">
      <c r="A254" s="6">
        <f t="shared" si="210"/>
        <v>192.2718139654819</v>
      </c>
      <c r="B254" s="25">
        <f t="shared" ref="B254:C254" si="260">C$4*EXP(-0.5*(LN($A254)-LN(C$5))^2/(LN(C$6))^2)/($A254*SQRT(2*PI())*LN(C$6))</f>
        <v>5.8530468250059968E-2</v>
      </c>
      <c r="C254" s="25">
        <f t="shared" si="260"/>
        <v>0</v>
      </c>
      <c r="D254" s="27">
        <f t="shared" si="212"/>
        <v>5.8530468250059968E-2</v>
      </c>
      <c r="E254" s="27"/>
      <c r="F254" s="26">
        <f t="shared" si="213"/>
        <v>0.39478023406809082</v>
      </c>
      <c r="G254" s="26">
        <f t="shared" si="213"/>
        <v>0</v>
      </c>
      <c r="H254" s="26">
        <f t="shared" si="213"/>
        <v>0.39478023406809082</v>
      </c>
      <c r="I254" s="26">
        <f>IF(F$320=0,0,SUM(F$17:F254)/F$320)</f>
        <v>0.89858085847836899</v>
      </c>
      <c r="J254" s="26">
        <f>IF(G$320=0,0,SUM(G$17:G254)/G$320)</f>
        <v>0</v>
      </c>
      <c r="K254" s="26">
        <f>SUM(H$17:H254)/H$320</f>
        <v>0.89858085847836899</v>
      </c>
      <c r="L254" s="26"/>
      <c r="M254" s="26"/>
      <c r="N254" s="27">
        <f t="shared" si="214"/>
        <v>0.39304880851747104</v>
      </c>
      <c r="O254" s="27">
        <f t="shared" si="215"/>
        <v>0</v>
      </c>
      <c r="P254" s="26">
        <f t="shared" si="216"/>
        <v>0.39304880851747104</v>
      </c>
      <c r="Q254" s="26">
        <f>IF(N$320=0,0,SUM(N$17:N254)/N$320)</f>
        <v>0.89651145407650046</v>
      </c>
      <c r="R254" s="26">
        <f>IF(O$320=0,0,SUM(O$17:O254)/O$320)</f>
        <v>0</v>
      </c>
      <c r="S254" s="26">
        <f>SUM(P$17:P254)/P$320</f>
        <v>0.89651145407650046</v>
      </c>
    </row>
    <row r="255" spans="1:19" x14ac:dyDescent="0.4">
      <c r="A255" s="6">
        <f t="shared" si="210"/>
        <v>199.01668114100951</v>
      </c>
      <c r="B255" s="25">
        <f t="shared" ref="B255:C255" si="261">C$4*EXP(-0.5*(LN($A255)-LN(C$5))^2/(LN(C$6))^2)/($A255*SQRT(2*PI())*LN(C$6))</f>
        <v>5.5090236703633513E-2</v>
      </c>
      <c r="C255" s="25">
        <f t="shared" si="261"/>
        <v>0</v>
      </c>
      <c r="D255" s="27">
        <f t="shared" si="212"/>
        <v>5.5090236703633513E-2</v>
      </c>
      <c r="E255" s="27"/>
      <c r="F255" s="26">
        <f t="shared" si="213"/>
        <v>0.38461117263950068</v>
      </c>
      <c r="G255" s="26">
        <f t="shared" si="213"/>
        <v>0</v>
      </c>
      <c r="H255" s="26">
        <f t="shared" si="213"/>
        <v>0.38461117263950068</v>
      </c>
      <c r="I255" s="26">
        <f>IF(F$320=0,0,SUM(F$17:F255)/F$320)</f>
        <v>0.902380991869145</v>
      </c>
      <c r="J255" s="26">
        <f>IF(G$320=0,0,SUM(G$17:G255)/G$320)</f>
        <v>0</v>
      </c>
      <c r="K255" s="26">
        <f>SUM(H$17:H255)/H$320</f>
        <v>0.902380991869145</v>
      </c>
      <c r="L255" s="26"/>
      <c r="M255" s="26"/>
      <c r="N255" s="27">
        <f t="shared" si="214"/>
        <v>0.3830084544362955</v>
      </c>
      <c r="O255" s="27">
        <f t="shared" si="215"/>
        <v>0</v>
      </c>
      <c r="P255" s="26">
        <f t="shared" si="216"/>
        <v>0.3830084544362955</v>
      </c>
      <c r="Q255" s="26">
        <f>IF(N$320=0,0,SUM(N$17:N255)/N$320)</f>
        <v>0.90036078527686525</v>
      </c>
      <c r="R255" s="26">
        <f>IF(O$320=0,0,SUM(O$17:O255)/O$320)</f>
        <v>0</v>
      </c>
      <c r="S255" s="26">
        <f>SUM(P$17:P255)/P$320</f>
        <v>0.90036078527686525</v>
      </c>
    </row>
    <row r="256" spans="1:19" x14ac:dyDescent="0.4">
      <c r="A256" s="6">
        <f t="shared" si="210"/>
        <v>205.99815727277087</v>
      </c>
      <c r="B256" s="25">
        <f t="shared" ref="B256:C256" si="262">C$4*EXP(-0.5*(LN($A256)-LN(C$5))^2/(LN(C$6))^2)/($A256*SQRT(2*PI())*LN(C$6))</f>
        <v>5.1829537809275593E-2</v>
      </c>
      <c r="C256" s="25">
        <f t="shared" si="262"/>
        <v>0</v>
      </c>
      <c r="D256" s="27">
        <f t="shared" si="212"/>
        <v>5.1829537809275593E-2</v>
      </c>
      <c r="E256" s="27"/>
      <c r="F256" s="26">
        <f t="shared" si="213"/>
        <v>0.37454020990533221</v>
      </c>
      <c r="G256" s="26">
        <f t="shared" si="213"/>
        <v>0</v>
      </c>
      <c r="H256" s="26">
        <f t="shared" si="213"/>
        <v>0.37454020990533221</v>
      </c>
      <c r="I256" s="26">
        <f>IF(F$320=0,0,SUM(F$17:F256)/F$320)</f>
        <v>0.90608161956563593</v>
      </c>
      <c r="J256" s="26">
        <f>IF(G$320=0,0,SUM(G$17:G256)/G$320)</f>
        <v>0</v>
      </c>
      <c r="K256" s="26">
        <f>SUM(H$17:H256)/H$320</f>
        <v>0.90608161956563593</v>
      </c>
      <c r="L256" s="26"/>
      <c r="M256" s="26"/>
      <c r="N256" s="27">
        <f t="shared" si="214"/>
        <v>0.37306138804895639</v>
      </c>
      <c r="O256" s="27">
        <f t="shared" si="215"/>
        <v>0</v>
      </c>
      <c r="P256" s="26">
        <f t="shared" si="216"/>
        <v>0.37306138804895639</v>
      </c>
      <c r="Q256" s="26">
        <f>IF(N$320=0,0,SUM(N$17:N256)/N$320)</f>
        <v>0.90411014596077433</v>
      </c>
      <c r="R256" s="26">
        <f>IF(O$320=0,0,SUM(O$17:O256)/O$320)</f>
        <v>0</v>
      </c>
      <c r="S256" s="26">
        <f>SUM(P$17:P256)/P$320</f>
        <v>0.90411014596077433</v>
      </c>
    </row>
    <row r="257" spans="1:19" x14ac:dyDescent="0.4">
      <c r="A257" s="6">
        <f t="shared" si="210"/>
        <v>213.22454256842178</v>
      </c>
      <c r="B257" s="25">
        <f t="shared" ref="B257:C257" si="263">C$4*EXP(-0.5*(LN($A257)-LN(C$5))^2/(LN(C$6))^2)/($A257*SQRT(2*PI())*LN(C$6))</f>
        <v>4.8740512502909367E-2</v>
      </c>
      <c r="C257" s="25">
        <f t="shared" si="263"/>
        <v>0</v>
      </c>
      <c r="D257" s="27">
        <f t="shared" si="212"/>
        <v>4.8740512502909367E-2</v>
      </c>
      <c r="E257" s="27"/>
      <c r="F257" s="26">
        <f t="shared" si="213"/>
        <v>0.3645734691718065</v>
      </c>
      <c r="G257" s="26">
        <f t="shared" si="213"/>
        <v>0</v>
      </c>
      <c r="H257" s="26">
        <f t="shared" si="213"/>
        <v>0.3645734691718065</v>
      </c>
      <c r="I257" s="26">
        <f>IF(F$320=0,0,SUM(F$17:F257)/F$320)</f>
        <v>0.90968377132863065</v>
      </c>
      <c r="J257" s="26">
        <f>IF(G$320=0,0,SUM(G$17:G257)/G$320)</f>
        <v>0</v>
      </c>
      <c r="K257" s="26">
        <f>SUM(H$17:H257)/H$320</f>
        <v>0.90968377132863065</v>
      </c>
      <c r="L257" s="26"/>
      <c r="M257" s="26"/>
      <c r="N257" s="27">
        <f t="shared" si="214"/>
        <v>0.36321377227757079</v>
      </c>
      <c r="O257" s="27">
        <f t="shared" si="215"/>
        <v>0</v>
      </c>
      <c r="P257" s="26">
        <f t="shared" si="216"/>
        <v>0.36321377227757079</v>
      </c>
      <c r="Q257" s="26">
        <f>IF(N$320=0,0,SUM(N$17:N257)/N$320)</f>
        <v>0.90776053563190573</v>
      </c>
      <c r="R257" s="26">
        <f>IF(O$320=0,0,SUM(O$17:O257)/O$320)</f>
        <v>0</v>
      </c>
      <c r="S257" s="26">
        <f>SUM(P$17:P257)/P$320</f>
        <v>0.90776053563190573</v>
      </c>
    </row>
    <row r="258" spans="1:19" x14ac:dyDescent="0.4">
      <c r="A258" s="6">
        <f t="shared" si="210"/>
        <v>220.70442840569206</v>
      </c>
      <c r="B258" s="25">
        <f t="shared" ref="B258:C258" si="264">C$4*EXP(-0.5*(LN($A258)-LN(C$5))^2/(LN(C$6))^2)/($A258*SQRT(2*PI())*LN(C$6))</f>
        <v>4.5815550016491589E-2</v>
      </c>
      <c r="C258" s="25">
        <f t="shared" si="264"/>
        <v>0</v>
      </c>
      <c r="D258" s="27">
        <f t="shared" si="212"/>
        <v>4.5815550016491589E-2</v>
      </c>
      <c r="E258" s="27"/>
      <c r="F258" s="26">
        <f t="shared" si="213"/>
        <v>0.35471677722134798</v>
      </c>
      <c r="G258" s="26">
        <f t="shared" si="213"/>
        <v>0</v>
      </c>
      <c r="H258" s="26">
        <f t="shared" si="213"/>
        <v>0.35471677722134798</v>
      </c>
      <c r="I258" s="26">
        <f>IF(F$320=0,0,SUM(F$17:F258)/F$320)</f>
        <v>0.91318853449018023</v>
      </c>
      <c r="J258" s="26">
        <f>IF(G$320=0,0,SUM(G$17:G258)/G$320)</f>
        <v>0</v>
      </c>
      <c r="K258" s="26">
        <f>SUM(H$17:H258)/H$320</f>
        <v>0.91318853449018023</v>
      </c>
      <c r="L258" s="26"/>
      <c r="M258" s="26"/>
      <c r="N258" s="27">
        <f t="shared" si="214"/>
        <v>0.35347147995923311</v>
      </c>
      <c r="O258" s="27">
        <f t="shared" si="215"/>
        <v>0</v>
      </c>
      <c r="P258" s="26">
        <f t="shared" si="216"/>
        <v>0.35347147995923311</v>
      </c>
      <c r="Q258" s="26">
        <f>IF(N$320=0,0,SUM(N$17:N258)/N$320)</f>
        <v>0.91131301281742572</v>
      </c>
      <c r="R258" s="26">
        <f>IF(O$320=0,0,SUM(O$17:O258)/O$320)</f>
        <v>0</v>
      </c>
      <c r="S258" s="26">
        <f>SUM(P$17:P258)/P$320</f>
        <v>0.91131301281742572</v>
      </c>
    </row>
    <row r="259" spans="1:19" x14ac:dyDescent="0.4">
      <c r="A259" s="6">
        <f t="shared" si="210"/>
        <v>228.44670754658779</v>
      </c>
      <c r="B259" s="25">
        <f t="shared" ref="B259:C259" si="265">C$4*EXP(-0.5*(LN($A259)-LN(C$5))^2/(LN(C$6))^2)/($A259*SQRT(2*PI())*LN(C$6))</f>
        <v>4.3047285991246978E-2</v>
      </c>
      <c r="C259" s="25">
        <f t="shared" si="265"/>
        <v>0</v>
      </c>
      <c r="D259" s="27">
        <f t="shared" si="212"/>
        <v>4.3047285991246978E-2</v>
      </c>
      <c r="E259" s="27"/>
      <c r="F259" s="26">
        <f t="shared" si="213"/>
        <v>0.34497566214821496</v>
      </c>
      <c r="G259" s="26">
        <f t="shared" si="213"/>
        <v>0</v>
      </c>
      <c r="H259" s="26">
        <f t="shared" si="213"/>
        <v>0.34497566214821496</v>
      </c>
      <c r="I259" s="26">
        <f>IF(F$320=0,0,SUM(F$17:F259)/F$320)</f>
        <v>0.91659705100242239</v>
      </c>
      <c r="J259" s="26">
        <f>IF(G$320=0,0,SUM(G$17:G259)/G$320)</f>
        <v>0</v>
      </c>
      <c r="K259" s="26">
        <f>SUM(H$17:H259)/H$320</f>
        <v>0.91659705100242239</v>
      </c>
      <c r="L259" s="26"/>
      <c r="M259" s="26"/>
      <c r="N259" s="27">
        <f t="shared" si="214"/>
        <v>0.34384009136801952</v>
      </c>
      <c r="O259" s="27">
        <f t="shared" si="215"/>
        <v>0</v>
      </c>
      <c r="P259" s="26">
        <f t="shared" si="216"/>
        <v>0.34384009136801952</v>
      </c>
      <c r="Q259" s="26">
        <f>IF(N$320=0,0,SUM(N$17:N259)/N$320)</f>
        <v>0.9147686921276571</v>
      </c>
      <c r="R259" s="26">
        <f>IF(O$320=0,0,SUM(O$17:O259)/O$320)</f>
        <v>0</v>
      </c>
      <c r="S259" s="26">
        <f>SUM(P$17:P259)/P$320</f>
        <v>0.9147686921276571</v>
      </c>
    </row>
    <row r="260" spans="1:19" x14ac:dyDescent="0.4">
      <c r="A260" s="6">
        <f t="shared" si="210"/>
        <v>236.46058470990909</v>
      </c>
      <c r="B260" s="25">
        <f t="shared" ref="B260:C260" si="266">C$4*EXP(-0.5*(LN($A260)-LN(C$5))^2/(LN(C$6))^2)/($A260*SQRT(2*PI())*LN(C$6))</f>
        <v>4.0428600181359998E-2</v>
      </c>
      <c r="C260" s="25">
        <f t="shared" si="266"/>
        <v>0</v>
      </c>
      <c r="D260" s="27">
        <f t="shared" si="212"/>
        <v>4.0428600181359998E-2</v>
      </c>
      <c r="E260" s="27"/>
      <c r="F260" s="26">
        <f t="shared" si="213"/>
        <v>0.33535535189606197</v>
      </c>
      <c r="G260" s="26">
        <f t="shared" si="213"/>
        <v>0</v>
      </c>
      <c r="H260" s="26">
        <f t="shared" si="213"/>
        <v>0.33535535189606197</v>
      </c>
      <c r="I260" s="26">
        <f>IF(F$320=0,0,SUM(F$17:F260)/F$320)</f>
        <v>0.91991051447195649</v>
      </c>
      <c r="J260" s="26">
        <f>IF(G$320=0,0,SUM(G$17:G260)/G$320)</f>
        <v>0</v>
      </c>
      <c r="K260" s="26">
        <f>SUM(H$17:H260)/H$320</f>
        <v>0.91991051447195649</v>
      </c>
      <c r="L260" s="26"/>
      <c r="M260" s="26"/>
      <c r="N260" s="27">
        <f t="shared" si="214"/>
        <v>0.33432489243382379</v>
      </c>
      <c r="O260" s="27">
        <f t="shared" si="215"/>
        <v>0</v>
      </c>
      <c r="P260" s="26">
        <f t="shared" si="216"/>
        <v>0.33432489243382379</v>
      </c>
      <c r="Q260" s="26">
        <f>IF(N$320=0,0,SUM(N$17:N260)/N$320)</f>
        <v>0.91812874129784627</v>
      </c>
      <c r="R260" s="26">
        <f>IF(O$320=0,0,SUM(O$17:O260)/O$320)</f>
        <v>0</v>
      </c>
      <c r="S260" s="26">
        <f>SUM(P$17:P260)/P$320</f>
        <v>0.91812874129784627</v>
      </c>
    </row>
    <row r="261" spans="1:19" x14ac:dyDescent="0.4">
      <c r="A261" s="6">
        <f t="shared" si="210"/>
        <v>244.75558751464831</v>
      </c>
      <c r="B261" s="25">
        <f t="shared" ref="B261:C261" si="267">C$4*EXP(-0.5*(LN($A261)-LN(C$5))^2/(LN(C$6))^2)/($A261*SQRT(2*PI())*LN(C$6))</f>
        <v>3.7952613778537654E-2</v>
      </c>
      <c r="C261" s="25">
        <f t="shared" si="267"/>
        <v>0</v>
      </c>
      <c r="D261" s="27">
        <f t="shared" si="212"/>
        <v>3.7952613778537654E-2</v>
      </c>
      <c r="E261" s="27"/>
      <c r="F261" s="26">
        <f t="shared" si="213"/>
        <v>0.32586077348256509</v>
      </c>
      <c r="G261" s="26">
        <f t="shared" si="213"/>
        <v>0</v>
      </c>
      <c r="H261" s="26">
        <f t="shared" si="213"/>
        <v>0.32586077348256509</v>
      </c>
      <c r="I261" s="26">
        <f>IF(F$320=0,0,SUM(F$17:F261)/F$320)</f>
        <v>0.92313016718655894</v>
      </c>
      <c r="J261" s="26">
        <f>IF(G$320=0,0,SUM(G$17:G261)/G$320)</f>
        <v>0</v>
      </c>
      <c r="K261" s="26">
        <f>SUM(H$17:H261)/H$320</f>
        <v>0.92313016718655894</v>
      </c>
      <c r="L261" s="26"/>
      <c r="M261" s="26"/>
      <c r="N261" s="27">
        <f t="shared" si="214"/>
        <v>0.32493087364398043</v>
      </c>
      <c r="O261" s="27">
        <f t="shared" si="215"/>
        <v>0</v>
      </c>
      <c r="P261" s="26">
        <f t="shared" si="216"/>
        <v>0.32493087364398043</v>
      </c>
      <c r="Q261" s="26">
        <f>IF(N$320=0,0,SUM(N$17:N261)/N$320)</f>
        <v>0.92139437821889136</v>
      </c>
      <c r="R261" s="26">
        <f>IF(O$320=0,0,SUM(O$17:O261)/O$320)</f>
        <v>0</v>
      </c>
      <c r="S261" s="26">
        <f>SUM(P$17:P261)/P$320</f>
        <v>0.92139437821889136</v>
      </c>
    </row>
    <row r="262" spans="1:19" x14ac:dyDescent="0.4">
      <c r="A262" s="6">
        <f t="shared" si="210"/>
        <v>253.34157780728108</v>
      </c>
      <c r="B262" s="25">
        <f t="shared" ref="B262:C262" si="268">C$4*EXP(-0.5*(LN($A262)-LN(C$5))^2/(LN(C$6))^2)/($A262*SQRT(2*PI())*LN(C$6))</f>
        <v>3.5612686387149081E-2</v>
      </c>
      <c r="C262" s="25">
        <f t="shared" si="268"/>
        <v>0</v>
      </c>
      <c r="D262" s="27">
        <f t="shared" si="212"/>
        <v>3.5612686387149081E-2</v>
      </c>
      <c r="E262" s="27"/>
      <c r="F262" s="26">
        <f t="shared" si="213"/>
        <v>0.31649655289422912</v>
      </c>
      <c r="G262" s="26">
        <f t="shared" si="213"/>
        <v>0</v>
      </c>
      <c r="H262" s="26">
        <f t="shared" si="213"/>
        <v>0.31649655289422912</v>
      </c>
      <c r="I262" s="26">
        <f>IF(F$320=0,0,SUM(F$17:F262)/F$320)</f>
        <v>0.92625729714085769</v>
      </c>
      <c r="J262" s="26">
        <f>IF(G$320=0,0,SUM(G$17:G262)/G$320)</f>
        <v>0</v>
      </c>
      <c r="K262" s="26">
        <f>SUM(H$17:H262)/H$320</f>
        <v>0.92625729714085769</v>
      </c>
      <c r="L262" s="26"/>
      <c r="M262" s="26"/>
      <c r="N262" s="27">
        <f t="shared" si="214"/>
        <v>0.31566272961184305</v>
      </c>
      <c r="O262" s="27">
        <f t="shared" si="215"/>
        <v>0</v>
      </c>
      <c r="P262" s="26">
        <f t="shared" si="216"/>
        <v>0.31566272961184305</v>
      </c>
      <c r="Q262" s="26">
        <f>IF(N$320=0,0,SUM(N$17:N262)/N$320)</f>
        <v>0.924566867963734</v>
      </c>
      <c r="R262" s="26">
        <f>IF(O$320=0,0,SUM(O$17:O262)/O$320)</f>
        <v>0</v>
      </c>
      <c r="S262" s="26">
        <f>SUM(P$17:P262)/P$320</f>
        <v>0.924566867963734</v>
      </c>
    </row>
    <row r="263" spans="1:19" x14ac:dyDescent="0.4">
      <c r="A263" s="6">
        <f t="shared" si="210"/>
        <v>262.2287633864189</v>
      </c>
      <c r="B263" s="25">
        <f t="shared" ref="B263:C263" si="269">C$4*EXP(-0.5*(LN($A263)-LN(C$5))^2/(LN(C$6))^2)/($A263*SQRT(2*PI())*LN(C$6))</f>
        <v>3.3402412678883081E-2</v>
      </c>
      <c r="C263" s="25">
        <f t="shared" si="269"/>
        <v>0</v>
      </c>
      <c r="D263" s="27">
        <f t="shared" si="212"/>
        <v>3.3402412678883081E-2</v>
      </c>
      <c r="E263" s="27"/>
      <c r="F263" s="26">
        <f t="shared" si="213"/>
        <v>0.30726701563272507</v>
      </c>
      <c r="G263" s="26">
        <f t="shared" si="213"/>
        <v>0</v>
      </c>
      <c r="H263" s="26">
        <f t="shared" si="213"/>
        <v>0.30726701563272507</v>
      </c>
      <c r="I263" s="26">
        <f>IF(F$320=0,0,SUM(F$17:F263)/F$320)</f>
        <v>0.92929323506740491</v>
      </c>
      <c r="J263" s="26">
        <f>IF(G$320=0,0,SUM(G$17:G263)/G$320)</f>
        <v>0</v>
      </c>
      <c r="K263" s="26">
        <f>SUM(H$17:H263)/H$320</f>
        <v>0.92929323506740491</v>
      </c>
      <c r="L263" s="26"/>
      <c r="M263" s="26"/>
      <c r="N263" s="27">
        <f t="shared" si="214"/>
        <v>0.3065248592953207</v>
      </c>
      <c r="O263" s="27">
        <f t="shared" si="215"/>
        <v>0</v>
      </c>
      <c r="P263" s="26">
        <f t="shared" si="216"/>
        <v>0.3065248592953207</v>
      </c>
      <c r="Q263" s="26">
        <f>IF(N$320=0,0,SUM(N$17:N263)/N$320)</f>
        <v>0.92764751981594828</v>
      </c>
      <c r="R263" s="26">
        <f>IF(O$320=0,0,SUM(O$17:O263)/O$320)</f>
        <v>0</v>
      </c>
      <c r="S263" s="26">
        <f>SUM(P$17:P263)/P$320</f>
        <v>0.92764751981594828</v>
      </c>
    </row>
    <row r="264" spans="1:19" x14ac:dyDescent="0.4">
      <c r="A264" s="6">
        <f t="shared" si="210"/>
        <v>271.4277101387587</v>
      </c>
      <c r="B264" s="25">
        <f t="shared" ref="B264:C264" si="270">C$4*EXP(-0.5*(LN($A264)-LN(C$5))^2/(LN(C$6))^2)/($A264*SQRT(2*PI())*LN(C$6))</f>
        <v>3.1315618755051455E-2</v>
      </c>
      <c r="C264" s="25">
        <f t="shared" si="270"/>
        <v>0</v>
      </c>
      <c r="D264" s="27">
        <f t="shared" si="212"/>
        <v>3.1315618755051455E-2</v>
      </c>
      <c r="E264" s="27"/>
      <c r="F264" s="26">
        <f t="shared" si="213"/>
        <v>0.29817618789321504</v>
      </c>
      <c r="G264" s="26">
        <f t="shared" si="213"/>
        <v>0</v>
      </c>
      <c r="H264" s="26">
        <f t="shared" si="213"/>
        <v>0.29817618789321504</v>
      </c>
      <c r="I264" s="26">
        <f>IF(F$320=0,0,SUM(F$17:F264)/F$320)</f>
        <v>0.93223935147939341</v>
      </c>
      <c r="J264" s="26">
        <f>IF(G$320=0,0,SUM(G$17:G264)/G$320)</f>
        <v>0</v>
      </c>
      <c r="K264" s="26">
        <f>SUM(H$17:H264)/H$320</f>
        <v>0.93223935147939341</v>
      </c>
      <c r="L264" s="26"/>
      <c r="M264" s="26"/>
      <c r="N264" s="27">
        <f t="shared" si="214"/>
        <v>0.29752136684599861</v>
      </c>
      <c r="O264" s="27">
        <f t="shared" si="215"/>
        <v>0</v>
      </c>
      <c r="P264" s="26">
        <f t="shared" si="216"/>
        <v>0.29752136684599861</v>
      </c>
      <c r="Q264" s="26">
        <f>IF(N$320=0,0,SUM(N$17:N264)/N$320)</f>
        <v>0.93063768430686278</v>
      </c>
      <c r="R264" s="26">
        <f>IF(O$320=0,0,SUM(O$17:O264)/O$320)</f>
        <v>0</v>
      </c>
      <c r="S264" s="26">
        <f>SUM(P$17:P264)/P$320</f>
        <v>0.93063768430686278</v>
      </c>
    </row>
    <row r="265" spans="1:19" x14ac:dyDescent="0.4">
      <c r="A265" s="6">
        <f t="shared" si="210"/>
        <v>280.94935460076113</v>
      </c>
      <c r="B265" s="25">
        <f t="shared" ref="B265:C265" si="271">C$4*EXP(-0.5*(LN($A265)-LN(C$5))^2/(LN(C$6))^2)/($A265*SQRT(2*PI())*LN(C$6))</f>
        <v>2.9346358243801881E-2</v>
      </c>
      <c r="C265" s="25">
        <f t="shared" si="271"/>
        <v>0</v>
      </c>
      <c r="D265" s="27">
        <f t="shared" si="212"/>
        <v>2.9346358243801881E-2</v>
      </c>
      <c r="E265" s="27"/>
      <c r="F265" s="26">
        <f t="shared" si="213"/>
        <v>0.28922779835320805</v>
      </c>
      <c r="G265" s="26">
        <f t="shared" si="213"/>
        <v>0</v>
      </c>
      <c r="H265" s="26">
        <f t="shared" si="213"/>
        <v>0.28922779835320805</v>
      </c>
      <c r="I265" s="26">
        <f>IF(F$320=0,0,SUM(F$17:F265)/F$320)</f>
        <v>0.93509705373104612</v>
      </c>
      <c r="J265" s="26">
        <f>IF(G$320=0,0,SUM(G$17:G265)/G$320)</f>
        <v>0</v>
      </c>
      <c r="K265" s="26">
        <f>SUM(H$17:H265)/H$320</f>
        <v>0.93509705373104612</v>
      </c>
      <c r="L265" s="26"/>
      <c r="M265" s="26"/>
      <c r="N265" s="27">
        <f t="shared" si="214"/>
        <v>0.28865606306912595</v>
      </c>
      <c r="O265" s="27">
        <f t="shared" si="215"/>
        <v>0</v>
      </c>
      <c r="P265" s="26">
        <f t="shared" si="216"/>
        <v>0.28865606306912595</v>
      </c>
      <c r="Q265" s="26">
        <f>IF(N$320=0,0,SUM(N$17:N265)/N$320)</f>
        <v>0.93353875026735655</v>
      </c>
      <c r="R265" s="26">
        <f>IF(O$320=0,0,SUM(O$17:O265)/O$320)</f>
        <v>0</v>
      </c>
      <c r="S265" s="26">
        <f>SUM(P$17:P265)/P$320</f>
        <v>0.93353875026735655</v>
      </c>
    </row>
    <row r="266" spans="1:19" x14ac:dyDescent="0.4">
      <c r="A266" s="6">
        <f t="shared" si="210"/>
        <v>290.80501696098924</v>
      </c>
      <c r="B266" s="25">
        <f t="shared" ref="B266:C266" si="272">C$4*EXP(-0.5*(LN($A266)-LN(C$5))^2/(LN(C$6))^2)/($A266*SQRT(2*PI())*LN(C$6))</f>
        <v>2.7488908158606124E-2</v>
      </c>
      <c r="C266" s="25">
        <f t="shared" si="272"/>
        <v>0</v>
      </c>
      <c r="D266" s="27">
        <f t="shared" si="212"/>
        <v>2.7488908158606124E-2</v>
      </c>
      <c r="E266" s="27"/>
      <c r="F266" s="26">
        <f t="shared" si="213"/>
        <v>0.28042528054974336</v>
      </c>
      <c r="G266" s="26">
        <f t="shared" si="213"/>
        <v>0</v>
      </c>
      <c r="H266" s="26">
        <f t="shared" si="213"/>
        <v>0.28042528054974336</v>
      </c>
      <c r="I266" s="26">
        <f>IF(F$320=0,0,SUM(F$17:F266)/F$320)</f>
        <v>0.93786778310149455</v>
      </c>
      <c r="J266" s="26">
        <f>IF(G$320=0,0,SUM(G$17:G266)/G$320)</f>
        <v>0</v>
      </c>
      <c r="K266" s="26">
        <f>SUM(H$17:H266)/H$320</f>
        <v>0.93786778310149455</v>
      </c>
      <c r="L266" s="26"/>
      <c r="M266" s="26"/>
      <c r="N266" s="27">
        <f t="shared" si="214"/>
        <v>0.27993246747280986</v>
      </c>
      <c r="O266" s="27">
        <f t="shared" si="215"/>
        <v>0</v>
      </c>
      <c r="P266" s="26">
        <f t="shared" si="216"/>
        <v>0.27993246747280986</v>
      </c>
      <c r="Q266" s="26">
        <f>IF(N$320=0,0,SUM(N$17:N266)/N$320)</f>
        <v>0.93635214190024907</v>
      </c>
      <c r="R266" s="26">
        <f>IF(O$320=0,0,SUM(O$17:O266)/O$320)</f>
        <v>0</v>
      </c>
      <c r="S266" s="26">
        <f>SUM(P$17:P266)/P$320</f>
        <v>0.93635214190024907</v>
      </c>
    </row>
    <row r="267" spans="1:19" x14ac:dyDescent="0.4">
      <c r="A267" s="6">
        <f t="shared" si="210"/>
        <v>301.00641451856916</v>
      </c>
      <c r="B267" s="25">
        <f t="shared" ref="B267:C267" si="273">C$4*EXP(-0.5*(LN($A267)-LN(C$5))^2/(LN(C$6))^2)/($A267*SQRT(2*PI())*LN(C$6))</f>
        <v>2.5737764543453598E-2</v>
      </c>
      <c r="C267" s="25">
        <f t="shared" si="273"/>
        <v>0</v>
      </c>
      <c r="D267" s="27">
        <f t="shared" si="212"/>
        <v>2.5737764543453598E-2</v>
      </c>
      <c r="E267" s="27"/>
      <c r="F267" s="26">
        <f t="shared" si="213"/>
        <v>0.27177177582115547</v>
      </c>
      <c r="G267" s="26">
        <f t="shared" si="213"/>
        <v>0</v>
      </c>
      <c r="H267" s="26">
        <f t="shared" si="213"/>
        <v>0.27177177582115547</v>
      </c>
      <c r="I267" s="26">
        <f>IF(F$320=0,0,SUM(F$17:F267)/F$320)</f>
        <v>0.94055301190772189</v>
      </c>
      <c r="J267" s="26">
        <f>IF(G$320=0,0,SUM(G$17:G267)/G$320)</f>
        <v>0</v>
      </c>
      <c r="K267" s="26">
        <f>SUM(H$17:H267)/H$320</f>
        <v>0.94055301190772189</v>
      </c>
      <c r="L267" s="26"/>
      <c r="M267" s="26"/>
      <c r="N267" s="27">
        <f t="shared" si="214"/>
        <v>0.27135381088384536</v>
      </c>
      <c r="O267" s="27">
        <f t="shared" si="215"/>
        <v>0</v>
      </c>
      <c r="P267" s="26">
        <f t="shared" si="216"/>
        <v>0.27135381088384536</v>
      </c>
      <c r="Q267" s="26">
        <f>IF(N$320=0,0,SUM(N$17:N267)/N$320)</f>
        <v>0.93907931587898119</v>
      </c>
      <c r="R267" s="26">
        <f>IF(O$320=0,0,SUM(O$17:O267)/O$320)</f>
        <v>0</v>
      </c>
      <c r="S267" s="26">
        <f>SUM(P$17:P267)/P$320</f>
        <v>0.93907931587898119</v>
      </c>
    </row>
    <row r="268" spans="1:19" x14ac:dyDescent="0.4">
      <c r="A268" s="6">
        <f t="shared" si="210"/>
        <v>311.56567561377102</v>
      </c>
      <c r="B268" s="25">
        <f t="shared" ref="B268:C268" si="274">C$4*EXP(-0.5*(LN($A268)-LN(C$5))^2/(LN(C$6))^2)/($A268*SQRT(2*PI())*LN(C$6))</f>
        <v>2.4087637929220272E-2</v>
      </c>
      <c r="C268" s="25">
        <f t="shared" si="274"/>
        <v>0</v>
      </c>
      <c r="D268" s="27">
        <f t="shared" si="212"/>
        <v>2.4087637929220272E-2</v>
      </c>
      <c r="E268" s="27"/>
      <c r="F268" s="26">
        <f t="shared" si="213"/>
        <v>0.26327013678894962</v>
      </c>
      <c r="G268" s="26">
        <f t="shared" si="213"/>
        <v>0</v>
      </c>
      <c r="H268" s="26">
        <f t="shared" si="213"/>
        <v>0.26327013678894962</v>
      </c>
      <c r="I268" s="26">
        <f>IF(F$320=0,0,SUM(F$17:F268)/F$320)</f>
        <v>0.94315424065191034</v>
      </c>
      <c r="J268" s="26">
        <f>IF(G$320=0,0,SUM(G$17:G268)/G$320)</f>
        <v>0</v>
      </c>
      <c r="K268" s="26">
        <f>SUM(H$17:H268)/H$320</f>
        <v>0.94315424065191034</v>
      </c>
      <c r="L268" s="26"/>
      <c r="M268" s="26"/>
      <c r="N268" s="27">
        <f t="shared" si="214"/>
        <v>0.26292303860659949</v>
      </c>
      <c r="O268" s="27">
        <f t="shared" si="215"/>
        <v>0</v>
      </c>
      <c r="P268" s="26">
        <f t="shared" si="216"/>
        <v>0.26292303860659949</v>
      </c>
      <c r="Q268" s="26">
        <f>IF(N$320=0,0,SUM(N$17:N268)/N$320)</f>
        <v>0.94172175847804251</v>
      </c>
      <c r="R268" s="26">
        <f>IF(O$320=0,0,SUM(O$17:O268)/O$320)</f>
        <v>0</v>
      </c>
      <c r="S268" s="26">
        <f>SUM(P$17:P268)/P$320</f>
        <v>0.94172175847804251</v>
      </c>
    </row>
    <row r="269" spans="1:19" x14ac:dyDescent="0.4">
      <c r="A269" s="6">
        <f t="shared" si="210"/>
        <v>322.49535404727078</v>
      </c>
      <c r="B269" s="25">
        <f t="shared" ref="B269:C269" si="275">C$4*EXP(-0.5*(LN($A269)-LN(C$5))^2/(LN(C$6))^2)/($A269*SQRT(2*PI())*LN(C$6))</f>
        <v>2.2533448624698332E-2</v>
      </c>
      <c r="C269" s="25">
        <f t="shared" si="275"/>
        <v>0</v>
      </c>
      <c r="D269" s="27">
        <f t="shared" si="212"/>
        <v>2.2533448624698332E-2</v>
      </c>
      <c r="E269" s="27"/>
      <c r="F269" s="26">
        <f t="shared" si="213"/>
        <v>0.25492293135451066</v>
      </c>
      <c r="G269" s="26">
        <f t="shared" si="213"/>
        <v>0</v>
      </c>
      <c r="H269" s="26">
        <f t="shared" si="213"/>
        <v>0.25492293135451066</v>
      </c>
      <c r="I269" s="26">
        <f>IF(F$320=0,0,SUM(F$17:F269)/F$320)</f>
        <v>0.94567299520827575</v>
      </c>
      <c r="J269" s="26">
        <f>IF(G$320=0,0,SUM(G$17:G269)/G$320)</f>
        <v>0</v>
      </c>
      <c r="K269" s="26">
        <f>SUM(H$17:H269)/H$320</f>
        <v>0.94567299520827575</v>
      </c>
      <c r="L269" s="26"/>
      <c r="M269" s="26"/>
      <c r="N269" s="27">
        <f t="shared" si="214"/>
        <v>0.254642814100281</v>
      </c>
      <c r="O269" s="27">
        <f t="shared" si="215"/>
        <v>0</v>
      </c>
      <c r="P269" s="26">
        <f t="shared" si="216"/>
        <v>0.254642814100281</v>
      </c>
      <c r="Q269" s="26">
        <f>IF(N$320=0,0,SUM(N$17:N269)/N$320)</f>
        <v>0.94428098274035688</v>
      </c>
      <c r="R269" s="26">
        <f>IF(O$320=0,0,SUM(O$17:O269)/O$320)</f>
        <v>0</v>
      </c>
      <c r="S269" s="26">
        <f>SUM(P$17:P269)/P$320</f>
        <v>0.94428098274035688</v>
      </c>
    </row>
    <row r="270" spans="1:19" x14ac:dyDescent="0.4">
      <c r="A270" s="6">
        <f t="shared" si="210"/>
        <v>333.80844400524091</v>
      </c>
      <c r="B270" s="25">
        <f t="shared" ref="B270:C270" si="276">C$4*EXP(-0.5*(LN($A270)-LN(C$5))^2/(LN(C$6))^2)/($A270*SQRT(2*PI())*LN(C$6))</f>
        <v>2.107032186476971E-2</v>
      </c>
      <c r="C270" s="25">
        <f t="shared" si="276"/>
        <v>0</v>
      </c>
      <c r="D270" s="27">
        <f t="shared" si="212"/>
        <v>2.107032186476971E-2</v>
      </c>
      <c r="E270" s="27"/>
      <c r="F270" s="26">
        <f t="shared" si="213"/>
        <v>0.24673244718415668</v>
      </c>
      <c r="G270" s="26">
        <f t="shared" si="213"/>
        <v>0</v>
      </c>
      <c r="H270" s="26">
        <f t="shared" si="213"/>
        <v>0.24673244718415668</v>
      </c>
      <c r="I270" s="26">
        <f>IF(F$320=0,0,SUM(F$17:F270)/F$320)</f>
        <v>0.94811082405421854</v>
      </c>
      <c r="J270" s="26">
        <f>IF(G$320=0,0,SUM(G$17:G270)/G$320)</f>
        <v>0</v>
      </c>
      <c r="K270" s="26">
        <f>SUM(H$17:H270)/H$320</f>
        <v>0.94811082405421854</v>
      </c>
      <c r="L270" s="26"/>
      <c r="M270" s="26"/>
      <c r="N270" s="27">
        <f t="shared" si="214"/>
        <v>0.24651552314930436</v>
      </c>
      <c r="O270" s="27">
        <f t="shared" si="215"/>
        <v>0</v>
      </c>
      <c r="P270" s="26">
        <f t="shared" si="216"/>
        <v>0.24651552314930436</v>
      </c>
      <c r="Q270" s="26">
        <f>IF(N$320=0,0,SUM(N$17:N270)/N$320)</f>
        <v>0.94675852568658103</v>
      </c>
      <c r="R270" s="26">
        <f>IF(O$320=0,0,SUM(O$17:O270)/O$320)</f>
        <v>0</v>
      </c>
      <c r="S270" s="26">
        <f>SUM(P$17:P270)/P$320</f>
        <v>0.94675852568658103</v>
      </c>
    </row>
    <row r="271" spans="1:19" x14ac:dyDescent="0.4">
      <c r="A271" s="6">
        <f t="shared" si="210"/>
        <v>345.5183955080085</v>
      </c>
      <c r="B271" s="25">
        <f t="shared" ref="B271:C271" si="277">C$4*EXP(-0.5*(LN($A271)-LN(C$5))^2/(LN(C$6))^2)/($A271*SQRT(2*PI())*LN(C$6))</f>
        <v>1.9693582837195078E-2</v>
      </c>
      <c r="C271" s="25">
        <f t="shared" si="277"/>
        <v>0</v>
      </c>
      <c r="D271" s="27">
        <f t="shared" si="212"/>
        <v>1.9693582837195078E-2</v>
      </c>
      <c r="E271" s="27"/>
      <c r="F271" s="26">
        <f t="shared" si="213"/>
        <v>0.23870069665592081</v>
      </c>
      <c r="G271" s="26">
        <f t="shared" si="213"/>
        <v>0</v>
      </c>
      <c r="H271" s="26">
        <f t="shared" si="213"/>
        <v>0.23870069665592081</v>
      </c>
      <c r="I271" s="26">
        <f>IF(F$320=0,0,SUM(F$17:F271)/F$320)</f>
        <v>0.95046929555034931</v>
      </c>
      <c r="J271" s="26">
        <f>IF(G$320=0,0,SUM(G$17:G271)/G$320)</f>
        <v>0</v>
      </c>
      <c r="K271" s="26">
        <f>SUM(H$17:H271)/H$320</f>
        <v>0.95046929555034931</v>
      </c>
      <c r="L271" s="26"/>
      <c r="M271" s="26"/>
      <c r="N271" s="27">
        <f t="shared" si="214"/>
        <v>0.23854327850061363</v>
      </c>
      <c r="O271" s="27">
        <f t="shared" si="215"/>
        <v>0</v>
      </c>
      <c r="P271" s="26">
        <f t="shared" si="216"/>
        <v>0.23854327850061363</v>
      </c>
      <c r="Q271" s="26">
        <f>IF(N$320=0,0,SUM(N$17:N271)/N$320)</f>
        <v>0.94915594557100924</v>
      </c>
      <c r="R271" s="26">
        <f>IF(O$320=0,0,SUM(O$17:O271)/O$320)</f>
        <v>0</v>
      </c>
      <c r="S271" s="26">
        <f>SUM(P$17:P271)/P$320</f>
        <v>0.94915594557100924</v>
      </c>
    </row>
    <row r="272" spans="1:19" x14ac:dyDescent="0.4">
      <c r="A272" s="6">
        <f t="shared" si="210"/>
        <v>357.63913040065023</v>
      </c>
      <c r="B272" s="25">
        <f t="shared" ref="B272:C272" si="278">C$4*EXP(-0.5*(LN($A272)-LN(C$5))^2/(LN(C$6))^2)/($A272*SQRT(2*PI())*LN(C$6))</f>
        <v>1.8398751608466976E-2</v>
      </c>
      <c r="C272" s="25">
        <f t="shared" si="278"/>
        <v>0</v>
      </c>
      <c r="D272" s="27">
        <f t="shared" si="212"/>
        <v>1.8398751608466976E-2</v>
      </c>
      <c r="E272" s="27"/>
      <c r="F272" s="26">
        <f t="shared" si="213"/>
        <v>0.23082942224060077</v>
      </c>
      <c r="G272" s="26">
        <f t="shared" si="213"/>
        <v>0</v>
      </c>
      <c r="H272" s="26">
        <f t="shared" si="213"/>
        <v>0.23082942224060077</v>
      </c>
      <c r="I272" s="26">
        <f>IF(F$320=0,0,SUM(F$17:F272)/F$320)</f>
        <v>0.95274999527368331</v>
      </c>
      <c r="J272" s="26">
        <f>IF(G$320=0,0,SUM(G$17:G272)/G$320)</f>
        <v>0</v>
      </c>
      <c r="K272" s="26">
        <f>SUM(H$17:H272)/H$320</f>
        <v>0.95274999527368331</v>
      </c>
      <c r="L272" s="26"/>
      <c r="M272" s="26"/>
      <c r="N272" s="27">
        <f t="shared" si="214"/>
        <v>0.23072792494133187</v>
      </c>
      <c r="O272" s="27">
        <f t="shared" si="215"/>
        <v>0</v>
      </c>
      <c r="P272" s="26">
        <f t="shared" si="216"/>
        <v>0.23072792494133187</v>
      </c>
      <c r="Q272" s="26">
        <f>IF(N$320=0,0,SUM(N$17:N272)/N$320)</f>
        <v>0.95147481918851018</v>
      </c>
      <c r="R272" s="26">
        <f>IF(O$320=0,0,SUM(O$17:O272)/O$320)</f>
        <v>0</v>
      </c>
      <c r="S272" s="26">
        <f>SUM(P$17:P272)/P$320</f>
        <v>0.95147481918851018</v>
      </c>
    </row>
    <row r="273" spans="1:19" x14ac:dyDescent="0.4">
      <c r="A273" s="6">
        <f t="shared" si="210"/>
        <v>370.18505890453713</v>
      </c>
      <c r="B273" s="25">
        <f t="shared" ref="B273:C273" si="279">C$4*EXP(-0.5*(LN($A273)-LN(C$5))^2/(LN(C$6))^2)/($A273*SQRT(2*PI())*LN(C$6))</f>
        <v>1.718153796815159E-2</v>
      </c>
      <c r="C273" s="25">
        <f t="shared" si="279"/>
        <v>0</v>
      </c>
      <c r="D273" s="27">
        <f t="shared" si="212"/>
        <v>1.718153796815159E-2</v>
      </c>
      <c r="E273" s="27"/>
      <c r="F273" s="26">
        <f t="shared" si="213"/>
        <v>0.22312010228913298</v>
      </c>
      <c r="G273" s="26">
        <f t="shared" si="213"/>
        <v>0</v>
      </c>
      <c r="H273" s="26">
        <f t="shared" si="213"/>
        <v>0.22312010228913298</v>
      </c>
      <c r="I273" s="26">
        <f>IF(F$320=0,0,SUM(F$17:F273)/F$320)</f>
        <v>0.95495452340801557</v>
      </c>
      <c r="J273" s="26">
        <f>IF(G$320=0,0,SUM(G$17:G273)/G$320)</f>
        <v>0</v>
      </c>
      <c r="K273" s="26">
        <f>SUM(H$17:H273)/H$320</f>
        <v>0.95495452340801557</v>
      </c>
      <c r="L273" s="26"/>
      <c r="M273" s="26"/>
      <c r="N273" s="27">
        <f t="shared" si="214"/>
        <v>0.22307104478962447</v>
      </c>
      <c r="O273" s="27">
        <f t="shared" si="215"/>
        <v>0</v>
      </c>
      <c r="P273" s="26">
        <f t="shared" si="216"/>
        <v>0.22307104478962447</v>
      </c>
      <c r="Q273" s="26">
        <f>IF(N$320=0,0,SUM(N$17:N273)/N$320)</f>
        <v>0.95371673923664702</v>
      </c>
      <c r="R273" s="26">
        <f>IF(O$320=0,0,SUM(O$17:O273)/O$320)</f>
        <v>0</v>
      </c>
      <c r="S273" s="26">
        <f>SUM(P$17:P273)/P$320</f>
        <v>0.95371673923664702</v>
      </c>
    </row>
    <row r="274" spans="1:19" x14ac:dyDescent="0.4">
      <c r="A274" s="6">
        <f t="shared" ref="A274:A317" si="280">10^((LOG(A$318)-LOG(A$17))/301+LOG(A273))</f>
        <v>383.17109674950291</v>
      </c>
      <c r="B274" s="25">
        <f t="shared" ref="B274:C274" si="281">C$4*EXP(-0.5*(LN($A274)-LN(C$5))^2/(LN(C$6))^2)/($A274*SQRT(2*PI())*LN(C$6))</f>
        <v>1.6037836210120674E-2</v>
      </c>
      <c r="C274" s="25">
        <f t="shared" si="281"/>
        <v>0</v>
      </c>
      <c r="D274" s="27">
        <f t="shared" ref="D274:D318" si="282">B274+C274</f>
        <v>1.6037836210120674E-2</v>
      </c>
      <c r="E274" s="27"/>
      <c r="F274" s="26">
        <f t="shared" ref="F274:H317" si="283">B274*($A275-$A274)</f>
        <v>0.21557395719828254</v>
      </c>
      <c r="G274" s="26">
        <f t="shared" si="283"/>
        <v>0</v>
      </c>
      <c r="H274" s="26">
        <f t="shared" si="283"/>
        <v>0.21557395719828254</v>
      </c>
      <c r="I274" s="26">
        <f>IF(F$320=0,0,SUM(F$17:F274)/F$320)</f>
        <v>0.95708449219521674</v>
      </c>
      <c r="J274" s="26">
        <f>IF(G$320=0,0,SUM(G$17:G274)/G$320)</f>
        <v>0</v>
      </c>
      <c r="K274" s="26">
        <f>SUM(H$17:H274)/H$320</f>
        <v>0.95708449219521674</v>
      </c>
      <c r="L274" s="26"/>
      <c r="M274" s="26"/>
      <c r="N274" s="27">
        <f t="shared" ref="N274:N318" si="284">C$4*((NORMDIST(LN($A274),LN(C$5),LN(C$6),TRUE))-(NORMDIST(LN($A273),LN(C$5),LN(C$6),TRUE)))</f>
        <v>0.21557396377098748</v>
      </c>
      <c r="O274" s="27">
        <f t="shared" ref="O274:O318" si="285">D$4*((NORMDIST(LN($A274),LN(D$5),LN(D$6),TRUE))-(NORMDIST(LN($A273),LN(D$5),LN(D$6),TRUE)))</f>
        <v>0</v>
      </c>
      <c r="P274" s="26">
        <f t="shared" ref="P274:P318" si="286">N274+O274</f>
        <v>0.21557396377098748</v>
      </c>
      <c r="Q274" s="26">
        <f>IF(N$320=0,0,SUM(N$17:N274)/N$320)</f>
        <v>0.95588331173685803</v>
      </c>
      <c r="R274" s="26">
        <f>IF(O$320=0,0,SUM(O$17:O274)/O$320)</f>
        <v>0</v>
      </c>
      <c r="S274" s="26">
        <f>SUM(P$17:P274)/P$320</f>
        <v>0.95588331173685803</v>
      </c>
    </row>
    <row r="275" spans="1:19" x14ac:dyDescent="0.4">
      <c r="A275" s="6">
        <f t="shared" si="280"/>
        <v>396.61268290700741</v>
      </c>
      <c r="B275" s="25">
        <f t="shared" ref="B275:C275" si="287">C$4*EXP(-0.5*(LN($A275)-LN(C$5))^2/(LN(C$6))^2)/($A275*SQRT(2*PI())*LN(C$6))</f>
        <v>1.4963719868055071E-2</v>
      </c>
      <c r="C275" s="25">
        <f t="shared" si="287"/>
        <v>0</v>
      </c>
      <c r="D275" s="27">
        <f t="shared" si="282"/>
        <v>1.4963719868055071E-2</v>
      </c>
      <c r="E275" s="27"/>
      <c r="F275" s="26">
        <f t="shared" si="283"/>
        <v>0.20819195592616055</v>
      </c>
      <c r="G275" s="26">
        <f t="shared" si="283"/>
        <v>0</v>
      </c>
      <c r="H275" s="26">
        <f t="shared" si="283"/>
        <v>0.20819195592616055</v>
      </c>
      <c r="I275" s="26">
        <f>IF(F$320=0,0,SUM(F$17:F275)/F$320)</f>
        <v>0.95914152345090387</v>
      </c>
      <c r="J275" s="26">
        <f>IF(G$320=0,0,SUM(G$17:G275)/G$320)</f>
        <v>0</v>
      </c>
      <c r="K275" s="26">
        <f>SUM(H$17:H275)/H$320</f>
        <v>0.95914152345090387</v>
      </c>
      <c r="L275" s="26"/>
      <c r="M275" s="26"/>
      <c r="N275" s="27">
        <f t="shared" si="284"/>
        <v>0.20823775725260507</v>
      </c>
      <c r="O275" s="27">
        <f t="shared" si="285"/>
        <v>0</v>
      </c>
      <c r="P275" s="26">
        <f t="shared" si="286"/>
        <v>0.20823775725260507</v>
      </c>
      <c r="Q275" s="26">
        <f>IF(N$320=0,0,SUM(N$17:N275)/N$320)</f>
        <v>0.95797615351829124</v>
      </c>
      <c r="R275" s="26">
        <f>IF(O$320=0,0,SUM(O$17:O275)/O$320)</f>
        <v>0</v>
      </c>
      <c r="S275" s="26">
        <f>SUM(P$17:P275)/P$320</f>
        <v>0.95797615351829124</v>
      </c>
    </row>
    <row r="276" spans="1:19" x14ac:dyDescent="0.4">
      <c r="A276" s="6">
        <f t="shared" si="280"/>
        <v>410.52579794537525</v>
      </c>
      <c r="B276" s="25">
        <f t="shared" ref="B276:C276" si="288">C$4*EXP(-0.5*(LN($A276)-LN(C$5))^2/(LN(C$6))^2)/($A276*SQRT(2*PI())*LN(C$6))</f>
        <v>1.3955436421591185E-2</v>
      </c>
      <c r="C276" s="25">
        <f t="shared" si="288"/>
        <v>0</v>
      </c>
      <c r="D276" s="27">
        <f t="shared" si="282"/>
        <v>1.3955436421591185E-2</v>
      </c>
      <c r="E276" s="27"/>
      <c r="F276" s="26">
        <f t="shared" si="283"/>
        <v>0.20097482282921741</v>
      </c>
      <c r="G276" s="26">
        <f t="shared" si="283"/>
        <v>0</v>
      </c>
      <c r="H276" s="26">
        <f t="shared" si="283"/>
        <v>0.20097482282921741</v>
      </c>
      <c r="I276" s="26">
        <f>IF(F$320=0,0,SUM(F$17:F276)/F$320)</f>
        <v>0.96112724614766631</v>
      </c>
      <c r="J276" s="26">
        <f>IF(G$320=0,0,SUM(G$17:G276)/G$320)</f>
        <v>0</v>
      </c>
      <c r="K276" s="26">
        <f>SUM(H$17:H276)/H$320</f>
        <v>0.96112724614766631</v>
      </c>
      <c r="L276" s="26"/>
      <c r="M276" s="26"/>
      <c r="N276" s="27">
        <f t="shared" si="284"/>
        <v>0.2010632568074544</v>
      </c>
      <c r="O276" s="27">
        <f t="shared" si="285"/>
        <v>0</v>
      </c>
      <c r="P276" s="26">
        <f t="shared" si="286"/>
        <v>0.2010632568074544</v>
      </c>
      <c r="Q276" s="26">
        <f>IF(N$320=0,0,SUM(N$17:N276)/N$320)</f>
        <v>0.95999688976761244</v>
      </c>
      <c r="R276" s="26">
        <f>IF(O$320=0,0,SUM(O$17:O276)/O$320)</f>
        <v>0</v>
      </c>
      <c r="S276" s="26">
        <f>SUM(P$17:P276)/P$320</f>
        <v>0.95999688976761244</v>
      </c>
    </row>
    <row r="277" spans="1:19" x14ac:dyDescent="0.4">
      <c r="A277" s="6">
        <f t="shared" si="280"/>
        <v>424.92698302893729</v>
      </c>
      <c r="B277" s="25">
        <f t="shared" ref="B277:C277" si="289">C$4*EXP(-0.5*(LN($A277)-LN(C$5))^2/(LN(C$6))^2)/($A277*SQRT(2*PI())*LN(C$6))</f>
        <v>1.3009401988481615E-2</v>
      </c>
      <c r="C277" s="25">
        <f t="shared" si="289"/>
        <v>0</v>
      </c>
      <c r="D277" s="27">
        <f t="shared" si="282"/>
        <v>1.3009401988481615E-2</v>
      </c>
      <c r="E277" s="27"/>
      <c r="F277" s="26">
        <f t="shared" si="283"/>
        <v>0.19392304479198347</v>
      </c>
      <c r="G277" s="26">
        <f t="shared" si="283"/>
        <v>0</v>
      </c>
      <c r="H277" s="26">
        <f t="shared" si="283"/>
        <v>0.19392304479198347</v>
      </c>
      <c r="I277" s="26">
        <f>IF(F$320=0,0,SUM(F$17:F277)/F$320)</f>
        <v>0.96304329406873312</v>
      </c>
      <c r="J277" s="26">
        <f>IF(G$320=0,0,SUM(G$17:G277)/G$320)</f>
        <v>0</v>
      </c>
      <c r="K277" s="26">
        <f>SUM(H$17:H277)/H$320</f>
        <v>0.96304329406873312</v>
      </c>
      <c r="L277" s="26"/>
      <c r="M277" s="26"/>
      <c r="N277" s="27">
        <f t="shared" si="284"/>
        <v>0.19405105708032444</v>
      </c>
      <c r="O277" s="27">
        <f t="shared" si="285"/>
        <v>0</v>
      </c>
      <c r="P277" s="26">
        <f t="shared" si="286"/>
        <v>0.19405105708032444</v>
      </c>
      <c r="Q277" s="26">
        <f>IF(N$320=0,0,SUM(N$17:N277)/N$320)</f>
        <v>0.96194715164781674</v>
      </c>
      <c r="R277" s="26">
        <f>IF(O$320=0,0,SUM(O$17:O277)/O$320)</f>
        <v>0</v>
      </c>
      <c r="S277" s="26">
        <f>SUM(P$17:P277)/P$320</f>
        <v>0.96194715164781674</v>
      </c>
    </row>
    <row r="278" spans="1:19" x14ac:dyDescent="0.4">
      <c r="A278" s="6">
        <f t="shared" si="280"/>
        <v>439.8333595836537</v>
      </c>
      <c r="B278" s="25">
        <f t="shared" ref="B278:C278" si="290">C$4*EXP(-0.5*(LN($A278)-LN(C$5))^2/(LN(C$6))^2)/($A278*SQRT(2*PI())*LN(C$6))</f>
        <v>1.2122196017157636E-2</v>
      </c>
      <c r="C278" s="25">
        <f t="shared" si="290"/>
        <v>0</v>
      </c>
      <c r="D278" s="27">
        <f t="shared" si="282"/>
        <v>1.2122196017157636E-2</v>
      </c>
      <c r="E278" s="27"/>
      <c r="F278" s="26">
        <f t="shared" si="283"/>
        <v>0.18703687862147647</v>
      </c>
      <c r="G278" s="26">
        <f t="shared" si="283"/>
        <v>0</v>
      </c>
      <c r="H278" s="26">
        <f t="shared" si="283"/>
        <v>0.18703687862147647</v>
      </c>
      <c r="I278" s="26">
        <f>IF(F$320=0,0,SUM(F$17:F278)/F$320)</f>
        <v>0.96489130353470409</v>
      </c>
      <c r="J278" s="26">
        <f>IF(G$320=0,0,SUM(G$17:G278)/G$320)</f>
        <v>0</v>
      </c>
      <c r="K278" s="26">
        <f>SUM(H$17:H278)/H$320</f>
        <v>0.96489130353470409</v>
      </c>
      <c r="L278" s="26"/>
      <c r="M278" s="26"/>
      <c r="N278" s="27">
        <f t="shared" si="284"/>
        <v>0.18720152292773795</v>
      </c>
      <c r="O278" s="27">
        <f t="shared" si="285"/>
        <v>0</v>
      </c>
      <c r="P278" s="26">
        <f t="shared" si="286"/>
        <v>0.18720152292773795</v>
      </c>
      <c r="Q278" s="26">
        <f>IF(N$320=0,0,SUM(N$17:N278)/N$320)</f>
        <v>0.96382857398879895</v>
      </c>
      <c r="R278" s="26">
        <f>IF(O$320=0,0,SUM(O$17:O278)/O$320)</f>
        <v>0</v>
      </c>
      <c r="S278" s="26">
        <f>SUM(P$17:P278)/P$320</f>
        <v>0.96382857398879895</v>
      </c>
    </row>
    <row r="279" spans="1:19" x14ac:dyDescent="0.4">
      <c r="A279" s="6">
        <f t="shared" si="280"/>
        <v>455.26264965261038</v>
      </c>
      <c r="B279" s="25">
        <f t="shared" ref="B279:C279" si="291">C$4*EXP(-0.5*(LN($A279)-LN(C$5))^2/(LN(C$6))^2)/($A279*SQRT(2*PI())*LN(C$6))</f>
        <v>1.1290555993112185E-2</v>
      </c>
      <c r="C279" s="25">
        <f t="shared" si="291"/>
        <v>0</v>
      </c>
      <c r="D279" s="27">
        <f t="shared" si="282"/>
        <v>1.1290555993112185E-2</v>
      </c>
      <c r="E279" s="27"/>
      <c r="F279" s="26">
        <f t="shared" si="283"/>
        <v>0.18031635867769516</v>
      </c>
      <c r="G279" s="26">
        <f t="shared" si="283"/>
        <v>0</v>
      </c>
      <c r="H279" s="26">
        <f t="shared" si="283"/>
        <v>0.18031635867769516</v>
      </c>
      <c r="I279" s="26">
        <f>IF(F$320=0,0,SUM(F$17:F279)/F$320)</f>
        <v>0.96667291120567145</v>
      </c>
      <c r="J279" s="26">
        <f>IF(G$320=0,0,SUM(G$17:G279)/G$320)</f>
        <v>0</v>
      </c>
      <c r="K279" s="26">
        <f>SUM(H$17:H279)/H$320</f>
        <v>0.96667291120567145</v>
      </c>
      <c r="L279" s="26"/>
      <c r="M279" s="26"/>
      <c r="N279" s="27">
        <f t="shared" si="284"/>
        <v>0.18051479680396554</v>
      </c>
      <c r="O279" s="27">
        <f t="shared" si="285"/>
        <v>0</v>
      </c>
      <c r="P279" s="26">
        <f t="shared" si="286"/>
        <v>0.18051479680396554</v>
      </c>
      <c r="Q279" s="26">
        <f>IF(N$320=0,0,SUM(N$17:N279)/N$320)</f>
        <v>0.96564279305215539</v>
      </c>
      <c r="R279" s="26">
        <f>IF(O$320=0,0,SUM(O$17:O279)/O$320)</f>
        <v>0</v>
      </c>
      <c r="S279" s="26">
        <f>SUM(P$17:P279)/P$320</f>
        <v>0.96564279305215539</v>
      </c>
    </row>
    <row r="280" spans="1:19" x14ac:dyDescent="0.4">
      <c r="A280" s="6">
        <f t="shared" si="280"/>
        <v>471.23319696557684</v>
      </c>
      <c r="B280" s="25">
        <f t="shared" ref="B280:C280" si="292">C$4*EXP(-0.5*(LN($A280)-LN(C$5))^2/(LN(C$6))^2)/($A280*SQRT(2*PI())*LN(C$6))</f>
        <v>1.0511372171576121E-2</v>
      </c>
      <c r="C280" s="25">
        <f t="shared" si="292"/>
        <v>0</v>
      </c>
      <c r="D280" s="27">
        <f t="shared" si="282"/>
        <v>1.0511372171576121E-2</v>
      </c>
      <c r="E280" s="27"/>
      <c r="F280" s="26">
        <f t="shared" si="283"/>
        <v>0.17376130471259432</v>
      </c>
      <c r="G280" s="26">
        <f t="shared" si="283"/>
        <v>0</v>
      </c>
      <c r="H280" s="26">
        <f t="shared" si="283"/>
        <v>0.17376130471259432</v>
      </c>
      <c r="I280" s="26">
        <f>IF(F$320=0,0,SUM(F$17:F280)/F$320)</f>
        <v>0.96838975196079458</v>
      </c>
      <c r="J280" s="26">
        <f>IF(G$320=0,0,SUM(G$17:G280)/G$320)</f>
        <v>0</v>
      </c>
      <c r="K280" s="26">
        <f>SUM(H$17:H280)/H$320</f>
        <v>0.96838975196079458</v>
      </c>
      <c r="L280" s="26"/>
      <c r="M280" s="26"/>
      <c r="N280" s="27">
        <f t="shared" si="284"/>
        <v>0.17399080636536501</v>
      </c>
      <c r="O280" s="27">
        <f t="shared" si="285"/>
        <v>0</v>
      </c>
      <c r="P280" s="26">
        <f t="shared" si="286"/>
        <v>0.17399080636536501</v>
      </c>
      <c r="Q280" s="26">
        <f>IF(N$320=0,0,SUM(N$17:N280)/N$320)</f>
        <v>0.96739144437241031</v>
      </c>
      <c r="R280" s="26">
        <f>IF(O$320=0,0,SUM(O$17:O280)/O$320)</f>
        <v>0</v>
      </c>
      <c r="S280" s="26">
        <f>SUM(P$17:P280)/P$320</f>
        <v>0.96739144437241031</v>
      </c>
    </row>
    <row r="281" spans="1:19" x14ac:dyDescent="0.4">
      <c r="A281" s="6">
        <f t="shared" si="280"/>
        <v>487.76398874768722</v>
      </c>
      <c r="B281" s="25">
        <f t="shared" ref="B281:C281" si="293">C$4*EXP(-0.5*(LN($A281)-LN(C$5))^2/(LN(C$6))^2)/($A281*SQRT(2*PI())*LN(C$6))</f>
        <v>9.7816823480333607E-3</v>
      </c>
      <c r="C281" s="25">
        <f t="shared" si="293"/>
        <v>0</v>
      </c>
      <c r="D281" s="27">
        <f t="shared" si="282"/>
        <v>9.7816823480333607E-3</v>
      </c>
      <c r="E281" s="27"/>
      <c r="F281" s="26">
        <f t="shared" si="283"/>
        <v>0.16737132988965231</v>
      </c>
      <c r="G281" s="26">
        <f t="shared" si="283"/>
        <v>0</v>
      </c>
      <c r="H281" s="26">
        <f t="shared" si="283"/>
        <v>0.16737132988965231</v>
      </c>
      <c r="I281" s="26">
        <f>IF(F$320=0,0,SUM(F$17:F281)/F$320)</f>
        <v>0.9700434568571118</v>
      </c>
      <c r="J281" s="26">
        <f>IF(G$320=0,0,SUM(G$17:G281)/G$320)</f>
        <v>0</v>
      </c>
      <c r="K281" s="26">
        <f>SUM(H$17:H281)/H$320</f>
        <v>0.9700434568571118</v>
      </c>
      <c r="L281" s="26"/>
      <c r="M281" s="26"/>
      <c r="N281" s="27">
        <f t="shared" si="284"/>
        <v>0.16762927226612323</v>
      </c>
      <c r="O281" s="27">
        <f t="shared" si="285"/>
        <v>0</v>
      </c>
      <c r="P281" s="26">
        <f t="shared" si="286"/>
        <v>0.16762927226612323</v>
      </c>
      <c r="Q281" s="26">
        <f>IF(N$320=0,0,SUM(N$17:N281)/N$320)</f>
        <v>0.96907616067659252</v>
      </c>
      <c r="R281" s="26">
        <f>IF(O$320=0,0,SUM(O$17:O281)/O$320)</f>
        <v>0</v>
      </c>
      <c r="S281" s="26">
        <f>SUM(P$17:P281)/P$320</f>
        <v>0.96907616067659252</v>
      </c>
    </row>
    <row r="282" spans="1:19" x14ac:dyDescent="0.4">
      <c r="A282" s="6">
        <f t="shared" si="280"/>
        <v>504.87467829316228</v>
      </c>
      <c r="B282" s="25">
        <f t="shared" ref="B282:C282" si="294">C$4*EXP(-0.5*(LN($A282)-LN(C$5))^2/(LN(C$6))^2)/($A282*SQRT(2*PI())*LN(C$6))</f>
        <v>9.0986666772206841E-3</v>
      </c>
      <c r="C282" s="25">
        <f t="shared" si="294"/>
        <v>0</v>
      </c>
      <c r="D282" s="27">
        <f t="shared" si="282"/>
        <v>9.0986666772206841E-3</v>
      </c>
      <c r="E282" s="27"/>
      <c r="F282" s="26">
        <f t="shared" si="283"/>
        <v>0.16114584895709863</v>
      </c>
      <c r="G282" s="26">
        <f t="shared" si="283"/>
        <v>0</v>
      </c>
      <c r="H282" s="26">
        <f t="shared" si="283"/>
        <v>0.16114584895709863</v>
      </c>
      <c r="I282" s="26">
        <f>IF(F$320=0,0,SUM(F$17:F282)/F$320)</f>
        <v>0.97163565116910822</v>
      </c>
      <c r="J282" s="26">
        <f>IF(G$320=0,0,SUM(G$17:G282)/G$320)</f>
        <v>0</v>
      </c>
      <c r="K282" s="26">
        <f>SUM(H$17:H282)/H$320</f>
        <v>0.97163565116910822</v>
      </c>
      <c r="L282" s="26"/>
      <c r="M282" s="26"/>
      <c r="N282" s="27">
        <f t="shared" si="284"/>
        <v>0.16142971611794454</v>
      </c>
      <c r="O282" s="27">
        <f t="shared" si="285"/>
        <v>0</v>
      </c>
      <c r="P282" s="26">
        <f t="shared" si="286"/>
        <v>0.16142971611794454</v>
      </c>
      <c r="Q282" s="26">
        <f>IF(N$320=0,0,SUM(N$17:N282)/N$320)</f>
        <v>0.97069856988380809</v>
      </c>
      <c r="R282" s="26">
        <f>IF(O$320=0,0,SUM(O$17:O282)/O$320)</f>
        <v>0</v>
      </c>
      <c r="S282" s="26">
        <f>SUM(P$17:P282)/P$320</f>
        <v>0.97069856988380809</v>
      </c>
    </row>
    <row r="283" spans="1:19" x14ac:dyDescent="0.4">
      <c r="A283" s="6">
        <f t="shared" si="280"/>
        <v>522.58560833091622</v>
      </c>
      <c r="B283" s="25">
        <f t="shared" ref="B283:C283" si="295">C$4*EXP(-0.5*(LN($A283)-LN(C$5))^2/(LN(C$6))^2)/($A283*SQRT(2*PI())*LN(C$6))</f>
        <v>8.4596425503812873E-3</v>
      </c>
      <c r="C283" s="25">
        <f t="shared" si="295"/>
        <v>0</v>
      </c>
      <c r="D283" s="27">
        <f t="shared" si="282"/>
        <v>8.4596425503812873E-3</v>
      </c>
      <c r="E283" s="27"/>
      <c r="F283" s="26">
        <f t="shared" si="283"/>
        <v>0.1550840865480502</v>
      </c>
      <c r="G283" s="26">
        <f t="shared" si="283"/>
        <v>0</v>
      </c>
      <c r="H283" s="26">
        <f t="shared" si="283"/>
        <v>0.1550840865480502</v>
      </c>
      <c r="I283" s="26">
        <f>IF(F$320=0,0,SUM(F$17:F283)/F$320)</f>
        <v>0.97316795251029053</v>
      </c>
      <c r="J283" s="26">
        <f>IF(G$320=0,0,SUM(G$17:G283)/G$320)</f>
        <v>0</v>
      </c>
      <c r="K283" s="26">
        <f>SUM(H$17:H283)/H$320</f>
        <v>0.97316795251029053</v>
      </c>
      <c r="L283" s="26"/>
      <c r="M283" s="26"/>
      <c r="N283" s="27">
        <f t="shared" si="284"/>
        <v>0.15539146858786212</v>
      </c>
      <c r="O283" s="27">
        <f t="shared" si="285"/>
        <v>0</v>
      </c>
      <c r="P283" s="26">
        <f t="shared" si="286"/>
        <v>0.15539146858786212</v>
      </c>
      <c r="Q283" s="26">
        <f>IF(N$320=0,0,SUM(N$17:N283)/N$320)</f>
        <v>0.97226029318619867</v>
      </c>
      <c r="R283" s="26">
        <f>IF(O$320=0,0,SUM(O$17:O283)/O$320)</f>
        <v>0</v>
      </c>
      <c r="S283" s="26">
        <f>SUM(P$17:P283)/P$320</f>
        <v>0.97226029318619867</v>
      </c>
    </row>
    <row r="284" spans="1:19" x14ac:dyDescent="0.4">
      <c r="A284" s="6">
        <f t="shared" si="280"/>
        <v>540.91783520982381</v>
      </c>
      <c r="B284" s="25">
        <f t="shared" ref="B284:C284" si="296">C$4*EXP(-0.5*(LN($A284)-LN(C$5))^2/(LN(C$6))^2)/($A284*SQRT(2*PI())*LN(C$6))</f>
        <v>7.8620595396939226E-3</v>
      </c>
      <c r="C284" s="25">
        <f t="shared" si="296"/>
        <v>0</v>
      </c>
      <c r="D284" s="27">
        <f t="shared" si="282"/>
        <v>7.8620595396939226E-3</v>
      </c>
      <c r="E284" s="27"/>
      <c r="F284" s="26">
        <f t="shared" si="283"/>
        <v>0.1491850855816198</v>
      </c>
      <c r="G284" s="26">
        <f t="shared" si="283"/>
        <v>0</v>
      </c>
      <c r="H284" s="26">
        <f t="shared" si="283"/>
        <v>0.1491850855816198</v>
      </c>
      <c r="I284" s="26">
        <f>IF(F$320=0,0,SUM(F$17:F284)/F$320)</f>
        <v>0.97464196903777167</v>
      </c>
      <c r="J284" s="26">
        <f>IF(G$320=0,0,SUM(G$17:G284)/G$320)</f>
        <v>0</v>
      </c>
      <c r="K284" s="26">
        <f>SUM(H$17:H284)/H$320</f>
        <v>0.97464196903777167</v>
      </c>
      <c r="L284" s="26"/>
      <c r="M284" s="26"/>
      <c r="N284" s="27">
        <f t="shared" si="284"/>
        <v>0.14951367760765999</v>
      </c>
      <c r="O284" s="27">
        <f t="shared" si="285"/>
        <v>0</v>
      </c>
      <c r="P284" s="26">
        <f t="shared" si="286"/>
        <v>0.14951367760765999</v>
      </c>
      <c r="Q284" s="26">
        <f>IF(N$320=0,0,SUM(N$17:N284)/N$320)</f>
        <v>0.97376294321240631</v>
      </c>
      <c r="R284" s="26">
        <f>IF(O$320=0,0,SUM(O$17:O284)/O$320)</f>
        <v>0</v>
      </c>
      <c r="S284" s="26">
        <f>SUM(P$17:P284)/P$320</f>
        <v>0.97376294321240631</v>
      </c>
    </row>
    <row r="285" spans="1:19" x14ac:dyDescent="0.4">
      <c r="A285" s="6">
        <f t="shared" si="280"/>
        <v>559.89315393240724</v>
      </c>
      <c r="B285" s="25">
        <f t="shared" ref="B285:C285" si="297">C$4*EXP(-0.5*(LN($A285)-LN(C$5))^2/(LN(C$6))^2)/($A285*SQRT(2*PI())*LN(C$6))</f>
        <v>7.3034944179795639E-3</v>
      </c>
      <c r="C285" s="25">
        <f t="shared" si="297"/>
        <v>0</v>
      </c>
      <c r="D285" s="27">
        <f t="shared" si="282"/>
        <v>7.3034944179795639E-3</v>
      </c>
      <c r="E285" s="27"/>
      <c r="F285" s="26">
        <f t="shared" si="283"/>
        <v>0.14344771573947207</v>
      </c>
      <c r="G285" s="26">
        <f t="shared" si="283"/>
        <v>0</v>
      </c>
      <c r="H285" s="26">
        <f t="shared" si="283"/>
        <v>0.14344771573947207</v>
      </c>
      <c r="I285" s="26">
        <f>IF(F$320=0,0,SUM(F$17:F285)/F$320)</f>
        <v>0.9760592977406044</v>
      </c>
      <c r="J285" s="26">
        <f>IF(G$320=0,0,SUM(G$17:G285)/G$320)</f>
        <v>0</v>
      </c>
      <c r="K285" s="26">
        <f>SUM(H$17:H285)/H$320</f>
        <v>0.9760592977406044</v>
      </c>
      <c r="L285" s="26"/>
      <c r="M285" s="26"/>
      <c r="N285" s="27">
        <f t="shared" si="284"/>
        <v>0.143795316670281</v>
      </c>
      <c r="O285" s="27">
        <f t="shared" si="285"/>
        <v>0</v>
      </c>
      <c r="P285" s="26">
        <f t="shared" si="286"/>
        <v>0.143795316670281</v>
      </c>
      <c r="Q285" s="26">
        <f>IF(N$320=0,0,SUM(N$17:N285)/N$320)</f>
        <v>0.97520812227441911</v>
      </c>
      <c r="R285" s="26">
        <f>IF(O$320=0,0,SUM(O$17:O285)/O$320)</f>
        <v>0</v>
      </c>
      <c r="S285" s="26">
        <f>SUM(P$17:P285)/P$320</f>
        <v>0.97520812227441911</v>
      </c>
    </row>
    <row r="286" spans="1:19" x14ac:dyDescent="0.4">
      <c r="A286" s="6">
        <f t="shared" si="280"/>
        <v>579.53412406669474</v>
      </c>
      <c r="B286" s="25">
        <f t="shared" ref="B286:C286" si="298">C$4*EXP(-0.5*(LN($A286)-LN(C$5))^2/(LN(C$6))^2)/($A286*SQRT(2*PI())*LN(C$6))</f>
        <v>6.7816462609988229E-3</v>
      </c>
      <c r="C286" s="25">
        <f t="shared" si="298"/>
        <v>0</v>
      </c>
      <c r="D286" s="27">
        <f t="shared" si="282"/>
        <v>6.7816462609988229E-3</v>
      </c>
      <c r="E286" s="27"/>
      <c r="F286" s="26">
        <f t="shared" si="283"/>
        <v>0.13787068199338159</v>
      </c>
      <c r="G286" s="26">
        <f t="shared" si="283"/>
        <v>0</v>
      </c>
      <c r="H286" s="26">
        <f t="shared" si="283"/>
        <v>0.13787068199338159</v>
      </c>
      <c r="I286" s="26">
        <f>IF(F$320=0,0,SUM(F$17:F286)/F$320)</f>
        <v>0.97742152281237371</v>
      </c>
      <c r="J286" s="26">
        <f>IF(G$320=0,0,SUM(G$17:G286)/G$320)</f>
        <v>0</v>
      </c>
      <c r="K286" s="26">
        <f>SUM(H$17:H286)/H$320</f>
        <v>0.97742152281237371</v>
      </c>
      <c r="L286" s="26"/>
      <c r="M286" s="26"/>
      <c r="N286" s="27">
        <f t="shared" si="284"/>
        <v>0.1382351931880188</v>
      </c>
      <c r="O286" s="27">
        <f t="shared" si="285"/>
        <v>0</v>
      </c>
      <c r="P286" s="26">
        <f t="shared" si="286"/>
        <v>0.1382351931880188</v>
      </c>
      <c r="Q286" s="26">
        <f>IF(N$320=0,0,SUM(N$17:N286)/N$320)</f>
        <v>0.97659742069841937</v>
      </c>
      <c r="R286" s="26">
        <f>IF(O$320=0,0,SUM(O$17:O286)/O$320)</f>
        <v>0</v>
      </c>
      <c r="S286" s="26">
        <f>SUM(P$17:P286)/P$320</f>
        <v>0.97659742069841937</v>
      </c>
    </row>
    <row r="287" spans="1:19" x14ac:dyDescent="0.4">
      <c r="A287" s="6">
        <f t="shared" si="280"/>
        <v>599.86409656707042</v>
      </c>
      <c r="B287" s="25">
        <f t="shared" ref="B287:C287" si="299">C$4*EXP(-0.5*(LN($A287)-LN(C$5))^2/(LN(C$6))^2)/($A287*SQRT(2*PI())*LN(C$6))</f>
        <v>6.2943316388937975E-3</v>
      </c>
      <c r="C287" s="25">
        <f t="shared" si="299"/>
        <v>0</v>
      </c>
      <c r="D287" s="27">
        <f t="shared" si="282"/>
        <v>6.2943316388937975E-3</v>
      </c>
      <c r="E287" s="27"/>
      <c r="F287" s="26">
        <f t="shared" si="283"/>
        <v>0.13245253315970229</v>
      </c>
      <c r="G287" s="26">
        <f t="shared" si="283"/>
        <v>0</v>
      </c>
      <c r="H287" s="26">
        <f t="shared" si="283"/>
        <v>0.13245253315970229</v>
      </c>
      <c r="I287" s="26">
        <f>IF(F$320=0,0,SUM(F$17:F287)/F$320)</f>
        <v>0.97873021410830974</v>
      </c>
      <c r="J287" s="26">
        <f>IF(G$320=0,0,SUM(G$17:G287)/G$320)</f>
        <v>0</v>
      </c>
      <c r="K287" s="26">
        <f>SUM(H$17:H287)/H$320</f>
        <v>0.97873021410830974</v>
      </c>
      <c r="L287" s="26"/>
      <c r="M287" s="26"/>
      <c r="N287" s="27">
        <f t="shared" si="284"/>
        <v>0.13283195688912341</v>
      </c>
      <c r="O287" s="27">
        <f t="shared" si="285"/>
        <v>0</v>
      </c>
      <c r="P287" s="26">
        <f t="shared" si="286"/>
        <v>0.13283195688912341</v>
      </c>
      <c r="Q287" s="26">
        <f>IF(N$320=0,0,SUM(N$17:N287)/N$320)</f>
        <v>0.97793241524001862</v>
      </c>
      <c r="R287" s="26">
        <f>IF(O$320=0,0,SUM(O$17:O287)/O$320)</f>
        <v>0</v>
      </c>
      <c r="S287" s="26">
        <f>SUM(P$17:P287)/P$320</f>
        <v>0.97793241524001862</v>
      </c>
    </row>
    <row r="288" spans="1:19" x14ac:dyDescent="0.4">
      <c r="A288" s="6">
        <f t="shared" si="280"/>
        <v>620.90724153599047</v>
      </c>
      <c r="B288" s="25">
        <f t="shared" ref="B288:C288" si="300">C$4*EXP(-0.5*(LN($A288)-LN(C$5))^2/(LN(C$6))^2)/($A288*SQRT(2*PI())*LN(C$6))</f>
        <v>5.8394799026016981E-3</v>
      </c>
      <c r="C288" s="25">
        <f t="shared" si="300"/>
        <v>0</v>
      </c>
      <c r="D288" s="27">
        <f t="shared" si="282"/>
        <v>5.8394799026016981E-3</v>
      </c>
      <c r="E288" s="27"/>
      <c r="F288" s="26">
        <f t="shared" si="283"/>
        <v>0.12719167045785706</v>
      </c>
      <c r="G288" s="26">
        <f t="shared" si="283"/>
        <v>0</v>
      </c>
      <c r="H288" s="26">
        <f t="shared" si="283"/>
        <v>0.12719167045785706</v>
      </c>
      <c r="I288" s="26">
        <f>IF(F$320=0,0,SUM(F$17:F288)/F$320)</f>
        <v>0.97998692568696311</v>
      </c>
      <c r="J288" s="26">
        <f>IF(G$320=0,0,SUM(G$17:G288)/G$320)</f>
        <v>0</v>
      </c>
      <c r="K288" s="26">
        <f>SUM(H$17:H288)/H$320</f>
        <v>0.97998692568696311</v>
      </c>
      <c r="L288" s="26"/>
      <c r="M288" s="26"/>
      <c r="N288" s="27">
        <f t="shared" si="284"/>
        <v>0.12758410822948374</v>
      </c>
      <c r="O288" s="27">
        <f t="shared" si="285"/>
        <v>0</v>
      </c>
      <c r="P288" s="26">
        <f t="shared" si="286"/>
        <v>0.12758410822948374</v>
      </c>
      <c r="Q288" s="26">
        <f>IF(N$320=0,0,SUM(N$17:N288)/N$320)</f>
        <v>0.97921466758403353</v>
      </c>
      <c r="R288" s="26">
        <f>IF(O$320=0,0,SUM(O$17:O288)/O$320)</f>
        <v>0</v>
      </c>
      <c r="S288" s="26">
        <f>SUM(P$17:P288)/P$320</f>
        <v>0.97921466758403353</v>
      </c>
    </row>
    <row r="289" spans="1:19" x14ac:dyDescent="0.4">
      <c r="A289" s="6">
        <f t="shared" si="280"/>
        <v>642.68857695957649</v>
      </c>
      <c r="B289" s="25">
        <f t="shared" ref="B289:C289" si="301">C$4*EXP(-0.5*(LN($A289)-LN(C$5))^2/(LN(C$6))^2)/($A289*SQRT(2*PI())*LN(C$6))</f>
        <v>5.4151285703718305E-3</v>
      </c>
      <c r="C289" s="25">
        <f t="shared" si="301"/>
        <v>0</v>
      </c>
      <c r="D289" s="27">
        <f t="shared" si="282"/>
        <v>5.4151285703718305E-3</v>
      </c>
      <c r="E289" s="27"/>
      <c r="F289" s="26">
        <f t="shared" si="283"/>
        <v>0.12208635605066116</v>
      </c>
      <c r="G289" s="26">
        <f t="shared" si="283"/>
        <v>0</v>
      </c>
      <c r="H289" s="26">
        <f t="shared" si="283"/>
        <v>0.12208635605066116</v>
      </c>
      <c r="I289" s="26">
        <f>IF(F$320=0,0,SUM(F$17:F289)/F$320)</f>
        <v>0.98119319443626218</v>
      </c>
      <c r="J289" s="26">
        <f>IF(G$320=0,0,SUM(G$17:G289)/G$320)</f>
        <v>0</v>
      </c>
      <c r="K289" s="26">
        <f>SUM(H$17:H289)/H$320</f>
        <v>0.98119319443626218</v>
      </c>
      <c r="L289" s="26"/>
      <c r="M289" s="26"/>
      <c r="N289" s="27">
        <f t="shared" si="284"/>
        <v>0.12249000679718236</v>
      </c>
      <c r="O289" s="27">
        <f t="shared" si="285"/>
        <v>0</v>
      </c>
      <c r="P289" s="26">
        <f t="shared" si="286"/>
        <v>0.12249000679718236</v>
      </c>
      <c r="Q289" s="26">
        <f>IF(N$320=0,0,SUM(N$17:N289)/N$320)</f>
        <v>0.98044572292872878</v>
      </c>
      <c r="R289" s="26">
        <f>IF(O$320=0,0,SUM(O$17:O289)/O$320)</f>
        <v>0</v>
      </c>
      <c r="S289" s="26">
        <f>SUM(P$17:P289)/P$320</f>
        <v>0.98044572292872878</v>
      </c>
    </row>
    <row r="290" spans="1:19" x14ac:dyDescent="0.4">
      <c r="A290" s="6">
        <f t="shared" si="280"/>
        <v>665.23399845125459</v>
      </c>
      <c r="B290" s="25">
        <f t="shared" ref="B290:C290" si="302">C$4*EXP(-0.5*(LN($A290)-LN(C$5))^2/(LN(C$6))^2)/($A290*SQRT(2*PI())*LN(C$6))</f>
        <v>5.0194188188548323E-3</v>
      </c>
      <c r="C290" s="25">
        <f t="shared" si="302"/>
        <v>0</v>
      </c>
      <c r="D290" s="27">
        <f t="shared" si="282"/>
        <v>5.0194188188548323E-3</v>
      </c>
      <c r="E290" s="27"/>
      <c r="F290" s="26">
        <f t="shared" si="283"/>
        <v>0.11713472154512795</v>
      </c>
      <c r="G290" s="26">
        <f t="shared" si="283"/>
        <v>0</v>
      </c>
      <c r="H290" s="26">
        <f t="shared" si="283"/>
        <v>0.11713472154512795</v>
      </c>
      <c r="I290" s="26">
        <f>IF(F$320=0,0,SUM(F$17:F290)/F$320)</f>
        <v>0.9823505387835626</v>
      </c>
      <c r="J290" s="26">
        <f>IF(G$320=0,0,SUM(G$17:G290)/G$320)</f>
        <v>0</v>
      </c>
      <c r="K290" s="26">
        <f>SUM(H$17:H290)/H$320</f>
        <v>0.9823505387835626</v>
      </c>
      <c r="L290" s="26"/>
      <c r="M290" s="26"/>
      <c r="N290" s="27">
        <f t="shared" si="284"/>
        <v>0.11754787968885072</v>
      </c>
      <c r="O290" s="27">
        <f t="shared" si="285"/>
        <v>0</v>
      </c>
      <c r="P290" s="26">
        <f t="shared" si="286"/>
        <v>0.11754787968885072</v>
      </c>
      <c r="Q290" s="26">
        <f>IF(N$320=0,0,SUM(N$17:N290)/N$320)</f>
        <v>0.98162710865424496</v>
      </c>
      <c r="R290" s="26">
        <f>IF(O$320=0,0,SUM(O$17:O290)/O$320)</f>
        <v>0</v>
      </c>
      <c r="S290" s="26">
        <f>SUM(P$17:P290)/P$320</f>
        <v>0.98162710865424496</v>
      </c>
    </row>
    <row r="291" spans="1:19" x14ac:dyDescent="0.4">
      <c r="A291" s="6">
        <f t="shared" si="280"/>
        <v>688.57031003878853</v>
      </c>
      <c r="B291" s="25">
        <f t="shared" ref="B291:C291" si="303">C$4*EXP(-0.5*(LN($A291)-LN(C$5))^2/(LN(C$6))^2)/($A291*SQRT(2*PI())*LN(C$6))</f>
        <v>4.6505910826031014E-3</v>
      </c>
      <c r="C291" s="25">
        <f t="shared" si="303"/>
        <v>0</v>
      </c>
      <c r="D291" s="27">
        <f t="shared" si="282"/>
        <v>4.6505910826031014E-3</v>
      </c>
      <c r="E291" s="27"/>
      <c r="F291" s="26">
        <f t="shared" si="283"/>
        <v>0.1123347764336559</v>
      </c>
      <c r="G291" s="26">
        <f t="shared" si="283"/>
        <v>0</v>
      </c>
      <c r="H291" s="26">
        <f t="shared" si="283"/>
        <v>0.1123347764336559</v>
      </c>
      <c r="I291" s="26">
        <f>IF(F$320=0,0,SUM(F$17:F291)/F$320)</f>
        <v>0.98346045748909905</v>
      </c>
      <c r="J291" s="26">
        <f>IF(G$320=0,0,SUM(G$17:G291)/G$320)</f>
        <v>0</v>
      </c>
      <c r="K291" s="26">
        <f>SUM(H$17:H291)/H$320</f>
        <v>0.98346045748909905</v>
      </c>
      <c r="L291" s="26"/>
      <c r="M291" s="26"/>
      <c r="N291" s="27">
        <f t="shared" si="284"/>
        <v>0.11275582983698573</v>
      </c>
      <c r="O291" s="27">
        <f t="shared" si="285"/>
        <v>0</v>
      </c>
      <c r="P291" s="26">
        <f t="shared" si="286"/>
        <v>0.11275582983698573</v>
      </c>
      <c r="Q291" s="26">
        <f>IF(N$320=0,0,SUM(N$17:N291)/N$320)</f>
        <v>0.98276033307471711</v>
      </c>
      <c r="R291" s="26">
        <f>IF(O$320=0,0,SUM(O$17:O291)/O$320)</f>
        <v>0</v>
      </c>
      <c r="S291" s="26">
        <f>SUM(P$17:P291)/P$320</f>
        <v>0.98276033307471711</v>
      </c>
    </row>
    <row r="292" spans="1:19" x14ac:dyDescent="0.4">
      <c r="A292" s="6">
        <f t="shared" si="280"/>
        <v>712.72525603132635</v>
      </c>
      <c r="B292" s="25">
        <f t="shared" ref="B292:C292" si="304">C$4*EXP(-0.5*(LN($A292)-LN(C$5))^2/(LN(C$6))^2)/($A292*SQRT(2*PI())*LN(C$6))</f>
        <v>4.3069807652231394E-3</v>
      </c>
      <c r="C292" s="25">
        <f t="shared" si="304"/>
        <v>0</v>
      </c>
      <c r="D292" s="27">
        <f t="shared" si="282"/>
        <v>4.3069807652231394E-3</v>
      </c>
      <c r="E292" s="27"/>
      <c r="F292" s="26">
        <f t="shared" si="283"/>
        <v>0.10768441645611369</v>
      </c>
      <c r="G292" s="26">
        <f t="shared" si="283"/>
        <v>0</v>
      </c>
      <c r="H292" s="26">
        <f t="shared" si="283"/>
        <v>0.10768441645611369</v>
      </c>
      <c r="I292" s="26">
        <f>IF(F$320=0,0,SUM(F$17:F292)/F$320)</f>
        <v>0.98452442852205879</v>
      </c>
      <c r="J292" s="26">
        <f>IF(G$320=0,0,SUM(G$17:G292)/G$320)</f>
        <v>0</v>
      </c>
      <c r="K292" s="26">
        <f>SUM(H$17:H292)/H$320</f>
        <v>0.98452442852205879</v>
      </c>
      <c r="L292" s="26"/>
      <c r="M292" s="26"/>
      <c r="N292" s="27">
        <f t="shared" si="284"/>
        <v>0.10811184426915421</v>
      </c>
      <c r="O292" s="27">
        <f t="shared" si="285"/>
        <v>0</v>
      </c>
      <c r="P292" s="26">
        <f t="shared" si="286"/>
        <v>0.10811184426915421</v>
      </c>
      <c r="Q292" s="26">
        <f>IF(N$320=0,0,SUM(N$17:N292)/N$320)</f>
        <v>0.98384688427340217</v>
      </c>
      <c r="R292" s="26">
        <f>IF(O$320=0,0,SUM(O$17:O292)/O$320)</f>
        <v>0</v>
      </c>
      <c r="S292" s="26">
        <f>SUM(P$17:P292)/P$320</f>
        <v>0.98384688427340217</v>
      </c>
    </row>
    <row r="293" spans="1:19" x14ac:dyDescent="0.4">
      <c r="A293" s="6">
        <f t="shared" si="280"/>
        <v>737.72755400433221</v>
      </c>
      <c r="B293" s="25">
        <f t="shared" ref="B293:C293" si="305">C$4*EXP(-0.5*(LN($A293)-LN(C$5))^2/(LN(C$6))^2)/($A293*SQRT(2*PI())*LN(C$6))</f>
        <v>3.9870140648559614E-3</v>
      </c>
      <c r="C293" s="25">
        <f t="shared" si="305"/>
        <v>0</v>
      </c>
      <c r="D293" s="27">
        <f t="shared" si="282"/>
        <v>3.9870140648559614E-3</v>
      </c>
      <c r="E293" s="27"/>
      <c r="F293" s="26">
        <f t="shared" si="283"/>
        <v>0.10318143186466644</v>
      </c>
      <c r="G293" s="26">
        <f t="shared" si="283"/>
        <v>0</v>
      </c>
      <c r="H293" s="26">
        <f t="shared" si="283"/>
        <v>0.10318143186466644</v>
      </c>
      <c r="I293" s="26">
        <f>IF(F$320=0,0,SUM(F$17:F293)/F$320)</f>
        <v>0.98554390801831504</v>
      </c>
      <c r="J293" s="26">
        <f>IF(G$320=0,0,SUM(G$17:G293)/G$320)</f>
        <v>0</v>
      </c>
      <c r="K293" s="26">
        <f>SUM(H$17:H293)/H$320</f>
        <v>0.98554390801831504</v>
      </c>
      <c r="L293" s="26"/>
      <c r="M293" s="26"/>
      <c r="N293" s="27">
        <f t="shared" si="284"/>
        <v>0.10361380228042227</v>
      </c>
      <c r="O293" s="27">
        <f t="shared" si="285"/>
        <v>0</v>
      </c>
      <c r="P293" s="26">
        <f t="shared" si="286"/>
        <v>0.10361380228042227</v>
      </c>
      <c r="Q293" s="26">
        <f>IF(N$320=0,0,SUM(N$17:N293)/N$320)</f>
        <v>0.984888229019939</v>
      </c>
      <c r="R293" s="26">
        <f>IF(O$320=0,0,SUM(O$17:O293)/O$320)</f>
        <v>0</v>
      </c>
      <c r="S293" s="26">
        <f>SUM(P$17:P293)/P$320</f>
        <v>0.984888229019939</v>
      </c>
    </row>
    <row r="294" spans="1:19" x14ac:dyDescent="0.4">
      <c r="A294" s="6">
        <f t="shared" si="280"/>
        <v>763.6069289416248</v>
      </c>
      <c r="B294" s="25">
        <f t="shared" ref="B294:C294" si="306">C$4*EXP(-0.5*(LN($A294)-LN(C$5))^2/(LN(C$6))^2)/($A294*SQRT(2*PI())*LN(C$6))</f>
        <v>3.6892039161284173E-3</v>
      </c>
      <c r="C294" s="25">
        <f t="shared" si="306"/>
        <v>0</v>
      </c>
      <c r="D294" s="27">
        <f t="shared" si="282"/>
        <v>3.6892039161284173E-3</v>
      </c>
      <c r="E294" s="27"/>
      <c r="F294" s="26">
        <f t="shared" si="283"/>
        <v>9.8823515574080728E-2</v>
      </c>
      <c r="G294" s="26">
        <f t="shared" si="283"/>
        <v>0</v>
      </c>
      <c r="H294" s="26">
        <f t="shared" si="283"/>
        <v>9.8823515574080728E-2</v>
      </c>
      <c r="I294" s="26">
        <f>IF(F$320=0,0,SUM(F$17:F294)/F$320)</f>
        <v>0.98652032931868883</v>
      </c>
      <c r="J294" s="26">
        <f>IF(G$320=0,0,SUM(G$17:G294)/G$320)</f>
        <v>0</v>
      </c>
      <c r="K294" s="26">
        <f>SUM(H$17:H294)/H$320</f>
        <v>0.98652032931868883</v>
      </c>
      <c r="L294" s="26"/>
      <c r="M294" s="26"/>
      <c r="N294" s="27">
        <f t="shared" si="284"/>
        <v>9.9259483501590307E-2</v>
      </c>
      <c r="O294" s="27">
        <f t="shared" si="285"/>
        <v>0</v>
      </c>
      <c r="P294" s="26">
        <f t="shared" si="286"/>
        <v>9.9259483501590307E-2</v>
      </c>
      <c r="Q294" s="26">
        <f>IF(N$320=0,0,SUM(N$17:N294)/N$320)</f>
        <v>0.98588581176869872</v>
      </c>
      <c r="R294" s="26">
        <f>IF(O$320=0,0,SUM(O$17:O294)/O$320)</f>
        <v>0</v>
      </c>
      <c r="S294" s="26">
        <f>SUM(P$17:P294)/P$320</f>
        <v>0.98588581176869872</v>
      </c>
    </row>
    <row r="295" spans="1:19" x14ac:dyDescent="0.4">
      <c r="A295" s="6">
        <f t="shared" si="280"/>
        <v>790.39414857511952</v>
      </c>
      <c r="B295" s="25">
        <f t="shared" ref="B295:C295" si="307">C$4*EXP(-0.5*(LN($A295)-LN(C$5))^2/(LN(C$6))^2)/($A295*SQRT(2*PI())*LN(C$6))</f>
        <v>3.4121460502174301E-3</v>
      </c>
      <c r="C295" s="25">
        <f t="shared" si="307"/>
        <v>0</v>
      </c>
      <c r="D295" s="27">
        <f t="shared" si="282"/>
        <v>3.4121460502174301E-3</v>
      </c>
      <c r="E295" s="27"/>
      <c r="F295" s="26">
        <f t="shared" si="283"/>
        <v>9.4608271181241349E-2</v>
      </c>
      <c r="G295" s="26">
        <f t="shared" si="283"/>
        <v>0</v>
      </c>
      <c r="H295" s="26">
        <f t="shared" si="283"/>
        <v>9.4608271181241349E-2</v>
      </c>
      <c r="I295" s="26">
        <f>IF(F$320=0,0,SUM(F$17:F295)/F$320)</f>
        <v>0.98745510208644827</v>
      </c>
      <c r="J295" s="26">
        <f>IF(G$320=0,0,SUM(G$17:G295)/G$320)</f>
        <v>0</v>
      </c>
      <c r="K295" s="26">
        <f>SUM(H$17:H295)/H$320</f>
        <v>0.98745510208644827</v>
      </c>
      <c r="L295" s="26"/>
      <c r="M295" s="26"/>
      <c r="N295" s="27">
        <f t="shared" si="284"/>
        <v>9.5046575846846615E-2</v>
      </c>
      <c r="O295" s="27">
        <f t="shared" si="285"/>
        <v>0</v>
      </c>
      <c r="P295" s="26">
        <f t="shared" si="286"/>
        <v>9.5046575846846615E-2</v>
      </c>
      <c r="Q295" s="26">
        <f>IF(N$320=0,0,SUM(N$17:N295)/N$320)</f>
        <v>0.9868410537370087</v>
      </c>
      <c r="R295" s="26">
        <f>IF(O$320=0,0,SUM(O$17:O295)/O$320)</f>
        <v>0</v>
      </c>
      <c r="S295" s="26">
        <f>SUM(P$17:P295)/P$320</f>
        <v>0.9868410537370087</v>
      </c>
    </row>
    <row r="296" spans="1:19" x14ac:dyDescent="0.4">
      <c r="A296" s="6">
        <f t="shared" si="280"/>
        <v>818.1210599642767</v>
      </c>
      <c r="B296" s="25">
        <f t="shared" ref="B296:C296" si="308">C$4*EXP(-0.5*(LN($A296)-LN(C$5))^2/(LN(C$6))^2)/($A296*SQRT(2*PI())*LN(C$6))</f>
        <v>3.1545151741998647E-3</v>
      </c>
      <c r="C296" s="25">
        <f t="shared" si="308"/>
        <v>0</v>
      </c>
      <c r="D296" s="27">
        <f t="shared" si="282"/>
        <v>3.1545151741998647E-3</v>
      </c>
      <c r="E296" s="27"/>
      <c r="F296" s="26">
        <f t="shared" si="283"/>
        <v>9.0533220838854969E-2</v>
      </c>
      <c r="G296" s="26">
        <f t="shared" si="283"/>
        <v>0</v>
      </c>
      <c r="H296" s="26">
        <f t="shared" si="283"/>
        <v>9.0533220838854969E-2</v>
      </c>
      <c r="I296" s="26">
        <f>IF(F$320=0,0,SUM(F$17:F296)/F$320)</f>
        <v>0.9883496115026027</v>
      </c>
      <c r="J296" s="26">
        <f>IF(G$320=0,0,SUM(G$17:G296)/G$320)</f>
        <v>0</v>
      </c>
      <c r="K296" s="26">
        <f>SUM(H$17:H296)/H$320</f>
        <v>0.9883496115026027</v>
      </c>
      <c r="L296" s="26"/>
      <c r="M296" s="26"/>
      <c r="N296" s="27">
        <f t="shared" si="284"/>
        <v>9.0972683325285519E-2</v>
      </c>
      <c r="O296" s="27">
        <f t="shared" si="285"/>
        <v>0</v>
      </c>
      <c r="P296" s="26">
        <f t="shared" si="286"/>
        <v>9.0972683325285519E-2</v>
      </c>
      <c r="Q296" s="26">
        <f>IF(N$320=0,0,SUM(N$17:N296)/N$320)</f>
        <v>0.98775535206188603</v>
      </c>
      <c r="R296" s="26">
        <f>IF(O$320=0,0,SUM(O$17:O296)/O$320)</f>
        <v>0</v>
      </c>
      <c r="S296" s="26">
        <f>SUM(P$17:P296)/P$320</f>
        <v>0.98775535206188603</v>
      </c>
    </row>
    <row r="297" spans="1:19" x14ac:dyDescent="0.4">
      <c r="A297" s="6">
        <f t="shared" si="280"/>
        <v>846.82062735875547</v>
      </c>
      <c r="B297" s="25">
        <f t="shared" ref="B297:C297" si="309">C$4*EXP(-0.5*(LN($A297)-LN(C$5))^2/(LN(C$6))^2)/($A297*SQRT(2*PI())*LN(C$6))</f>
        <v>2.9150612704219236E-3</v>
      </c>
      <c r="C297" s="25">
        <f t="shared" si="309"/>
        <v>0</v>
      </c>
      <c r="D297" s="27">
        <f t="shared" si="282"/>
        <v>2.9150612704219236E-3</v>
      </c>
      <c r="E297" s="27"/>
      <c r="F297" s="26">
        <f t="shared" si="283"/>
        <v>8.6595812969213856E-2</v>
      </c>
      <c r="G297" s="26">
        <f t="shared" si="283"/>
        <v>0</v>
      </c>
      <c r="H297" s="26">
        <f t="shared" si="283"/>
        <v>8.6595812969213856E-2</v>
      </c>
      <c r="I297" s="26">
        <f>IF(F$320=0,0,SUM(F$17:F297)/F$320)</f>
        <v>0.98920521753741264</v>
      </c>
      <c r="J297" s="26">
        <f>IF(G$320=0,0,SUM(G$17:G297)/G$320)</f>
        <v>0</v>
      </c>
      <c r="K297" s="26">
        <f>SUM(H$17:H297)/H$320</f>
        <v>0.98920521753741264</v>
      </c>
      <c r="L297" s="26"/>
      <c r="M297" s="26"/>
      <c r="N297" s="27">
        <f t="shared" si="284"/>
        <v>8.7035333702278894E-2</v>
      </c>
      <c r="O297" s="27">
        <f t="shared" si="285"/>
        <v>0</v>
      </c>
      <c r="P297" s="26">
        <f t="shared" si="286"/>
        <v>8.7035333702278894E-2</v>
      </c>
      <c r="Q297" s="26">
        <f>IF(N$320=0,0,SUM(N$17:N297)/N$320)</f>
        <v>0.98863007903376821</v>
      </c>
      <c r="R297" s="26">
        <f>IF(O$320=0,0,SUM(O$17:O297)/O$320)</f>
        <v>0</v>
      </c>
      <c r="S297" s="26">
        <f>SUM(P$17:P297)/P$320</f>
        <v>0.98863007903376821</v>
      </c>
    </row>
    <row r="298" spans="1:19" x14ac:dyDescent="0.4">
      <c r="A298" s="6">
        <f t="shared" si="280"/>
        <v>876.52697138928079</v>
      </c>
      <c r="B298" s="25">
        <f t="shared" ref="B298:C298" si="310">C$4*EXP(-0.5*(LN($A298)-LN(C$5))^2/(LN(C$6))^2)/($A298*SQRT(2*PI())*LN(C$6))</f>
        <v>2.692606016213846E-3</v>
      </c>
      <c r="C298" s="25">
        <f t="shared" si="310"/>
        <v>0</v>
      </c>
      <c r="D298" s="27">
        <f t="shared" si="282"/>
        <v>2.692606016213846E-3</v>
      </c>
      <c r="E298" s="27"/>
      <c r="F298" s="26">
        <f t="shared" si="283"/>
        <v>8.2793429805098281E-2</v>
      </c>
      <c r="G298" s="26">
        <f t="shared" si="283"/>
        <v>0</v>
      </c>
      <c r="H298" s="26">
        <f t="shared" si="283"/>
        <v>8.2793429805098281E-2</v>
      </c>
      <c r="I298" s="26">
        <f>IF(F$320=0,0,SUM(F$17:F298)/F$320)</f>
        <v>0.99002325429640747</v>
      </c>
      <c r="J298" s="26">
        <f>IF(G$320=0,0,SUM(G$17:G298)/G$320)</f>
        <v>0</v>
      </c>
      <c r="K298" s="26">
        <f>SUM(H$17:H298)/H$320</f>
        <v>0.99002325429640747</v>
      </c>
      <c r="L298" s="26"/>
      <c r="M298" s="26"/>
      <c r="N298" s="27">
        <f t="shared" si="284"/>
        <v>8.3231985996956581E-2</v>
      </c>
      <c r="O298" s="27">
        <f t="shared" si="285"/>
        <v>0</v>
      </c>
      <c r="P298" s="26">
        <f t="shared" si="286"/>
        <v>8.3231985996956581E-2</v>
      </c>
      <c r="Q298" s="26">
        <f>IF(N$320=0,0,SUM(N$17:N298)/N$320)</f>
        <v>0.98946658140559696</v>
      </c>
      <c r="R298" s="26">
        <f>IF(O$320=0,0,SUM(O$17:O298)/O$320)</f>
        <v>0</v>
      </c>
      <c r="S298" s="26">
        <f>SUM(P$17:P298)/P$320</f>
        <v>0.98946658140559696</v>
      </c>
    </row>
    <row r="299" spans="1:19" x14ac:dyDescent="0.4">
      <c r="A299" s="6">
        <f t="shared" si="280"/>
        <v>907.27540963332683</v>
      </c>
      <c r="B299" s="25">
        <f t="shared" ref="B299:C299" si="311">C$4*EXP(-0.5*(LN($A299)-LN(C$5))^2/(LN(C$6))^2)/($A299*SQRT(2*PI())*LN(C$6))</f>
        <v>2.486039323896906E-3</v>
      </c>
      <c r="C299" s="25">
        <f t="shared" si="311"/>
        <v>0</v>
      </c>
      <c r="D299" s="27">
        <f t="shared" si="282"/>
        <v>2.486039323896906E-3</v>
      </c>
      <c r="E299" s="27"/>
      <c r="F299" s="26">
        <f t="shared" si="283"/>
        <v>7.9123394745833228E-2</v>
      </c>
      <c r="G299" s="26">
        <f t="shared" si="283"/>
        <v>0</v>
      </c>
      <c r="H299" s="26">
        <f t="shared" si="283"/>
        <v>7.9123394745833228E-2</v>
      </c>
      <c r="I299" s="26">
        <f>IF(F$320=0,0,SUM(F$17:F299)/F$320)</f>
        <v>0.99080502943908388</v>
      </c>
      <c r="J299" s="26">
        <f>IF(G$320=0,0,SUM(G$17:G299)/G$320)</f>
        <v>0</v>
      </c>
      <c r="K299" s="26">
        <f>SUM(H$17:H299)/H$320</f>
        <v>0.99080502943908388</v>
      </c>
      <c r="L299" s="26"/>
      <c r="M299" s="26"/>
      <c r="N299" s="27">
        <f t="shared" si="284"/>
        <v>7.956003780409393E-2</v>
      </c>
      <c r="O299" s="27">
        <f t="shared" si="285"/>
        <v>0</v>
      </c>
      <c r="P299" s="26">
        <f t="shared" si="286"/>
        <v>7.956003780409393E-2</v>
      </c>
      <c r="Q299" s="26">
        <f>IF(N$320=0,0,SUM(N$17:N299)/N$320)</f>
        <v>0.99026617977548737</v>
      </c>
      <c r="R299" s="26">
        <f>IF(O$320=0,0,SUM(O$17:O299)/O$320)</f>
        <v>0</v>
      </c>
      <c r="S299" s="26">
        <f>SUM(P$17:P299)/P$320</f>
        <v>0.99026617977548737</v>
      </c>
    </row>
    <row r="300" spans="1:19" x14ac:dyDescent="0.4">
      <c r="A300" s="6">
        <f t="shared" si="280"/>
        <v>939.10249860382874</v>
      </c>
      <c r="B300" s="25">
        <f t="shared" ref="B300:C300" si="312">C$4*EXP(-0.5*(LN($A300)-LN(C$5))^2/(LN(C$6))^2)/($A300*SQRT(2*PI())*LN(C$6))</f>
        <v>2.2943160006798566E-3</v>
      </c>
      <c r="C300" s="25">
        <f t="shared" si="312"/>
        <v>0</v>
      </c>
      <c r="D300" s="27">
        <f t="shared" si="282"/>
        <v>2.2943160006798566E-3</v>
      </c>
      <c r="E300" s="27"/>
      <c r="F300" s="26">
        <f t="shared" si="283"/>
        <v>7.5582979517773374E-2</v>
      </c>
      <c r="G300" s="26">
        <f t="shared" si="283"/>
        <v>0</v>
      </c>
      <c r="H300" s="26">
        <f t="shared" si="283"/>
        <v>7.5582979517773374E-2</v>
      </c>
      <c r="I300" s="26">
        <f>IF(F$320=0,0,SUM(F$17:F300)/F$320)</f>
        <v>0.9915518236683537</v>
      </c>
      <c r="J300" s="26">
        <f>IF(G$320=0,0,SUM(G$17:G300)/G$320)</f>
        <v>0</v>
      </c>
      <c r="K300" s="26">
        <f>SUM(H$17:H300)/H$320</f>
        <v>0.9915518236683537</v>
      </c>
      <c r="L300" s="26"/>
      <c r="M300" s="26"/>
      <c r="N300" s="27">
        <f t="shared" si="284"/>
        <v>7.6016832428693615E-2</v>
      </c>
      <c r="O300" s="27">
        <f t="shared" si="285"/>
        <v>0</v>
      </c>
      <c r="P300" s="26">
        <f t="shared" si="286"/>
        <v>7.6016832428693615E-2</v>
      </c>
      <c r="Q300" s="26">
        <f>IF(N$320=0,0,SUM(N$17:N300)/N$320)</f>
        <v>0.99103016804110233</v>
      </c>
      <c r="R300" s="26">
        <f>IF(O$320=0,0,SUM(O$17:O300)/O$320)</f>
        <v>0</v>
      </c>
      <c r="S300" s="26">
        <f>SUM(P$17:P300)/P$320</f>
        <v>0.99103016804110233</v>
      </c>
    </row>
    <row r="301" spans="1:19" x14ac:dyDescent="0.4">
      <c r="A301" s="6">
        <f t="shared" si="280"/>
        <v>972.04607721086302</v>
      </c>
      <c r="B301" s="25">
        <f t="shared" ref="B301:C301" si="313">C$4*EXP(-0.5*(LN($A301)-LN(C$5))^2/(LN(C$6))^2)/($A301*SQRT(2*PI())*LN(C$6))</f>
        <v>2.1164525277197204E-3</v>
      </c>
      <c r="C301" s="25">
        <f t="shared" si="313"/>
        <v>0</v>
      </c>
      <c r="D301" s="27">
        <f t="shared" si="282"/>
        <v>2.1164525277197204E-3</v>
      </c>
      <c r="E301" s="27"/>
      <c r="F301" s="26">
        <f t="shared" si="283"/>
        <v>7.2169411129325123E-2</v>
      </c>
      <c r="G301" s="26">
        <f t="shared" si="283"/>
        <v>0</v>
      </c>
      <c r="H301" s="26">
        <f t="shared" si="283"/>
        <v>7.2169411129325123E-2</v>
      </c>
      <c r="I301" s="26">
        <f>IF(F$320=0,0,SUM(F$17:F301)/F$320)</f>
        <v>0.99226489028870968</v>
      </c>
      <c r="J301" s="26">
        <f>IF(G$320=0,0,SUM(G$17:G301)/G$320)</f>
        <v>0</v>
      </c>
      <c r="K301" s="26">
        <f>SUM(H$17:H301)/H$320</f>
        <v>0.99226489028870968</v>
      </c>
      <c r="L301" s="26"/>
      <c r="M301" s="26"/>
      <c r="N301" s="27">
        <f t="shared" si="284"/>
        <v>7.2599665823602777E-2</v>
      </c>
      <c r="O301" s="27">
        <f t="shared" si="285"/>
        <v>0</v>
      </c>
      <c r="P301" s="26">
        <f t="shared" si="286"/>
        <v>7.2599665823602777E-2</v>
      </c>
      <c r="Q301" s="26">
        <f>IF(N$320=0,0,SUM(N$17:N301)/N$320)</f>
        <v>0.9917598129237517</v>
      </c>
      <c r="R301" s="26">
        <f>IF(O$320=0,0,SUM(O$17:O301)/O$320)</f>
        <v>0</v>
      </c>
      <c r="S301" s="26">
        <f>SUM(P$17:P301)/P$320</f>
        <v>0.9917598129237517</v>
      </c>
    </row>
    <row r="302" spans="1:19" x14ac:dyDescent="0.4">
      <c r="A302" s="6">
        <f t="shared" si="280"/>
        <v>1006.1453117479499</v>
      </c>
      <c r="B302" s="25">
        <f t="shared" ref="B302:C302" si="314">C$4*EXP(-0.5*(LN($A302)-LN(C$5))^2/(LN(C$6))^2)/($A302*SQRT(2*PI())*LN(C$6))</f>
        <v>1.9515239573270466E-3</v>
      </c>
      <c r="C302" s="25">
        <f t="shared" si="314"/>
        <v>0</v>
      </c>
      <c r="D302" s="27">
        <f t="shared" si="282"/>
        <v>1.9515239573270466E-3</v>
      </c>
      <c r="E302" s="27"/>
      <c r="F302" s="26">
        <f t="shared" si="283"/>
        <v>6.8879878611851353E-2</v>
      </c>
      <c r="G302" s="26">
        <f t="shared" si="283"/>
        <v>0</v>
      </c>
      <c r="H302" s="26">
        <f t="shared" si="283"/>
        <v>6.8879878611851353E-2</v>
      </c>
      <c r="I302" s="26">
        <f>IF(F$320=0,0,SUM(F$17:F302)/F$320)</f>
        <v>0.99294545483099572</v>
      </c>
      <c r="J302" s="26">
        <f>IF(G$320=0,0,SUM(G$17:G302)/G$320)</f>
        <v>0</v>
      </c>
      <c r="K302" s="26">
        <f>SUM(H$17:H302)/H$320</f>
        <v>0.99294545483099572</v>
      </c>
      <c r="L302" s="26"/>
      <c r="M302" s="26"/>
      <c r="N302" s="27">
        <f t="shared" si="284"/>
        <v>6.9305793320728615E-2</v>
      </c>
      <c r="O302" s="27">
        <f t="shared" si="285"/>
        <v>0</v>
      </c>
      <c r="P302" s="26">
        <f t="shared" si="286"/>
        <v>6.9305793320728615E-2</v>
      </c>
      <c r="Q302" s="26">
        <f>IF(N$320=0,0,SUM(N$17:N302)/N$320)</f>
        <v>0.99245635356014084</v>
      </c>
      <c r="R302" s="26">
        <f>IF(O$320=0,0,SUM(O$17:O302)/O$320)</f>
        <v>0</v>
      </c>
      <c r="S302" s="26">
        <f>SUM(P$17:P302)/P$320</f>
        <v>0.99245635356014084</v>
      </c>
    </row>
    <row r="303" spans="1:19" x14ac:dyDescent="0.4">
      <c r="A303" s="6">
        <f t="shared" si="280"/>
        <v>1041.4407424564688</v>
      </c>
      <c r="B303" s="25">
        <f t="shared" ref="B303:C303" si="315">C$4*EXP(-0.5*(LN($A303)-LN(C$5))^2/(LN(C$6))^2)/($A303*SQRT(2*PI())*LN(C$6))</f>
        <v>1.7986609270265769E-3</v>
      </c>
      <c r="C303" s="25">
        <f t="shared" si="315"/>
        <v>0</v>
      </c>
      <c r="D303" s="27">
        <f t="shared" si="282"/>
        <v>1.7986609270265769E-3</v>
      </c>
      <c r="E303" s="27"/>
      <c r="F303" s="26">
        <f t="shared" si="283"/>
        <v>6.5711539538738109E-2</v>
      </c>
      <c r="G303" s="26">
        <f t="shared" si="283"/>
        <v>0</v>
      </c>
      <c r="H303" s="26">
        <f t="shared" si="283"/>
        <v>6.5711539538738109E-2</v>
      </c>
      <c r="I303" s="26">
        <f>IF(F$320=0,0,SUM(F$17:F303)/F$320)</f>
        <v>0.99359471474158734</v>
      </c>
      <c r="J303" s="26">
        <f>IF(G$320=0,0,SUM(G$17:G303)/G$320)</f>
        <v>0</v>
      </c>
      <c r="K303" s="26">
        <f>SUM(H$17:H303)/H$320</f>
        <v>0.99359471474158734</v>
      </c>
      <c r="L303" s="26"/>
      <c r="M303" s="26"/>
      <c r="N303" s="27">
        <f t="shared" si="284"/>
        <v>6.6132436148036433E-2</v>
      </c>
      <c r="O303" s="27">
        <f t="shared" si="285"/>
        <v>0</v>
      </c>
      <c r="P303" s="26">
        <f t="shared" si="286"/>
        <v>6.6132436148036433E-2</v>
      </c>
      <c r="Q303" s="26">
        <f>IF(N$320=0,0,SUM(N$17:N303)/N$320)</f>
        <v>0.99312100115961865</v>
      </c>
      <c r="R303" s="26">
        <f>IF(O$320=0,0,SUM(O$17:O303)/O$320)</f>
        <v>0</v>
      </c>
      <c r="S303" s="26">
        <f>SUM(P$17:P303)/P$320</f>
        <v>0.99312100115961865</v>
      </c>
    </row>
    <row r="304" spans="1:19" x14ac:dyDescent="0.4">
      <c r="A304" s="6">
        <f t="shared" si="280"/>
        <v>1077.9743317235509</v>
      </c>
      <c r="B304" s="25">
        <f t="shared" ref="B304:C304" si="316">C$4*EXP(-0.5*(LN($A304)-LN(C$5))^2/(LN(C$6))^2)/($A304*SQRT(2*PI())*LN(C$6))</f>
        <v>1.657046788940417E-3</v>
      </c>
      <c r="C304" s="25">
        <f t="shared" si="316"/>
        <v>0</v>
      </c>
      <c r="D304" s="27">
        <f t="shared" si="282"/>
        <v>1.657046788940417E-3</v>
      </c>
      <c r="E304" s="27"/>
      <c r="F304" s="26">
        <f t="shared" si="283"/>
        <v>6.2661526315911181E-2</v>
      </c>
      <c r="G304" s="26">
        <f t="shared" si="283"/>
        <v>0</v>
      </c>
      <c r="H304" s="26">
        <f t="shared" si="283"/>
        <v>6.2661526315911181E-2</v>
      </c>
      <c r="I304" s="26">
        <f>IF(F$320=0,0,SUM(F$17:F304)/F$320)</f>
        <v>0.99421383913372574</v>
      </c>
      <c r="J304" s="26">
        <f>IF(G$320=0,0,SUM(G$17:G304)/G$320)</f>
        <v>0</v>
      </c>
      <c r="K304" s="26">
        <f>SUM(H$17:H304)/H$320</f>
        <v>0.99421383913372574</v>
      </c>
      <c r="L304" s="26"/>
      <c r="M304" s="26"/>
      <c r="N304" s="27">
        <f t="shared" si="284"/>
        <v>6.3076787724947181E-2</v>
      </c>
      <c r="O304" s="27">
        <f t="shared" si="285"/>
        <v>0</v>
      </c>
      <c r="P304" s="26">
        <f t="shared" si="286"/>
        <v>6.3076787724947181E-2</v>
      </c>
      <c r="Q304" s="26">
        <f>IF(N$320=0,0,SUM(N$17:N304)/N$320)</f>
        <v>0.99375493872469345</v>
      </c>
      <c r="R304" s="26">
        <f>IF(O$320=0,0,SUM(O$17:O304)/O$320)</f>
        <v>0</v>
      </c>
      <c r="S304" s="26">
        <f>SUM(P$17:P304)/P$320</f>
        <v>0.99375493872469345</v>
      </c>
    </row>
    <row r="305" spans="1:19" x14ac:dyDescent="0.4">
      <c r="A305" s="6">
        <f t="shared" si="280"/>
        <v>1115.7895139707459</v>
      </c>
      <c r="B305" s="25">
        <f t="shared" ref="B305:C305" si="317">C$4*EXP(-0.5*(LN($A305)-LN(C$5))^2/(LN(C$6))^2)/($A305*SQRT(2*PI())*LN(C$6))</f>
        <v>1.5259148527409915E-3</v>
      </c>
      <c r="C305" s="25">
        <f t="shared" si="317"/>
        <v>0</v>
      </c>
      <c r="D305" s="27">
        <f t="shared" si="282"/>
        <v>1.5259148527409915E-3</v>
      </c>
      <c r="E305" s="27"/>
      <c r="F305" s="26">
        <f t="shared" si="283"/>
        <v>5.9726952238107284E-2</v>
      </c>
      <c r="G305" s="26">
        <f t="shared" si="283"/>
        <v>0</v>
      </c>
      <c r="H305" s="26">
        <f t="shared" si="283"/>
        <v>5.9726952238107284E-2</v>
      </c>
      <c r="I305" s="26">
        <f>IF(F$320=0,0,SUM(F$17:F305)/F$320)</f>
        <v>0.9948039685986908</v>
      </c>
      <c r="J305" s="26">
        <f>IF(G$320=0,0,SUM(G$17:G305)/G$320)</f>
        <v>0</v>
      </c>
      <c r="K305" s="26">
        <f>SUM(H$17:H305)/H$320</f>
        <v>0.9948039685986908</v>
      </c>
      <c r="L305" s="26"/>
      <c r="M305" s="26"/>
      <c r="N305" s="27">
        <f t="shared" si="284"/>
        <v>6.0136019730516743E-2</v>
      </c>
      <c r="O305" s="27">
        <f t="shared" si="285"/>
        <v>0</v>
      </c>
      <c r="P305" s="26">
        <f t="shared" si="286"/>
        <v>6.0136019730516743E-2</v>
      </c>
      <c r="Q305" s="26">
        <f>IF(N$320=0,0,SUM(N$17:N305)/N$320)</f>
        <v>0.99435932083253797</v>
      </c>
      <c r="R305" s="26">
        <f>IF(O$320=0,0,SUM(O$17:O305)/O$320)</f>
        <v>0</v>
      </c>
      <c r="S305" s="26">
        <f>SUM(P$17:P305)/P$320</f>
        <v>0.99435932083253797</v>
      </c>
    </row>
    <row r="306" spans="1:19" x14ac:dyDescent="0.4">
      <c r="A306" s="6">
        <f t="shared" si="280"/>
        <v>1154.9312472927725</v>
      </c>
      <c r="B306" s="25">
        <f t="shared" ref="B306:C306" si="318">C$4*EXP(-0.5*(LN($A306)-LN(C$5))^2/(LN(C$6))^2)/($A306*SQRT(2*PI())*LN(C$6))</f>
        <v>1.4045457402241815E-3</v>
      </c>
      <c r="C306" s="25">
        <f t="shared" si="318"/>
        <v>0</v>
      </c>
      <c r="D306" s="27">
        <f t="shared" si="282"/>
        <v>1.4045457402241815E-3</v>
      </c>
      <c r="E306" s="27"/>
      <c r="F306" s="26">
        <f t="shared" si="283"/>
        <v>5.6904917306170415E-2</v>
      </c>
      <c r="G306" s="26">
        <f t="shared" si="283"/>
        <v>0</v>
      </c>
      <c r="H306" s="26">
        <f t="shared" si="283"/>
        <v>5.6904917306170415E-2</v>
      </c>
      <c r="I306" s="26">
        <f>IF(F$320=0,0,SUM(F$17:F306)/F$320)</f>
        <v>0.99536621507445089</v>
      </c>
      <c r="J306" s="26">
        <f>IF(G$320=0,0,SUM(G$17:G306)/G$320)</f>
        <v>0</v>
      </c>
      <c r="K306" s="26">
        <f>SUM(H$17:H306)/H$320</f>
        <v>0.99536621507445089</v>
      </c>
      <c r="L306" s="26"/>
      <c r="M306" s="26"/>
      <c r="N306" s="27">
        <f t="shared" si="284"/>
        <v>5.7307287938657137E-2</v>
      </c>
      <c r="O306" s="27">
        <f t="shared" si="285"/>
        <v>0</v>
      </c>
      <c r="P306" s="26">
        <f t="shared" si="286"/>
        <v>5.7307287938657137E-2</v>
      </c>
      <c r="Q306" s="26">
        <f>IF(N$320=0,0,SUM(N$17:N306)/N$320)</f>
        <v>0.99493527347513744</v>
      </c>
      <c r="R306" s="26">
        <f>IF(O$320=0,0,SUM(O$17:O306)/O$320)</f>
        <v>0</v>
      </c>
      <c r="S306" s="26">
        <f>SUM(P$17:P306)/P$320</f>
        <v>0.99493527347513744</v>
      </c>
    </row>
    <row r="307" spans="1:19" x14ac:dyDescent="0.4">
      <c r="A307" s="6">
        <f t="shared" si="280"/>
        <v>1195.4460669077519</v>
      </c>
      <c r="B307" s="25">
        <f t="shared" ref="B307:C307" si="319">C$4*EXP(-0.5*(LN($A307)-LN(C$5))^2/(LN(C$6))^2)/($A307*SQRT(2*PI())*LN(C$6))</f>
        <v>1.2922648493781438E-3</v>
      </c>
      <c r="C307" s="25">
        <f t="shared" si="319"/>
        <v>0</v>
      </c>
      <c r="D307" s="27">
        <f t="shared" si="282"/>
        <v>1.2922648493781438E-3</v>
      </c>
      <c r="E307" s="27"/>
      <c r="F307" s="26">
        <f t="shared" si="283"/>
        <v>5.4192513801535148E-2</v>
      </c>
      <c r="G307" s="26">
        <f t="shared" si="283"/>
        <v>0</v>
      </c>
      <c r="H307" s="26">
        <f t="shared" si="283"/>
        <v>5.4192513801535148E-2</v>
      </c>
      <c r="I307" s="26">
        <f>IF(F$320=0,0,SUM(F$17:F307)/F$320)</f>
        <v>0.99590166176939221</v>
      </c>
      <c r="J307" s="26">
        <f>IF(G$320=0,0,SUM(G$17:G307)/G$320)</f>
        <v>0</v>
      </c>
      <c r="K307" s="26">
        <f>SUM(H$17:H307)/H$320</f>
        <v>0.99590166176939221</v>
      </c>
      <c r="L307" s="26"/>
      <c r="M307" s="26"/>
      <c r="N307" s="27">
        <f t="shared" si="284"/>
        <v>5.4587737816735871E-2</v>
      </c>
      <c r="O307" s="27">
        <f t="shared" si="285"/>
        <v>0</v>
      </c>
      <c r="P307" s="26">
        <f t="shared" si="286"/>
        <v>5.4587737816735871E-2</v>
      </c>
      <c r="Q307" s="26">
        <f>IF(N$320=0,0,SUM(N$17:N307)/N$320)</f>
        <v>0.99548389395570769</v>
      </c>
      <c r="R307" s="26">
        <f>IF(O$320=0,0,SUM(O$17:O307)/O$320)</f>
        <v>0</v>
      </c>
      <c r="S307" s="26">
        <f>SUM(P$17:P307)/P$320</f>
        <v>0.99548389395570769</v>
      </c>
    </row>
    <row r="308" spans="1:19" x14ac:dyDescent="0.4">
      <c r="A308" s="6">
        <f t="shared" si="280"/>
        <v>1237.3821404824632</v>
      </c>
      <c r="B308" s="25">
        <f t="shared" ref="B308:C308" si="320">C$4*EXP(-0.5*(LN($A308)-LN(C$5))^2/(LN(C$6))^2)/($A308*SQRT(2*PI())*LN(C$6))</f>
        <v>1.1884399256693746E-3</v>
      </c>
      <c r="C308" s="25">
        <f t="shared" si="320"/>
        <v>0</v>
      </c>
      <c r="D308" s="27">
        <f t="shared" si="282"/>
        <v>1.1884399256693746E-3</v>
      </c>
      <c r="E308" s="27"/>
      <c r="F308" s="26">
        <f t="shared" si="283"/>
        <v>5.1586831615024885E-2</v>
      </c>
      <c r="G308" s="26">
        <f t="shared" si="283"/>
        <v>0</v>
      </c>
      <c r="H308" s="26">
        <f t="shared" si="283"/>
        <v>5.1586831615024885E-2</v>
      </c>
      <c r="I308" s="26">
        <f>IF(F$320=0,0,SUM(F$17:F308)/F$320)</f>
        <v>0.99641136313869794</v>
      </c>
      <c r="J308" s="26">
        <f>IF(G$320=0,0,SUM(G$17:G308)/G$320)</f>
        <v>0</v>
      </c>
      <c r="K308" s="26">
        <f>SUM(H$17:H308)/H$320</f>
        <v>0.99641136313869794</v>
      </c>
      <c r="L308" s="26"/>
      <c r="M308" s="26"/>
      <c r="N308" s="27">
        <f t="shared" si="284"/>
        <v>5.1974509884022968E-2</v>
      </c>
      <c r="O308" s="27">
        <f t="shared" si="285"/>
        <v>0</v>
      </c>
      <c r="P308" s="26">
        <f t="shared" si="286"/>
        <v>5.1974509884022968E-2</v>
      </c>
      <c r="Q308" s="26">
        <f>IF(N$320=0,0,SUM(N$17:N308)/N$320)</f>
        <v>0.9960062508389641</v>
      </c>
      <c r="R308" s="26">
        <f>IF(O$320=0,0,SUM(O$17:O308)/O$320)</f>
        <v>0</v>
      </c>
      <c r="S308" s="26">
        <f>SUM(P$17:P308)/P$320</f>
        <v>0.9960062508389641</v>
      </c>
    </row>
    <row r="309" spans="1:19" x14ac:dyDescent="0.4">
      <c r="A309" s="6">
        <f t="shared" si="280"/>
        <v>1280.7893253984103</v>
      </c>
      <c r="B309" s="25">
        <f t="shared" ref="B309:C309" si="321">C$4*EXP(-0.5*(LN($A309)-LN(C$5))^2/(LN(C$6))^2)/($A309*SQRT(2*PI())*LN(C$6))</f>
        <v>1.0924787381333678E-3</v>
      </c>
      <c r="C309" s="25">
        <f t="shared" si="321"/>
        <v>0</v>
      </c>
      <c r="D309" s="27">
        <f t="shared" si="282"/>
        <v>1.0924787381333678E-3</v>
      </c>
      <c r="E309" s="27"/>
      <c r="F309" s="26">
        <f t="shared" si="283"/>
        <v>4.9084963327878081E-2</v>
      </c>
      <c r="G309" s="26">
        <f t="shared" si="283"/>
        <v>0</v>
      </c>
      <c r="H309" s="26">
        <f t="shared" si="283"/>
        <v>4.9084963327878081E-2</v>
      </c>
      <c r="I309" s="26">
        <f>IF(F$320=0,0,SUM(F$17:F309)/F$320)</f>
        <v>0.99689634491093071</v>
      </c>
      <c r="J309" s="26">
        <f>IF(G$320=0,0,SUM(G$17:G309)/G$320)</f>
        <v>0</v>
      </c>
      <c r="K309" s="26">
        <f>SUM(H$17:H309)/H$320</f>
        <v>0.99689634491093071</v>
      </c>
      <c r="L309" s="26"/>
      <c r="M309" s="26"/>
      <c r="N309" s="27">
        <f t="shared" si="284"/>
        <v>4.9464744827421026E-2</v>
      </c>
      <c r="O309" s="27">
        <f t="shared" si="285"/>
        <v>0</v>
      </c>
      <c r="P309" s="26">
        <f t="shared" si="286"/>
        <v>4.9464744827421026E-2</v>
      </c>
      <c r="Q309" s="26">
        <f>IF(N$320=0,0,SUM(N$17:N309)/N$320)</f>
        <v>0.99650338395280758</v>
      </c>
      <c r="R309" s="26">
        <f>IF(O$320=0,0,SUM(O$17:O309)/O$320)</f>
        <v>0</v>
      </c>
      <c r="S309" s="26">
        <f>SUM(P$17:P309)/P$320</f>
        <v>0.99650338395280758</v>
      </c>
    </row>
    <row r="310" spans="1:19" x14ac:dyDescent="0.4">
      <c r="A310" s="6">
        <f t="shared" si="280"/>
        <v>1325.7192280267632</v>
      </c>
      <c r="B310" s="25">
        <f t="shared" ref="B310:C310" si="322">C$4*EXP(-0.5*(LN($A310)-LN(C$5))^2/(LN(C$6))^2)/($A310*SQRT(2*PI())*LN(C$6))</f>
        <v>1.0038268577419031E-3</v>
      </c>
      <c r="C310" s="25">
        <f t="shared" si="322"/>
        <v>0</v>
      </c>
      <c r="D310" s="27">
        <f t="shared" si="282"/>
        <v>1.0038268577419031E-3</v>
      </c>
      <c r="E310" s="27"/>
      <c r="F310" s="26">
        <f t="shared" si="283"/>
        <v>4.6684009043852295E-2</v>
      </c>
      <c r="G310" s="26">
        <f t="shared" si="283"/>
        <v>0</v>
      </c>
      <c r="H310" s="26">
        <f t="shared" si="283"/>
        <v>4.6684009043852295E-2</v>
      </c>
      <c r="I310" s="26">
        <f>IF(F$320=0,0,SUM(F$17:F310)/F$320)</f>
        <v>0.99735760416235963</v>
      </c>
      <c r="J310" s="26">
        <f>IF(G$320=0,0,SUM(G$17:G310)/G$320)</f>
        <v>0</v>
      </c>
      <c r="K310" s="26">
        <f>SUM(H$17:H310)/H$320</f>
        <v>0.99735760416235963</v>
      </c>
      <c r="L310" s="26"/>
      <c r="M310" s="26"/>
      <c r="N310" s="27">
        <f t="shared" si="284"/>
        <v>4.7055588373223767E-2</v>
      </c>
      <c r="O310" s="27">
        <f t="shared" si="285"/>
        <v>0</v>
      </c>
      <c r="P310" s="26">
        <f t="shared" si="286"/>
        <v>4.7055588373223767E-2</v>
      </c>
      <c r="Q310" s="26">
        <f>IF(N$320=0,0,SUM(N$17:N310)/N$320)</f>
        <v>0.99697630443897056</v>
      </c>
      <c r="R310" s="26">
        <f>IF(O$320=0,0,SUM(O$17:O310)/O$320)</f>
        <v>0</v>
      </c>
      <c r="S310" s="26">
        <f>SUM(P$17:P310)/P$320</f>
        <v>0.99697630443897056</v>
      </c>
    </row>
    <row r="311" spans="1:19" x14ac:dyDescent="0.4">
      <c r="A311" s="6">
        <f t="shared" si="280"/>
        <v>1372.2252650826629</v>
      </c>
      <c r="B311" s="25">
        <f t="shared" ref="B311:C311" si="323">C$4*EXP(-0.5*(LN($A311)-LN(C$5))^2/(LN(C$6))^2)/($A311*SQRT(2*PI())*LN(C$6))</f>
        <v>9.21965535421234E-4</v>
      </c>
      <c r="C311" s="25">
        <f t="shared" si="323"/>
        <v>0</v>
      </c>
      <c r="D311" s="27">
        <f t="shared" si="282"/>
        <v>9.21965535421234E-4</v>
      </c>
      <c r="E311" s="27"/>
      <c r="F311" s="26">
        <f t="shared" si="283"/>
        <v>4.4381080971970334E-2</v>
      </c>
      <c r="G311" s="26">
        <f t="shared" si="283"/>
        <v>0</v>
      </c>
      <c r="H311" s="26">
        <f t="shared" si="283"/>
        <v>4.4381080971970334E-2</v>
      </c>
      <c r="I311" s="26">
        <f>IF(F$320=0,0,SUM(F$17:F311)/F$320)</f>
        <v>0.99779610943656394</v>
      </c>
      <c r="J311" s="26">
        <f>IF(G$320=0,0,SUM(G$17:G311)/G$320)</f>
        <v>0</v>
      </c>
      <c r="K311" s="26">
        <f>SUM(H$17:H311)/H$320</f>
        <v>0.99779610943656394</v>
      </c>
      <c r="L311" s="26"/>
      <c r="M311" s="26"/>
      <c r="N311" s="27">
        <f t="shared" si="284"/>
        <v>4.4744195913803964E-2</v>
      </c>
      <c r="O311" s="27">
        <f t="shared" si="285"/>
        <v>0</v>
      </c>
      <c r="P311" s="26">
        <f t="shared" si="286"/>
        <v>4.4744195913803964E-2</v>
      </c>
      <c r="Q311" s="26">
        <f>IF(N$320=0,0,SUM(N$17:N311)/N$320)</f>
        <v>0.9974259948501647</v>
      </c>
      <c r="R311" s="26">
        <f>IF(O$320=0,0,SUM(O$17:O311)/O$320)</f>
        <v>0</v>
      </c>
      <c r="S311" s="26">
        <f>SUM(P$17:P311)/P$320</f>
        <v>0.9974259948501647</v>
      </c>
    </row>
    <row r="312" spans="1:19" x14ac:dyDescent="0.4">
      <c r="A312" s="6">
        <f t="shared" si="280"/>
        <v>1420.3627271318198</v>
      </c>
      <c r="B312" s="25">
        <f t="shared" ref="B312:C312" si="324">C$4*EXP(-0.5*(LN($A312)-LN(C$5))^2/(LN(C$6))^2)/($A312*SQRT(2*PI())*LN(C$6))</f>
        <v>8.4640967701447346E-4</v>
      </c>
      <c r="C312" s="25">
        <f t="shared" si="324"/>
        <v>0</v>
      </c>
      <c r="D312" s="27">
        <f t="shared" si="282"/>
        <v>8.4640967701447346E-4</v>
      </c>
      <c r="E312" s="27"/>
      <c r="F312" s="26">
        <f t="shared" si="283"/>
        <v>4.2173307760298324E-2</v>
      </c>
      <c r="G312" s="26">
        <f t="shared" si="283"/>
        <v>0</v>
      </c>
      <c r="H312" s="26">
        <f t="shared" si="283"/>
        <v>4.2173307760298324E-2</v>
      </c>
      <c r="I312" s="26">
        <f>IF(F$320=0,0,SUM(F$17:F312)/F$320)</f>
        <v>0.99821280090685982</v>
      </c>
      <c r="J312" s="26">
        <f>IF(G$320=0,0,SUM(G$17:G312)/G$320)</f>
        <v>0</v>
      </c>
      <c r="K312" s="26">
        <f>SUM(H$17:H312)/H$320</f>
        <v>0.99821280090685982</v>
      </c>
      <c r="L312" s="26"/>
      <c r="M312" s="26"/>
      <c r="N312" s="27">
        <f t="shared" si="284"/>
        <v>4.252773688944167E-2</v>
      </c>
      <c r="O312" s="27">
        <f t="shared" si="285"/>
        <v>0</v>
      </c>
      <c r="P312" s="26">
        <f t="shared" si="286"/>
        <v>4.252773688944167E-2</v>
      </c>
      <c r="Q312" s="26">
        <f>IF(N$320=0,0,SUM(N$17:N312)/N$320)</f>
        <v>0.99785340929126454</v>
      </c>
      <c r="R312" s="26">
        <f>IF(O$320=0,0,SUM(O$17:O312)/O$320)</f>
        <v>0</v>
      </c>
      <c r="S312" s="26">
        <f>SUM(P$17:P312)/P$320</f>
        <v>0.99785340929126454</v>
      </c>
    </row>
    <row r="313" spans="1:19" x14ac:dyDescent="0.4">
      <c r="A313" s="6">
        <f t="shared" si="280"/>
        <v>1470.1888443249213</v>
      </c>
      <c r="B313" s="25">
        <f t="shared" ref="B313:C313" si="325">C$4*EXP(-0.5*(LN($A313)-LN(C$5))^2/(LN(C$6))^2)/($A313*SQRT(2*PI())*LN(C$6))</f>
        <v>7.7670591241600011E-4</v>
      </c>
      <c r="C313" s="25">
        <f t="shared" si="325"/>
        <v>0</v>
      </c>
      <c r="D313" s="27">
        <f t="shared" si="282"/>
        <v>7.7670591241600011E-4</v>
      </c>
      <c r="E313" s="27"/>
      <c r="F313" s="26">
        <f t="shared" si="283"/>
        <v>4.0057838581824767E-2</v>
      </c>
      <c r="G313" s="26">
        <f t="shared" si="283"/>
        <v>0</v>
      </c>
      <c r="H313" s="26">
        <f t="shared" si="283"/>
        <v>4.0057838581824767E-2</v>
      </c>
      <c r="I313" s="26">
        <f>IF(F$320=0,0,SUM(F$17:F313)/F$320)</f>
        <v>0.99860859057909535</v>
      </c>
      <c r="J313" s="26">
        <f>IF(G$320=0,0,SUM(G$17:G313)/G$320)</f>
        <v>0</v>
      </c>
      <c r="K313" s="26">
        <f>SUM(H$17:H313)/H$320</f>
        <v>0.99860859057909535</v>
      </c>
      <c r="L313" s="26"/>
      <c r="M313" s="26"/>
      <c r="N313" s="27">
        <f t="shared" si="284"/>
        <v>4.0403398925825673E-2</v>
      </c>
      <c r="O313" s="27">
        <f t="shared" si="285"/>
        <v>0</v>
      </c>
      <c r="P313" s="26">
        <f t="shared" si="286"/>
        <v>4.0403398925825673E-2</v>
      </c>
      <c r="Q313" s="26">
        <f>IF(N$320=0,0,SUM(N$17:N313)/N$320)</f>
        <v>0.9982594736020769</v>
      </c>
      <c r="R313" s="26">
        <f>IF(O$320=0,0,SUM(O$17:O313)/O$320)</f>
        <v>0</v>
      </c>
      <c r="S313" s="26">
        <f>SUM(P$17:P313)/P$320</f>
        <v>0.9982594736020769</v>
      </c>
    </row>
    <row r="314" spans="1:19" x14ac:dyDescent="0.4">
      <c r="A314" s="6">
        <f t="shared" si="280"/>
        <v>1521.7628544379922</v>
      </c>
      <c r="B314" s="25">
        <f t="shared" ref="B314:C314" si="326">C$4*EXP(-0.5*(LN($A314)-LN(C$5))^2/(LN(C$6))^2)/($A314*SQRT(2*PI())*LN(C$6))</f>
        <v>7.1243075605497037E-4</v>
      </c>
      <c r="C314" s="25">
        <f t="shared" si="326"/>
        <v>0</v>
      </c>
      <c r="D314" s="27">
        <f t="shared" si="282"/>
        <v>7.1243075605497037E-4</v>
      </c>
      <c r="E314" s="27"/>
      <c r="F314" s="26">
        <f t="shared" si="283"/>
        <v>3.8031846974217139E-2</v>
      </c>
      <c r="G314" s="26">
        <f t="shared" si="283"/>
        <v>0</v>
      </c>
      <c r="H314" s="26">
        <f t="shared" si="283"/>
        <v>3.8031846974217139E-2</v>
      </c>
      <c r="I314" s="26">
        <f>IF(F$320=0,0,SUM(F$17:F314)/F$320)</f>
        <v>0.99898436253238465</v>
      </c>
      <c r="J314" s="26">
        <f>IF(G$320=0,0,SUM(G$17:G314)/G$320)</f>
        <v>0</v>
      </c>
      <c r="K314" s="26">
        <f>SUM(H$17:H314)/H$320</f>
        <v>0.99898436253238465</v>
      </c>
      <c r="L314" s="26"/>
      <c r="M314" s="26"/>
      <c r="N314" s="27">
        <f t="shared" si="284"/>
        <v>3.8368391728826889E-2</v>
      </c>
      <c r="O314" s="27">
        <f t="shared" si="285"/>
        <v>0</v>
      </c>
      <c r="P314" s="26">
        <f t="shared" si="286"/>
        <v>3.8368391728826889E-2</v>
      </c>
      <c r="Q314" s="26">
        <f>IF(N$320=0,0,SUM(N$17:N314)/N$320)</f>
        <v>0.99864508557925102</v>
      </c>
      <c r="R314" s="26">
        <f>IF(O$320=0,0,SUM(O$17:O314)/O$320)</f>
        <v>0</v>
      </c>
      <c r="S314" s="26">
        <f>SUM(P$17:P314)/P$320</f>
        <v>0.99864508557925102</v>
      </c>
    </row>
    <row r="315" spans="1:19" x14ac:dyDescent="0.4">
      <c r="A315" s="6">
        <f t="shared" si="280"/>
        <v>1575.1460732995915</v>
      </c>
      <c r="B315" s="25">
        <f t="shared" ref="B315:C315" si="327">C$4*EXP(-0.5*(LN($A315)-LN(C$5))^2/(LN(C$6))^2)/($A315*SQRT(2*PI())*LN(C$6))</f>
        <v>6.5318885586775142E-4</v>
      </c>
      <c r="C315" s="25">
        <f t="shared" si="327"/>
        <v>0</v>
      </c>
      <c r="D315" s="27">
        <f t="shared" si="282"/>
        <v>6.5318885586775142E-4</v>
      </c>
      <c r="E315" s="27"/>
      <c r="F315" s="26">
        <f t="shared" si="283"/>
        <v>3.6092534435905183E-2</v>
      </c>
      <c r="G315" s="26">
        <f t="shared" si="283"/>
        <v>0</v>
      </c>
      <c r="H315" s="26">
        <f t="shared" si="283"/>
        <v>3.6092534435905183E-2</v>
      </c>
      <c r="I315" s="26">
        <f>IF(F$320=0,0,SUM(F$17:F315)/F$320)</f>
        <v>0.99934097319537285</v>
      </c>
      <c r="J315" s="26">
        <f>IF(G$320=0,0,SUM(G$17:G315)/G$320)</f>
        <v>0</v>
      </c>
      <c r="K315" s="26">
        <f>SUM(H$17:H315)/H$320</f>
        <v>0.99934097319537285</v>
      </c>
      <c r="L315" s="26"/>
      <c r="M315" s="26"/>
      <c r="N315" s="27">
        <f t="shared" si="284"/>
        <v>3.6419950738453277E-2</v>
      </c>
      <c r="O315" s="27">
        <f t="shared" si="285"/>
        <v>0</v>
      </c>
      <c r="P315" s="26">
        <f t="shared" si="286"/>
        <v>3.6419950738453277E-2</v>
      </c>
      <c r="Q315" s="26">
        <f>IF(N$320=0,0,SUM(N$17:N315)/N$320)</f>
        <v>0.99901111523491382</v>
      </c>
      <c r="R315" s="26">
        <f>IF(O$320=0,0,SUM(O$17:O315)/O$320)</f>
        <v>0</v>
      </c>
      <c r="S315" s="26">
        <f>SUM(P$17:P315)/P$320</f>
        <v>0.99901111523491382</v>
      </c>
    </row>
    <row r="316" spans="1:19" x14ac:dyDescent="0.4">
      <c r="A316" s="6">
        <f t="shared" si="280"/>
        <v>1630.4019676885991</v>
      </c>
      <c r="B316" s="25">
        <f t="shared" ref="B316:C316" si="328">C$4*EXP(-0.5*(LN($A316)-LN(C$5))^2/(LN(C$6))^2)/($A316*SQRT(2*PI())*LN(C$6))</f>
        <v>5.9861132787451853E-4</v>
      </c>
      <c r="C316" s="25">
        <f t="shared" si="328"/>
        <v>0</v>
      </c>
      <c r="D316" s="27">
        <f t="shared" si="282"/>
        <v>5.9861132787451853E-4</v>
      </c>
      <c r="E316" s="27"/>
      <c r="F316" s="26">
        <f t="shared" si="283"/>
        <v>3.4237133781476782E-2</v>
      </c>
      <c r="G316" s="26">
        <f t="shared" si="283"/>
        <v>0</v>
      </c>
      <c r="H316" s="26">
        <f t="shared" si="283"/>
        <v>3.4237133781476782E-2</v>
      </c>
      <c r="I316" s="26">
        <f>IF(F$320=0,0,SUM(F$17:F316)/F$320)</f>
        <v>0.99967925165565408</v>
      </c>
      <c r="J316" s="26">
        <f>IF(G$320=0,0,SUM(G$17:G316)/G$320)</f>
        <v>0</v>
      </c>
      <c r="K316" s="26">
        <f>SUM(H$17:H316)/H$320</f>
        <v>0.99967925165565408</v>
      </c>
      <c r="L316" s="26"/>
      <c r="M316" s="26"/>
      <c r="N316" s="27">
        <f t="shared" si="284"/>
        <v>3.4555340544706326E-2</v>
      </c>
      <c r="O316" s="27">
        <f t="shared" si="285"/>
        <v>0</v>
      </c>
      <c r="P316" s="26">
        <f t="shared" si="286"/>
        <v>3.4555340544706326E-2</v>
      </c>
      <c r="Q316" s="26">
        <f>IF(N$320=0,0,SUM(N$17:N316)/N$320)</f>
        <v>0.99935840508963447</v>
      </c>
      <c r="R316" s="26">
        <f>IF(O$320=0,0,SUM(O$17:O316)/O$320)</f>
        <v>0</v>
      </c>
      <c r="S316" s="26">
        <f>SUM(P$17:P316)/P$320</f>
        <v>0.99935840508963447</v>
      </c>
    </row>
    <row r="317" spans="1:19" x14ac:dyDescent="0.4">
      <c r="A317" s="6">
        <f t="shared" si="280"/>
        <v>1687.596230789236</v>
      </c>
      <c r="B317" s="25">
        <f t="shared" ref="B317:C317" si="329">C$4*EXP(-0.5*(LN($A317)-LN(C$5))^2/(LN(C$6))^2)/($A317*SQRT(2*PI())*LN(C$6))</f>
        <v>5.4835417346243195E-4</v>
      </c>
      <c r="C317" s="25">
        <f t="shared" si="329"/>
        <v>0</v>
      </c>
      <c r="D317" s="27">
        <f t="shared" si="282"/>
        <v>5.4835417346243195E-4</v>
      </c>
      <c r="E317" s="27"/>
      <c r="F317" s="26">
        <f t="shared" si="283"/>
        <v>3.2462912260002544E-2</v>
      </c>
      <c r="G317" s="26">
        <f t="shared" si="283"/>
        <v>0</v>
      </c>
      <c r="H317" s="26">
        <f t="shared" si="283"/>
        <v>3.2462912260002544E-2</v>
      </c>
      <c r="I317" s="26">
        <f>IF(F$320=0,0,SUM(F$17:F317)/F$320)</f>
        <v>1</v>
      </c>
      <c r="J317" s="26">
        <f>IF(G$320=0,0,SUM(G$17:G317)/G$320)</f>
        <v>0</v>
      </c>
      <c r="K317" s="26">
        <f>SUM(H$17:H317)/H$320</f>
        <v>1</v>
      </c>
      <c r="L317" s="26"/>
      <c r="M317" s="26"/>
      <c r="N317" s="27">
        <f t="shared" si="284"/>
        <v>3.2771858068691984E-2</v>
      </c>
      <c r="O317" s="27">
        <f t="shared" si="285"/>
        <v>0</v>
      </c>
      <c r="P317" s="26">
        <f t="shared" si="286"/>
        <v>3.2771858068691984E-2</v>
      </c>
      <c r="Q317" s="26">
        <f>IF(N$320=0,0,SUM(N$17:N317)/N$320)</f>
        <v>0.99968777049735991</v>
      </c>
      <c r="R317" s="26">
        <f>IF(O$320=0,0,SUM(O$17:O317)/O$320)</f>
        <v>0</v>
      </c>
      <c r="S317" s="26">
        <f>SUM(P$17:P317)/P$320</f>
        <v>0.99968777049735991</v>
      </c>
    </row>
    <row r="318" spans="1:19" x14ac:dyDescent="0.4">
      <c r="A318" s="19">
        <f>'Exposure Scenario'!D35</f>
        <v>1746.7968602930189</v>
      </c>
      <c r="B318" s="25">
        <f t="shared" ref="B318:C318" si="330">C$4*EXP(-0.5*(LN($A318)-LN(C$5))^2/(LN(C$6))^2)/($A318*SQRT(2*PI())*LN(C$6))</f>
        <v>5.0209677647564197E-4</v>
      </c>
      <c r="C318" s="25">
        <f t="shared" si="330"/>
        <v>0</v>
      </c>
      <c r="D318" s="27">
        <f t="shared" si="282"/>
        <v>5.0209677647564197E-4</v>
      </c>
      <c r="E318" s="27"/>
      <c r="F318" s="26"/>
      <c r="G318" s="26"/>
      <c r="H318" s="26"/>
      <c r="I318" s="26">
        <f>IF(F$320=0,0,SUM(F$17:F318)/F$320)</f>
        <v>1</v>
      </c>
      <c r="J318" s="26">
        <f>IF(G$320=0,0,SUM(G$17:G318)/G$320)</f>
        <v>0</v>
      </c>
      <c r="K318" s="26">
        <f>SUM(H$17:H318)/H$320</f>
        <v>1</v>
      </c>
      <c r="L318" s="26"/>
      <c r="M318" s="26"/>
      <c r="N318" s="27">
        <f t="shared" si="284"/>
        <v>3.1066835512683078E-2</v>
      </c>
      <c r="O318" s="27">
        <f t="shared" si="285"/>
        <v>0</v>
      </c>
      <c r="P318" s="26">
        <f t="shared" si="286"/>
        <v>3.1066835512683078E-2</v>
      </c>
      <c r="Q318" s="26">
        <f>IF(N$320=0,0,SUM(N$17:N318)/N$320)</f>
        <v>1</v>
      </c>
      <c r="R318" s="26">
        <f>IF(O$320=0,0,SUM(O$17:O318)/O$320)</f>
        <v>0</v>
      </c>
      <c r="S318" s="26">
        <f>SUM(P$17:P318)/P$320</f>
        <v>1</v>
      </c>
    </row>
    <row r="319" spans="1:19" x14ac:dyDescent="0.4">
      <c r="C319" s="19"/>
      <c r="F319" s="25"/>
      <c r="H319" s="26"/>
      <c r="N319" s="26"/>
      <c r="O319" s="26"/>
    </row>
    <row r="320" spans="1:19" x14ac:dyDescent="0.4">
      <c r="C320" s="19"/>
      <c r="D320" s="26"/>
      <c r="E320" s="26"/>
      <c r="F320" s="25">
        <f>SUM(F17:F318)</f>
        <v>101.20991372909386</v>
      </c>
      <c r="G320" s="25">
        <f>SUM(G17:G318)</f>
        <v>0</v>
      </c>
      <c r="H320" s="25">
        <f>SUM(H17:H318)</f>
        <v>101.20991372909386</v>
      </c>
      <c r="K320" s="25"/>
      <c r="N320" s="25">
        <f>SUM(N17:N318)</f>
        <v>99.500000000000085</v>
      </c>
      <c r="O320" s="25">
        <f>SUM(O17:O318)</f>
        <v>0</v>
      </c>
      <c r="P320" s="25">
        <f>SUM(P17:P318)</f>
        <v>99.500000000000085</v>
      </c>
      <c r="S320" s="25"/>
    </row>
    <row r="321" spans="3:3" x14ac:dyDescent="0.4">
      <c r="C321" s="19"/>
    </row>
    <row r="322" spans="3:3" x14ac:dyDescent="0.4">
      <c r="C322" s="19"/>
    </row>
    <row r="323" spans="3:3" x14ac:dyDescent="0.4">
      <c r="C323" s="19"/>
    </row>
    <row r="324" spans="3:3" x14ac:dyDescent="0.4">
      <c r="C324" s="19"/>
    </row>
    <row r="325" spans="3:3" x14ac:dyDescent="0.4">
      <c r="C325" s="19"/>
    </row>
    <row r="326" spans="3:3" x14ac:dyDescent="0.4">
      <c r="C326" s="19"/>
    </row>
    <row r="327" spans="3:3" x14ac:dyDescent="0.4">
      <c r="C327" s="19"/>
    </row>
    <row r="328" spans="3:3" x14ac:dyDescent="0.4">
      <c r="C328" s="19"/>
    </row>
    <row r="329" spans="3:3" x14ac:dyDescent="0.4">
      <c r="C329" s="19"/>
    </row>
    <row r="330" spans="3:3" x14ac:dyDescent="0.4">
      <c r="C330" s="19"/>
    </row>
    <row r="331" spans="3:3" x14ac:dyDescent="0.4">
      <c r="C331" s="19"/>
    </row>
    <row r="332" spans="3:3" x14ac:dyDescent="0.4">
      <c r="C332" s="19"/>
    </row>
    <row r="333" spans="3:3" x14ac:dyDescent="0.4">
      <c r="C333" s="19"/>
    </row>
    <row r="334" spans="3:3" x14ac:dyDescent="0.4">
      <c r="C334" s="19"/>
    </row>
    <row r="335" spans="3:3" x14ac:dyDescent="0.4">
      <c r="C335" s="19"/>
    </row>
    <row r="336" spans="3:3" x14ac:dyDescent="0.4">
      <c r="C336" s="19"/>
    </row>
    <row r="337" spans="3:3" x14ac:dyDescent="0.4">
      <c r="C337" s="19"/>
    </row>
    <row r="338" spans="3:3" x14ac:dyDescent="0.4">
      <c r="C338" s="19"/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U338"/>
  <sheetViews>
    <sheetView workbookViewId="0">
      <selection activeCell="C17" sqref="C17"/>
    </sheetView>
  </sheetViews>
  <sheetFormatPr defaultRowHeight="12.3" x14ac:dyDescent="0.4"/>
  <cols>
    <col min="1" max="1" width="12.44140625" customWidth="1"/>
    <col min="3" max="3" width="9.44140625" customWidth="1"/>
    <col min="4" max="4" width="10.33203125" bestFit="1" customWidth="1"/>
    <col min="8" max="8" width="11" customWidth="1"/>
  </cols>
  <sheetData>
    <row r="1" spans="1:19" ht="14.1" customHeight="1" x14ac:dyDescent="0.4">
      <c r="A1" s="12"/>
      <c r="B1" s="13"/>
      <c r="C1" s="18"/>
      <c r="D1" s="18"/>
      <c r="E1" s="18"/>
      <c r="F1" s="3"/>
      <c r="H1" s="7"/>
      <c r="N1" s="11" t="s">
        <v>8</v>
      </c>
      <c r="O1" s="11" t="s">
        <v>3</v>
      </c>
    </row>
    <row r="2" spans="1:19" ht="14.1" customHeight="1" x14ac:dyDescent="0.4">
      <c r="A2" s="14"/>
      <c r="B2" s="15" t="s">
        <v>9</v>
      </c>
      <c r="C2" s="32" t="s">
        <v>42</v>
      </c>
      <c r="D2" s="32" t="s">
        <v>43</v>
      </c>
      <c r="E2" s="32" t="s">
        <v>22</v>
      </c>
      <c r="F2" s="32" t="s">
        <v>20</v>
      </c>
      <c r="G2" s="32" t="s">
        <v>21</v>
      </c>
      <c r="N2" s="11" t="s">
        <v>5</v>
      </c>
      <c r="O2" s="12" t="s">
        <v>7</v>
      </c>
    </row>
    <row r="3" spans="1:19" s="7" customFormat="1" ht="14.1" customHeight="1" x14ac:dyDescent="0.4">
      <c r="A3" s="16"/>
      <c r="B3" s="17"/>
      <c r="C3" s="9"/>
      <c r="D3" s="9"/>
      <c r="E3" s="9"/>
      <c r="G3" s="4"/>
      <c r="N3" s="11" t="s">
        <v>1</v>
      </c>
      <c r="O3" s="12" t="s">
        <v>6</v>
      </c>
    </row>
    <row r="4" spans="1:19" ht="14.1" customHeight="1" x14ac:dyDescent="0.4">
      <c r="A4" s="12"/>
      <c r="B4" s="17" t="s">
        <v>14</v>
      </c>
      <c r="C4" s="43">
        <f>'Exposure Scenario'!C18</f>
        <v>100</v>
      </c>
      <c r="D4" s="43">
        <f>'Exposure Scenario'!D18</f>
        <v>0</v>
      </c>
      <c r="E4" s="29">
        <f>SUM(C4:D4)</f>
        <v>100</v>
      </c>
      <c r="F4" s="33"/>
      <c r="G4" s="29"/>
      <c r="H4" s="30"/>
      <c r="N4" s="34" t="s">
        <v>23</v>
      </c>
      <c r="O4" s="35" t="s">
        <v>24</v>
      </c>
    </row>
    <row r="5" spans="1:19" ht="14.1" customHeight="1" x14ac:dyDescent="0.5">
      <c r="A5" s="12"/>
      <c r="B5" s="17" t="s">
        <v>2</v>
      </c>
      <c r="C5" s="31">
        <f>'Exposure Scenario'!C19</f>
        <v>25</v>
      </c>
      <c r="D5" s="31">
        <f>'Exposure Scenario'!D19</f>
        <v>4</v>
      </c>
      <c r="E5" s="10"/>
      <c r="G5" s="5"/>
      <c r="N5" s="11" t="s">
        <v>0</v>
      </c>
      <c r="O5" s="12" t="s">
        <v>4</v>
      </c>
    </row>
    <row r="6" spans="1:19" ht="14.1" customHeight="1" x14ac:dyDescent="0.5">
      <c r="B6" s="17" t="s">
        <v>0</v>
      </c>
      <c r="C6" s="31">
        <f>'Exposure Scenario'!C20</f>
        <v>5.2</v>
      </c>
      <c r="D6" s="31">
        <f>'Exposure Scenario'!D20</f>
        <v>2</v>
      </c>
      <c r="E6" s="8"/>
      <c r="N6" s="24" t="s">
        <v>15</v>
      </c>
      <c r="O6" s="12" t="s">
        <v>16</v>
      </c>
    </row>
    <row r="7" spans="1:19" ht="14.1" customHeight="1" x14ac:dyDescent="0.4">
      <c r="A7" s="1"/>
      <c r="E7" s="4"/>
      <c r="F7" s="6"/>
      <c r="G7" s="4"/>
      <c r="I7" s="24"/>
      <c r="J7" s="31"/>
      <c r="K7" s="31"/>
    </row>
    <row r="8" spans="1:19" ht="14.1" customHeight="1" x14ac:dyDescent="0.4">
      <c r="A8" s="1"/>
      <c r="E8" s="4"/>
      <c r="F8" s="6"/>
      <c r="G8" s="4"/>
      <c r="I8" s="24"/>
      <c r="J8" s="31"/>
      <c r="K8" s="31"/>
    </row>
    <row r="9" spans="1:19" ht="14.1" customHeight="1" x14ac:dyDescent="0.4">
      <c r="A9" s="2"/>
      <c r="B9" s="2"/>
      <c r="C9" s="37"/>
      <c r="D9" s="37"/>
    </row>
    <row r="10" spans="1:19" ht="14.1" customHeight="1" x14ac:dyDescent="0.5">
      <c r="A10" s="1"/>
      <c r="B10" s="1"/>
      <c r="C10" s="31"/>
      <c r="D10" s="31"/>
      <c r="E10" s="20"/>
    </row>
    <row r="11" spans="1:19" ht="14.1" customHeight="1" x14ac:dyDescent="0.5">
      <c r="A11" s="1"/>
      <c r="B11" s="1"/>
      <c r="C11" s="31"/>
      <c r="D11" s="31"/>
      <c r="E11" s="20"/>
      <c r="F11" s="4"/>
    </row>
    <row r="12" spans="1:19" ht="14.1" customHeight="1" x14ac:dyDescent="0.4"/>
    <row r="13" spans="1:19" ht="14.1" customHeight="1" x14ac:dyDescent="0.4">
      <c r="A13" s="1"/>
      <c r="F13" s="4"/>
      <c r="G13" s="4"/>
    </row>
    <row r="14" spans="1:19" ht="14.1" customHeight="1" x14ac:dyDescent="0.4">
      <c r="A14" s="22"/>
      <c r="B14" s="28"/>
      <c r="C14" s="28"/>
      <c r="D14" s="22"/>
      <c r="E14" s="22"/>
      <c r="F14" s="22"/>
      <c r="G14" s="22"/>
      <c r="H14" s="22"/>
    </row>
    <row r="15" spans="1:19" ht="14.1" customHeight="1" x14ac:dyDescent="0.4">
      <c r="A15" s="16"/>
      <c r="B15" s="21" t="s">
        <v>13</v>
      </c>
      <c r="C15" s="23"/>
      <c r="D15" s="23"/>
      <c r="E15" s="23"/>
      <c r="F15" s="16" t="s">
        <v>26</v>
      </c>
      <c r="G15" s="22"/>
      <c r="H15" s="22"/>
      <c r="J15" s="36" t="s">
        <v>17</v>
      </c>
      <c r="N15" s="16" t="s">
        <v>25</v>
      </c>
      <c r="O15" s="12"/>
      <c r="R15" s="36" t="s">
        <v>17</v>
      </c>
    </row>
    <row r="16" spans="1:19" ht="14.1" customHeight="1" x14ac:dyDescent="0.4">
      <c r="A16" s="24" t="s">
        <v>5</v>
      </c>
      <c r="B16" s="24" t="s">
        <v>10</v>
      </c>
      <c r="C16" s="24" t="s">
        <v>11</v>
      </c>
      <c r="D16" s="24" t="s">
        <v>12</v>
      </c>
      <c r="E16" s="24"/>
      <c r="F16" s="24" t="s">
        <v>10</v>
      </c>
      <c r="G16" s="24" t="s">
        <v>11</v>
      </c>
      <c r="H16" s="24" t="s">
        <v>12</v>
      </c>
      <c r="I16" s="24" t="s">
        <v>10</v>
      </c>
      <c r="J16" s="24" t="s">
        <v>11</v>
      </c>
      <c r="K16" s="24" t="s">
        <v>12</v>
      </c>
      <c r="N16" s="24" t="s">
        <v>10</v>
      </c>
      <c r="O16" s="24" t="s">
        <v>11</v>
      </c>
      <c r="P16" s="24" t="s">
        <v>12</v>
      </c>
      <c r="Q16" s="24" t="s">
        <v>10</v>
      </c>
      <c r="R16" s="24" t="s">
        <v>11</v>
      </c>
      <c r="S16" s="24" t="s">
        <v>12</v>
      </c>
    </row>
    <row r="17" spans="1:21" ht="14.1" customHeight="1" x14ac:dyDescent="0.4">
      <c r="A17" s="19">
        <f>'Exposure Scenario'!C35</f>
        <v>5.4339016042139802E-2</v>
      </c>
      <c r="B17" s="25">
        <f>C$4*EXP(-0.5*(LN($A17)-LN(C$5))^2/(LN(C$6))^2)/($A17*SQRT(2*PI())*LN(C$6))</f>
        <v>0.44186124245927633</v>
      </c>
      <c r="C17" s="25">
        <f>D$4*EXP(-0.5*(LN($A17)-LN(D$5))^2/(LN(D$6))^2)/($A17*SQRT(2*PI())*LN(D$6))</f>
        <v>0</v>
      </c>
      <c r="D17" s="27">
        <f>B17+C17</f>
        <v>0.44186124245927633</v>
      </c>
      <c r="E17" s="27"/>
      <c r="F17" s="26">
        <f>B17*($A18-$A17)</f>
        <v>8.4227800055192885E-4</v>
      </c>
      <c r="G17" s="26">
        <f>C17*($A18-$A17)</f>
        <v>0</v>
      </c>
      <c r="H17" s="26">
        <f>D17*($A18-$A17)</f>
        <v>8.4227800055192885E-4</v>
      </c>
      <c r="I17" s="26">
        <f>IF(F320=0,0,F17/F$320)</f>
        <v>8.3194214566461356E-6</v>
      </c>
      <c r="J17" s="26">
        <f>IF(G320=0,0,G17/G$320)</f>
        <v>0</v>
      </c>
      <c r="K17" s="26">
        <f>H17/H$320</f>
        <v>8.3194214566461356E-6</v>
      </c>
      <c r="L17" s="26"/>
      <c r="M17" s="26"/>
      <c r="N17" s="27">
        <f>C4*(NORMDIST(LN($A17),LN(C$5),LN(C$6),TRUE))</f>
        <v>1.0000000000000044E-2</v>
      </c>
      <c r="O17" s="27">
        <f>D4*(NORMDIST(LN($A17),LN(D$5),LN(D$6),TRUE))</f>
        <v>0</v>
      </c>
      <c r="P17" s="26">
        <f>N17+O17</f>
        <v>1.0000000000000044E-2</v>
      </c>
      <c r="Q17" s="26">
        <f>IF(N320=0,0,N17/N$320)</f>
        <v>1.0050251256281442E-4</v>
      </c>
      <c r="R17" s="26">
        <f>IF(O320=0,0,O17/O$320)</f>
        <v>0</v>
      </c>
      <c r="S17" s="26">
        <f>P17/P$320</f>
        <v>1.0050251256281442E-4</v>
      </c>
    </row>
    <row r="18" spans="1:21" ht="14.1" customHeight="1" x14ac:dyDescent="0.4">
      <c r="A18" s="6">
        <f t="shared" ref="A18:A81" si="0">10^((LOG(A$318)-LOG(A$17))/301+LOG(A17))</f>
        <v>5.6245220795161463E-2</v>
      </c>
      <c r="B18" s="25">
        <f t="shared" ref="B18:C18" si="1">C$4*EXP(-0.5*(LN($A18)-LN(C$5))^2/(LN(C$6))^2)/($A18*SQRT(2*PI())*LN(C$6))</f>
        <v>0.46131210999061745</v>
      </c>
      <c r="C18" s="25">
        <f t="shared" si="1"/>
        <v>0</v>
      </c>
      <c r="D18" s="27">
        <f t="shared" ref="D18:D81" si="2">B18+C18</f>
        <v>0.46131210999061745</v>
      </c>
      <c r="E18" s="27"/>
      <c r="F18" s="26">
        <f t="shared" ref="F18:H81" si="3">B18*($A19-$A18)</f>
        <v>9.1020299357662867E-4</v>
      </c>
      <c r="G18" s="26">
        <f t="shared" si="3"/>
        <v>0</v>
      </c>
      <c r="H18" s="26">
        <f t="shared" si="3"/>
        <v>9.1020299357662867E-4</v>
      </c>
      <c r="I18" s="26">
        <f>IF(F$320=0,0,SUM(F$17:F18)/F$320)</f>
        <v>1.7309757556725829E-5</v>
      </c>
      <c r="J18" s="26">
        <f>IF(G$320=0,0,SUM(G$17:G18)/G$320)</f>
        <v>0</v>
      </c>
      <c r="K18" s="26">
        <f>SUM(H$17:H18)/H$320</f>
        <v>1.7309757556725829E-5</v>
      </c>
      <c r="L18" s="26"/>
      <c r="M18" s="26"/>
      <c r="N18" s="27">
        <f t="shared" ref="N18:N81" si="4">C$4*((NORMDIST(LN($A18),LN(C$5),LN(C$6),TRUE))-(NORMDIST(LN($A17),LN(C$5),LN(C$6),TRUE)))</f>
        <v>8.6082146709364057E-4</v>
      </c>
      <c r="O18" s="27">
        <f t="shared" ref="O18:O81" si="5">D$4*((NORMDIST(LN($A18),LN(D$5),LN(D$6),TRUE))-(NORMDIST(LN($A17),LN(D$5),LN(D$6),TRUE)))</f>
        <v>0</v>
      </c>
      <c r="P18" s="26">
        <f t="shared" ref="P18:P81" si="6">N18+O18</f>
        <v>8.6082146709364057E-4</v>
      </c>
      <c r="Q18" s="26">
        <f>IF(N$320=0,0,SUM(N$17:N18)/N$320)</f>
        <v>1.0915398459390629E-4</v>
      </c>
      <c r="R18" s="26">
        <f>IF(O$320=0,0,SUM(O$17:O18)/O$320)</f>
        <v>0</v>
      </c>
      <c r="S18" s="26">
        <f>SUM(P$17:P18)/P$320</f>
        <v>1.0915398459390629E-4</v>
      </c>
    </row>
    <row r="19" spans="1:21" ht="14.1" customHeight="1" x14ac:dyDescent="0.4">
      <c r="A19" s="6">
        <f t="shared" si="0"/>
        <v>5.8218294932745107E-2</v>
      </c>
      <c r="B19" s="25">
        <f t="shared" ref="B19:C19" si="7">C$4*EXP(-0.5*(LN($A19)-LN(C$5))^2/(LN(C$6))^2)/($A19*SQRT(2*PI())*LN(C$6))</f>
        <v>0.48140861666230927</v>
      </c>
      <c r="C19" s="25">
        <f t="shared" si="7"/>
        <v>0</v>
      </c>
      <c r="D19" s="27">
        <f t="shared" si="2"/>
        <v>0.48140861666230927</v>
      </c>
      <c r="E19" s="27"/>
      <c r="F19" s="26">
        <f t="shared" si="3"/>
        <v>9.8317566211464347E-4</v>
      </c>
      <c r="G19" s="26">
        <f t="shared" si="3"/>
        <v>0</v>
      </c>
      <c r="H19" s="26">
        <f t="shared" si="3"/>
        <v>9.8317566211464347E-4</v>
      </c>
      <c r="I19" s="26">
        <f>IF(F$320=0,0,SUM(F$17:F19)/F$320)</f>
        <v>2.7020865639436043E-5</v>
      </c>
      <c r="J19" s="26">
        <f>IF(G$320=0,0,SUM(G$17:G19)/G$320)</f>
        <v>0</v>
      </c>
      <c r="K19" s="26">
        <f>SUM(H$17:H19)/H$320</f>
        <v>2.7020865639436043E-5</v>
      </c>
      <c r="L19" s="26"/>
      <c r="M19" s="26"/>
      <c r="N19" s="27">
        <f t="shared" si="4"/>
        <v>9.3003586320219425E-4</v>
      </c>
      <c r="O19" s="27">
        <f t="shared" si="5"/>
        <v>0</v>
      </c>
      <c r="P19" s="26">
        <f t="shared" si="6"/>
        <v>9.3003586320219425E-4</v>
      </c>
      <c r="Q19" s="26">
        <f>IF(N$320=0,0,SUM(N$17:N19)/N$320)</f>
        <v>1.1850107869644089E-4</v>
      </c>
      <c r="R19" s="26">
        <f>IF(O$320=0,0,SUM(O$17:O19)/O$320)</f>
        <v>0</v>
      </c>
      <c r="S19" s="26">
        <f>SUM(P$17:P19)/P$320</f>
        <v>1.1850107869644089E-4</v>
      </c>
      <c r="T19" s="7"/>
      <c r="U19" s="7"/>
    </row>
    <row r="20" spans="1:21" ht="14.1" customHeight="1" x14ac:dyDescent="0.4">
      <c r="A20" s="6">
        <f t="shared" si="0"/>
        <v>6.0260584223142885E-2</v>
      </c>
      <c r="B20" s="25">
        <f t="shared" ref="B20:C20" si="8">C$4*EXP(-0.5*(LN($A20)-LN(C$5))^2/(LN(C$6))^2)/($A20*SQRT(2*PI())*LN(C$6))</f>
        <v>0.50216093125413552</v>
      </c>
      <c r="C20" s="25">
        <f t="shared" si="8"/>
        <v>0</v>
      </c>
      <c r="D20" s="27">
        <f t="shared" si="2"/>
        <v>0.50216093125413552</v>
      </c>
      <c r="E20" s="27"/>
      <c r="F20" s="26">
        <f t="shared" si="3"/>
        <v>1.0615343131458398E-3</v>
      </c>
      <c r="G20" s="26">
        <f t="shared" si="3"/>
        <v>0</v>
      </c>
      <c r="H20" s="26">
        <f t="shared" si="3"/>
        <v>1.0615343131458398E-3</v>
      </c>
      <c r="I20" s="26">
        <f>IF(F$320=0,0,SUM(F$17:F20)/F$320)</f>
        <v>3.750594459907241E-5</v>
      </c>
      <c r="J20" s="26">
        <f>IF(G$320=0,0,SUM(G$17:G20)/G$320)</f>
        <v>0</v>
      </c>
      <c r="K20" s="26">
        <f>SUM(H$17:H20)/H$320</f>
        <v>3.750594459907241E-5</v>
      </c>
      <c r="L20" s="26"/>
      <c r="M20" s="26"/>
      <c r="N20" s="27">
        <f t="shared" si="4"/>
        <v>1.004376094424857E-3</v>
      </c>
      <c r="O20" s="27">
        <f t="shared" si="5"/>
        <v>0</v>
      </c>
      <c r="P20" s="26">
        <f t="shared" si="6"/>
        <v>1.004376094424857E-3</v>
      </c>
      <c r="Q20" s="26">
        <f>IF(N$320=0,0,SUM(N$17:N20)/N$320)</f>
        <v>1.2859531080121331E-4</v>
      </c>
      <c r="R20" s="26">
        <f>IF(O$320=0,0,SUM(O$17:O20)/O$320)</f>
        <v>0</v>
      </c>
      <c r="S20" s="26">
        <f>SUM(P$17:P20)/P$320</f>
        <v>1.2859531080121331E-4</v>
      </c>
    </row>
    <row r="21" spans="1:21" ht="14.1" customHeight="1" x14ac:dyDescent="0.4">
      <c r="A21" s="6">
        <f t="shared" si="0"/>
        <v>6.2374516723814895E-2</v>
      </c>
      <c r="B21" s="25">
        <f t="shared" ref="B21:C21" si="9">C$4*EXP(-0.5*(LN($A21)-LN(C$5))^2/(LN(C$6))^2)/($A21*SQRT(2*PI())*LN(C$6))</f>
        <v>0.52357878441183359</v>
      </c>
      <c r="C21" s="25">
        <f t="shared" si="9"/>
        <v>0</v>
      </c>
      <c r="D21" s="27">
        <f t="shared" si="2"/>
        <v>0.52357878441183359</v>
      </c>
      <c r="E21" s="27"/>
      <c r="F21" s="26">
        <f t="shared" si="3"/>
        <v>1.1456369496456046E-3</v>
      </c>
      <c r="G21" s="26">
        <f t="shared" si="3"/>
        <v>0</v>
      </c>
      <c r="H21" s="26">
        <f t="shared" si="3"/>
        <v>1.1456369496456046E-3</v>
      </c>
      <c r="I21" s="26">
        <f>IF(F$320=0,0,SUM(F$17:F21)/F$320)</f>
        <v>4.8821729428027656E-5</v>
      </c>
      <c r="J21" s="26">
        <f>IF(G$320=0,0,SUM(G$17:G21)/G$320)</f>
        <v>0</v>
      </c>
      <c r="K21" s="26">
        <f>SUM(H$17:H21)/H$320</f>
        <v>4.8821729428027656E-5</v>
      </c>
      <c r="L21" s="26"/>
      <c r="M21" s="26"/>
      <c r="N21" s="27">
        <f t="shared" si="4"/>
        <v>1.0841842741123753E-3</v>
      </c>
      <c r="O21" s="27">
        <f t="shared" si="5"/>
        <v>0</v>
      </c>
      <c r="P21" s="26">
        <f t="shared" si="6"/>
        <v>1.0841842741123753E-3</v>
      </c>
      <c r="Q21" s="26">
        <f>IF(N$320=0,0,SUM(N$17:N21)/N$320)</f>
        <v>1.3949163516415174E-4</v>
      </c>
      <c r="R21" s="26">
        <f>IF(O$320=0,0,SUM(O$17:O21)/O$320)</f>
        <v>0</v>
      </c>
      <c r="S21" s="26">
        <f>SUM(P$17:P21)/P$320</f>
        <v>1.3949163516415174E-4</v>
      </c>
    </row>
    <row r="22" spans="1:21" ht="14.1" customHeight="1" x14ac:dyDescent="0.4">
      <c r="A22" s="6">
        <f t="shared" si="0"/>
        <v>6.4562605668122608E-2</v>
      </c>
      <c r="B22" s="25">
        <f t="shared" ref="B22:C22" si="10">C$4*EXP(-0.5*(LN($A22)-LN(C$5))^2/(LN(C$6))^2)/($A22*SQRT(2*PI())*LN(C$6))</f>
        <v>0.5456714323813735</v>
      </c>
      <c r="C22" s="25">
        <f t="shared" si="10"/>
        <v>0</v>
      </c>
      <c r="D22" s="27">
        <f t="shared" si="2"/>
        <v>0.5456714323813735</v>
      </c>
      <c r="E22" s="27"/>
      <c r="F22" s="26">
        <f t="shared" si="3"/>
        <v>1.2358621893850182E-3</v>
      </c>
      <c r="G22" s="26">
        <f t="shared" si="3"/>
        <v>0</v>
      </c>
      <c r="H22" s="26">
        <f t="shared" si="3"/>
        <v>1.2358621893850182E-3</v>
      </c>
      <c r="I22" s="26">
        <f>IF(F$320=0,0,SUM(F$17:F22)/F$320)</f>
        <v>6.1028694835042936E-5</v>
      </c>
      <c r="J22" s="26">
        <f>IF(G$320=0,0,SUM(G$17:G22)/G$320)</f>
        <v>0</v>
      </c>
      <c r="K22" s="26">
        <f>SUM(H$17:H22)/H$320</f>
        <v>6.1028694835042936E-5</v>
      </c>
      <c r="L22" s="26"/>
      <c r="M22" s="26"/>
      <c r="N22" s="27">
        <f t="shared" si="4"/>
        <v>1.1698223233822089E-3</v>
      </c>
      <c r="O22" s="27">
        <f t="shared" si="5"/>
        <v>0</v>
      </c>
      <c r="P22" s="26">
        <f t="shared" si="6"/>
        <v>1.1698223233822089E-3</v>
      </c>
      <c r="Q22" s="26">
        <f>IF(N$320=0,0,SUM(N$17:N22)/N$320)</f>
        <v>1.5124864343934983E-4</v>
      </c>
      <c r="R22" s="26">
        <f>IF(O$320=0,0,SUM(O$17:O22)/O$320)</f>
        <v>0</v>
      </c>
      <c r="S22" s="26">
        <f>SUM(P$17:P22)/P$320</f>
        <v>1.5124864343934983E-4</v>
      </c>
    </row>
    <row r="23" spans="1:21" ht="14.1" customHeight="1" x14ac:dyDescent="0.4">
      <c r="A23" s="6">
        <f t="shared" si="0"/>
        <v>6.6827452453287028E-2</v>
      </c>
      <c r="B23" s="25">
        <f t="shared" ref="B23:C23" si="11">C$4*EXP(-0.5*(LN($A23)-LN(C$5))^2/(LN(C$6))^2)/($A23*SQRT(2*PI())*LN(C$6))</f>
        <v>0.56844762024753248</v>
      </c>
      <c r="C23" s="25">
        <f t="shared" si="11"/>
        <v>0</v>
      </c>
      <c r="D23" s="27">
        <f t="shared" si="2"/>
        <v>0.56844762024753248</v>
      </c>
      <c r="E23" s="27"/>
      <c r="F23" s="26">
        <f t="shared" si="3"/>
        <v>1.332610209898879E-3</v>
      </c>
      <c r="G23" s="26">
        <f t="shared" si="3"/>
        <v>0</v>
      </c>
      <c r="H23" s="26">
        <f t="shared" si="3"/>
        <v>1.332610209898879E-3</v>
      </c>
      <c r="I23" s="26">
        <f>IF(F$320=0,0,SUM(F$17:F23)/F$320)</f>
        <v>7.419126819717948E-5</v>
      </c>
      <c r="J23" s="26">
        <f>IF(G$320=0,0,SUM(G$17:G23)/G$320)</f>
        <v>0</v>
      </c>
      <c r="K23" s="26">
        <f>SUM(H$17:H23)/H$320</f>
        <v>7.419126819717948E-5</v>
      </c>
      <c r="L23" s="26"/>
      <c r="M23" s="26"/>
      <c r="N23" s="27">
        <f t="shared" si="4"/>
        <v>1.2616728870664278E-3</v>
      </c>
      <c r="O23" s="27">
        <f t="shared" si="5"/>
        <v>0</v>
      </c>
      <c r="P23" s="26">
        <f t="shared" si="6"/>
        <v>1.2616728870664278E-3</v>
      </c>
      <c r="Q23" s="26">
        <f>IF(N$320=0,0,SUM(N$17:N23)/N$320)</f>
        <v>1.6392877295760537E-4</v>
      </c>
      <c r="R23" s="26">
        <f>IF(O$320=0,0,SUM(O$17:O23)/O$320)</f>
        <v>0</v>
      </c>
      <c r="S23" s="26">
        <f>SUM(P$17:P23)/P$320</f>
        <v>1.6392877295760537E-4</v>
      </c>
    </row>
    <row r="24" spans="1:21" ht="14.1" customHeight="1" x14ac:dyDescent="0.4">
      <c r="A24" s="6">
        <f t="shared" si="0"/>
        <v>6.917174973316409E-2</v>
      </c>
      <c r="B24" s="25">
        <f t="shared" ref="B24:C24" si="12">C$4*EXP(-0.5*(LN($A24)-LN(C$5))^2/(LN(C$6))^2)/($A24*SQRT(2*PI())*LN(C$6))</f>
        <v>0.59191554475411046</v>
      </c>
      <c r="C24" s="25">
        <f t="shared" si="12"/>
        <v>0</v>
      </c>
      <c r="D24" s="27">
        <f t="shared" si="2"/>
        <v>0.59191554475411046</v>
      </c>
      <c r="E24" s="27"/>
      <c r="F24" s="26">
        <f t="shared" si="3"/>
        <v>1.4363037191186981E-3</v>
      </c>
      <c r="G24" s="26">
        <f t="shared" si="3"/>
        <v>0</v>
      </c>
      <c r="H24" s="26">
        <f t="shared" si="3"/>
        <v>1.4363037191186981E-3</v>
      </c>
      <c r="I24" s="26">
        <f>IF(F$320=0,0,SUM(F$17:F24)/F$320)</f>
        <v>8.8378052099010747E-5</v>
      </c>
      <c r="J24" s="26">
        <f>IF(G$320=0,0,SUM(G$17:G24)/G$320)</f>
        <v>0</v>
      </c>
      <c r="K24" s="26">
        <f>SUM(H$17:H24)/H$320</f>
        <v>8.8378052099010747E-5</v>
      </c>
      <c r="L24" s="26"/>
      <c r="M24" s="26"/>
      <c r="N24" s="27">
        <f t="shared" si="4"/>
        <v>1.3601402751409527E-3</v>
      </c>
      <c r="O24" s="27">
        <f t="shared" si="5"/>
        <v>0</v>
      </c>
      <c r="P24" s="26">
        <f t="shared" si="6"/>
        <v>1.3601402751409527E-3</v>
      </c>
      <c r="Q24" s="26">
        <f>IF(N$320=0,0,SUM(N$17:N24)/N$320)</f>
        <v>1.7759852446655962E-4</v>
      </c>
      <c r="R24" s="26">
        <f>IF(O$320=0,0,SUM(O$17:O24)/O$320)</f>
        <v>0</v>
      </c>
      <c r="S24" s="26">
        <f>SUM(P$17:P24)/P$320</f>
        <v>1.7759852446655962E-4</v>
      </c>
    </row>
    <row r="25" spans="1:21" ht="14.1" customHeight="1" x14ac:dyDescent="0.4">
      <c r="A25" s="6">
        <f t="shared" si="0"/>
        <v>7.1598284619514063E-2</v>
      </c>
      <c r="B25" s="25">
        <f t="shared" ref="B25:C25" si="13">C$4*EXP(-0.5*(LN($A25)-LN(C$5))^2/(LN(C$6))^2)/($A25*SQRT(2*PI())*LN(C$6))</f>
        <v>0.61608281678768284</v>
      </c>
      <c r="C25" s="25">
        <f t="shared" si="13"/>
        <v>0</v>
      </c>
      <c r="D25" s="27">
        <f t="shared" si="2"/>
        <v>0.61608281678768284</v>
      </c>
      <c r="E25" s="27"/>
      <c r="F25" s="26">
        <f t="shared" si="3"/>
        <v>1.5473889510467091E-3</v>
      </c>
      <c r="G25" s="26">
        <f t="shared" si="3"/>
        <v>0</v>
      </c>
      <c r="H25" s="26">
        <f t="shared" si="3"/>
        <v>1.5473889510467091E-3</v>
      </c>
      <c r="I25" s="26">
        <f>IF(F$320=0,0,SUM(F$17:F25)/F$320)</f>
        <v>1.0366205670637253E-4</v>
      </c>
      <c r="J25" s="26">
        <f>IF(G$320=0,0,SUM(G$17:G25)/G$320)</f>
        <v>0</v>
      </c>
      <c r="K25" s="26">
        <f>SUM(H$17:H25)/H$320</f>
        <v>1.0366205670637253E-4</v>
      </c>
      <c r="L25" s="26"/>
      <c r="M25" s="26"/>
      <c r="N25" s="27">
        <f t="shared" si="4"/>
        <v>1.4656514290845332E-3</v>
      </c>
      <c r="O25" s="27">
        <f t="shared" si="5"/>
        <v>0</v>
      </c>
      <c r="P25" s="26">
        <f t="shared" si="6"/>
        <v>1.4656514290845332E-3</v>
      </c>
      <c r="Q25" s="26">
        <f>IF(N$320=0,0,SUM(N$17:N25)/N$320)</f>
        <v>1.9232868958298709E-4</v>
      </c>
      <c r="R25" s="26">
        <f>IF(O$320=0,0,SUM(O$17:O25)/O$320)</f>
        <v>0</v>
      </c>
      <c r="S25" s="26">
        <f>SUM(P$17:P25)/P$320</f>
        <v>1.9232868958298709E-4</v>
      </c>
    </row>
    <row r="26" spans="1:21" ht="14.1" customHeight="1" x14ac:dyDescent="0.4">
      <c r="A26" s="6">
        <f t="shared" si="0"/>
        <v>7.4109941995570985E-2</v>
      </c>
      <c r="B26" s="25">
        <f t="shared" ref="B26:C26" si="14">C$4*EXP(-0.5*(LN($A26)-LN(C$5))^2/(LN(C$6))^2)/($A26*SQRT(2*PI())*LN(C$6))</f>
        <v>0.640956423611309</v>
      </c>
      <c r="C26" s="25">
        <f t="shared" si="14"/>
        <v>0</v>
      </c>
      <c r="D26" s="27">
        <f t="shared" si="2"/>
        <v>0.640956423611309</v>
      </c>
      <c r="E26" s="27"/>
      <c r="F26" s="26">
        <f t="shared" si="3"/>
        <v>1.6663366857184393E-3</v>
      </c>
      <c r="G26" s="26">
        <f t="shared" si="3"/>
        <v>0</v>
      </c>
      <c r="H26" s="26">
        <f t="shared" si="3"/>
        <v>1.6663366857184393E-3</v>
      </c>
      <c r="I26" s="26">
        <f>IF(F$320=0,0,SUM(F$17:F26)/F$320)</f>
        <v>1.2012094221457583E-4</v>
      </c>
      <c r="J26" s="26">
        <f>IF(G$320=0,0,SUM(G$17:G26)/G$320)</f>
        <v>0</v>
      </c>
      <c r="K26" s="26">
        <f>SUM(H$17:H26)/H$320</f>
        <v>1.2012094221457583E-4</v>
      </c>
      <c r="L26" s="26"/>
      <c r="M26" s="26"/>
      <c r="N26" s="27">
        <f t="shared" si="4"/>
        <v>1.5786569124891421E-3</v>
      </c>
      <c r="O26" s="27">
        <f t="shared" si="5"/>
        <v>0</v>
      </c>
      <c r="P26" s="26">
        <f t="shared" si="6"/>
        <v>1.5786569124891421E-3</v>
      </c>
      <c r="Q26" s="26">
        <f>IF(N$320=0,0,SUM(N$17:N26)/N$320)</f>
        <v>2.0819458820096841E-4</v>
      </c>
      <c r="R26" s="26">
        <f>IF(O$320=0,0,SUM(O$17:O26)/O$320)</f>
        <v>0</v>
      </c>
      <c r="S26" s="26">
        <f>SUM(P$17:P26)/P$320</f>
        <v>2.0819458820096841E-4</v>
      </c>
    </row>
    <row r="27" spans="1:21" ht="14.1" customHeight="1" x14ac:dyDescent="0.4">
      <c r="A27" s="6">
        <f t="shared" si="0"/>
        <v>7.6709707945851788E-2</v>
      </c>
      <c r="B27" s="25">
        <f t="shared" ref="B27:C27" si="15">C$4*EXP(-0.5*(LN($A27)-LN(C$5))^2/(LN(C$6))^2)/($A27*SQRT(2*PI())*LN(C$6))</f>
        <v>0.66654269093894958</v>
      </c>
      <c r="C27" s="25">
        <f t="shared" si="15"/>
        <v>0</v>
      </c>
      <c r="D27" s="27">
        <f t="shared" si="2"/>
        <v>0.66654269093894958</v>
      </c>
      <c r="E27" s="27"/>
      <c r="F27" s="26">
        <f t="shared" si="3"/>
        <v>1.7936432925649995E-3</v>
      </c>
      <c r="G27" s="26">
        <f t="shared" si="3"/>
        <v>0</v>
      </c>
      <c r="H27" s="26">
        <f t="shared" si="3"/>
        <v>1.7936432925649995E-3</v>
      </c>
      <c r="I27" s="26">
        <f>IF(F$320=0,0,SUM(F$17:F27)/F$320)</f>
        <v>1.3783727160220855E-4</v>
      </c>
      <c r="J27" s="26">
        <f>IF(G$320=0,0,SUM(G$17:G27)/G$320)</f>
        <v>0</v>
      </c>
      <c r="K27" s="26">
        <f>SUM(H$17:H27)/H$320</f>
        <v>1.3783727160220855E-4</v>
      </c>
      <c r="L27" s="26"/>
      <c r="M27" s="26"/>
      <c r="N27" s="27">
        <f t="shared" si="4"/>
        <v>1.6996319251185409E-3</v>
      </c>
      <c r="O27" s="27">
        <f t="shared" si="5"/>
        <v>0</v>
      </c>
      <c r="P27" s="26">
        <f t="shared" si="6"/>
        <v>1.6996319251185409E-3</v>
      </c>
      <c r="Q27" s="26">
        <f>IF(N$320=0,0,SUM(N$17:N27)/N$320)</f>
        <v>2.2527631609160699E-4</v>
      </c>
      <c r="R27" s="26">
        <f>IF(O$320=0,0,SUM(O$17:O27)/O$320)</f>
        <v>0</v>
      </c>
      <c r="S27" s="26">
        <f>SUM(P$17:P27)/P$320</f>
        <v>2.2527631609160699E-4</v>
      </c>
    </row>
    <row r="28" spans="1:21" x14ac:dyDescent="0.4">
      <c r="A28" s="6">
        <f t="shared" si="0"/>
        <v>7.9400673306282518E-2</v>
      </c>
      <c r="B28" s="25">
        <f t="shared" ref="B28:C28" si="16">C$4*EXP(-0.5*(LN($A28)-LN(C$5))^2/(LN(C$6))^2)/($A28*SQRT(2*PI())*LN(C$6))</f>
        <v>0.69284724494557703</v>
      </c>
      <c r="C28" s="25">
        <f t="shared" si="16"/>
        <v>0</v>
      </c>
      <c r="D28" s="27">
        <f t="shared" si="2"/>
        <v>0.69284724494557703</v>
      </c>
      <c r="E28" s="27"/>
      <c r="F28" s="26">
        <f t="shared" si="3"/>
        <v>1.929831796143464E-3</v>
      </c>
      <c r="G28" s="26">
        <f t="shared" si="3"/>
        <v>0</v>
      </c>
      <c r="H28" s="26">
        <f t="shared" si="3"/>
        <v>1.929831796143464E-3</v>
      </c>
      <c r="I28" s="26">
        <f>IF(F$320=0,0,SUM(F$17:F28)/F$320)</f>
        <v>1.5689877391146192E-4</v>
      </c>
      <c r="J28" s="26">
        <f>IF(G$320=0,0,SUM(G$17:G28)/G$320)</f>
        <v>0</v>
      </c>
      <c r="K28" s="26">
        <f>SUM(H$17:H28)/H$320</f>
        <v>1.5689877391146192E-4</v>
      </c>
      <c r="L28" s="26"/>
      <c r="M28" s="26"/>
      <c r="N28" s="27">
        <f t="shared" si="4"/>
        <v>1.8290773394699048E-3</v>
      </c>
      <c r="O28" s="27">
        <f t="shared" si="5"/>
        <v>0</v>
      </c>
      <c r="P28" s="26">
        <f t="shared" si="6"/>
        <v>1.8290773394699048E-3</v>
      </c>
      <c r="Q28" s="26">
        <f>IF(N$320=0,0,SUM(N$17:N28)/N$320)</f>
        <v>2.4365900292045022E-4</v>
      </c>
      <c r="R28" s="26">
        <f>IF(O$320=0,0,SUM(O$17:O28)/O$320)</f>
        <v>0</v>
      </c>
      <c r="S28" s="26">
        <f>SUM(P$17:P28)/P$320</f>
        <v>2.4365900292045022E-4</v>
      </c>
    </row>
    <row r="29" spans="1:21" x14ac:dyDescent="0.4">
      <c r="A29" s="6">
        <f t="shared" si="0"/>
        <v>8.2186037338862386E-2</v>
      </c>
      <c r="B29" s="25">
        <f t="shared" ref="B29:C29" si="17">C$4*EXP(-0.5*(LN($A29)-LN(C$5))^2/(LN(C$6))^2)/($A29*SQRT(2*PI())*LN(C$6))</f>
        <v>0.71987497431205472</v>
      </c>
      <c r="C29" s="25">
        <f t="shared" si="17"/>
        <v>0</v>
      </c>
      <c r="D29" s="27">
        <f t="shared" si="2"/>
        <v>0.71987497431205472</v>
      </c>
      <c r="E29" s="27"/>
      <c r="F29" s="26">
        <f t="shared" si="3"/>
        <v>2.0754529630532719E-3</v>
      </c>
      <c r="G29" s="26">
        <f t="shared" si="3"/>
        <v>0</v>
      </c>
      <c r="H29" s="26">
        <f t="shared" si="3"/>
        <v>2.0754529630532719E-3</v>
      </c>
      <c r="I29" s="26">
        <f>IF(F$320=0,0,SUM(F$17:F29)/F$320)</f>
        <v>1.7739861826424178E-4</v>
      </c>
      <c r="J29" s="26">
        <f>IF(G$320=0,0,SUM(G$17:G29)/G$320)</f>
        <v>0</v>
      </c>
      <c r="K29" s="26">
        <f>SUM(H$17:H29)/H$320</f>
        <v>1.7739861826424178E-4</v>
      </c>
      <c r="L29" s="26"/>
      <c r="M29" s="26"/>
      <c r="N29" s="27">
        <f t="shared" si="4"/>
        <v>1.9675207587516543E-3</v>
      </c>
      <c r="O29" s="27">
        <f t="shared" si="5"/>
        <v>0</v>
      </c>
      <c r="P29" s="26">
        <f t="shared" si="6"/>
        <v>1.9675207587516543E-3</v>
      </c>
      <c r="Q29" s="26">
        <f>IF(N$320=0,0,SUM(N$17:N29)/N$320)</f>
        <v>2.6343308089785377E-4</v>
      </c>
      <c r="R29" s="26">
        <f>IF(O$320=0,0,SUM(O$17:O29)/O$320)</f>
        <v>0</v>
      </c>
      <c r="S29" s="26">
        <f>SUM(P$17:P29)/P$320</f>
        <v>2.6343308089785377E-4</v>
      </c>
    </row>
    <row r="30" spans="1:21" x14ac:dyDescent="0.4">
      <c r="A30" s="6">
        <f t="shared" si="0"/>
        <v>8.5069111535234707E-2</v>
      </c>
      <c r="B30" s="25">
        <f t="shared" ref="B30:C30" si="18">C$4*EXP(-0.5*(LN($A30)-LN(C$5))^2/(LN(C$6))^2)/($A30*SQRT(2*PI())*LN(C$6))</f>
        <v>0.74762999240766514</v>
      </c>
      <c r="C30" s="25">
        <f t="shared" si="18"/>
        <v>0</v>
      </c>
      <c r="D30" s="27">
        <f t="shared" si="2"/>
        <v>0.74762999240766514</v>
      </c>
      <c r="E30" s="27"/>
      <c r="F30" s="26">
        <f t="shared" si="3"/>
        <v>2.2310864086979377E-3</v>
      </c>
      <c r="G30" s="26">
        <f t="shared" si="3"/>
        <v>0</v>
      </c>
      <c r="H30" s="26">
        <f t="shared" si="3"/>
        <v>2.2310864086979377E-3</v>
      </c>
      <c r="I30" s="26">
        <f>IF(F$320=0,0,SUM(F$17:F30)/F$320)</f>
        <v>1.9943569881008329E-4</v>
      </c>
      <c r="J30" s="26">
        <f>IF(G$320=0,0,SUM(G$17:G30)/G$320)</f>
        <v>0</v>
      </c>
      <c r="K30" s="26">
        <f>SUM(H$17:H30)/H$320</f>
        <v>1.9943569881008329E-4</v>
      </c>
      <c r="L30" s="26"/>
      <c r="M30" s="26"/>
      <c r="N30" s="27">
        <f t="shared" si="4"/>
        <v>2.1155175950396637E-3</v>
      </c>
      <c r="O30" s="27">
        <f t="shared" si="5"/>
        <v>0</v>
      </c>
      <c r="P30" s="26">
        <f t="shared" si="6"/>
        <v>2.1155175950396637E-3</v>
      </c>
      <c r="Q30" s="26">
        <f>IF(N$320=0,0,SUM(N$17:N30)/N$320)</f>
        <v>2.8469456426508658E-4</v>
      </c>
      <c r="R30" s="26">
        <f>IF(O$320=0,0,SUM(O$17:O30)/O$320)</f>
        <v>0</v>
      </c>
      <c r="S30" s="26">
        <f>SUM(P$17:P30)/P$320</f>
        <v>2.8469456426508658E-4</v>
      </c>
    </row>
    <row r="31" spans="1:21" x14ac:dyDescent="0.4">
      <c r="A31" s="6">
        <f t="shared" si="0"/>
        <v>8.8053323553686447E-2</v>
      </c>
      <c r="B31" s="25">
        <f t="shared" ref="B31:C31" si="19">C$4*EXP(-0.5*(LN($A31)-LN(C$5))^2/(LN(C$6))^2)/($A31*SQRT(2*PI())*LN(C$6))</f>
        <v>0.77611559971686572</v>
      </c>
      <c r="C31" s="25">
        <f t="shared" si="19"/>
        <v>0</v>
      </c>
      <c r="D31" s="27">
        <f t="shared" si="2"/>
        <v>0.77611559971686572</v>
      </c>
      <c r="E31" s="27"/>
      <c r="F31" s="26">
        <f t="shared" si="3"/>
        <v>2.3973417223869995E-3</v>
      </c>
      <c r="G31" s="26">
        <f t="shared" si="3"/>
        <v>0</v>
      </c>
      <c r="H31" s="26">
        <f t="shared" si="3"/>
        <v>2.3973417223869995E-3</v>
      </c>
      <c r="I31" s="26">
        <f>IF(F$320=0,0,SUM(F$17:F31)/F$320)</f>
        <v>2.2311493078701981E-4</v>
      </c>
      <c r="J31" s="26">
        <f>IF(G$320=0,0,SUM(G$17:G31)/G$320)</f>
        <v>0</v>
      </c>
      <c r="K31" s="26">
        <f>SUM(H$17:H31)/H$320</f>
        <v>2.2311493078701981E-4</v>
      </c>
      <c r="L31" s="26"/>
      <c r="M31" s="26"/>
      <c r="N31" s="27">
        <f t="shared" si="4"/>
        <v>2.2736521662108508E-3</v>
      </c>
      <c r="O31" s="27">
        <f t="shared" si="5"/>
        <v>0</v>
      </c>
      <c r="P31" s="26">
        <f t="shared" si="6"/>
        <v>2.2736521662108508E-3</v>
      </c>
      <c r="Q31" s="26">
        <f>IF(N$320=0,0,SUM(N$17:N31)/N$320)</f>
        <v>3.0754533980489413E-4</v>
      </c>
      <c r="R31" s="26">
        <f>IF(O$320=0,0,SUM(O$17:O31)/O$320)</f>
        <v>0</v>
      </c>
      <c r="S31" s="26">
        <f>SUM(P$17:P31)/P$320</f>
        <v>3.0754533980489413E-4</v>
      </c>
    </row>
    <row r="32" spans="1:21" x14ac:dyDescent="0.4">
      <c r="A32" s="6">
        <f t="shared" si="0"/>
        <v>9.1142221294257017E-2</v>
      </c>
      <c r="B32" s="25">
        <f t="shared" ref="B32:C32" si="20">C$4*EXP(-0.5*(LN($A32)-LN(C$5))^2/(LN(C$6))^2)/($A32*SQRT(2*PI())*LN(C$6))</f>
        <v>0.80533424662027397</v>
      </c>
      <c r="C32" s="25">
        <f t="shared" si="20"/>
        <v>0</v>
      </c>
      <c r="D32" s="27">
        <f t="shared" si="2"/>
        <v>0.80533424662027397</v>
      </c>
      <c r="E32" s="27"/>
      <c r="F32" s="26">
        <f t="shared" si="3"/>
        <v>2.5748596091010817E-3</v>
      </c>
      <c r="G32" s="26">
        <f t="shared" si="3"/>
        <v>0</v>
      </c>
      <c r="H32" s="26">
        <f t="shared" si="3"/>
        <v>2.5748596091010817E-3</v>
      </c>
      <c r="I32" s="26">
        <f>IF(F$320=0,0,SUM(F$17:F32)/F$320)</f>
        <v>2.4854755785999334E-4</v>
      </c>
      <c r="J32" s="26">
        <f>IF(G$320=0,0,SUM(G$17:G32)/G$320)</f>
        <v>0</v>
      </c>
      <c r="K32" s="26">
        <f>SUM(H$17:H32)/H$320</f>
        <v>2.4854755785999334E-4</v>
      </c>
      <c r="L32" s="26"/>
      <c r="M32" s="26"/>
      <c r="N32" s="27">
        <f t="shared" si="4"/>
        <v>2.4425388100949934E-3</v>
      </c>
      <c r="O32" s="27">
        <f t="shared" si="5"/>
        <v>0</v>
      </c>
      <c r="P32" s="26">
        <f t="shared" si="6"/>
        <v>2.4425388100949934E-3</v>
      </c>
      <c r="Q32" s="26">
        <f>IF(N$320=0,0,SUM(N$17:N32)/N$320)</f>
        <v>3.3209346854956736E-4</v>
      </c>
      <c r="R32" s="26">
        <f>IF(O$320=0,0,SUM(O$17:O32)/O$320)</f>
        <v>0</v>
      </c>
      <c r="S32" s="26">
        <f>SUM(P$17:P32)/P$320</f>
        <v>3.3209346854956736E-4</v>
      </c>
    </row>
    <row r="33" spans="1:19" x14ac:dyDescent="0.4">
      <c r="A33" s="6">
        <f t="shared" si="0"/>
        <v>9.4339477116801421E-2</v>
      </c>
      <c r="B33" s="25">
        <f t="shared" ref="B33:C33" si="21">C$4*EXP(-0.5*(LN($A33)-LN(C$5))^2/(LN(C$6))^2)/($A33*SQRT(2*PI())*LN(C$6))</f>
        <v>0.83528749664299695</v>
      </c>
      <c r="C33" s="25">
        <f t="shared" si="21"/>
        <v>0</v>
      </c>
      <c r="D33" s="27">
        <f t="shared" si="2"/>
        <v>0.83528749664299695</v>
      </c>
      <c r="E33" s="27"/>
      <c r="F33" s="26">
        <f t="shared" si="3"/>
        <v>2.7643130460633558E-3</v>
      </c>
      <c r="G33" s="26">
        <f t="shared" si="3"/>
        <v>0</v>
      </c>
      <c r="H33" s="26">
        <f t="shared" si="3"/>
        <v>2.7643130460633558E-3</v>
      </c>
      <c r="I33" s="26">
        <f>IF(F$320=0,0,SUM(F$17:F33)/F$320)</f>
        <v>2.7585147088305284E-4</v>
      </c>
      <c r="J33" s="26">
        <f>IF(G$320=0,0,SUM(G$17:G33)/G$320)</f>
        <v>0</v>
      </c>
      <c r="K33" s="26">
        <f>SUM(H$17:H33)/H$320</f>
        <v>2.7585147088305284E-4</v>
      </c>
      <c r="L33" s="26"/>
      <c r="M33" s="26"/>
      <c r="N33" s="27">
        <f t="shared" si="4"/>
        <v>2.6228230141051717E-3</v>
      </c>
      <c r="O33" s="27">
        <f t="shared" si="5"/>
        <v>0</v>
      </c>
      <c r="P33" s="26">
        <f t="shared" si="6"/>
        <v>2.6228230141051717E-3</v>
      </c>
      <c r="Q33" s="26">
        <f>IF(N$320=0,0,SUM(N$17:N33)/N$320)</f>
        <v>3.5845349884208163E-4</v>
      </c>
      <c r="R33" s="26">
        <f>IF(O$320=0,0,SUM(O$17:O33)/O$320)</f>
        <v>0</v>
      </c>
      <c r="S33" s="26">
        <f>SUM(P$17:P33)/P$320</f>
        <v>3.5845349884208163E-4</v>
      </c>
    </row>
    <row r="34" spans="1:19" x14ac:dyDescent="0.4">
      <c r="A34" s="6">
        <f t="shared" si="0"/>
        <v>9.7648892207022539E-2</v>
      </c>
      <c r="B34" s="25">
        <f t="shared" ref="B34:C34" si="22">C$4*EXP(-0.5*(LN($A34)-LN(C$5))^2/(LN(C$6))^2)/($A34*SQRT(2*PI())*LN(C$6))</f>
        <v>0.86597599028635586</v>
      </c>
      <c r="C34" s="25">
        <f t="shared" si="22"/>
        <v>0</v>
      </c>
      <c r="D34" s="27">
        <f t="shared" si="2"/>
        <v>0.86597599028635586</v>
      </c>
      <c r="E34" s="27"/>
      <c r="F34" s="26">
        <f t="shared" si="3"/>
        <v>2.9664084520751133E-3</v>
      </c>
      <c r="G34" s="26">
        <f t="shared" si="3"/>
        <v>0</v>
      </c>
      <c r="H34" s="26">
        <f t="shared" si="3"/>
        <v>2.9664084520751133E-3</v>
      </c>
      <c r="I34" s="26">
        <f>IF(F$320=0,0,SUM(F$17:F34)/F$320)</f>
        <v>3.0515153821141546E-4</v>
      </c>
      <c r="J34" s="26">
        <f>IF(G$320=0,0,SUM(G$17:G34)/G$320)</f>
        <v>0</v>
      </c>
      <c r="K34" s="26">
        <f>SUM(H$17:H34)/H$320</f>
        <v>3.0515153821141546E-4</v>
      </c>
      <c r="L34" s="26"/>
      <c r="M34" s="26"/>
      <c r="N34" s="27">
        <f t="shared" si="4"/>
        <v>2.8151825584326728E-3</v>
      </c>
      <c r="O34" s="27">
        <f t="shared" si="5"/>
        <v>0</v>
      </c>
      <c r="P34" s="26">
        <f t="shared" si="6"/>
        <v>2.8151825584326728E-3</v>
      </c>
      <c r="Q34" s="26">
        <f>IF(N$320=0,0,SUM(N$17:N34)/N$320)</f>
        <v>3.8674679088663113E-4</v>
      </c>
      <c r="R34" s="26">
        <f>IF(O$320=0,0,SUM(O$17:O34)/O$320)</f>
        <v>0</v>
      </c>
      <c r="S34" s="26">
        <f>SUM(P$17:P34)/P$320</f>
        <v>3.8674679088663113E-4</v>
      </c>
    </row>
    <row r="35" spans="1:19" x14ac:dyDescent="0.4">
      <c r="A35" s="6">
        <f t="shared" si="0"/>
        <v>0.10107440109566297</v>
      </c>
      <c r="B35" s="25">
        <f t="shared" ref="B35:C35" si="23">C$4*EXP(-0.5*(LN($A35)-LN(C$5))^2/(LN(C$6))^2)/($A35*SQRT(2*PI())*LN(C$6))</f>
        <v>0.89739940956159492</v>
      </c>
      <c r="C35" s="25">
        <f t="shared" si="23"/>
        <v>0</v>
      </c>
      <c r="D35" s="27">
        <f t="shared" si="2"/>
        <v>0.89739940956159492</v>
      </c>
      <c r="E35" s="27"/>
      <c r="F35" s="26">
        <f t="shared" si="3"/>
        <v>3.1818868673816883E-3</v>
      </c>
      <c r="G35" s="26">
        <f t="shared" si="3"/>
        <v>0</v>
      </c>
      <c r="H35" s="26">
        <f t="shared" si="3"/>
        <v>3.1818868673816883E-3</v>
      </c>
      <c r="I35" s="26">
        <f>IF(F$320=0,0,SUM(F$17:F35)/F$320)</f>
        <v>3.3657994766740212E-4</v>
      </c>
      <c r="J35" s="26">
        <f>IF(G$320=0,0,SUM(G$17:G35)/G$320)</f>
        <v>0</v>
      </c>
      <c r="K35" s="26">
        <f>SUM(H$17:H35)/H$320</f>
        <v>3.3657994766740212E-4</v>
      </c>
      <c r="L35" s="26"/>
      <c r="M35" s="26"/>
      <c r="N35" s="27">
        <f t="shared" si="4"/>
        <v>3.0203286707065503E-3</v>
      </c>
      <c r="O35" s="27">
        <f t="shared" si="5"/>
        <v>0</v>
      </c>
      <c r="P35" s="26">
        <f t="shared" si="6"/>
        <v>3.0203286707065503E-3</v>
      </c>
      <c r="Q35" s="26">
        <f>IF(N$320=0,0,SUM(N$17:N35)/N$320)</f>
        <v>4.1710185290378234E-4</v>
      </c>
      <c r="R35" s="26">
        <f>IF(O$320=0,0,SUM(O$17:O35)/O$320)</f>
        <v>0</v>
      </c>
      <c r="S35" s="26">
        <f>SUM(P$17:P35)/P$320</f>
        <v>4.1710185290378234E-4</v>
      </c>
    </row>
    <row r="36" spans="1:19" x14ac:dyDescent="0.4">
      <c r="A36" s="6">
        <f t="shared" si="0"/>
        <v>0.10462007633622963</v>
      </c>
      <c r="B36" s="25">
        <f t="shared" ref="B36:C36" si="24">C$4*EXP(-0.5*(LN($A36)-LN(C$5))^2/(LN(C$6))^2)/($A36*SQRT(2*PI())*LN(C$6))</f>
        <v>0.92955644334641507</v>
      </c>
      <c r="C36" s="25">
        <f t="shared" si="24"/>
        <v>0</v>
      </c>
      <c r="D36" s="27">
        <f t="shared" si="2"/>
        <v>0.92955644334641507</v>
      </c>
      <c r="E36" s="27"/>
      <c r="F36" s="26">
        <f t="shared" si="3"/>
        <v>3.4115251416356428E-3</v>
      </c>
      <c r="G36" s="26">
        <f t="shared" si="3"/>
        <v>0</v>
      </c>
      <c r="H36" s="26">
        <f t="shared" si="3"/>
        <v>3.4115251416356428E-3</v>
      </c>
      <c r="I36" s="26">
        <f>IF(F$320=0,0,SUM(F$17:F36)/F$320)</f>
        <v>3.7027656024022623E-4</v>
      </c>
      <c r="J36" s="26">
        <f>IF(G$320=0,0,SUM(G$17:G36)/G$320)</f>
        <v>0</v>
      </c>
      <c r="K36" s="26">
        <f>SUM(H$17:H36)/H$320</f>
        <v>3.7027656024022623E-4</v>
      </c>
      <c r="L36" s="26"/>
      <c r="M36" s="26"/>
      <c r="N36" s="27">
        <f t="shared" si="4"/>
        <v>3.2390071898229645E-3</v>
      </c>
      <c r="O36" s="27">
        <f t="shared" si="5"/>
        <v>0</v>
      </c>
      <c r="P36" s="26">
        <f t="shared" si="6"/>
        <v>3.2390071898229645E-3</v>
      </c>
      <c r="Q36" s="26">
        <f>IF(N$320=0,0,SUM(N$17:N36)/N$320)</f>
        <v>4.4965468898240505E-4</v>
      </c>
      <c r="R36" s="26">
        <f>IF(O$320=0,0,SUM(O$17:O36)/O$320)</f>
        <v>0</v>
      </c>
      <c r="S36" s="26">
        <f>SUM(P$17:P36)/P$320</f>
        <v>4.4965468898240505E-4</v>
      </c>
    </row>
    <row r="37" spans="1:19" x14ac:dyDescent="0.4">
      <c r="A37" s="6">
        <f t="shared" si="0"/>
        <v>0.10829013334681213</v>
      </c>
      <c r="B37" s="25">
        <f t="shared" ref="B37:C37" si="25">C$4*EXP(-0.5*(LN($A37)-LN(C$5))^2/(LN(C$6))^2)/($A37*SQRT(2*PI())*LN(C$6))</f>
        <v>0.96244475368708815</v>
      </c>
      <c r="C37" s="25">
        <f t="shared" si="25"/>
        <v>0</v>
      </c>
      <c r="D37" s="27">
        <f t="shared" si="2"/>
        <v>0.96244475368708815</v>
      </c>
      <c r="E37" s="27"/>
      <c r="F37" s="26">
        <f t="shared" si="3"/>
        <v>3.6561371273209622E-3</v>
      </c>
      <c r="G37" s="26">
        <f t="shared" si="3"/>
        <v>0</v>
      </c>
      <c r="H37" s="26">
        <f t="shared" si="3"/>
        <v>3.6561371273209622E-3</v>
      </c>
      <c r="I37" s="26">
        <f>IF(F$320=0,0,SUM(F$17:F37)/F$320)</f>
        <v>4.0638927557357568E-4</v>
      </c>
      <c r="J37" s="26">
        <f>IF(G$320=0,0,SUM(G$17:G37)/G$320)</f>
        <v>0</v>
      </c>
      <c r="K37" s="26">
        <f>SUM(H$17:H37)/H$320</f>
        <v>4.0638927557357568E-4</v>
      </c>
      <c r="L37" s="26"/>
      <c r="M37" s="26"/>
      <c r="N37" s="27">
        <f t="shared" si="4"/>
        <v>3.4719997364535092E-3</v>
      </c>
      <c r="O37" s="27">
        <f t="shared" si="5"/>
        <v>0</v>
      </c>
      <c r="P37" s="26">
        <f t="shared" si="6"/>
        <v>3.4719997364535092E-3</v>
      </c>
      <c r="Q37" s="26">
        <f>IF(N$320=0,0,SUM(N$17:N37)/N$320)</f>
        <v>4.845491586955056E-4</v>
      </c>
      <c r="R37" s="26">
        <f>IF(O$320=0,0,SUM(O$17:O37)/O$320)</f>
        <v>0</v>
      </c>
      <c r="S37" s="26">
        <f>SUM(P$17:P37)/P$320</f>
        <v>4.845491586955056E-4</v>
      </c>
    </row>
    <row r="38" spans="1:19" x14ac:dyDescent="0.4">
      <c r="A38" s="6">
        <f t="shared" si="0"/>
        <v>0.11208893542175144</v>
      </c>
      <c r="B38" s="25">
        <f t="shared" ref="B38:C38" si="26">C$4*EXP(-0.5*(LN($A38)-LN(C$5))^2/(LN(C$6))^2)/($A38*SQRT(2*PI())*LN(C$6))</f>
        <v>0.99606094317043981</v>
      </c>
      <c r="C38" s="25">
        <f t="shared" si="26"/>
        <v>0</v>
      </c>
      <c r="D38" s="27">
        <f t="shared" si="2"/>
        <v>0.99606094317043981</v>
      </c>
      <c r="E38" s="27"/>
      <c r="F38" s="26">
        <f t="shared" si="3"/>
        <v>3.9165748757923622E-3</v>
      </c>
      <c r="G38" s="26">
        <f t="shared" si="3"/>
        <v>0</v>
      </c>
      <c r="H38" s="26">
        <f t="shared" si="3"/>
        <v>3.9165748757923622E-3</v>
      </c>
      <c r="I38" s="26">
        <f>IF(F$320=0,0,SUM(F$17:F38)/F$320)</f>
        <v>4.4507440926681797E-4</v>
      </c>
      <c r="J38" s="26">
        <f>IF(G$320=0,0,SUM(G$17:G38)/G$320)</f>
        <v>0</v>
      </c>
      <c r="K38" s="26">
        <f>SUM(H$17:H38)/H$320</f>
        <v>4.4507440926681797E-4</v>
      </c>
      <c r="L38" s="26"/>
      <c r="M38" s="26"/>
      <c r="N38" s="27">
        <f t="shared" si="4"/>
        <v>3.7201248875428404E-3</v>
      </c>
      <c r="O38" s="27">
        <f t="shared" si="5"/>
        <v>0</v>
      </c>
      <c r="P38" s="26">
        <f t="shared" si="6"/>
        <v>3.7201248875428404E-3</v>
      </c>
      <c r="Q38" s="26">
        <f>IF(N$320=0,0,SUM(N$17:N38)/N$320)</f>
        <v>5.2193734852005677E-4</v>
      </c>
      <c r="R38" s="26">
        <f>IF(O$320=0,0,SUM(O$17:O38)/O$320)</f>
        <v>0</v>
      </c>
      <c r="S38" s="26">
        <f>SUM(P$17:P38)/P$320</f>
        <v>5.2193734852005677E-4</v>
      </c>
    </row>
    <row r="39" spans="1:19" x14ac:dyDescent="0.4">
      <c r="A39" s="6">
        <f t="shared" si="0"/>
        <v>0.11602099891911737</v>
      </c>
      <c r="B39" s="25">
        <f t="shared" ref="B39:C39" si="27">C$4*EXP(-0.5*(LN($A39)-LN(C$5))^2/(LN(C$6))^2)/($A39*SQRT(2*PI())*LN(C$6))</f>
        <v>1.0304005234911267</v>
      </c>
      <c r="C39" s="25">
        <f t="shared" si="27"/>
        <v>0</v>
      </c>
      <c r="D39" s="27">
        <f t="shared" si="2"/>
        <v>1.0304005234911267</v>
      </c>
      <c r="E39" s="27"/>
      <c r="F39" s="26">
        <f t="shared" si="3"/>
        <v>4.1937298328688071E-3</v>
      </c>
      <c r="G39" s="26">
        <f t="shared" si="3"/>
        <v>0</v>
      </c>
      <c r="H39" s="26">
        <f t="shared" si="3"/>
        <v>4.1937298328688071E-3</v>
      </c>
      <c r="I39" s="26">
        <f>IF(F$320=0,0,SUM(F$17:F39)/F$320)</f>
        <v>4.8649708198542562E-4</v>
      </c>
      <c r="J39" s="26">
        <f>IF(G$320=0,0,SUM(G$17:G39)/G$320)</f>
        <v>0</v>
      </c>
      <c r="K39" s="26">
        <f>SUM(H$17:H39)/H$320</f>
        <v>4.8649708198542562E-4</v>
      </c>
      <c r="L39" s="26"/>
      <c r="M39" s="26"/>
      <c r="N39" s="27">
        <f t="shared" si="4"/>
        <v>3.9842393518858561E-3</v>
      </c>
      <c r="O39" s="27">
        <f t="shared" si="5"/>
        <v>0</v>
      </c>
      <c r="P39" s="26">
        <f t="shared" si="6"/>
        <v>3.9842393518858561E-3</v>
      </c>
      <c r="Q39" s="26">
        <f>IF(N$320=0,0,SUM(N$17:N39)/N$320)</f>
        <v>5.6197995507167333E-4</v>
      </c>
      <c r="R39" s="26">
        <f>IF(O$320=0,0,SUM(O$17:O39)/O$320)</f>
        <v>0</v>
      </c>
      <c r="S39" s="26">
        <f>SUM(P$17:P39)/P$320</f>
        <v>5.6197995507167333E-4</v>
      </c>
    </row>
    <row r="40" spans="1:19" x14ac:dyDescent="0.4">
      <c r="A40" s="6">
        <f t="shared" si="0"/>
        <v>0.12009099863016169</v>
      </c>
      <c r="B40" s="25">
        <f t="shared" ref="B40:C40" si="28">C$4*EXP(-0.5*(LN($A40)-LN(C$5))^2/(LN(C$6))^2)/($A40*SQRT(2*PI())*LN(C$6))</f>
        <v>1.0654578853403807</v>
      </c>
      <c r="C40" s="25">
        <f t="shared" si="28"/>
        <v>0</v>
      </c>
      <c r="D40" s="27">
        <f t="shared" si="2"/>
        <v>1.0654578853403807</v>
      </c>
      <c r="E40" s="27"/>
      <c r="F40" s="26">
        <f t="shared" si="3"/>
        <v>4.4885340307030761E-3</v>
      </c>
      <c r="G40" s="26">
        <f t="shared" si="3"/>
        <v>0</v>
      </c>
      <c r="H40" s="26">
        <f t="shared" si="3"/>
        <v>4.4885340307030761E-3</v>
      </c>
      <c r="I40" s="26">
        <f>IF(F$320=0,0,SUM(F$17:F40)/F$320)</f>
        <v>5.3083162034383939E-4</v>
      </c>
      <c r="J40" s="26">
        <f>IF(G$320=0,0,SUM(G$17:G40)/G$320)</f>
        <v>0</v>
      </c>
      <c r="K40" s="26">
        <f>SUM(H$17:H40)/H$320</f>
        <v>5.3083162034383939E-4</v>
      </c>
      <c r="L40" s="26"/>
      <c r="M40" s="26"/>
      <c r="N40" s="27">
        <f t="shared" si="4"/>
        <v>4.2652391436774177E-3</v>
      </c>
      <c r="O40" s="27">
        <f t="shared" si="5"/>
        <v>0</v>
      </c>
      <c r="P40" s="26">
        <f t="shared" si="6"/>
        <v>4.2652391436774177E-3</v>
      </c>
      <c r="Q40" s="26">
        <f>IF(N$320=0,0,SUM(N$17:N40)/N$320)</f>
        <v>6.0484668013375783E-4</v>
      </c>
      <c r="R40" s="26">
        <f>IF(O$320=0,0,SUM(O$17:O40)/O$320)</f>
        <v>0</v>
      </c>
      <c r="S40" s="26">
        <f>SUM(P$17:P40)/P$320</f>
        <v>6.0484668013375783E-4</v>
      </c>
    </row>
    <row r="41" spans="1:19" x14ac:dyDescent="0.4">
      <c r="A41" s="6">
        <f t="shared" si="0"/>
        <v>0.12430377333713111</v>
      </c>
      <c r="B41" s="25">
        <f t="shared" ref="B41:C41" si="29">C$4*EXP(-0.5*(LN($A41)-LN(C$5))^2/(LN(C$6))^2)/($A41*SQRT(2*PI())*LN(C$6))</f>
        <v>1.1012262697427355</v>
      </c>
      <c r="C41" s="25">
        <f t="shared" si="29"/>
        <v>0</v>
      </c>
      <c r="D41" s="27">
        <f t="shared" si="2"/>
        <v>1.1012262697427355</v>
      </c>
      <c r="E41" s="27"/>
      <c r="F41" s="26">
        <f t="shared" si="3"/>
        <v>4.8019612724254437E-3</v>
      </c>
      <c r="G41" s="26">
        <f t="shared" si="3"/>
        <v>0</v>
      </c>
      <c r="H41" s="26">
        <f t="shared" si="3"/>
        <v>4.8019612724254437E-3</v>
      </c>
      <c r="I41" s="26">
        <f>IF(F$320=0,0,SUM(F$17:F41)/F$320)</f>
        <v>5.782619694893968E-4</v>
      </c>
      <c r="J41" s="26">
        <f>IF(G$320=0,0,SUM(G$17:G41)/G$320)</f>
        <v>0</v>
      </c>
      <c r="K41" s="26">
        <f>SUM(H$17:H41)/H$320</f>
        <v>5.782619694893968E-4</v>
      </c>
      <c r="L41" s="26"/>
      <c r="M41" s="26"/>
      <c r="N41" s="27">
        <f t="shared" si="4"/>
        <v>4.5640607506978858E-3</v>
      </c>
      <c r="O41" s="27">
        <f t="shared" si="5"/>
        <v>0</v>
      </c>
      <c r="P41" s="26">
        <f t="shared" si="6"/>
        <v>4.5640607506978858E-3</v>
      </c>
      <c r="Q41" s="26">
        <f>IF(N$320=0,0,SUM(N$17:N41)/N$320)</f>
        <v>6.5071663742720398E-4</v>
      </c>
      <c r="R41" s="26">
        <f>IF(O$320=0,0,SUM(O$17:O41)/O$320)</f>
        <v>0</v>
      </c>
      <c r="S41" s="26">
        <f>SUM(P$17:P41)/P$320</f>
        <v>6.5071663742720398E-4</v>
      </c>
    </row>
    <row r="42" spans="1:19" x14ac:dyDescent="0.4">
      <c r="A42" s="6">
        <f t="shared" si="0"/>
        <v>0.12866433156604737</v>
      </c>
      <c r="B42" s="25">
        <f t="shared" ref="B42:C42" si="30">C$4*EXP(-0.5*(LN($A42)-LN(C$5))^2/(LN(C$6))^2)/($A42*SQRT(2*PI())*LN(C$6))</f>
        <v>1.1376977409670872</v>
      </c>
      <c r="C42" s="25">
        <f t="shared" si="30"/>
        <v>0</v>
      </c>
      <c r="D42" s="27">
        <f t="shared" si="2"/>
        <v>1.1376977409670872</v>
      </c>
      <c r="E42" s="27"/>
      <c r="F42" s="26">
        <f t="shared" si="3"/>
        <v>5.1350283058346057E-3</v>
      </c>
      <c r="G42" s="26">
        <f t="shared" si="3"/>
        <v>0</v>
      </c>
      <c r="H42" s="26">
        <f t="shared" si="3"/>
        <v>5.1350283058346057E-3</v>
      </c>
      <c r="I42" s="26">
        <f>IF(F$320=0,0,SUM(F$17:F42)/F$320)</f>
        <v>6.2898211727914293E-4</v>
      </c>
      <c r="J42" s="26">
        <f>IF(G$320=0,0,SUM(G$17:G42)/G$320)</f>
        <v>0</v>
      </c>
      <c r="K42" s="26">
        <f>SUM(H$17:H42)/H$320</f>
        <v>6.2898211727914293E-4</v>
      </c>
      <c r="L42" s="26"/>
      <c r="M42" s="26"/>
      <c r="N42" s="27">
        <f t="shared" si="4"/>
        <v>4.8816822935833547E-3</v>
      </c>
      <c r="O42" s="27">
        <f t="shared" si="5"/>
        <v>0</v>
      </c>
      <c r="P42" s="26">
        <f t="shared" si="6"/>
        <v>4.8816822935833547E-3</v>
      </c>
      <c r="Q42" s="26">
        <f>IF(N$320=0,0,SUM(N$17:N42)/N$320)</f>
        <v>6.9977877103105668E-4</v>
      </c>
      <c r="R42" s="26">
        <f>IF(O$320=0,0,SUM(O$17:O42)/O$320)</f>
        <v>0</v>
      </c>
      <c r="S42" s="26">
        <f>SUM(P$17:P42)/P$320</f>
        <v>6.9977877103105668E-4</v>
      </c>
    </row>
    <row r="43" spans="1:19" x14ac:dyDescent="0.4">
      <c r="A43" s="6">
        <f t="shared" si="0"/>
        <v>0.13317785754129421</v>
      </c>
      <c r="B43" s="25">
        <f t="shared" ref="B43:C43" si="31">C$4*EXP(-0.5*(LN($A43)-LN(C$5))^2/(LN(C$6))^2)/($A43*SQRT(2*PI())*LN(C$6))</f>
        <v>1.1748631611379141</v>
      </c>
      <c r="C43" s="25">
        <f t="shared" si="31"/>
        <v>0</v>
      </c>
      <c r="D43" s="27">
        <f t="shared" si="2"/>
        <v>1.1748631611379141</v>
      </c>
      <c r="E43" s="27"/>
      <c r="F43" s="26">
        <f t="shared" si="3"/>
        <v>5.4887959821803729E-3</v>
      </c>
      <c r="G43" s="26">
        <f t="shared" si="3"/>
        <v>0</v>
      </c>
      <c r="H43" s="26">
        <f t="shared" si="3"/>
        <v>5.4887959821803729E-3</v>
      </c>
      <c r="I43" s="26">
        <f>IF(F$320=0,0,SUM(F$17:F43)/F$320)</f>
        <v>6.831965299022697E-4</v>
      </c>
      <c r="J43" s="26">
        <f>IF(G$320=0,0,SUM(G$17:G43)/G$320)</f>
        <v>0</v>
      </c>
      <c r="K43" s="26">
        <f>SUM(H$17:H43)/H$320</f>
        <v>6.831965299022697E-4</v>
      </c>
      <c r="L43" s="26"/>
      <c r="M43" s="26"/>
      <c r="N43" s="27">
        <f t="shared" si="4"/>
        <v>5.2191246724060713E-3</v>
      </c>
      <c r="O43" s="27">
        <f t="shared" si="5"/>
        <v>0</v>
      </c>
      <c r="P43" s="26">
        <f t="shared" si="6"/>
        <v>5.2191246724060713E-3</v>
      </c>
      <c r="Q43" s="26">
        <f>IF(N$320=0,0,SUM(N$17:N43)/N$320)</f>
        <v>7.5223228532659496E-4</v>
      </c>
      <c r="R43" s="26">
        <f>IF(O$320=0,0,SUM(O$17:O43)/O$320)</f>
        <v>0</v>
      </c>
      <c r="S43" s="26">
        <f>SUM(P$17:P43)/P$320</f>
        <v>7.5223228532659496E-4</v>
      </c>
    </row>
    <row r="44" spans="1:19" x14ac:dyDescent="0.4">
      <c r="A44" s="6">
        <f t="shared" si="0"/>
        <v>0.13784971734909021</v>
      </c>
      <c r="B44" s="25">
        <f t="shared" ref="B44:C44" si="32">C$4*EXP(-0.5*(LN($A44)-LN(C$5))^2/(LN(C$6))^2)/($A44*SQRT(2*PI())*LN(C$6))</f>
        <v>1.2127121666714109</v>
      </c>
      <c r="C44" s="25">
        <f t="shared" si="32"/>
        <v>0</v>
      </c>
      <c r="D44" s="27">
        <f t="shared" si="2"/>
        <v>1.2127121666714109</v>
      </c>
      <c r="E44" s="27"/>
      <c r="F44" s="26">
        <f t="shared" si="3"/>
        <v>5.8643703958535052E-3</v>
      </c>
      <c r="G44" s="26">
        <f t="shared" si="3"/>
        <v>0</v>
      </c>
      <c r="H44" s="26">
        <f t="shared" si="3"/>
        <v>5.8643703958535052E-3</v>
      </c>
      <c r="I44" s="26">
        <f>IF(F$320=0,0,SUM(F$17:F44)/F$320)</f>
        <v>7.4112059875959958E-4</v>
      </c>
      <c r="J44" s="26">
        <f>IF(G$320=0,0,SUM(G$17:G44)/G$320)</f>
        <v>0</v>
      </c>
      <c r="K44" s="26">
        <f>SUM(H$17:H44)/H$320</f>
        <v>7.4112059875959958E-4</v>
      </c>
      <c r="L44" s="26"/>
      <c r="M44" s="26"/>
      <c r="N44" s="27">
        <f t="shared" si="4"/>
        <v>5.5774526965659335E-3</v>
      </c>
      <c r="O44" s="27">
        <f t="shared" si="5"/>
        <v>0</v>
      </c>
      <c r="P44" s="26">
        <f t="shared" si="6"/>
        <v>5.5774526965659335E-3</v>
      </c>
      <c r="Q44" s="26">
        <f>IF(N$320=0,0,SUM(N$17:N44)/N$320)</f>
        <v>8.0828708629710692E-4</v>
      </c>
      <c r="R44" s="26">
        <f>IF(O$320=0,0,SUM(O$17:O44)/O$320)</f>
        <v>0</v>
      </c>
      <c r="S44" s="26">
        <f>SUM(P$17:P44)/P$320</f>
        <v>8.0828708629710692E-4</v>
      </c>
    </row>
    <row r="45" spans="1:19" x14ac:dyDescent="0.4">
      <c r="A45" s="6">
        <f t="shared" si="0"/>
        <v>0.14268546531717544</v>
      </c>
      <c r="B45" s="25">
        <f t="shared" ref="B45:C45" si="33">C$4*EXP(-0.5*(LN($A45)-LN(C$5))^2/(LN(C$6))^2)/($A45*SQRT(2*PI())*LN(C$6))</f>
        <v>1.2512331466597939</v>
      </c>
      <c r="C45" s="25">
        <f t="shared" si="33"/>
        <v>0</v>
      </c>
      <c r="D45" s="27">
        <f t="shared" si="2"/>
        <v>1.2512331466597939</v>
      </c>
      <c r="E45" s="27"/>
      <c r="F45" s="26">
        <f t="shared" si="3"/>
        <v>6.2629040005663661E-3</v>
      </c>
      <c r="G45" s="26">
        <f t="shared" si="3"/>
        <v>0</v>
      </c>
      <c r="H45" s="26">
        <f t="shared" si="3"/>
        <v>6.2629040005663661E-3</v>
      </c>
      <c r="I45" s="26">
        <f>IF(F$320=0,0,SUM(F$17:F45)/F$320)</f>
        <v>8.0298109836790489E-4</v>
      </c>
      <c r="J45" s="26">
        <f>IF(G$320=0,0,SUM(G$17:G45)/G$320)</f>
        <v>0</v>
      </c>
      <c r="K45" s="26">
        <f>SUM(H$17:H45)/H$320</f>
        <v>8.0298109836790489E-4</v>
      </c>
      <c r="L45" s="26"/>
      <c r="M45" s="26"/>
      <c r="N45" s="27">
        <f t="shared" si="4"/>
        <v>5.9577761937618795E-3</v>
      </c>
      <c r="O45" s="27">
        <f t="shared" si="5"/>
        <v>0</v>
      </c>
      <c r="P45" s="26">
        <f t="shared" si="6"/>
        <v>5.9577761937618795E-3</v>
      </c>
      <c r="Q45" s="26">
        <f>IF(N$320=0,0,SUM(N$17:N45)/N$320)</f>
        <v>8.6816423397310558E-4</v>
      </c>
      <c r="R45" s="26">
        <f>IF(O$320=0,0,SUM(O$17:O45)/O$320)</f>
        <v>0</v>
      </c>
      <c r="S45" s="26">
        <f>SUM(P$17:P45)/P$320</f>
        <v>8.6816423397310558E-4</v>
      </c>
    </row>
    <row r="46" spans="1:19" x14ac:dyDescent="0.4">
      <c r="A46" s="6">
        <f t="shared" si="0"/>
        <v>0.14769085061829648</v>
      </c>
      <c r="B46" s="25">
        <f t="shared" ref="B46:C46" si="34">C$4*EXP(-0.5*(LN($A46)-LN(C$5))^2/(LN(C$6))^2)/($A46*SQRT(2*PI())*LN(C$6))</f>
        <v>1.2904132233250187</v>
      </c>
      <c r="C46" s="25">
        <f t="shared" si="34"/>
        <v>0</v>
      </c>
      <c r="D46" s="27">
        <f t="shared" si="2"/>
        <v>1.2904132233250187</v>
      </c>
      <c r="E46" s="27"/>
      <c r="F46" s="26">
        <f t="shared" si="3"/>
        <v>6.6855966973784391E-3</v>
      </c>
      <c r="G46" s="26">
        <f t="shared" si="3"/>
        <v>0</v>
      </c>
      <c r="H46" s="26">
        <f t="shared" si="3"/>
        <v>6.6855966973784391E-3</v>
      </c>
      <c r="I46" s="26">
        <f>IF(F$320=0,0,SUM(F$17:F46)/F$320)</f>
        <v>8.6901665501096779E-4</v>
      </c>
      <c r="J46" s="26">
        <f>IF(G$320=0,0,SUM(G$17:G46)/G$320)</f>
        <v>0</v>
      </c>
      <c r="K46" s="26">
        <f>SUM(H$17:H46)/H$320</f>
        <v>8.6901665501096779E-4</v>
      </c>
      <c r="L46" s="26"/>
      <c r="M46" s="26"/>
      <c r="N46" s="27">
        <f t="shared" si="4"/>
        <v>6.3612510935964657E-3</v>
      </c>
      <c r="O46" s="27">
        <f t="shared" si="5"/>
        <v>0</v>
      </c>
      <c r="P46" s="26">
        <f t="shared" si="6"/>
        <v>6.3612510935964657E-3</v>
      </c>
      <c r="Q46" s="26">
        <f>IF(N$320=0,0,SUM(N$17:N46)/N$320)</f>
        <v>9.3209640576804491E-4</v>
      </c>
      <c r="R46" s="26">
        <f>IF(O$320=0,0,SUM(O$17:O46)/O$320)</f>
        <v>0</v>
      </c>
      <c r="S46" s="26">
        <f>SUM(P$17:P46)/P$320</f>
        <v>9.3209640576804491E-4</v>
      </c>
    </row>
    <row r="47" spans="1:19" x14ac:dyDescent="0.4">
      <c r="A47" s="6">
        <f t="shared" si="0"/>
        <v>0.15287182410534089</v>
      </c>
      <c r="B47" s="25">
        <f t="shared" ref="B47:C47" si="35">C$4*EXP(-0.5*(LN($A47)-LN(C$5))^2/(LN(C$6))^2)/($A47*SQRT(2*PI())*LN(C$6))</f>
        <v>1.3302382346606514</v>
      </c>
      <c r="C47" s="25">
        <f t="shared" si="35"/>
        <v>0</v>
      </c>
      <c r="D47" s="27">
        <f t="shared" si="2"/>
        <v>1.3302382346606514</v>
      </c>
      <c r="E47" s="27"/>
      <c r="F47" s="26">
        <f t="shared" si="3"/>
        <v>7.1336968896898471E-3</v>
      </c>
      <c r="G47" s="26">
        <f t="shared" si="3"/>
        <v>0</v>
      </c>
      <c r="H47" s="26">
        <f t="shared" si="3"/>
        <v>7.1336968896898471E-3</v>
      </c>
      <c r="I47" s="26">
        <f>IF(F$320=0,0,SUM(F$17:F47)/F$320)</f>
        <v>9.3947822581111427E-4</v>
      </c>
      <c r="J47" s="26">
        <f>IF(G$320=0,0,SUM(G$17:G47)/G$320)</f>
        <v>0</v>
      </c>
      <c r="K47" s="26">
        <f>SUM(H$17:H47)/H$320</f>
        <v>9.3947822581111427E-4</v>
      </c>
      <c r="L47" s="26"/>
      <c r="M47" s="26"/>
      <c r="N47" s="27">
        <f t="shared" si="4"/>
        <v>6.7890804811279928E-3</v>
      </c>
      <c r="O47" s="27">
        <f t="shared" si="5"/>
        <v>0</v>
      </c>
      <c r="P47" s="26">
        <f t="shared" si="6"/>
        <v>6.7890804811279928E-3</v>
      </c>
      <c r="Q47" s="26">
        <f>IF(N$320=0,0,SUM(N$17:N47)/N$320)</f>
        <v>1.0003283704024971E-3</v>
      </c>
      <c r="R47" s="26">
        <f>IF(O$320=0,0,SUM(O$17:O47)/O$320)</f>
        <v>0</v>
      </c>
      <c r="S47" s="26">
        <f>SUM(P$17:P47)/P$320</f>
        <v>1.0003283704024971E-3</v>
      </c>
    </row>
    <row r="48" spans="1:19" x14ac:dyDescent="0.4">
      <c r="A48" s="6">
        <f t="shared" si="0"/>
        <v>0.15823454538624715</v>
      </c>
      <c r="B48" s="25">
        <f t="shared" ref="B48:C48" si="36">C$4*EXP(-0.5*(LN($A48)-LN(C$5))^2/(LN(C$6))^2)/($A48*SQRT(2*PI())*LN(C$6))</f>
        <v>1.3706927193776288</v>
      </c>
      <c r="C48" s="25">
        <f t="shared" si="36"/>
        <v>0</v>
      </c>
      <c r="D48" s="27">
        <f t="shared" si="2"/>
        <v>1.3706927193776288</v>
      </c>
      <c r="E48" s="27"/>
      <c r="F48" s="26">
        <f t="shared" si="3"/>
        <v>7.6085025000983235E-3</v>
      </c>
      <c r="G48" s="26">
        <f t="shared" si="3"/>
        <v>0</v>
      </c>
      <c r="H48" s="26">
        <f t="shared" si="3"/>
        <v>7.6085025000983235E-3</v>
      </c>
      <c r="I48" s="26">
        <f>IF(F$320=0,0,SUM(F$17:F48)/F$320)</f>
        <v>1.014629587844535E-3</v>
      </c>
      <c r="J48" s="26">
        <f>IF(G$320=0,0,SUM(G$17:G48)/G$320)</f>
        <v>0</v>
      </c>
      <c r="K48" s="26">
        <f>SUM(H$17:H48)/H$320</f>
        <v>1.014629587844535E-3</v>
      </c>
      <c r="L48" s="26"/>
      <c r="M48" s="26"/>
      <c r="N48" s="27">
        <f t="shared" si="4"/>
        <v>7.2425156154654622E-3</v>
      </c>
      <c r="O48" s="27">
        <f t="shared" si="5"/>
        <v>0</v>
      </c>
      <c r="P48" s="26">
        <f t="shared" si="6"/>
        <v>7.2425156154654622E-3</v>
      </c>
      <c r="Q48" s="26">
        <f>IF(N$320=0,0,SUM(N$17:N48)/N$320)</f>
        <v>1.0731174720654663E-3</v>
      </c>
      <c r="R48" s="26">
        <f>IF(O$320=0,0,SUM(O$17:O48)/O$320)</f>
        <v>0</v>
      </c>
      <c r="S48" s="26">
        <f>SUM(P$17:P48)/P$320</f>
        <v>1.0731174720654663E-3</v>
      </c>
    </row>
    <row r="49" spans="1:19" x14ac:dyDescent="0.4">
      <c r="A49" s="6">
        <f t="shared" si="0"/>
        <v>0.16378539014710136</v>
      </c>
      <c r="B49" s="25">
        <f t="shared" ref="B49:C49" si="37">C$4*EXP(-0.5*(LN($A49)-LN(C$5))^2/(LN(C$6))^2)/($A49*SQRT(2*PI())*LN(C$6))</f>
        <v>1.4117599042661435</v>
      </c>
      <c r="C49" s="25">
        <f t="shared" si="37"/>
        <v>0</v>
      </c>
      <c r="D49" s="27">
        <f t="shared" si="2"/>
        <v>1.4117599042661435</v>
      </c>
      <c r="E49" s="27"/>
      <c r="F49" s="26">
        <f t="shared" si="3"/>
        <v>8.1113619437905814E-3</v>
      </c>
      <c r="G49" s="26">
        <f t="shared" si="3"/>
        <v>0</v>
      </c>
      <c r="H49" s="26">
        <f t="shared" si="3"/>
        <v>8.1113619437905814E-3</v>
      </c>
      <c r="I49" s="26">
        <f>IF(F$320=0,0,SUM(F$17:F49)/F$320)</f>
        <v>1.0947478368710734E-3</v>
      </c>
      <c r="J49" s="26">
        <f>IF(G$320=0,0,SUM(G$17:G49)/G$320)</f>
        <v>0</v>
      </c>
      <c r="K49" s="26">
        <f>SUM(H$17:H49)/H$320</f>
        <v>1.0947478368710734E-3</v>
      </c>
      <c r="L49" s="26"/>
      <c r="M49" s="26"/>
      <c r="N49" s="27">
        <f t="shared" si="4"/>
        <v>7.7228569082837643E-3</v>
      </c>
      <c r="O49" s="27">
        <f t="shared" si="5"/>
        <v>0</v>
      </c>
      <c r="P49" s="26">
        <f t="shared" si="6"/>
        <v>7.7228569082837643E-3</v>
      </c>
      <c r="Q49" s="26">
        <f>IF(N$320=0,0,SUM(N$17:N49)/N$320)</f>
        <v>1.1507341244100268E-3</v>
      </c>
      <c r="R49" s="26">
        <f>IF(O$320=0,0,SUM(O$17:O49)/O$320)</f>
        <v>0</v>
      </c>
      <c r="S49" s="26">
        <f>SUM(P$17:P49)/P$320</f>
        <v>1.1507341244100268E-3</v>
      </c>
    </row>
    <row r="50" spans="1:19" x14ac:dyDescent="0.4">
      <c r="A50" s="6">
        <f t="shared" si="0"/>
        <v>0.16953095773212709</v>
      </c>
      <c r="B50" s="25">
        <f t="shared" ref="B50:C50" si="38">C$4*EXP(-0.5*(LN($A50)-LN(C$5))^2/(LN(C$6))^2)/($A50*SQRT(2*PI())*LN(C$6))</f>
        <v>1.4534216940818485</v>
      </c>
      <c r="C50" s="25">
        <f t="shared" si="38"/>
        <v>0</v>
      </c>
      <c r="D50" s="27">
        <f t="shared" si="2"/>
        <v>1.4534216940818485</v>
      </c>
      <c r="E50" s="27"/>
      <c r="F50" s="26">
        <f t="shared" si="3"/>
        <v>8.6436750529176373E-3</v>
      </c>
      <c r="G50" s="26">
        <f t="shared" si="3"/>
        <v>0</v>
      </c>
      <c r="H50" s="26">
        <f t="shared" si="3"/>
        <v>8.6436750529176373E-3</v>
      </c>
      <c r="I50" s="26">
        <f>IF(F$320=0,0,SUM(F$17:F50)/F$320)</f>
        <v>1.1801238951943329E-3</v>
      </c>
      <c r="J50" s="26">
        <f>IF(G$320=0,0,SUM(G$17:G50)/G$320)</f>
        <v>0</v>
      </c>
      <c r="K50" s="26">
        <f>SUM(H$17:H50)/H$320</f>
        <v>1.1801238951943329E-3</v>
      </c>
      <c r="L50" s="26"/>
      <c r="M50" s="26"/>
      <c r="N50" s="27">
        <f t="shared" si="4"/>
        <v>8.2314548569052161E-3</v>
      </c>
      <c r="O50" s="27">
        <f t="shared" si="5"/>
        <v>0</v>
      </c>
      <c r="P50" s="26">
        <f t="shared" si="6"/>
        <v>8.2314548569052161E-3</v>
      </c>
      <c r="Q50" s="26">
        <f>IF(N$320=0,0,SUM(N$17:N50)/N$320)</f>
        <v>1.2334623139266621E-3</v>
      </c>
      <c r="R50" s="26">
        <f>IF(O$320=0,0,SUM(O$17:O50)/O$320)</f>
        <v>0</v>
      </c>
      <c r="S50" s="26">
        <f>SUM(P$17:P50)/P$320</f>
        <v>1.2334623139266621E-3</v>
      </c>
    </row>
    <row r="51" spans="1:19" x14ac:dyDescent="0.4">
      <c r="A51" s="6">
        <f t="shared" si="0"/>
        <v>0.17547807898958018</v>
      </c>
      <c r="B51" s="25">
        <f t="shared" ref="B51:C51" si="39">C$4*EXP(-0.5*(LN($A51)-LN(C$5))^2/(LN(C$6))^2)/($A51*SQRT(2*PI())*LN(C$6))</f>
        <v>1.4956586640600764</v>
      </c>
      <c r="C51" s="25">
        <f t="shared" si="39"/>
        <v>0</v>
      </c>
      <c r="D51" s="27">
        <f t="shared" si="2"/>
        <v>1.4956586640600764</v>
      </c>
      <c r="E51" s="27"/>
      <c r="F51" s="26">
        <f t="shared" si="3"/>
        <v>9.206893946188106E-3</v>
      </c>
      <c r="G51" s="26">
        <f t="shared" si="3"/>
        <v>0</v>
      </c>
      <c r="H51" s="26">
        <f t="shared" si="3"/>
        <v>9.206893946188106E-3</v>
      </c>
      <c r="I51" s="26">
        <f>IF(F$320=0,0,SUM(F$17:F51)/F$320)</f>
        <v>1.2710630281110075E-3</v>
      </c>
      <c r="J51" s="26">
        <f>IF(G$320=0,0,SUM(G$17:G51)/G$320)</f>
        <v>0</v>
      </c>
      <c r="K51" s="26">
        <f>SUM(H$17:H51)/H$320</f>
        <v>1.2710630281110075E-3</v>
      </c>
      <c r="L51" s="26"/>
      <c r="M51" s="26"/>
      <c r="N51" s="27">
        <f t="shared" si="4"/>
        <v>8.7697109263917862E-3</v>
      </c>
      <c r="O51" s="27">
        <f t="shared" si="5"/>
        <v>0</v>
      </c>
      <c r="P51" s="26">
        <f t="shared" si="6"/>
        <v>8.7697109263917862E-3</v>
      </c>
      <c r="Q51" s="26">
        <f>IF(N$320=0,0,SUM(N$17:N51)/N$320)</f>
        <v>1.3216001121818559E-3</v>
      </c>
      <c r="R51" s="26">
        <f>IF(O$320=0,0,SUM(O$17:O51)/O$320)</f>
        <v>0</v>
      </c>
      <c r="S51" s="26">
        <f>SUM(P$17:P51)/P$320</f>
        <v>1.3216001121818559E-3</v>
      </c>
    </row>
    <row r="52" spans="1:19" x14ac:dyDescent="0.4">
      <c r="A52" s="6">
        <f t="shared" si="0"/>
        <v>0.18163382439287648</v>
      </c>
      <c r="B52" s="25">
        <f t="shared" ref="B52:C52" si="40">C$4*EXP(-0.5*(LN($A52)-LN(C$5))^2/(LN(C$6))^2)/($A52*SQRT(2*PI())*LN(C$6))</f>
        <v>1.5384500551567053</v>
      </c>
      <c r="C52" s="25">
        <f t="shared" si="40"/>
        <v>0</v>
      </c>
      <c r="D52" s="27">
        <f t="shared" si="2"/>
        <v>1.5384500551567053</v>
      </c>
      <c r="E52" s="27"/>
      <c r="F52" s="26">
        <f t="shared" si="3"/>
        <v>9.8025238377038287E-3</v>
      </c>
      <c r="G52" s="26">
        <f t="shared" si="3"/>
        <v>0</v>
      </c>
      <c r="H52" s="26">
        <f t="shared" si="3"/>
        <v>9.8025238377038287E-3</v>
      </c>
      <c r="I52" s="26">
        <f>IF(F$320=0,0,SUM(F$17:F52)/F$320)</f>
        <v>1.3678853683493127E-3</v>
      </c>
      <c r="J52" s="26">
        <f>IF(G$320=0,0,SUM(G$17:G52)/G$320)</f>
        <v>0</v>
      </c>
      <c r="K52" s="26">
        <f>SUM(H$17:H52)/H$320</f>
        <v>1.3678853683493127E-3</v>
      </c>
      <c r="L52" s="26"/>
      <c r="M52" s="26"/>
      <c r="N52" s="27">
        <f t="shared" si="4"/>
        <v>9.3390783748697713E-3</v>
      </c>
      <c r="O52" s="27">
        <f t="shared" si="5"/>
        <v>0</v>
      </c>
      <c r="P52" s="26">
        <f t="shared" si="6"/>
        <v>9.3390783748697713E-3</v>
      </c>
      <c r="Q52" s="26">
        <f>IF(N$320=0,0,SUM(N$17:N52)/N$320)</f>
        <v>1.4154601963514012E-3</v>
      </c>
      <c r="R52" s="26">
        <f>IF(O$320=0,0,SUM(O$17:O52)/O$320)</f>
        <v>0</v>
      </c>
      <c r="S52" s="26">
        <f>SUM(P$17:P52)/P$320</f>
        <v>1.4154601963514012E-3</v>
      </c>
    </row>
    <row r="53" spans="1:19" x14ac:dyDescent="0.4">
      <c r="A53" s="6">
        <f t="shared" si="0"/>
        <v>0.18800551244660751</v>
      </c>
      <c r="B53" s="25">
        <f t="shared" ref="B53:C53" si="41">C$4*EXP(-0.5*(LN($A53)-LN(C$5))^2/(LN(C$6))^2)/($A53*SQRT(2*PI())*LN(C$6))</f>
        <v>1.5817737721087923</v>
      </c>
      <c r="C53" s="25">
        <f t="shared" si="41"/>
        <v>0</v>
      </c>
      <c r="D53" s="27">
        <f t="shared" si="2"/>
        <v>1.5817737721087923</v>
      </c>
      <c r="E53" s="27"/>
      <c r="F53" s="26">
        <f t="shared" si="3"/>
        <v>1.0432123778861453E-2</v>
      </c>
      <c r="G53" s="26">
        <f t="shared" si="3"/>
        <v>0</v>
      </c>
      <c r="H53" s="26">
        <f t="shared" si="3"/>
        <v>1.0432123778861453E-2</v>
      </c>
      <c r="I53" s="26">
        <f>IF(F$320=0,0,SUM(F$17:F53)/F$320)</f>
        <v>1.4709264478353936E-3</v>
      </c>
      <c r="J53" s="26">
        <f>IF(G$320=0,0,SUM(G$17:G53)/G$320)</f>
        <v>0</v>
      </c>
      <c r="K53" s="26">
        <f>SUM(H$17:H53)/H$320</f>
        <v>1.4709264478353936E-3</v>
      </c>
      <c r="L53" s="26"/>
      <c r="M53" s="26"/>
      <c r="N53" s="27">
        <f t="shared" si="4"/>
        <v>9.9410630161272627E-3</v>
      </c>
      <c r="O53" s="27">
        <f t="shared" si="5"/>
        <v>0</v>
      </c>
      <c r="P53" s="26">
        <f t="shared" si="6"/>
        <v>9.9410630161272627E-3</v>
      </c>
      <c r="Q53" s="26">
        <f>IF(N$320=0,0,SUM(N$17:N53)/N$320)</f>
        <v>1.5153703774180068E-3</v>
      </c>
      <c r="R53" s="26">
        <f>IF(O$320=0,0,SUM(O$17:O53)/O$320)</f>
        <v>0</v>
      </c>
      <c r="S53" s="26">
        <f>SUM(P$17:P53)/P$320</f>
        <v>1.5153703774180068E-3</v>
      </c>
    </row>
    <row r="54" spans="1:19" x14ac:dyDescent="0.4">
      <c r="A54" s="6">
        <f t="shared" si="0"/>
        <v>0.19460071838743781</v>
      </c>
      <c r="B54" s="25">
        <f t="shared" ref="B54:C54" si="42">C$4*EXP(-0.5*(LN($A54)-LN(C$5))^2/(LN(C$6))^2)/($A54*SQRT(2*PI())*LN(C$6))</f>
        <v>1.6256063844020647</v>
      </c>
      <c r="C54" s="25">
        <f t="shared" si="42"/>
        <v>0</v>
      </c>
      <c r="D54" s="27">
        <f t="shared" si="2"/>
        <v>1.6256063844020647</v>
      </c>
      <c r="E54" s="27"/>
      <c r="F54" s="26">
        <f t="shared" si="3"/>
        <v>1.1097307326951349E-2</v>
      </c>
      <c r="G54" s="26">
        <f t="shared" si="3"/>
        <v>0</v>
      </c>
      <c r="H54" s="26">
        <f t="shared" si="3"/>
        <v>1.1097307326951349E-2</v>
      </c>
      <c r="I54" s="26">
        <f>IF(F$320=0,0,SUM(F$17:F54)/F$320)</f>
        <v>1.580537736063672E-3</v>
      </c>
      <c r="J54" s="26">
        <f>IF(G$320=0,0,SUM(G$17:G54)/G$320)</f>
        <v>0</v>
      </c>
      <c r="K54" s="26">
        <f>SUM(H$17:H54)/H$320</f>
        <v>1.580537736063672E-3</v>
      </c>
      <c r="L54" s="26"/>
      <c r="M54" s="26"/>
      <c r="N54" s="27">
        <f t="shared" si="4"/>
        <v>1.0577223913299863E-2</v>
      </c>
      <c r="O54" s="27">
        <f t="shared" si="5"/>
        <v>0</v>
      </c>
      <c r="P54" s="26">
        <f t="shared" si="6"/>
        <v>1.0577223913299863E-2</v>
      </c>
      <c r="Q54" s="26">
        <f>IF(N$320=0,0,SUM(N$17:N54)/N$320)</f>
        <v>1.6216741353406185E-3</v>
      </c>
      <c r="R54" s="26">
        <f>IF(O$320=0,0,SUM(O$17:O54)/O$320)</f>
        <v>0</v>
      </c>
      <c r="S54" s="26">
        <f>SUM(P$17:P54)/P$320</f>
        <v>1.6216741353406185E-3</v>
      </c>
    </row>
    <row r="55" spans="1:19" x14ac:dyDescent="0.4">
      <c r="A55" s="6">
        <f t="shared" si="0"/>
        <v>0.20142728319022873</v>
      </c>
      <c r="B55" s="25">
        <f t="shared" ref="B55:C55" si="43">C$4*EXP(-0.5*(LN($A55)-LN(C$5))^2/(LN(C$6))^2)/($A55*SQRT(2*PI())*LN(C$6))</f>
        <v>1.6699231302258415</v>
      </c>
      <c r="C55" s="25">
        <f t="shared" si="43"/>
        <v>0</v>
      </c>
      <c r="D55" s="27">
        <f t="shared" si="2"/>
        <v>1.6699231302258415</v>
      </c>
      <c r="E55" s="27"/>
      <c r="F55" s="26">
        <f t="shared" si="3"/>
        <v>1.1799743133901492E-2</v>
      </c>
      <c r="G55" s="26">
        <f t="shared" si="3"/>
        <v>0</v>
      </c>
      <c r="H55" s="26">
        <f t="shared" si="3"/>
        <v>1.1799743133901492E-2</v>
      </c>
      <c r="I55" s="26">
        <f>IF(F$320=0,0,SUM(F$17:F55)/F$320)</f>
        <v>1.6970871842823907E-3</v>
      </c>
      <c r="J55" s="26">
        <f>IF(G$320=0,0,SUM(G$17:G55)/G$320)</f>
        <v>0</v>
      </c>
      <c r="K55" s="26">
        <f>SUM(H$17:H55)/H$320</f>
        <v>1.6970871842823907E-3</v>
      </c>
      <c r="L55" s="26"/>
      <c r="M55" s="26"/>
      <c r="N55" s="27">
        <f t="shared" si="4"/>
        <v>1.1249173997316082E-2</v>
      </c>
      <c r="O55" s="27">
        <f t="shared" si="5"/>
        <v>0</v>
      </c>
      <c r="P55" s="26">
        <f t="shared" si="6"/>
        <v>1.1249173997316082E-2</v>
      </c>
      <c r="Q55" s="26">
        <f>IF(N$320=0,0,SUM(N$17:N55)/N$320)</f>
        <v>1.7347311604392725E-3</v>
      </c>
      <c r="R55" s="26">
        <f>IF(O$320=0,0,SUM(O$17:O55)/O$320)</f>
        <v>0</v>
      </c>
      <c r="S55" s="26">
        <f>SUM(P$17:P55)/P$320</f>
        <v>1.7347311604392725E-3</v>
      </c>
    </row>
    <row r="56" spans="1:19" x14ac:dyDescent="0.4">
      <c r="A56" s="6">
        <f t="shared" si="0"/>
        <v>0.20849332289009545</v>
      </c>
      <c r="B56" s="25">
        <f t="shared" ref="B56:C56" si="44">C$4*EXP(-0.5*(LN($A56)-LN(C$5))^2/(LN(C$6))^2)/($A56*SQRT(2*PI())*LN(C$6))</f>
        <v>1.7146979234889446</v>
      </c>
      <c r="C56" s="25">
        <f t="shared" si="44"/>
        <v>0</v>
      </c>
      <c r="D56" s="27">
        <f t="shared" si="2"/>
        <v>1.7146979234889446</v>
      </c>
      <c r="E56" s="27"/>
      <c r="F56" s="26">
        <f t="shared" si="3"/>
        <v>1.2541155448447045E-2</v>
      </c>
      <c r="G56" s="26">
        <f t="shared" si="3"/>
        <v>0</v>
      </c>
      <c r="H56" s="26">
        <f t="shared" si="3"/>
        <v>1.2541155448447045E-2</v>
      </c>
      <c r="I56" s="26">
        <f>IF(F$320=0,0,SUM(F$17:F56)/F$320)</f>
        <v>1.820959774639228E-3</v>
      </c>
      <c r="J56" s="26">
        <f>IF(G$320=0,0,SUM(G$17:G56)/G$320)</f>
        <v>0</v>
      </c>
      <c r="K56" s="26">
        <f>SUM(H$17:H56)/H$320</f>
        <v>1.820959774639228E-3</v>
      </c>
      <c r="L56" s="26"/>
      <c r="M56" s="26"/>
      <c r="N56" s="27">
        <f t="shared" si="4"/>
        <v>1.1958580603555532E-2</v>
      </c>
      <c r="O56" s="27">
        <f t="shared" si="5"/>
        <v>0</v>
      </c>
      <c r="P56" s="26">
        <f t="shared" si="6"/>
        <v>1.1958580603555532E-2</v>
      </c>
      <c r="Q56" s="26">
        <f>IF(N$320=0,0,SUM(N$17:N56)/N$320)</f>
        <v>1.8549179001734989E-3</v>
      </c>
      <c r="R56" s="26">
        <f>IF(O$320=0,0,SUM(O$17:O56)/O$320)</f>
        <v>0</v>
      </c>
      <c r="S56" s="26">
        <f>SUM(P$17:P56)/P$320</f>
        <v>1.8549179001734989E-3</v>
      </c>
    </row>
    <row r="57" spans="1:19" x14ac:dyDescent="0.4">
      <c r="A57" s="6">
        <f t="shared" si="0"/>
        <v>0.2158072382314806</v>
      </c>
      <c r="B57" s="25">
        <f t="shared" ref="B57:C57" si="45">C$4*EXP(-0.5*(LN($A57)-LN(C$5))^2/(LN(C$6))^2)/($A57*SQRT(2*PI())*LN(C$6))</f>
        <v>1.759903363962817</v>
      </c>
      <c r="C57" s="25">
        <f t="shared" si="45"/>
        <v>0</v>
      </c>
      <c r="D57" s="27">
        <f t="shared" si="2"/>
        <v>1.759903363962817</v>
      </c>
      <c r="E57" s="27"/>
      <c r="F57" s="26">
        <f t="shared" si="3"/>
        <v>1.3323324524846641E-2</v>
      </c>
      <c r="G57" s="26">
        <f t="shared" si="3"/>
        <v>0</v>
      </c>
      <c r="H57" s="26">
        <f t="shared" si="3"/>
        <v>1.3323324524846641E-2</v>
      </c>
      <c r="I57" s="26">
        <f>IF(F$320=0,0,SUM(F$17:F57)/F$320)</f>
        <v>1.9525580733639196E-3</v>
      </c>
      <c r="J57" s="26">
        <f>IF(G$320=0,0,SUM(G$17:G57)/G$320)</f>
        <v>0</v>
      </c>
      <c r="K57" s="26">
        <f>SUM(H$17:H57)/H$320</f>
        <v>1.9525580733639196E-3</v>
      </c>
      <c r="L57" s="26"/>
      <c r="M57" s="26"/>
      <c r="N57" s="27">
        <f t="shared" si="4"/>
        <v>1.2707165920061693E-2</v>
      </c>
      <c r="O57" s="27">
        <f t="shared" si="5"/>
        <v>0</v>
      </c>
      <c r="P57" s="26">
        <f t="shared" si="6"/>
        <v>1.2707165920061693E-2</v>
      </c>
      <c r="Q57" s="26">
        <f>IF(N$320=0,0,SUM(N$17:N57)/N$320)</f>
        <v>1.9826281104253752E-3</v>
      </c>
      <c r="R57" s="26">
        <f>IF(O$320=0,0,SUM(O$17:O57)/O$320)</f>
        <v>0</v>
      </c>
      <c r="S57" s="26">
        <f>SUM(P$17:P57)/P$320</f>
        <v>1.9826281104253752E-3</v>
      </c>
    </row>
    <row r="58" spans="1:19" x14ac:dyDescent="0.4">
      <c r="A58" s="6">
        <f t="shared" si="0"/>
        <v>0.22337772465571595</v>
      </c>
      <c r="B58" s="25">
        <f t="shared" ref="B58:C58" si="46">C$4*EXP(-0.5*(LN($A58)-LN(C$5))^2/(LN(C$6))^2)/($A58*SQRT(2*PI())*LN(C$6))</f>
        <v>1.8055107506100476</v>
      </c>
      <c r="C58" s="25">
        <f t="shared" si="46"/>
        <v>0</v>
      </c>
      <c r="D58" s="27">
        <f t="shared" si="2"/>
        <v>1.8055107506100476</v>
      </c>
      <c r="E58" s="27"/>
      <c r="F58" s="26">
        <f t="shared" si="3"/>
        <v>1.4148086931125963E-2</v>
      </c>
      <c r="G58" s="26">
        <f t="shared" si="3"/>
        <v>0</v>
      </c>
      <c r="H58" s="26">
        <f t="shared" si="3"/>
        <v>1.4148086931125963E-2</v>
      </c>
      <c r="I58" s="26">
        <f>IF(F$320=0,0,SUM(F$17:F58)/F$320)</f>
        <v>2.0923027869954938E-3</v>
      </c>
      <c r="J58" s="26">
        <f>IF(G$320=0,0,SUM(G$17:G58)/G$320)</f>
        <v>0</v>
      </c>
      <c r="K58" s="26">
        <f>SUM(H$17:H58)/H$320</f>
        <v>2.0923027869954938E-3</v>
      </c>
      <c r="L58" s="26"/>
      <c r="M58" s="26"/>
      <c r="N58" s="27">
        <f t="shared" si="4"/>
        <v>1.3496707340452914E-2</v>
      </c>
      <c r="O58" s="27">
        <f t="shared" si="5"/>
        <v>0</v>
      </c>
      <c r="P58" s="26">
        <f t="shared" si="6"/>
        <v>1.3496707340452914E-2</v>
      </c>
      <c r="Q58" s="26">
        <f>IF(N$320=0,0,SUM(N$17:N58)/N$320)</f>
        <v>2.1182734103294245E-3</v>
      </c>
      <c r="R58" s="26">
        <f>IF(O$320=0,0,SUM(O$17:O58)/O$320)</f>
        <v>0</v>
      </c>
      <c r="S58" s="26">
        <f>SUM(P$17:P58)/P$320</f>
        <v>2.1182734103294245E-3</v>
      </c>
    </row>
    <row r="59" spans="1:19" x14ac:dyDescent="0.4">
      <c r="A59" s="6">
        <f t="shared" si="0"/>
        <v>0.23121378263894624</v>
      </c>
      <c r="B59" s="25">
        <f t="shared" ref="B59:C59" si="47">C$4*EXP(-0.5*(LN($A59)-LN(C$5))^2/(LN(C$6))^2)/($A59*SQRT(2*PI())*LN(C$6))</f>
        <v>1.8514900981483005</v>
      </c>
      <c r="C59" s="25">
        <f t="shared" si="47"/>
        <v>0</v>
      </c>
      <c r="D59" s="27">
        <f t="shared" si="2"/>
        <v>1.8514900981483005</v>
      </c>
      <c r="E59" s="27"/>
      <c r="F59" s="26">
        <f t="shared" si="3"/>
        <v>1.5017335749704142E-2</v>
      </c>
      <c r="G59" s="26">
        <f t="shared" si="3"/>
        <v>0</v>
      </c>
      <c r="H59" s="26">
        <f t="shared" si="3"/>
        <v>1.5017335749704142E-2</v>
      </c>
      <c r="I59" s="26">
        <f>IF(F$320=0,0,SUM(F$17:F59)/F$320)</f>
        <v>2.2406333205911475E-3</v>
      </c>
      <c r="J59" s="26">
        <f>IF(G$320=0,0,SUM(G$17:G59)/G$320)</f>
        <v>0</v>
      </c>
      <c r="K59" s="26">
        <f>SUM(H$17:H59)/H$320</f>
        <v>2.2406333205911475E-3</v>
      </c>
      <c r="L59" s="26"/>
      <c r="M59" s="26"/>
      <c r="N59" s="27">
        <f t="shared" si="4"/>
        <v>1.432903771458674E-2</v>
      </c>
      <c r="O59" s="27">
        <f t="shared" si="5"/>
        <v>0</v>
      </c>
      <c r="P59" s="26">
        <f t="shared" si="6"/>
        <v>1.432903771458674E-2</v>
      </c>
      <c r="Q59" s="26">
        <f>IF(N$320=0,0,SUM(N$17:N59)/N$320)</f>
        <v>2.2622838396217531E-3</v>
      </c>
      <c r="R59" s="26">
        <f>IF(O$320=0,0,SUM(O$17:O59)/O$320)</f>
        <v>0</v>
      </c>
      <c r="S59" s="26">
        <f>SUM(P$17:P59)/P$320</f>
        <v>2.2622838396217531E-3</v>
      </c>
    </row>
    <row r="60" spans="1:19" x14ac:dyDescent="0.4">
      <c r="A60" s="6">
        <f t="shared" si="0"/>
        <v>0.23932472839270597</v>
      </c>
      <c r="B60" s="25">
        <f t="shared" ref="B60:C60" si="48">C$4*EXP(-0.5*(LN($A60)-LN(C$5))^2/(LN(C$6))^2)/($A60*SQRT(2*PI())*LN(C$6))</f>
        <v>1.8978101568909038</v>
      </c>
      <c r="C60" s="25">
        <f t="shared" si="48"/>
        <v>0</v>
      </c>
      <c r="D60" s="27">
        <f t="shared" si="2"/>
        <v>1.8978101568909038</v>
      </c>
      <c r="E60" s="27"/>
      <c r="F60" s="26">
        <f t="shared" si="3"/>
        <v>1.5933020663148625E-2</v>
      </c>
      <c r="G60" s="26">
        <f t="shared" si="3"/>
        <v>0</v>
      </c>
      <c r="H60" s="26">
        <f t="shared" si="3"/>
        <v>1.5933020663148625E-2</v>
      </c>
      <c r="I60" s="26">
        <f>IF(F$320=0,0,SUM(F$17:F60)/F$320)</f>
        <v>2.39800833678215E-3</v>
      </c>
      <c r="J60" s="26">
        <f>IF(G$320=0,0,SUM(G$17:G60)/G$320)</f>
        <v>0</v>
      </c>
      <c r="K60" s="26">
        <f>SUM(H$17:H60)/H$320</f>
        <v>2.39800833678215E-3</v>
      </c>
      <c r="L60" s="26"/>
      <c r="M60" s="26"/>
      <c r="N60" s="27">
        <f t="shared" si="4"/>
        <v>1.5206045489896212E-2</v>
      </c>
      <c r="O60" s="27">
        <f t="shared" si="5"/>
        <v>0</v>
      </c>
      <c r="P60" s="26">
        <f t="shared" si="6"/>
        <v>1.5206045489896212E-2</v>
      </c>
      <c r="Q60" s="26">
        <f>IF(N$320=0,0,SUM(N$17:N60)/N$320)</f>
        <v>2.4151084174096546E-3</v>
      </c>
      <c r="R60" s="26">
        <f>IF(O$320=0,0,SUM(O$17:O60)/O$320)</f>
        <v>0</v>
      </c>
      <c r="S60" s="26">
        <f>SUM(P$17:P60)/P$320</f>
        <v>2.4151084174096546E-3</v>
      </c>
    </row>
    <row r="61" spans="1:19" x14ac:dyDescent="0.4">
      <c r="A61" s="6">
        <f t="shared" si="0"/>
        <v>0.24772020493987071</v>
      </c>
      <c r="B61" s="25">
        <f t="shared" ref="B61:C61" si="49">C$4*EXP(-0.5*(LN($A61)-LN(C$5))^2/(LN(C$6))^2)/($A61*SQRT(2*PI())*LN(C$6))</f>
        <v>1.9444384358962847</v>
      </c>
      <c r="C61" s="25">
        <f t="shared" si="49"/>
        <v>0</v>
      </c>
      <c r="D61" s="27">
        <f t="shared" si="2"/>
        <v>1.9444384358962847</v>
      </c>
      <c r="E61" s="27"/>
      <c r="F61" s="26">
        <f t="shared" si="3"/>
        <v>1.6897147917719218E-2</v>
      </c>
      <c r="G61" s="26">
        <f t="shared" si="3"/>
        <v>0</v>
      </c>
      <c r="H61" s="26">
        <f t="shared" si="3"/>
        <v>1.6897147917719218E-2</v>
      </c>
      <c r="I61" s="26">
        <f>IF(F$320=0,0,SUM(F$17:F61)/F$320)</f>
        <v>2.5649063144696609E-3</v>
      </c>
      <c r="J61" s="26">
        <f>IF(G$320=0,0,SUM(G$17:G61)/G$320)</f>
        <v>0</v>
      </c>
      <c r="K61" s="26">
        <f>SUM(H$17:H61)/H$320</f>
        <v>2.5649063144696609E-3</v>
      </c>
      <c r="L61" s="26"/>
      <c r="M61" s="26"/>
      <c r="N61" s="27">
        <f t="shared" si="4"/>
        <v>1.6129674736219513E-2</v>
      </c>
      <c r="O61" s="27">
        <f t="shared" si="5"/>
        <v>0</v>
      </c>
      <c r="P61" s="26">
        <f t="shared" si="6"/>
        <v>1.6129674736219513E-2</v>
      </c>
      <c r="Q61" s="26">
        <f>IF(N$320=0,0,SUM(N$17:N61)/N$320)</f>
        <v>2.5772157011907551E-3</v>
      </c>
      <c r="R61" s="26">
        <f>IF(O$320=0,0,SUM(O$17:O61)/O$320)</f>
        <v>0</v>
      </c>
      <c r="S61" s="26">
        <f>SUM(P$17:P61)/P$320</f>
        <v>2.5772157011907551E-3</v>
      </c>
    </row>
    <row r="62" spans="1:19" x14ac:dyDescent="0.4">
      <c r="A62" s="6">
        <f t="shared" si="0"/>
        <v>0.25641019357915129</v>
      </c>
      <c r="B62" s="25">
        <f t="shared" ref="B62:C62" si="50">C$4*EXP(-0.5*(LN($A62)-LN(C$5))^2/(LN(C$6))^2)/($A62*SQRT(2*PI())*LN(C$6))</f>
        <v>1.9913412294490078</v>
      </c>
      <c r="C62" s="25">
        <f t="shared" si="50"/>
        <v>0</v>
      </c>
      <c r="D62" s="27">
        <f t="shared" si="2"/>
        <v>1.9913412294490078</v>
      </c>
      <c r="E62" s="27"/>
      <c r="F62" s="26">
        <f t="shared" si="3"/>
        <v>1.7911780157291564E-2</v>
      </c>
      <c r="G62" s="26">
        <f t="shared" si="3"/>
        <v>0</v>
      </c>
      <c r="H62" s="26">
        <f t="shared" si="3"/>
        <v>1.7911780157291564E-2</v>
      </c>
      <c r="I62" s="26">
        <f>IF(F$320=0,0,SUM(F$17:F62)/F$320)</f>
        <v>2.7418261058801603E-3</v>
      </c>
      <c r="J62" s="26">
        <f>IF(G$320=0,0,SUM(G$17:G62)/G$320)</f>
        <v>0</v>
      </c>
      <c r="K62" s="26">
        <f>SUM(H$17:H62)/H$320</f>
        <v>2.7418261058801603E-3</v>
      </c>
      <c r="L62" s="26"/>
      <c r="M62" s="26"/>
      <c r="N62" s="27">
        <f t="shared" si="4"/>
        <v>1.7101925046880337E-2</v>
      </c>
      <c r="O62" s="27">
        <f t="shared" si="5"/>
        <v>0</v>
      </c>
      <c r="P62" s="26">
        <f t="shared" si="6"/>
        <v>1.7101925046880337E-2</v>
      </c>
      <c r="Q62" s="26">
        <f>IF(N$320=0,0,SUM(N$17:N62)/N$320)</f>
        <v>2.7490943448779943E-3</v>
      </c>
      <c r="R62" s="26">
        <f>IF(O$320=0,0,SUM(O$17:O62)/O$320)</f>
        <v>0</v>
      </c>
      <c r="S62" s="26">
        <f>SUM(P$17:P62)/P$320</f>
        <v>2.7490943448779943E-3</v>
      </c>
    </row>
    <row r="63" spans="1:19" x14ac:dyDescent="0.4">
      <c r="A63" s="6">
        <f t="shared" si="0"/>
        <v>0.26540502575176073</v>
      </c>
      <c r="B63" s="25">
        <f t="shared" ref="B63:C63" si="51">C$4*EXP(-0.5*(LN($A63)-LN(C$5))^2/(LN(C$6))^2)/($A63*SQRT(2*PI())*LN(C$6))</f>
        <v>2.0384836468854131</v>
      </c>
      <c r="C63" s="25">
        <f t="shared" si="51"/>
        <v>0</v>
      </c>
      <c r="D63" s="27">
        <f t="shared" si="2"/>
        <v>2.0384836468854131</v>
      </c>
      <c r="E63" s="27"/>
      <c r="F63" s="26">
        <f t="shared" si="3"/>
        <v>1.8979036120207592E-2</v>
      </c>
      <c r="G63" s="26">
        <f t="shared" si="3"/>
        <v>0</v>
      </c>
      <c r="H63" s="26">
        <f t="shared" si="3"/>
        <v>1.8979036120207592E-2</v>
      </c>
      <c r="I63" s="26">
        <f>IF(F$320=0,0,SUM(F$17:F63)/F$320)</f>
        <v>2.929287490626588E-3</v>
      </c>
      <c r="J63" s="26">
        <f>IF(G$320=0,0,SUM(G$17:G63)/G$320)</f>
        <v>0</v>
      </c>
      <c r="K63" s="26">
        <f>SUM(H$17:H63)/H$320</f>
        <v>2.929287490626588E-3</v>
      </c>
      <c r="L63" s="26"/>
      <c r="M63" s="26"/>
      <c r="N63" s="27">
        <f t="shared" si="4"/>
        <v>1.8124851308704046E-2</v>
      </c>
      <c r="O63" s="27">
        <f t="shared" si="5"/>
        <v>0</v>
      </c>
      <c r="P63" s="26">
        <f t="shared" si="6"/>
        <v>1.8124851308704046E-2</v>
      </c>
      <c r="Q63" s="26">
        <f>IF(N$320=0,0,SUM(N$17:N63)/N$320)</f>
        <v>2.931253654513211E-3</v>
      </c>
      <c r="R63" s="26">
        <f>IF(O$320=0,0,SUM(O$17:O63)/O$320)</f>
        <v>0</v>
      </c>
      <c r="S63" s="26">
        <f>SUM(P$17:P63)/P$320</f>
        <v>2.931253654513211E-3</v>
      </c>
    </row>
    <row r="64" spans="1:19" x14ac:dyDescent="0.4">
      <c r="A64" s="6">
        <f t="shared" si="0"/>
        <v>0.27471539532436218</v>
      </c>
      <c r="B64" s="25">
        <f t="shared" ref="B64:C64" si="52">C$4*EXP(-0.5*(LN($A64)-LN(C$5))^2/(LN(C$6))^2)/($A64*SQRT(2*PI())*LN(C$6))</f>
        <v>2.0858296457668346</v>
      </c>
      <c r="C64" s="25">
        <f t="shared" si="52"/>
        <v>0</v>
      </c>
      <c r="D64" s="27">
        <f t="shared" si="2"/>
        <v>2.0858296457668346</v>
      </c>
      <c r="E64" s="27"/>
      <c r="F64" s="26">
        <f t="shared" si="3"/>
        <v>2.0101090191578727E-2</v>
      </c>
      <c r="G64" s="26">
        <f t="shared" si="3"/>
        <v>0</v>
      </c>
      <c r="H64" s="26">
        <f t="shared" si="3"/>
        <v>2.0101090191578727E-2</v>
      </c>
      <c r="I64" s="26">
        <f>IF(F$320=0,0,SUM(F$17:F64)/F$320)</f>
        <v>3.1278317253474485E-3</v>
      </c>
      <c r="J64" s="26">
        <f>IF(G$320=0,0,SUM(G$17:G64)/G$320)</f>
        <v>0</v>
      </c>
      <c r="K64" s="26">
        <f>SUM(H$17:H64)/H$320</f>
        <v>3.1278317253474485E-3</v>
      </c>
      <c r="L64" s="26"/>
      <c r="M64" s="26"/>
      <c r="N64" s="27">
        <f t="shared" si="4"/>
        <v>1.9200563333646559E-2</v>
      </c>
      <c r="O64" s="27">
        <f t="shared" si="5"/>
        <v>0</v>
      </c>
      <c r="P64" s="26">
        <f t="shared" si="6"/>
        <v>1.9200563333646559E-2</v>
      </c>
      <c r="Q64" s="26">
        <f>IF(N$320=0,0,SUM(N$17:N64)/N$320)</f>
        <v>3.1242241402785029E-3</v>
      </c>
      <c r="R64" s="26">
        <f>IF(O$320=0,0,SUM(O$17:O64)/O$320)</f>
        <v>0</v>
      </c>
      <c r="S64" s="26">
        <f>SUM(P$17:P64)/P$320</f>
        <v>3.1242241402785029E-3</v>
      </c>
    </row>
    <row r="65" spans="1:19" x14ac:dyDescent="0.4">
      <c r="A65" s="6">
        <f t="shared" si="0"/>
        <v>0.28435237130290081</v>
      </c>
      <c r="B65" s="25">
        <f t="shared" ref="B65:C65" si="53">C$4*EXP(-0.5*(LN($A65)-LN(C$5))^2/(LN(C$6))^2)/($A65*SQRT(2*PI())*LN(C$6))</f>
        <v>2.1333420683930817</v>
      </c>
      <c r="C65" s="25">
        <f t="shared" si="53"/>
        <v>0</v>
      </c>
      <c r="D65" s="27">
        <f t="shared" si="2"/>
        <v>2.1333420683930817</v>
      </c>
      <c r="E65" s="27"/>
      <c r="F65" s="26">
        <f t="shared" si="3"/>
        <v>2.1280171803573437E-2</v>
      </c>
      <c r="G65" s="26">
        <f t="shared" si="3"/>
        <v>0</v>
      </c>
      <c r="H65" s="26">
        <f t="shared" si="3"/>
        <v>2.1280171803573437E-2</v>
      </c>
      <c r="I65" s="26">
        <f>IF(F$320=0,0,SUM(F$17:F65)/F$320)</f>
        <v>3.338022087422387E-3</v>
      </c>
      <c r="J65" s="26">
        <f>IF(G$320=0,0,SUM(G$17:G65)/G$320)</f>
        <v>0</v>
      </c>
      <c r="K65" s="26">
        <f>SUM(H$17:H65)/H$320</f>
        <v>3.338022087422387E-3</v>
      </c>
      <c r="L65" s="26"/>
      <c r="M65" s="26"/>
      <c r="N65" s="27">
        <f t="shared" si="4"/>
        <v>2.0331225344673558E-2</v>
      </c>
      <c r="O65" s="27">
        <f t="shared" si="5"/>
        <v>0</v>
      </c>
      <c r="P65" s="26">
        <f t="shared" si="6"/>
        <v>2.0331225344673558E-2</v>
      </c>
      <c r="Q65" s="26">
        <f>IF(N$320=0,0,SUM(N$17:N65)/N$320)</f>
        <v>3.3285580633405486E-3</v>
      </c>
      <c r="R65" s="26">
        <f>IF(O$320=0,0,SUM(O$17:O65)/O$320)</f>
        <v>0</v>
      </c>
      <c r="S65" s="26">
        <f>SUM(P$17:P65)/P$320</f>
        <v>3.3285580633405486E-3</v>
      </c>
    </row>
    <row r="66" spans="1:19" x14ac:dyDescent="0.4">
      <c r="A66" s="6">
        <f t="shared" si="0"/>
        <v>0.29432741099243476</v>
      </c>
      <c r="B66" s="25">
        <f t="shared" ref="B66:C66" si="54">C$4*EXP(-0.5*(LN($A66)-LN(C$5))^2/(LN(C$6))^2)/($A66*SQRT(2*PI())*LN(C$6))</f>
        <v>2.1809826816383282</v>
      </c>
      <c r="C66" s="25">
        <f t="shared" si="54"/>
        <v>0</v>
      </c>
      <c r="D66" s="27">
        <f t="shared" si="2"/>
        <v>2.1809826816383282</v>
      </c>
      <c r="E66" s="27"/>
      <c r="F66" s="26">
        <f t="shared" si="3"/>
        <v>2.2518564676255497E-2</v>
      </c>
      <c r="G66" s="26">
        <f t="shared" si="3"/>
        <v>0</v>
      </c>
      <c r="H66" s="26">
        <f t="shared" si="3"/>
        <v>2.2518564676255497E-2</v>
      </c>
      <c r="I66" s="26">
        <f>IF(F$320=0,0,SUM(F$17:F66)/F$320)</f>
        <v>3.5604444111893051E-3</v>
      </c>
      <c r="J66" s="26">
        <f>IF(G$320=0,0,SUM(G$17:G66)/G$320)</f>
        <v>0</v>
      </c>
      <c r="K66" s="26">
        <f>SUM(H$17:H66)/H$320</f>
        <v>3.5604444111893051E-3</v>
      </c>
      <c r="L66" s="26"/>
      <c r="M66" s="26"/>
      <c r="N66" s="27">
        <f t="shared" si="4"/>
        <v>2.1519055308576174E-2</v>
      </c>
      <c r="O66" s="27">
        <f t="shared" si="5"/>
        <v>0</v>
      </c>
      <c r="P66" s="26">
        <f t="shared" si="6"/>
        <v>2.1519055308576174E-2</v>
      </c>
      <c r="Q66" s="26">
        <f>IF(N$320=0,0,SUM(N$17:N66)/N$320)</f>
        <v>3.5448299759895554E-3</v>
      </c>
      <c r="R66" s="26">
        <f>IF(O$320=0,0,SUM(O$17:O66)/O$320)</f>
        <v>0</v>
      </c>
      <c r="S66" s="26">
        <f>SUM(P$17:P66)/P$320</f>
        <v>3.5448299759895554E-3</v>
      </c>
    </row>
    <row r="67" spans="1:19" x14ac:dyDescent="0.4">
      <c r="A67" s="6">
        <f t="shared" si="0"/>
        <v>0.30465237361861197</v>
      </c>
      <c r="B67" s="25">
        <f t="shared" ref="B67:C67" si="55">C$4*EXP(-0.5*(LN($A67)-LN(C$5))^2/(LN(C$6))^2)/($A67*SQRT(2*PI())*LN(C$6))</f>
        <v>2.228712220080856</v>
      </c>
      <c r="C67" s="25">
        <f t="shared" si="55"/>
        <v>0</v>
      </c>
      <c r="D67" s="27">
        <f t="shared" si="2"/>
        <v>2.228712220080856</v>
      </c>
      <c r="E67" s="27"/>
      <c r="F67" s="26">
        <f t="shared" si="3"/>
        <v>2.3818605891590867E-2</v>
      </c>
      <c r="G67" s="26">
        <f t="shared" si="3"/>
        <v>0</v>
      </c>
      <c r="H67" s="26">
        <f t="shared" si="3"/>
        <v>2.3818605891590867E-2</v>
      </c>
      <c r="I67" s="26">
        <f>IF(F$320=0,0,SUM(F$17:F67)/F$320)</f>
        <v>3.7957076150151804E-3</v>
      </c>
      <c r="J67" s="26">
        <f>IF(G$320=0,0,SUM(G$17:G67)/G$320)</f>
        <v>0</v>
      </c>
      <c r="K67" s="26">
        <f>SUM(H$17:H67)/H$320</f>
        <v>3.7957076150151804E-3</v>
      </c>
      <c r="L67" s="26"/>
      <c r="M67" s="26"/>
      <c r="N67" s="27">
        <f t="shared" si="4"/>
        <v>2.2766324108438325E-2</v>
      </c>
      <c r="O67" s="27">
        <f t="shared" si="5"/>
        <v>0</v>
      </c>
      <c r="P67" s="26">
        <f t="shared" si="6"/>
        <v>2.2766324108438325E-2</v>
      </c>
      <c r="Q67" s="26">
        <f>IF(N$320=0,0,SUM(N$17:N67)/N$320)</f>
        <v>3.7736372534612969E-3</v>
      </c>
      <c r="R67" s="26">
        <f>IF(O$320=0,0,SUM(O$17:O67)/O$320)</f>
        <v>0</v>
      </c>
      <c r="S67" s="26">
        <f>SUM(P$17:P67)/P$320</f>
        <v>3.7736372534612969E-3</v>
      </c>
    </row>
    <row r="68" spans="1:19" x14ac:dyDescent="0.4">
      <c r="A68" s="6">
        <f t="shared" si="0"/>
        <v>0.31533953442698531</v>
      </c>
      <c r="B68" s="25">
        <f t="shared" ref="B68:C68" si="56">C$4*EXP(-0.5*(LN($A68)-LN(C$5))^2/(LN(C$6))^2)/($A68*SQRT(2*PI())*LN(C$6))</f>
        <v>2.2764904323872996</v>
      </c>
      <c r="C68" s="25">
        <f t="shared" si="56"/>
        <v>0</v>
      </c>
      <c r="D68" s="27">
        <f t="shared" si="2"/>
        <v>2.2764904323872996</v>
      </c>
      <c r="E68" s="27"/>
      <c r="F68" s="26">
        <f t="shared" si="3"/>
        <v>2.5182684793347988E-2</v>
      </c>
      <c r="G68" s="26">
        <f t="shared" si="3"/>
        <v>0</v>
      </c>
      <c r="H68" s="26">
        <f t="shared" si="3"/>
        <v>2.5182684793347988E-2</v>
      </c>
      <c r="I68" s="26">
        <f>IF(F$320=0,0,SUM(F$17:F68)/F$320)</f>
        <v>4.0444442175008814E-3</v>
      </c>
      <c r="J68" s="26">
        <f>IF(G$320=0,0,SUM(G$17:G68)/G$320)</f>
        <v>0</v>
      </c>
      <c r="K68" s="26">
        <f>SUM(H$17:H68)/H$320</f>
        <v>4.0444442175008814E-3</v>
      </c>
      <c r="L68" s="26"/>
      <c r="M68" s="26"/>
      <c r="N68" s="27">
        <f t="shared" si="4"/>
        <v>2.4075354548544349E-2</v>
      </c>
      <c r="O68" s="27">
        <f t="shared" si="5"/>
        <v>0</v>
      </c>
      <c r="P68" s="26">
        <f t="shared" si="6"/>
        <v>2.4075354548544349E-2</v>
      </c>
      <c r="Q68" s="26">
        <f>IF(N$320=0,0,SUM(N$17:N68)/N$320)</f>
        <v>4.015600615758225E-3</v>
      </c>
      <c r="R68" s="26">
        <f>IF(O$320=0,0,SUM(O$17:O68)/O$320)</f>
        <v>0</v>
      </c>
      <c r="S68" s="26">
        <f>SUM(P$17:P68)/P$320</f>
        <v>4.015600615758225E-3</v>
      </c>
    </row>
    <row r="69" spans="1:19" x14ac:dyDescent="0.4">
      <c r="A69" s="6">
        <f t="shared" si="0"/>
        <v>0.32640159927693047</v>
      </c>
      <c r="B69" s="25">
        <f t="shared" ref="B69:C69" si="57">C$4*EXP(-0.5*(LN($A69)-LN(C$5))^2/(LN(C$6))^2)/($A69*SQRT(2*PI())*LN(C$6))</f>
        <v>2.3242761309009832</v>
      </c>
      <c r="C69" s="25">
        <f t="shared" si="57"/>
        <v>0</v>
      </c>
      <c r="D69" s="27">
        <f t="shared" si="2"/>
        <v>2.3242761309009832</v>
      </c>
      <c r="E69" s="27"/>
      <c r="F69" s="26">
        <f t="shared" si="3"/>
        <v>2.6613241705721762E-2</v>
      </c>
      <c r="G69" s="26">
        <f t="shared" si="3"/>
        <v>0</v>
      </c>
      <c r="H69" s="26">
        <f t="shared" si="3"/>
        <v>2.6613241705721762E-2</v>
      </c>
      <c r="I69" s="26">
        <f>IF(F$320=0,0,SUM(F$17:F69)/F$320)</f>
        <v>4.3073108410294639E-3</v>
      </c>
      <c r="J69" s="26">
        <f>IF(G$320=0,0,SUM(G$17:G69)/G$320)</f>
        <v>0</v>
      </c>
      <c r="K69" s="26">
        <f>SUM(H$17:H69)/H$320</f>
        <v>4.3073108410294639E-3</v>
      </c>
      <c r="L69" s="26"/>
      <c r="M69" s="26"/>
      <c r="N69" s="27">
        <f t="shared" si="4"/>
        <v>2.5448520184633699E-2</v>
      </c>
      <c r="O69" s="27">
        <f t="shared" si="5"/>
        <v>0</v>
      </c>
      <c r="P69" s="26">
        <f t="shared" si="6"/>
        <v>2.5448520184633699E-2</v>
      </c>
      <c r="Q69" s="26">
        <f>IF(N$320=0,0,SUM(N$17:N69)/N$320)</f>
        <v>4.2713646377143429E-3</v>
      </c>
      <c r="R69" s="26">
        <f>IF(O$320=0,0,SUM(O$17:O69)/O$320)</f>
        <v>0</v>
      </c>
      <c r="S69" s="26">
        <f>SUM(P$17:P69)/P$320</f>
        <v>4.2713646377143429E-3</v>
      </c>
    </row>
    <row r="70" spans="1:19" x14ac:dyDescent="0.4">
      <c r="A70" s="6">
        <f t="shared" si="0"/>
        <v>0.3378517197475156</v>
      </c>
      <c r="B70" s="25">
        <f t="shared" ref="B70:C70" si="58">C$4*EXP(-0.5*(LN($A70)-LN(C$5))^2/(LN(C$6))^2)/($A70*SQRT(2*PI())*LN(C$6))</f>
        <v>2.3720272443730042</v>
      </c>
      <c r="C70" s="25">
        <f t="shared" si="58"/>
        <v>0</v>
      </c>
      <c r="D70" s="27">
        <f t="shared" si="2"/>
        <v>2.3720272443730042</v>
      </c>
      <c r="E70" s="27"/>
      <c r="F70" s="26">
        <f t="shared" si="3"/>
        <v>2.811276646368242E-2</v>
      </c>
      <c r="G70" s="26">
        <f t="shared" si="3"/>
        <v>0</v>
      </c>
      <c r="H70" s="26">
        <f t="shared" si="3"/>
        <v>2.811276646368242E-2</v>
      </c>
      <c r="I70" s="26">
        <f>IF(F$320=0,0,SUM(F$17:F70)/F$320)</f>
        <v>4.5849887007983091E-3</v>
      </c>
      <c r="J70" s="26">
        <f>IF(G$320=0,0,SUM(G$17:G70)/G$320)</f>
        <v>0</v>
      </c>
      <c r="K70" s="26">
        <f>SUM(H$17:H70)/H$320</f>
        <v>4.5849887007983091E-3</v>
      </c>
      <c r="L70" s="26"/>
      <c r="M70" s="26"/>
      <c r="N70" s="27">
        <f t="shared" si="4"/>
        <v>2.6888243972526468E-2</v>
      </c>
      <c r="O70" s="27">
        <f t="shared" si="5"/>
        <v>0</v>
      </c>
      <c r="P70" s="26">
        <f t="shared" si="6"/>
        <v>2.6888243972526468E-2</v>
      </c>
      <c r="Q70" s="26">
        <f>IF(N$320=0,0,SUM(N$17:N70)/N$320)</f>
        <v>4.5415982454784275E-3</v>
      </c>
      <c r="R70" s="26">
        <f>IF(O$320=0,0,SUM(O$17:O70)/O$320)</f>
        <v>0</v>
      </c>
      <c r="S70" s="26">
        <f>SUM(P$17:P70)/P$320</f>
        <v>4.5415982454784275E-3</v>
      </c>
    </row>
    <row r="71" spans="1:19" x14ac:dyDescent="0.4">
      <c r="A71" s="6">
        <f t="shared" si="0"/>
        <v>0.34970350877328349</v>
      </c>
      <c r="B71" s="25">
        <f t="shared" ref="B71:C71" si="59">C$4*EXP(-0.5*(LN($A71)-LN(C$5))^2/(LN(C$6))^2)/($A71*SQRT(2*PI())*LN(C$6))</f>
        <v>2.4197008737636536</v>
      </c>
      <c r="C71" s="25">
        <f t="shared" si="59"/>
        <v>0</v>
      </c>
      <c r="D71" s="27">
        <f t="shared" si="2"/>
        <v>2.4197008737636536</v>
      </c>
      <c r="E71" s="27"/>
      <c r="F71" s="26">
        <f t="shared" si="3"/>
        <v>2.9683796748227752E-2</v>
      </c>
      <c r="G71" s="26">
        <f t="shared" si="3"/>
        <v>0</v>
      </c>
      <c r="H71" s="26">
        <f t="shared" si="3"/>
        <v>2.9683796748227752E-2</v>
      </c>
      <c r="I71" s="26">
        <f>IF(F$320=0,0,SUM(F$17:F71)/F$320)</f>
        <v>4.8781840774080572E-3</v>
      </c>
      <c r="J71" s="26">
        <f>IF(G$320=0,0,SUM(G$17:G71)/G$320)</f>
        <v>0</v>
      </c>
      <c r="K71" s="26">
        <f>SUM(H$17:H71)/H$320</f>
        <v>4.8781840774080572E-3</v>
      </c>
      <c r="L71" s="26"/>
      <c r="M71" s="26"/>
      <c r="N71" s="27">
        <f t="shared" si="4"/>
        <v>2.8396996728339164E-2</v>
      </c>
      <c r="O71" s="27">
        <f t="shared" si="5"/>
        <v>0</v>
      </c>
      <c r="P71" s="26">
        <f t="shared" si="6"/>
        <v>2.8396996728339164E-2</v>
      </c>
      <c r="Q71" s="26">
        <f>IF(N$320=0,0,SUM(N$17:N71)/N$320)</f>
        <v>4.8269951975220375E-3</v>
      </c>
      <c r="R71" s="26">
        <f>IF(O$320=0,0,SUM(O$17:O71)/O$320)</f>
        <v>0</v>
      </c>
      <c r="S71" s="26">
        <f>SUM(P$17:P71)/P$320</f>
        <v>4.8269951975220375E-3</v>
      </c>
    </row>
    <row r="72" spans="1:19" x14ac:dyDescent="0.4">
      <c r="A72" s="6">
        <f t="shared" si="0"/>
        <v>0.3619710568285342</v>
      </c>
      <c r="B72" s="25">
        <f t="shared" ref="B72:C72" si="60">C$4*EXP(-0.5*(LN($A72)-LN(C$5))^2/(LN(C$6))^2)/($A72*SQRT(2*PI())*LN(C$6))</f>
        <v>2.4672533510306454</v>
      </c>
      <c r="C72" s="25">
        <f t="shared" si="60"/>
        <v>0</v>
      </c>
      <c r="D72" s="27">
        <f t="shared" si="2"/>
        <v>2.4672533510306454</v>
      </c>
      <c r="E72" s="27"/>
      <c r="F72" s="26">
        <f t="shared" si="3"/>
        <v>3.1328916219949654E-2</v>
      </c>
      <c r="G72" s="26">
        <f t="shared" si="3"/>
        <v>0</v>
      </c>
      <c r="H72" s="26">
        <f t="shared" si="3"/>
        <v>3.1328916219949654E-2</v>
      </c>
      <c r="I72" s="26">
        <f>IF(F$320=0,0,SUM(F$17:F72)/F$320)</f>
        <v>5.1876287710162575E-3</v>
      </c>
      <c r="J72" s="26">
        <f>IF(G$320=0,0,SUM(G$17:G72)/G$320)</f>
        <v>0</v>
      </c>
      <c r="K72" s="26">
        <f>SUM(H$17:H72)/H$320</f>
        <v>5.1876287710162575E-3</v>
      </c>
      <c r="L72" s="26"/>
      <c r="M72" s="26"/>
      <c r="N72" s="27">
        <f t="shared" si="4"/>
        <v>2.9977295393686116E-2</v>
      </c>
      <c r="O72" s="27">
        <f t="shared" si="5"/>
        <v>0</v>
      </c>
      <c r="P72" s="26">
        <f t="shared" si="6"/>
        <v>2.9977295393686116E-2</v>
      </c>
      <c r="Q72" s="26">
        <f>IF(N$320=0,0,SUM(N$17:N72)/N$320)</f>
        <v>5.12827454821235E-3</v>
      </c>
      <c r="R72" s="26">
        <f>IF(O$320=0,0,SUM(O$17:O72)/O$320)</f>
        <v>0</v>
      </c>
      <c r="S72" s="26">
        <f>SUM(P$17:P72)/P$320</f>
        <v>5.12827454821235E-3</v>
      </c>
    </row>
    <row r="73" spans="1:19" x14ac:dyDescent="0.4">
      <c r="A73" s="6">
        <f t="shared" si="0"/>
        <v>0.37466894867934986</v>
      </c>
      <c r="B73" s="25">
        <f t="shared" ref="B73:C73" si="61">C$4*EXP(-0.5*(LN($A73)-LN(C$5))^2/(LN(C$6))^2)/($A73*SQRT(2*PI())*LN(C$6))</f>
        <v>2.5146403008098255</v>
      </c>
      <c r="C73" s="25">
        <f t="shared" si="61"/>
        <v>0</v>
      </c>
      <c r="D73" s="27">
        <f t="shared" si="2"/>
        <v>2.5146403008098255</v>
      </c>
      <c r="E73" s="27"/>
      <c r="F73" s="26">
        <f t="shared" si="3"/>
        <v>3.3050752444588147E-2</v>
      </c>
      <c r="G73" s="26">
        <f t="shared" si="3"/>
        <v>0</v>
      </c>
      <c r="H73" s="26">
        <f t="shared" si="3"/>
        <v>3.3050752444588147E-2</v>
      </c>
      <c r="I73" s="26">
        <f>IF(F$320=0,0,SUM(F$17:F73)/F$320)</f>
        <v>5.5140805350011026E-3</v>
      </c>
      <c r="J73" s="26">
        <f>IF(G$320=0,0,SUM(G$17:G73)/G$320)</f>
        <v>0</v>
      </c>
      <c r="K73" s="26">
        <f>SUM(H$17:H73)/H$320</f>
        <v>5.5140805350011026E-3</v>
      </c>
      <c r="L73" s="26"/>
      <c r="M73" s="26"/>
      <c r="N73" s="27">
        <f t="shared" si="4"/>
        <v>3.1631701099519516E-2</v>
      </c>
      <c r="O73" s="27">
        <f t="shared" si="5"/>
        <v>0</v>
      </c>
      <c r="P73" s="26">
        <f t="shared" si="6"/>
        <v>3.1631701099519516E-2</v>
      </c>
      <c r="Q73" s="26">
        <f>IF(N$320=0,0,SUM(N$17:N73)/N$320)</f>
        <v>5.4461810919261139E-3</v>
      </c>
      <c r="R73" s="26">
        <f>IF(O$320=0,0,SUM(O$17:O73)/O$320)</f>
        <v>0</v>
      </c>
      <c r="S73" s="26">
        <f>SUM(P$17:P73)/P$320</f>
        <v>5.4461810919261139E-3</v>
      </c>
    </row>
    <row r="74" spans="1:19" x14ac:dyDescent="0.4">
      <c r="A74" s="6">
        <f t="shared" si="0"/>
        <v>0.3878122807232785</v>
      </c>
      <c r="B74" s="25">
        <f t="shared" ref="B74:C74" si="62">C$4*EXP(-0.5*(LN($A74)-LN(C$5))^2/(LN(C$6))^2)/($A74*SQRT(2*PI())*LN(C$6))</f>
        <v>2.5618167048829941</v>
      </c>
      <c r="C74" s="25">
        <f t="shared" si="62"/>
        <v>0</v>
      </c>
      <c r="D74" s="27">
        <f t="shared" si="2"/>
        <v>2.5618167048829941</v>
      </c>
      <c r="E74" s="27"/>
      <c r="F74" s="26">
        <f t="shared" si="3"/>
        <v>3.4851974604537712E-2</v>
      </c>
      <c r="G74" s="26">
        <f t="shared" si="3"/>
        <v>0</v>
      </c>
      <c r="H74" s="26">
        <f t="shared" si="3"/>
        <v>3.4851974604537712E-2</v>
      </c>
      <c r="I74" s="26">
        <f>IF(F$320=0,0,SUM(F$17:F74)/F$320)</f>
        <v>5.8583234870210766E-3</v>
      </c>
      <c r="J74" s="26">
        <f>IF(G$320=0,0,SUM(G$17:G74)/G$320)</f>
        <v>0</v>
      </c>
      <c r="K74" s="26">
        <f>SUM(H$17:H74)/H$320</f>
        <v>5.8583234870210766E-3</v>
      </c>
      <c r="L74" s="26"/>
      <c r="M74" s="26"/>
      <c r="N74" s="27">
        <f t="shared" si="4"/>
        <v>3.3362817022530508E-2</v>
      </c>
      <c r="O74" s="27">
        <f t="shared" si="5"/>
        <v>0</v>
      </c>
      <c r="P74" s="26">
        <f t="shared" si="6"/>
        <v>3.3362817022530508E-2</v>
      </c>
      <c r="Q74" s="26">
        <f>IF(N$320=0,0,SUM(N$17:N74)/N$320)</f>
        <v>5.781485785619888E-3</v>
      </c>
      <c r="R74" s="26">
        <f>IF(O$320=0,0,SUM(O$17:O74)/O$320)</f>
        <v>0</v>
      </c>
      <c r="S74" s="26">
        <f>SUM(P$17:P74)/P$320</f>
        <v>5.781485785619888E-3</v>
      </c>
    </row>
    <row r="75" spans="1:19" x14ac:dyDescent="0.4">
      <c r="A75" s="6">
        <f t="shared" si="0"/>
        <v>0.40141667893729105</v>
      </c>
      <c r="B75" s="25">
        <f t="shared" ref="B75:C75" si="63">C$4*EXP(-0.5*(LN($A75)-LN(C$5))^2/(LN(C$6))^2)/($A75*SQRT(2*PI())*LN(C$6))</f>
        <v>2.6087369693169058</v>
      </c>
      <c r="C75" s="25">
        <f t="shared" si="63"/>
        <v>0</v>
      </c>
      <c r="D75" s="27">
        <f t="shared" si="2"/>
        <v>2.6087369693169058</v>
      </c>
      <c r="E75" s="27"/>
      <c r="F75" s="26">
        <f t="shared" si="3"/>
        <v>3.6735290990618286E-2</v>
      </c>
      <c r="G75" s="26">
        <f t="shared" si="3"/>
        <v>0</v>
      </c>
      <c r="H75" s="26">
        <f t="shared" si="3"/>
        <v>3.6735290990618286E-2</v>
      </c>
      <c r="I75" s="26">
        <f>IF(F$320=0,0,SUM(F$17:F75)/F$320)</f>
        <v>6.2211684953000831E-3</v>
      </c>
      <c r="J75" s="26">
        <f>IF(G$320=0,0,SUM(G$17:G75)/G$320)</f>
        <v>0</v>
      </c>
      <c r="K75" s="26">
        <f>SUM(H$17:H75)/H$320</f>
        <v>6.2211684953000831E-3</v>
      </c>
      <c r="L75" s="26"/>
      <c r="M75" s="26"/>
      <c r="N75" s="27">
        <f t="shared" si="4"/>
        <v>3.5173286028349245E-2</v>
      </c>
      <c r="O75" s="27">
        <f t="shared" si="5"/>
        <v>0</v>
      </c>
      <c r="P75" s="26">
        <f t="shared" si="6"/>
        <v>3.5173286028349245E-2</v>
      </c>
      <c r="Q75" s="26">
        <f>IF(N$320=0,0,SUM(N$17:N75)/N$320)</f>
        <v>6.1349861477138492E-3</v>
      </c>
      <c r="R75" s="26">
        <f>IF(O$320=0,0,SUM(O$17:O75)/O$320)</f>
        <v>0</v>
      </c>
      <c r="S75" s="26">
        <f>SUM(P$17:P75)/P$320</f>
        <v>6.1349861477138492E-3</v>
      </c>
    </row>
    <row r="76" spans="1:19" x14ac:dyDescent="0.4">
      <c r="A76" s="6">
        <f t="shared" si="0"/>
        <v>0.41549831745535037</v>
      </c>
      <c r="B76" s="25">
        <f t="shared" ref="B76:C76" si="64">C$4*EXP(-0.5*(LN($A76)-LN(C$5))^2/(LN(C$6))^2)/($A76*SQRT(2*PI())*LN(C$6))</f>
        <v>2.6553549941469203</v>
      </c>
      <c r="C76" s="25">
        <f t="shared" si="64"/>
        <v>0</v>
      </c>
      <c r="D76" s="27">
        <f t="shared" si="2"/>
        <v>2.6553549941469203</v>
      </c>
      <c r="E76" s="27"/>
      <c r="F76" s="26">
        <f t="shared" si="3"/>
        <v>3.8703446268789687E-2</v>
      </c>
      <c r="G76" s="26">
        <f t="shared" si="3"/>
        <v>0</v>
      </c>
      <c r="H76" s="26">
        <f t="shared" si="3"/>
        <v>3.8703446268789687E-2</v>
      </c>
      <c r="I76" s="26">
        <f>IF(F$320=0,0,SUM(F$17:F76)/F$320)</f>
        <v>6.6034535379151408E-3</v>
      </c>
      <c r="J76" s="26">
        <f>IF(G$320=0,0,SUM(G$17:G76)/G$320)</f>
        <v>0</v>
      </c>
      <c r="K76" s="26">
        <f>SUM(H$17:H76)/H$320</f>
        <v>6.6034535379151408E-3</v>
      </c>
      <c r="L76" s="26"/>
      <c r="M76" s="26"/>
      <c r="N76" s="27">
        <f t="shared" si="4"/>
        <v>3.7065788096122751E-2</v>
      </c>
      <c r="O76" s="27">
        <f t="shared" si="5"/>
        <v>0</v>
      </c>
      <c r="P76" s="26">
        <f t="shared" si="6"/>
        <v>3.7065788096122751E-2</v>
      </c>
      <c r="Q76" s="26">
        <f>IF(N$320=0,0,SUM(N$17:N76)/N$320)</f>
        <v>6.5075066310919666E-3</v>
      </c>
      <c r="R76" s="26">
        <f>IF(O$320=0,0,SUM(O$17:O76)/O$320)</f>
        <v>0</v>
      </c>
      <c r="S76" s="26">
        <f>SUM(P$17:P76)/P$320</f>
        <v>6.5075066310919666E-3</v>
      </c>
    </row>
    <row r="77" spans="1:19" x14ac:dyDescent="0.4">
      <c r="A77" s="6">
        <f t="shared" si="0"/>
        <v>0.43007393779767822</v>
      </c>
      <c r="B77" s="25">
        <f t="shared" ref="B77:C77" si="65">C$4*EXP(-0.5*(LN($A77)-LN(C$5))^2/(LN(C$6))^2)/($A77*SQRT(2*PI())*LN(C$6))</f>
        <v>2.7016242454685999</v>
      </c>
      <c r="C77" s="25">
        <f t="shared" si="65"/>
        <v>0</v>
      </c>
      <c r="D77" s="27">
        <f t="shared" si="2"/>
        <v>2.7016242454685999</v>
      </c>
      <c r="E77" s="27"/>
      <c r="F77" s="26">
        <f t="shared" si="3"/>
        <v>4.0759218516916919E-2</v>
      </c>
      <c r="G77" s="26">
        <f t="shared" si="3"/>
        <v>0</v>
      </c>
      <c r="H77" s="26">
        <f t="shared" si="3"/>
        <v>4.0759218516916919E-2</v>
      </c>
      <c r="I77" s="26">
        <f>IF(F$320=0,0,SUM(F$17:F77)/F$320)</f>
        <v>7.0060440328153584E-3</v>
      </c>
      <c r="J77" s="26">
        <f>IF(G$320=0,0,SUM(G$17:G77)/G$320)</f>
        <v>0</v>
      </c>
      <c r="K77" s="26">
        <f>SUM(H$17:H77)/H$320</f>
        <v>7.0060440328153584E-3</v>
      </c>
      <c r="L77" s="26"/>
      <c r="M77" s="26"/>
      <c r="N77" s="27">
        <f t="shared" si="4"/>
        <v>3.9043037519466153E-2</v>
      </c>
      <c r="O77" s="27">
        <f t="shared" si="5"/>
        <v>0</v>
      </c>
      <c r="P77" s="26">
        <f t="shared" si="6"/>
        <v>3.9043037519466153E-2</v>
      </c>
      <c r="Q77" s="26">
        <f>IF(N$320=0,0,SUM(N$17:N77)/N$320)</f>
        <v>6.8998989679710234E-3</v>
      </c>
      <c r="R77" s="26">
        <f>IF(O$320=0,0,SUM(O$17:O77)/O$320)</f>
        <v>0</v>
      </c>
      <c r="S77" s="26">
        <f>SUM(P$17:P77)/P$320</f>
        <v>6.8998989679710234E-3</v>
      </c>
    </row>
    <row r="78" spans="1:19" x14ac:dyDescent="0.4">
      <c r="A78" s="6">
        <f t="shared" si="0"/>
        <v>0.44516086877458289</v>
      </c>
      <c r="B78" s="25">
        <f t="shared" ref="B78:C78" si="66">C$4*EXP(-0.5*(LN($A78)-LN(C$5))^2/(LN(C$6))^2)/($A78*SQRT(2*PI())*LN(C$6))</f>
        <v>2.7474978297904649</v>
      </c>
      <c r="C78" s="25">
        <f t="shared" si="66"/>
        <v>0</v>
      </c>
      <c r="D78" s="27">
        <f t="shared" si="2"/>
        <v>2.7474978297904649</v>
      </c>
      <c r="E78" s="27"/>
      <c r="F78" s="26">
        <f t="shared" si="3"/>
        <v>4.2905416027134068E-2</v>
      </c>
      <c r="G78" s="26">
        <f t="shared" si="3"/>
        <v>0</v>
      </c>
      <c r="H78" s="26">
        <f t="shared" si="3"/>
        <v>4.2905416027134068E-2</v>
      </c>
      <c r="I78" s="26">
        <f>IF(F$320=0,0,SUM(F$17:F78)/F$320)</f>
        <v>7.4298331362569374E-3</v>
      </c>
      <c r="J78" s="26">
        <f>IF(G$320=0,0,SUM(G$17:G78)/G$320)</f>
        <v>0</v>
      </c>
      <c r="K78" s="26">
        <f>SUM(H$17:H78)/H$320</f>
        <v>7.4298331362569374E-3</v>
      </c>
      <c r="L78" s="26"/>
      <c r="M78" s="26"/>
      <c r="N78" s="27">
        <f t="shared" si="4"/>
        <v>4.1107779879163892E-2</v>
      </c>
      <c r="O78" s="27">
        <f t="shared" si="5"/>
        <v>0</v>
      </c>
      <c r="P78" s="26">
        <f t="shared" si="6"/>
        <v>4.1107779879163892E-2</v>
      </c>
      <c r="Q78" s="26">
        <f>IF(N$320=0,0,SUM(N$17:N78)/N$320)</f>
        <v>7.3130424843445294E-3</v>
      </c>
      <c r="R78" s="26">
        <f>IF(O$320=0,0,SUM(O$17:O78)/O$320)</f>
        <v>0</v>
      </c>
      <c r="S78" s="26">
        <f>SUM(P$17:P78)/P$320</f>
        <v>7.3130424843445294E-3</v>
      </c>
    </row>
    <row r="79" spans="1:19" x14ac:dyDescent="0.4">
      <c r="A79" s="6">
        <f t="shared" si="0"/>
        <v>0.46077704708850942</v>
      </c>
      <c r="B79" s="25">
        <f t="shared" ref="B79:C79" si="67">C$4*EXP(-0.5*(LN($A79)-LN(C$5))^2/(LN(C$6))^2)/($A79*SQRT(2*PI())*LN(C$6))</f>
        <v>2.7929285704915876</v>
      </c>
      <c r="C79" s="25">
        <f t="shared" si="67"/>
        <v>0</v>
      </c>
      <c r="D79" s="27">
        <f t="shared" si="2"/>
        <v>2.7929285704915876</v>
      </c>
      <c r="E79" s="27"/>
      <c r="F79" s="26">
        <f t="shared" si="3"/>
        <v>4.5144873869868971E-2</v>
      </c>
      <c r="G79" s="26">
        <f t="shared" si="3"/>
        <v>0</v>
      </c>
      <c r="H79" s="26">
        <f t="shared" si="3"/>
        <v>4.5144873869868971E-2</v>
      </c>
      <c r="I79" s="26">
        <f>IF(F$320=0,0,SUM(F$17:F79)/F$320)</f>
        <v>7.8757420073000631E-3</v>
      </c>
      <c r="J79" s="26">
        <f>IF(G$320=0,0,SUM(G$17:G79)/G$320)</f>
        <v>0</v>
      </c>
      <c r="K79" s="26">
        <f>SUM(H$17:H79)/H$320</f>
        <v>7.8757420073000631E-3</v>
      </c>
      <c r="L79" s="26"/>
      <c r="M79" s="26"/>
      <c r="N79" s="27">
        <f t="shared" si="4"/>
        <v>4.3262788783515575E-2</v>
      </c>
      <c r="O79" s="27">
        <f t="shared" si="5"/>
        <v>0</v>
      </c>
      <c r="P79" s="26">
        <f t="shared" si="6"/>
        <v>4.3262788783515575E-2</v>
      </c>
      <c r="Q79" s="26">
        <f>IF(N$320=0,0,SUM(N$17:N79)/N$320)</f>
        <v>7.7478443816662934E-3</v>
      </c>
      <c r="R79" s="26">
        <f>IF(O$320=0,0,SUM(O$17:O79)/O$320)</f>
        <v>0</v>
      </c>
      <c r="S79" s="26">
        <f>SUM(P$17:P79)/P$320</f>
        <v>7.7478443816662934E-3</v>
      </c>
    </row>
    <row r="80" spans="1:19" x14ac:dyDescent="0.4">
      <c r="A80" s="6">
        <f t="shared" si="0"/>
        <v>0.47694103865880688</v>
      </c>
      <c r="B80" s="25">
        <f t="shared" ref="B80:C80" si="68">C$4*EXP(-0.5*(LN($A80)-LN(C$5))^2/(LN(C$6))^2)/($A80*SQRT(2*PI())*LN(C$6))</f>
        <v>2.8378690862184355</v>
      </c>
      <c r="C80" s="25">
        <f t="shared" si="68"/>
        <v>0</v>
      </c>
      <c r="D80" s="27">
        <f t="shared" si="2"/>
        <v>2.8378690862184355</v>
      </c>
      <c r="E80" s="27"/>
      <c r="F80" s="26">
        <f t="shared" si="3"/>
        <v>4.7480450216120192E-2</v>
      </c>
      <c r="G80" s="26">
        <f t="shared" si="3"/>
        <v>0</v>
      </c>
      <c r="H80" s="26">
        <f t="shared" si="3"/>
        <v>4.7480450216120192E-2</v>
      </c>
      <c r="I80" s="26">
        <f>IF(F$320=0,0,SUM(F$17:F80)/F$320)</f>
        <v>8.3447200359798648E-3</v>
      </c>
      <c r="J80" s="26">
        <f>IF(G$320=0,0,SUM(G$17:G80)/G$320)</f>
        <v>0</v>
      </c>
      <c r="K80" s="26">
        <f>SUM(H$17:H80)/H$320</f>
        <v>8.3447200359798648E-3</v>
      </c>
      <c r="L80" s="26"/>
      <c r="M80" s="26"/>
      <c r="N80" s="27">
        <f t="shared" si="4"/>
        <v>4.5510862372714379E-2</v>
      </c>
      <c r="O80" s="27">
        <f t="shared" si="5"/>
        <v>0</v>
      </c>
      <c r="P80" s="26">
        <f t="shared" si="6"/>
        <v>4.5510862372714379E-2</v>
      </c>
      <c r="Q80" s="26">
        <f>IF(N$320=0,0,SUM(N$17:N80)/N$320)</f>
        <v>8.2052399834021163E-3</v>
      </c>
      <c r="R80" s="26">
        <f>IF(O$320=0,0,SUM(O$17:O80)/O$320)</f>
        <v>0</v>
      </c>
      <c r="S80" s="26">
        <f>SUM(P$17:P80)/P$320</f>
        <v>8.2052399834021163E-3</v>
      </c>
    </row>
    <row r="81" spans="1:19" x14ac:dyDescent="0.4">
      <c r="A81" s="6">
        <f t="shared" si="0"/>
        <v>0.49367206069456598</v>
      </c>
      <c r="B81" s="25">
        <f t="shared" ref="B81:C81" si="69">C$4*EXP(-0.5*(LN($A81)-LN(C$5))^2/(LN(C$6))^2)/($A81*SQRT(2*PI())*LN(C$6))</f>
        <v>2.8822718710464335</v>
      </c>
      <c r="C81" s="25">
        <f t="shared" si="69"/>
        <v>0</v>
      </c>
      <c r="D81" s="27">
        <f t="shared" si="2"/>
        <v>2.8822718710464335</v>
      </c>
      <c r="E81" s="27"/>
      <c r="F81" s="26">
        <f t="shared" si="3"/>
        <v>4.9915022415152076E-2</v>
      </c>
      <c r="G81" s="26">
        <f t="shared" si="3"/>
        <v>0</v>
      </c>
      <c r="H81" s="26">
        <f t="shared" si="3"/>
        <v>4.9915022415152076E-2</v>
      </c>
      <c r="I81" s="26">
        <f>IF(F$320=0,0,SUM(F$17:F81)/F$320)</f>
        <v>8.8377450327356572E-3</v>
      </c>
      <c r="J81" s="26">
        <f>IF(G$320=0,0,SUM(G$17:G81)/G$320)</f>
        <v>0</v>
      </c>
      <c r="K81" s="26">
        <f>SUM(H$17:H81)/H$320</f>
        <v>8.8377450327356572E-3</v>
      </c>
      <c r="L81" s="26"/>
      <c r="M81" s="26"/>
      <c r="N81" s="27">
        <f t="shared" si="4"/>
        <v>4.7854819584171315E-2</v>
      </c>
      <c r="O81" s="27">
        <f t="shared" si="5"/>
        <v>0</v>
      </c>
      <c r="P81" s="26">
        <f t="shared" si="6"/>
        <v>4.7854819584171315E-2</v>
      </c>
      <c r="Q81" s="26">
        <f>IF(N$320=0,0,SUM(N$17:N81)/N$320)</f>
        <v>8.6861929440470529E-3</v>
      </c>
      <c r="R81" s="26">
        <f>IF(O$320=0,0,SUM(O$17:O81)/O$320)</f>
        <v>0</v>
      </c>
      <c r="S81" s="26">
        <f>SUM(P$17:P81)/P$320</f>
        <v>8.6861929440470529E-3</v>
      </c>
    </row>
    <row r="82" spans="1:19" x14ac:dyDescent="0.4">
      <c r="A82" s="6">
        <f t="shared" ref="A82:A145" si="70">10^((LOG(A$318)-LOG(A$17))/301+LOG(A81))</f>
        <v>0.51099000454176802</v>
      </c>
      <c r="B82" s="25">
        <f t="shared" ref="B82:C82" si="71">C$4*EXP(-0.5*(LN($A82)-LN(C$5))^2/(LN(C$6))^2)/($A82*SQRT(2*PI())*LN(C$6))</f>
        <v>2.9260893762235214</v>
      </c>
      <c r="C82" s="25">
        <f t="shared" si="71"/>
        <v>0</v>
      </c>
      <c r="D82" s="27">
        <f t="shared" ref="D82:D145" si="72">B82+C82</f>
        <v>2.9260893762235214</v>
      </c>
      <c r="E82" s="27"/>
      <c r="F82" s="26">
        <f t="shared" ref="F82:H145" si="73">B82*($A83-$A82)</f>
        <v>5.2451482825404218E-2</v>
      </c>
      <c r="G82" s="26">
        <f t="shared" si="73"/>
        <v>0</v>
      </c>
      <c r="H82" s="26">
        <f t="shared" si="73"/>
        <v>5.2451482825404218E-2</v>
      </c>
      <c r="I82" s="26">
        <f>IF(F$320=0,0,SUM(F$17:F82)/F$320)</f>
        <v>9.3558233766608597E-3</v>
      </c>
      <c r="J82" s="26">
        <f>IF(G$320=0,0,SUM(G$17:G82)/G$320)</f>
        <v>0</v>
      </c>
      <c r="K82" s="26">
        <f>SUM(H$17:H82)/H$320</f>
        <v>9.3558233766608597E-3</v>
      </c>
      <c r="L82" s="26"/>
      <c r="M82" s="26"/>
      <c r="N82" s="27">
        <f t="shared" ref="N82:N145" si="74">C$4*((NORMDIST(LN($A82),LN(C$5),LN(C$6),TRUE))-(NORMDIST(LN($A81),LN(C$5),LN(C$6),TRUE)))</f>
        <v>5.0297496176306133E-2</v>
      </c>
      <c r="O82" s="27">
        <f t="shared" ref="O82:O145" si="75">D$4*((NORMDIST(LN($A82),LN(D$5),LN(D$6),TRUE))-(NORMDIST(LN($A81),LN(D$5),LN(D$6),TRUE)))</f>
        <v>0</v>
      </c>
      <c r="P82" s="26">
        <f t="shared" ref="P82:P145" si="76">N82+O82</f>
        <v>5.0297496176306133E-2</v>
      </c>
      <c r="Q82" s="26">
        <f>IF(N$320=0,0,SUM(N$17:N82)/N$320)</f>
        <v>9.1916954181807814E-3</v>
      </c>
      <c r="R82" s="26">
        <f>IF(O$320=0,0,SUM(O$17:O82)/O$320)</f>
        <v>0</v>
      </c>
      <c r="S82" s="26">
        <f>SUM(P$17:P82)/P$320</f>
        <v>9.1916954181807814E-3</v>
      </c>
    </row>
    <row r="83" spans="1:19" x14ac:dyDescent="0.4">
      <c r="A83" s="6">
        <f t="shared" si="70"/>
        <v>0.5289154593319082</v>
      </c>
      <c r="B83" s="25">
        <f t="shared" ref="B83:C83" si="77">C$4*EXP(-0.5*(LN($A83)-LN(C$5))^2/(LN(C$6))^2)/($A83*SQRT(2*PI())*LN(C$6))</f>
        <v>2.9692740933049833</v>
      </c>
      <c r="C83" s="25">
        <f t="shared" si="77"/>
        <v>0</v>
      </c>
      <c r="D83" s="27">
        <f t="shared" si="72"/>
        <v>2.9692740933049833</v>
      </c>
      <c r="E83" s="27"/>
      <c r="F83" s="26">
        <f t="shared" si="73"/>
        <v>5.5092734397069097E-2</v>
      </c>
      <c r="G83" s="26">
        <f t="shared" si="73"/>
        <v>0</v>
      </c>
      <c r="H83" s="26">
        <f t="shared" si="73"/>
        <v>5.5092734397069097E-2</v>
      </c>
      <c r="I83" s="26">
        <f>IF(F$320=0,0,SUM(F$17:F83)/F$320)</f>
        <v>9.8999901201207892E-3</v>
      </c>
      <c r="J83" s="26">
        <f>IF(G$320=0,0,SUM(G$17:G83)/G$320)</f>
        <v>0</v>
      </c>
      <c r="K83" s="26">
        <f>SUM(H$17:H83)/H$320</f>
        <v>9.8999901201207892E-3</v>
      </c>
      <c r="L83" s="26"/>
      <c r="M83" s="26"/>
      <c r="N83" s="27">
        <f t="shared" si="74"/>
        <v>5.2841740508993186E-2</v>
      </c>
      <c r="O83" s="27">
        <f t="shared" si="75"/>
        <v>0</v>
      </c>
      <c r="P83" s="26">
        <f t="shared" si="76"/>
        <v>5.2841740508993186E-2</v>
      </c>
      <c r="Q83" s="26">
        <f>IF(N$320=0,0,SUM(N$17:N83)/N$320)</f>
        <v>9.7227681871153854E-3</v>
      </c>
      <c r="R83" s="26">
        <f>IF(O$320=0,0,SUM(O$17:O83)/O$320)</f>
        <v>0</v>
      </c>
      <c r="S83" s="26">
        <f>SUM(P$17:P83)/P$320</f>
        <v>9.7227681871153854E-3</v>
      </c>
    </row>
    <row r="84" spans="1:19" x14ac:dyDescent="0.4">
      <c r="A84" s="6">
        <f t="shared" si="70"/>
        <v>0.54746973646021047</v>
      </c>
      <c r="B84" s="25">
        <f t="shared" ref="B84:C84" si="78">C$4*EXP(-0.5*(LN($A84)-LN(C$5))^2/(LN(C$6))^2)/($A84*SQRT(2*PI())*LN(C$6))</f>
        <v>3.0117786384815415</v>
      </c>
      <c r="C84" s="25">
        <f t="shared" si="78"/>
        <v>0</v>
      </c>
      <c r="D84" s="27">
        <f t="shared" si="72"/>
        <v>3.0117786384815415</v>
      </c>
      <c r="E84" s="27"/>
      <c r="F84" s="26">
        <f t="shared" si="73"/>
        <v>5.7841686005475623E-2</v>
      </c>
      <c r="G84" s="26">
        <f t="shared" si="73"/>
        <v>0</v>
      </c>
      <c r="H84" s="26">
        <f t="shared" si="73"/>
        <v>5.7841686005475623E-2</v>
      </c>
      <c r="I84" s="26">
        <f>IF(F$320=0,0,SUM(F$17:F84)/F$320)</f>
        <v>1.0471309047276924E-2</v>
      </c>
      <c r="J84" s="26">
        <f>IF(G$320=0,0,SUM(G$17:G84)/G$320)</f>
        <v>0</v>
      </c>
      <c r="K84" s="26">
        <f>SUM(H$17:H84)/H$320</f>
        <v>1.0471309047276924E-2</v>
      </c>
      <c r="L84" s="26"/>
      <c r="M84" s="26"/>
      <c r="N84" s="27">
        <f t="shared" si="74"/>
        <v>5.5490409079426636E-2</v>
      </c>
      <c r="O84" s="27">
        <f t="shared" si="75"/>
        <v>0</v>
      </c>
      <c r="P84" s="26">
        <f t="shared" si="76"/>
        <v>5.5490409079426636E-2</v>
      </c>
      <c r="Q84" s="26">
        <f>IF(N$320=0,0,SUM(N$17:N84)/N$320)</f>
        <v>1.0280460740677462E-2</v>
      </c>
      <c r="R84" s="26">
        <f>IF(O$320=0,0,SUM(O$17:O84)/O$320)</f>
        <v>0</v>
      </c>
      <c r="S84" s="26">
        <f>SUM(P$17:P84)/P$320</f>
        <v>1.0280460740677462E-2</v>
      </c>
    </row>
    <row r="85" spans="1:19" x14ac:dyDescent="0.4">
      <c r="A85" s="6">
        <f t="shared" si="70"/>
        <v>0.56667489492253287</v>
      </c>
      <c r="B85" s="25">
        <f t="shared" ref="B85:C85" si="79">C$4*EXP(-0.5*(LN($A85)-LN(C$5))^2/(LN(C$6))^2)/($A85*SQRT(2*PI())*LN(C$6))</f>
        <v>3.0535558378960421</v>
      </c>
      <c r="C85" s="25">
        <f t="shared" si="79"/>
        <v>0</v>
      </c>
      <c r="D85" s="27">
        <f t="shared" si="72"/>
        <v>3.0535558378960421</v>
      </c>
      <c r="E85" s="27"/>
      <c r="F85" s="26">
        <f t="shared" si="73"/>
        <v>6.070124753518457E-2</v>
      </c>
      <c r="G85" s="26">
        <f t="shared" si="73"/>
        <v>0</v>
      </c>
      <c r="H85" s="26">
        <f t="shared" si="73"/>
        <v>6.070124753518457E-2</v>
      </c>
      <c r="I85" s="26">
        <f>IF(F$320=0,0,SUM(F$17:F85)/F$320)</f>
        <v>1.1070872684055381E-2</v>
      </c>
      <c r="J85" s="26">
        <f>IF(G$320=0,0,SUM(G$17:G85)/G$320)</f>
        <v>0</v>
      </c>
      <c r="K85" s="26">
        <f>SUM(H$17:H85)/H$320</f>
        <v>1.1070872684055381E-2</v>
      </c>
      <c r="L85" s="26"/>
      <c r="M85" s="26"/>
      <c r="N85" s="27">
        <f t="shared" si="74"/>
        <v>5.8246361812947824E-2</v>
      </c>
      <c r="O85" s="27">
        <f t="shared" si="75"/>
        <v>0</v>
      </c>
      <c r="P85" s="26">
        <f t="shared" si="76"/>
        <v>5.8246361812947824E-2</v>
      </c>
      <c r="Q85" s="26">
        <f>IF(N$320=0,0,SUM(N$17:N85)/N$320)</f>
        <v>1.0865851311661862E-2</v>
      </c>
      <c r="R85" s="26">
        <f>IF(O$320=0,0,SUM(O$17:O85)/O$320)</f>
        <v>0</v>
      </c>
      <c r="S85" s="26">
        <f>SUM(P$17:P85)/P$320</f>
        <v>1.0865851311661862E-2</v>
      </c>
    </row>
    <row r="86" spans="1:19" x14ac:dyDescent="0.4">
      <c r="A86" s="6">
        <f t="shared" si="70"/>
        <v>0.58655376754108923</v>
      </c>
      <c r="B86" s="25">
        <f t="shared" ref="B86:C86" si="80">C$4*EXP(-0.5*(LN($A86)-LN(C$5))^2/(LN(C$6))^2)/($A86*SQRT(2*PI())*LN(C$6))</f>
        <v>3.0945588137378577</v>
      </c>
      <c r="C86" s="25">
        <f t="shared" si="80"/>
        <v>0</v>
      </c>
      <c r="D86" s="27">
        <f t="shared" si="72"/>
        <v>3.0945588137378577</v>
      </c>
      <c r="E86" s="27"/>
      <c r="F86" s="26">
        <f t="shared" si="73"/>
        <v>6.3674324715446401E-2</v>
      </c>
      <c r="G86" s="26">
        <f t="shared" si="73"/>
        <v>0</v>
      </c>
      <c r="H86" s="26">
        <f t="shared" si="73"/>
        <v>6.3674324715446401E-2</v>
      </c>
      <c r="I86" s="26">
        <f>IF(F$320=0,0,SUM(F$17:F86)/F$320)</f>
        <v>1.1699802257103726E-2</v>
      </c>
      <c r="J86" s="26">
        <f>IF(G$320=0,0,SUM(G$17:G86)/G$320)</f>
        <v>0</v>
      </c>
      <c r="K86" s="26">
        <f>SUM(H$17:H86)/H$320</f>
        <v>1.1699802257103726E-2</v>
      </c>
      <c r="L86" s="26"/>
      <c r="M86" s="26"/>
      <c r="N86" s="27">
        <f t="shared" si="74"/>
        <v>6.111245710915536E-2</v>
      </c>
      <c r="O86" s="27">
        <f t="shared" si="75"/>
        <v>0</v>
      </c>
      <c r="P86" s="26">
        <f t="shared" si="76"/>
        <v>6.111245710915536E-2</v>
      </c>
      <c r="Q86" s="26">
        <f>IF(N$320=0,0,SUM(N$17:N86)/N$320)</f>
        <v>1.1480046860497594E-2</v>
      </c>
      <c r="R86" s="26">
        <f>IF(O$320=0,0,SUM(O$17:O86)/O$320)</f>
        <v>0</v>
      </c>
      <c r="S86" s="26">
        <f>SUM(P$17:P86)/P$320</f>
        <v>1.1480046860497594E-2</v>
      </c>
    </row>
    <row r="87" spans="1:19" x14ac:dyDescent="0.4">
      <c r="A87" s="6">
        <f t="shared" si="70"/>
        <v>0.60712998811016461</v>
      </c>
      <c r="B87" s="25">
        <f t="shared" ref="B87:C87" si="81">C$4*EXP(-0.5*(LN($A87)-LN(C$5))^2/(LN(C$6))^2)/($A87*SQRT(2*PI())*LN(C$6))</f>
        <v>3.1347410708986945</v>
      </c>
      <c r="C87" s="25">
        <f t="shared" si="81"/>
        <v>0</v>
      </c>
      <c r="D87" s="27">
        <f t="shared" si="72"/>
        <v>3.1347410708986945</v>
      </c>
      <c r="E87" s="27"/>
      <c r="F87" s="26">
        <f t="shared" si="73"/>
        <v>6.6763813708507411E-2</v>
      </c>
      <c r="G87" s="26">
        <f t="shared" si="73"/>
        <v>0</v>
      </c>
      <c r="H87" s="26">
        <f t="shared" si="73"/>
        <v>6.6763813708507411E-2</v>
      </c>
      <c r="I87" s="26">
        <f>IF(F$320=0,0,SUM(F$17:F87)/F$320)</f>
        <v>1.235924759929492E-2</v>
      </c>
      <c r="J87" s="26">
        <f>IF(G$320=0,0,SUM(G$17:G87)/G$320)</f>
        <v>0</v>
      </c>
      <c r="K87" s="26">
        <f>SUM(H$17:H87)/H$320</f>
        <v>1.235924759929492E-2</v>
      </c>
      <c r="L87" s="26"/>
      <c r="M87" s="26"/>
      <c r="N87" s="27">
        <f t="shared" si="74"/>
        <v>6.409154664423436E-2</v>
      </c>
      <c r="O87" s="27">
        <f t="shared" si="75"/>
        <v>0</v>
      </c>
      <c r="P87" s="26">
        <f t="shared" si="76"/>
        <v>6.409154664423436E-2</v>
      </c>
      <c r="Q87" s="26">
        <f>IF(N$320=0,0,SUM(N$17:N87)/N$320)</f>
        <v>1.2124183007675829E-2</v>
      </c>
      <c r="R87" s="26">
        <f>IF(O$320=0,0,SUM(O$17:O87)/O$320)</f>
        <v>0</v>
      </c>
      <c r="S87" s="26">
        <f>SUM(P$17:P87)/P$320</f>
        <v>1.2124183007675829E-2</v>
      </c>
    </row>
    <row r="88" spans="1:19" x14ac:dyDescent="0.4">
      <c r="A88" s="6">
        <f t="shared" si="70"/>
        <v>0.62842801949409866</v>
      </c>
      <c r="B88" s="25">
        <f t="shared" ref="B88:C88" si="82">C$4*EXP(-0.5*(LN($A88)-LN(C$5))^2/(LN(C$6))^2)/($A88*SQRT(2*PI())*LN(C$6))</f>
        <v>3.1740565839687793</v>
      </c>
      <c r="C88" s="25">
        <f t="shared" si="82"/>
        <v>0</v>
      </c>
      <c r="D88" s="27">
        <f t="shared" si="72"/>
        <v>3.1740565839687793</v>
      </c>
      <c r="E88" s="27"/>
      <c r="F88" s="26">
        <f t="shared" si="73"/>
        <v>6.9972595453088357E-2</v>
      </c>
      <c r="G88" s="26">
        <f t="shared" si="73"/>
        <v>0</v>
      </c>
      <c r="H88" s="26">
        <f t="shared" si="73"/>
        <v>6.9972595453088357E-2</v>
      </c>
      <c r="I88" s="26">
        <f>IF(F$320=0,0,SUM(F$17:F88)/F$320)</f>
        <v>1.3050386999360199E-2</v>
      </c>
      <c r="J88" s="26">
        <f>IF(G$320=0,0,SUM(G$17:G88)/G$320)</f>
        <v>0</v>
      </c>
      <c r="K88" s="26">
        <f>SUM(H$17:H88)/H$320</f>
        <v>1.3050386999360199E-2</v>
      </c>
      <c r="L88" s="26"/>
      <c r="M88" s="26"/>
      <c r="N88" s="27">
        <f t="shared" si="74"/>
        <v>6.7186469931512949E-2</v>
      </c>
      <c r="O88" s="27">
        <f t="shared" si="75"/>
        <v>0</v>
      </c>
      <c r="P88" s="26">
        <f t="shared" si="76"/>
        <v>6.7186469931512949E-2</v>
      </c>
      <c r="Q88" s="26">
        <f>IF(N$320=0,0,SUM(N$17:N88)/N$320)</f>
        <v>1.279942391151013E-2</v>
      </c>
      <c r="R88" s="26">
        <f>IF(O$320=0,0,SUM(O$17:O88)/O$320)</f>
        <v>0</v>
      </c>
      <c r="S88" s="26">
        <f>SUM(P$17:P88)/P$320</f>
        <v>1.279942391151013E-2</v>
      </c>
    </row>
    <row r="89" spans="1:19" x14ac:dyDescent="0.4">
      <c r="A89" s="6">
        <f t="shared" si="70"/>
        <v>0.65047318271094212</v>
      </c>
      <c r="B89" s="25">
        <f t="shared" ref="B89:C89" si="83">C$4*EXP(-0.5*(LN($A89)-LN(C$5))^2/(LN(C$6))^2)/($A89*SQRT(2*PI())*LN(C$6))</f>
        <v>3.2124598843482381</v>
      </c>
      <c r="C89" s="25">
        <f t="shared" si="83"/>
        <v>0</v>
      </c>
      <c r="D89" s="27">
        <f t="shared" si="72"/>
        <v>3.2124598843482381</v>
      </c>
      <c r="E89" s="27"/>
      <c r="F89" s="26">
        <f t="shared" si="73"/>
        <v>7.3303529766244171E-2</v>
      </c>
      <c r="G89" s="26">
        <f t="shared" si="73"/>
        <v>0</v>
      </c>
      <c r="H89" s="26">
        <f t="shared" si="73"/>
        <v>7.3303529766244171E-2</v>
      </c>
      <c r="I89" s="26">
        <f>IF(F$320=0,0,SUM(F$17:F89)/F$320)</f>
        <v>1.3774426993264316E-2</v>
      </c>
      <c r="J89" s="26">
        <f>IF(G$320=0,0,SUM(G$17:G89)/G$320)</f>
        <v>0</v>
      </c>
      <c r="K89" s="26">
        <f>SUM(H$17:H89)/H$320</f>
        <v>1.3774426993264316E-2</v>
      </c>
      <c r="L89" s="26"/>
      <c r="M89" s="26"/>
      <c r="N89" s="27">
        <f t="shared" si="74"/>
        <v>7.0400048642829144E-2</v>
      </c>
      <c r="O89" s="27">
        <f t="shared" si="75"/>
        <v>0</v>
      </c>
      <c r="P89" s="26">
        <f t="shared" si="76"/>
        <v>7.0400048642829144E-2</v>
      </c>
      <c r="Q89" s="26">
        <f>IF(N$320=0,0,SUM(N$17:N89)/N$320)</f>
        <v>1.3506962088824995E-2</v>
      </c>
      <c r="R89" s="26">
        <f>IF(O$320=0,0,SUM(O$17:O89)/O$320)</f>
        <v>0</v>
      </c>
      <c r="S89" s="26">
        <f>SUM(P$17:P89)/P$320</f>
        <v>1.3506962088824995E-2</v>
      </c>
    </row>
    <row r="90" spans="1:19" x14ac:dyDescent="0.4">
      <c r="A90" s="6">
        <f t="shared" si="70"/>
        <v>0.67329168703636388</v>
      </c>
      <c r="B90" s="25">
        <f t="shared" ref="B90:C90" si="84">C$4*EXP(-0.5*(LN($A90)-LN(C$5))^2/(LN(C$6))^2)/($A90*SQRT(2*PI())*LN(C$6))</f>
        <v>3.2499061472452042</v>
      </c>
      <c r="C90" s="25">
        <f t="shared" si="84"/>
        <v>0</v>
      </c>
      <c r="D90" s="27">
        <f t="shared" si="72"/>
        <v>3.2499061472452042</v>
      </c>
      <c r="E90" s="27"/>
      <c r="F90" s="26">
        <f t="shared" si="73"/>
        <v>7.6759449207725428E-2</v>
      </c>
      <c r="G90" s="26">
        <f t="shared" si="73"/>
        <v>0</v>
      </c>
      <c r="H90" s="26">
        <f t="shared" si="73"/>
        <v>7.6759449207725428E-2</v>
      </c>
      <c r="I90" s="26">
        <f>IF(F$320=0,0,SUM(F$17:F90)/F$320)</f>
        <v>1.4532602094977327E-2</v>
      </c>
      <c r="J90" s="26">
        <f>IF(G$320=0,0,SUM(G$17:G90)/G$320)</f>
        <v>0</v>
      </c>
      <c r="K90" s="26">
        <f>SUM(H$17:H90)/H$320</f>
        <v>1.4532602094977327E-2</v>
      </c>
      <c r="L90" s="26"/>
      <c r="M90" s="26"/>
      <c r="N90" s="27">
        <f t="shared" si="74"/>
        <v>7.3735080694420196E-2</v>
      </c>
      <c r="O90" s="27">
        <f t="shared" si="75"/>
        <v>0</v>
      </c>
      <c r="P90" s="26">
        <f t="shared" si="76"/>
        <v>7.3735080694420196E-2</v>
      </c>
      <c r="Q90" s="26">
        <f>IF(N$320=0,0,SUM(N$17:N90)/N$320)</f>
        <v>1.4248018176206101E-2</v>
      </c>
      <c r="R90" s="26">
        <f>IF(O$320=0,0,SUM(O$17:O90)/O$320)</f>
        <v>0</v>
      </c>
      <c r="S90" s="26">
        <f>SUM(P$17:P90)/P$320</f>
        <v>1.4248018176206101E-2</v>
      </c>
    </row>
    <row r="91" spans="1:19" x14ac:dyDescent="0.4">
      <c r="A91" s="6">
        <f t="shared" si="70"/>
        <v>0.69691066116359857</v>
      </c>
      <c r="B91" s="25">
        <f t="shared" ref="B91:C91" si="85">C$4*EXP(-0.5*(LN($A91)-LN(C$5))^2/(LN(C$6))^2)/($A91*SQRT(2*PI())*LN(C$6))</f>
        <v>3.2863512783296476</v>
      </c>
      <c r="C91" s="25">
        <f t="shared" si="85"/>
        <v>0</v>
      </c>
      <c r="D91" s="27">
        <f t="shared" si="72"/>
        <v>3.2863512783296476</v>
      </c>
      <c r="E91" s="27"/>
      <c r="F91" s="26">
        <f t="shared" si="73"/>
        <v>8.0343152711908228E-2</v>
      </c>
      <c r="G91" s="26">
        <f t="shared" si="73"/>
        <v>0</v>
      </c>
      <c r="H91" s="26">
        <f t="shared" si="73"/>
        <v>8.0343152711908228E-2</v>
      </c>
      <c r="I91" s="26">
        <f>IF(F$320=0,0,SUM(F$17:F91)/F$320)</f>
        <v>1.5326174464347121E-2</v>
      </c>
      <c r="J91" s="26">
        <f>IF(G$320=0,0,SUM(G$17:G91)/G$320)</f>
        <v>0</v>
      </c>
      <c r="K91" s="26">
        <f>SUM(H$17:H91)/H$320</f>
        <v>1.5326174464347121E-2</v>
      </c>
      <c r="L91" s="26"/>
      <c r="M91" s="26"/>
      <c r="N91" s="27">
        <f t="shared" si="74"/>
        <v>7.719433410174649E-2</v>
      </c>
      <c r="O91" s="27">
        <f t="shared" si="75"/>
        <v>0</v>
      </c>
      <c r="P91" s="26">
        <f t="shared" si="76"/>
        <v>7.719433410174649E-2</v>
      </c>
      <c r="Q91" s="26">
        <f>IF(N$320=0,0,SUM(N$17:N91)/N$320)</f>
        <v>1.5023840629489985E-2</v>
      </c>
      <c r="R91" s="26">
        <f>IF(O$320=0,0,SUM(O$17:O91)/O$320)</f>
        <v>0</v>
      </c>
      <c r="S91" s="26">
        <f>SUM(P$17:P91)/P$320</f>
        <v>1.5023840629489985E-2</v>
      </c>
    </row>
    <row r="92" spans="1:19" x14ac:dyDescent="0.4">
      <c r="A92" s="6">
        <f t="shared" si="70"/>
        <v>0.72135818545648067</v>
      </c>
      <c r="B92" s="25">
        <f t="shared" ref="B92:C92" si="86">C$4*EXP(-0.5*(LN($A92)-LN(C$5))^2/(LN(C$6))^2)/($A92*SQRT(2*PI())*LN(C$6))</f>
        <v>3.3217519998100826</v>
      </c>
      <c r="C92" s="25">
        <f t="shared" si="86"/>
        <v>0</v>
      </c>
      <c r="D92" s="27">
        <f t="shared" si="72"/>
        <v>3.3217519998100826</v>
      </c>
      <c r="E92" s="27"/>
      <c r="F92" s="26">
        <f t="shared" si="73"/>
        <v>8.4057398993325108E-2</v>
      </c>
      <c r="G92" s="26">
        <f t="shared" si="73"/>
        <v>0</v>
      </c>
      <c r="H92" s="26">
        <f t="shared" si="73"/>
        <v>8.4057398993325108E-2</v>
      </c>
      <c r="I92" s="26">
        <f>IF(F$320=0,0,SUM(F$17:F92)/F$320)</f>
        <v>1.6156433509836483E-2</v>
      </c>
      <c r="J92" s="26">
        <f>IF(G$320=0,0,SUM(G$17:G92)/G$320)</f>
        <v>0</v>
      </c>
      <c r="K92" s="26">
        <f>SUM(H$17:H92)/H$320</f>
        <v>1.6156433509836483E-2</v>
      </c>
      <c r="L92" s="26"/>
      <c r="M92" s="26"/>
      <c r="N92" s="27">
        <f t="shared" si="74"/>
        <v>8.0780540608804158E-2</v>
      </c>
      <c r="O92" s="27">
        <f t="shared" si="75"/>
        <v>0</v>
      </c>
      <c r="P92" s="26">
        <f t="shared" si="76"/>
        <v>8.0780540608804158E-2</v>
      </c>
      <c r="Q92" s="26">
        <f>IF(N$320=0,0,SUM(N$17:N92)/N$320)</f>
        <v>1.5835705359226709E-2</v>
      </c>
      <c r="R92" s="26">
        <f>IF(O$320=0,0,SUM(O$17:O92)/O$320)</f>
        <v>0</v>
      </c>
      <c r="S92" s="26">
        <f>SUM(P$17:P92)/P$320</f>
        <v>1.5835705359226709E-2</v>
      </c>
    </row>
    <row r="93" spans="1:19" x14ac:dyDescent="0.4">
      <c r="A93" s="6">
        <f t="shared" si="70"/>
        <v>0.74666332533391011</v>
      </c>
      <c r="B93" s="25">
        <f t="shared" ref="B93:C93" si="87">C$4*EXP(-0.5*(LN($A93)-LN(C$5))^2/(LN(C$6))^2)/($A93*SQRT(2*PI())*LN(C$6))</f>
        <v>3.3560659356993177</v>
      </c>
      <c r="C93" s="25">
        <f t="shared" si="87"/>
        <v>0</v>
      </c>
      <c r="D93" s="27">
        <f t="shared" si="72"/>
        <v>3.3560659356993177</v>
      </c>
      <c r="E93" s="27"/>
      <c r="F93" s="26">
        <f t="shared" si="73"/>
        <v>8.7904899732830097E-2</v>
      </c>
      <c r="G93" s="26">
        <f t="shared" si="73"/>
        <v>0</v>
      </c>
      <c r="H93" s="26">
        <f t="shared" si="73"/>
        <v>8.7904899732830097E-2</v>
      </c>
      <c r="I93" s="26">
        <f>IF(F$320=0,0,SUM(F$17:F93)/F$320)</f>
        <v>1.7024695423957969E-2</v>
      </c>
      <c r="J93" s="26">
        <f>IF(G$320=0,0,SUM(G$17:G93)/G$320)</f>
        <v>0</v>
      </c>
      <c r="K93" s="26">
        <f>SUM(H$17:H93)/H$320</f>
        <v>1.7024695423957969E-2</v>
      </c>
      <c r="L93" s="26"/>
      <c r="M93" s="26"/>
      <c r="N93" s="27">
        <f t="shared" si="74"/>
        <v>8.4496389098248637E-2</v>
      </c>
      <c r="O93" s="27">
        <f t="shared" si="75"/>
        <v>0</v>
      </c>
      <c r="P93" s="26">
        <f t="shared" si="76"/>
        <v>8.4496389098248637E-2</v>
      </c>
      <c r="Q93" s="26">
        <f>IF(N$320=0,0,SUM(N$17:N93)/N$320)</f>
        <v>1.6684915299912628E-2</v>
      </c>
      <c r="R93" s="26">
        <f>IF(O$320=0,0,SUM(O$17:O93)/O$320)</f>
        <v>0</v>
      </c>
      <c r="S93" s="26">
        <f>SUM(P$17:P93)/P$320</f>
        <v>1.6684915299912628E-2</v>
      </c>
    </row>
    <row r="94" spans="1:19" x14ac:dyDescent="0.4">
      <c r="A94" s="6">
        <f t="shared" si="70"/>
        <v>0.77285616582544026</v>
      </c>
      <c r="B94" s="25">
        <f t="shared" ref="B94:C94" si="88">C$4*EXP(-0.5*(LN($A94)-LN(C$5))^2/(LN(C$6))^2)/($A94*SQRT(2*PI())*LN(C$6))</f>
        <v>3.3892516960353243</v>
      </c>
      <c r="C94" s="25">
        <f t="shared" si="88"/>
        <v>0</v>
      </c>
      <c r="D94" s="27">
        <f t="shared" si="72"/>
        <v>3.3892516960353243</v>
      </c>
      <c r="E94" s="27"/>
      <c r="F94" s="26">
        <f t="shared" si="73"/>
        <v>9.18883125524418E-2</v>
      </c>
      <c r="G94" s="26">
        <f t="shared" si="73"/>
        <v>0</v>
      </c>
      <c r="H94" s="26">
        <f t="shared" si="73"/>
        <v>9.18883125524418E-2</v>
      </c>
      <c r="I94" s="26">
        <f>IF(F$320=0,0,SUM(F$17:F94)/F$320)</f>
        <v>1.7932302649319259E-2</v>
      </c>
      <c r="J94" s="26">
        <f>IF(G$320=0,0,SUM(G$17:G94)/G$320)</f>
        <v>0</v>
      </c>
      <c r="K94" s="26">
        <f>SUM(H$17:H94)/H$320</f>
        <v>1.7932302649319259E-2</v>
      </c>
      <c r="L94" s="26"/>
      <c r="M94" s="26"/>
      <c r="N94" s="27">
        <f t="shared" si="74"/>
        <v>8.8344518789797502E-2</v>
      </c>
      <c r="O94" s="27">
        <f t="shared" si="75"/>
        <v>0</v>
      </c>
      <c r="P94" s="26">
        <f t="shared" si="76"/>
        <v>8.8344518789797502E-2</v>
      </c>
      <c r="Q94" s="26">
        <f>IF(N$320=0,0,SUM(N$17:N94)/N$320)</f>
        <v>1.7572799910865366E-2</v>
      </c>
      <c r="R94" s="26">
        <f>IF(O$320=0,0,SUM(O$17:O94)/O$320)</f>
        <v>0</v>
      </c>
      <c r="S94" s="26">
        <f>SUM(P$17:P94)/P$320</f>
        <v>1.7572799910865366E-2</v>
      </c>
    </row>
    <row r="95" spans="1:19" x14ac:dyDescent="0.4">
      <c r="A95" s="6">
        <f t="shared" si="70"/>
        <v>0.79996784733907078</v>
      </c>
      <c r="B95" s="25">
        <f t="shared" ref="B95:C95" si="89">C$4*EXP(-0.5*(LN($A95)-LN(C$5))^2/(LN(C$6))^2)/($A95*SQRT(2*PI())*LN(C$6))</f>
        <v>3.4212689598238413</v>
      </c>
      <c r="C95" s="25">
        <f t="shared" si="89"/>
        <v>0</v>
      </c>
      <c r="D95" s="27">
        <f t="shared" si="72"/>
        <v>3.4212689598238413</v>
      </c>
      <c r="E95" s="27"/>
      <c r="F95" s="26">
        <f t="shared" si="73"/>
        <v>9.6010233787950192E-2</v>
      </c>
      <c r="G95" s="26">
        <f t="shared" si="73"/>
        <v>0</v>
      </c>
      <c r="H95" s="26">
        <f t="shared" si="73"/>
        <v>9.6010233787950192E-2</v>
      </c>
      <c r="I95" s="26">
        <f>IF(F$320=0,0,SUM(F$17:F95)/F$320)</f>
        <v>1.8880623273281511E-2</v>
      </c>
      <c r="J95" s="26">
        <f>IF(G$320=0,0,SUM(G$17:G95)/G$320)</f>
        <v>0</v>
      </c>
      <c r="K95" s="26">
        <f>SUM(H$17:H95)/H$320</f>
        <v>1.8880623273281511E-2</v>
      </c>
      <c r="L95" s="26"/>
      <c r="M95" s="26"/>
      <c r="N95" s="27">
        <f t="shared" si="74"/>
        <v>9.2327512235339942E-2</v>
      </c>
      <c r="O95" s="27">
        <f t="shared" si="75"/>
        <v>0</v>
      </c>
      <c r="P95" s="26">
        <f t="shared" si="76"/>
        <v>9.2327512235339942E-2</v>
      </c>
      <c r="Q95" s="26">
        <f>IF(N$320=0,0,SUM(N$17:N95)/N$320)</f>
        <v>1.8500714606697926E-2</v>
      </c>
      <c r="R95" s="26">
        <f>IF(O$320=0,0,SUM(O$17:O95)/O$320)</f>
        <v>0</v>
      </c>
      <c r="S95" s="26">
        <f>SUM(P$17:P95)/P$320</f>
        <v>1.8500714606697926E-2</v>
      </c>
    </row>
    <row r="96" spans="1:19" x14ac:dyDescent="0.4">
      <c r="A96" s="6">
        <f t="shared" si="70"/>
        <v>0.82803060268377005</v>
      </c>
      <c r="B96" s="25">
        <f t="shared" ref="B96:C96" si="90">C$4*EXP(-0.5*(LN($A96)-LN(C$5))^2/(LN(C$6))^2)/($A96*SQRT(2*PI())*LN(C$6))</f>
        <v>3.4520785564708141</v>
      </c>
      <c r="C96" s="25">
        <f t="shared" si="90"/>
        <v>0</v>
      </c>
      <c r="D96" s="27">
        <f t="shared" si="72"/>
        <v>3.4520785564708141</v>
      </c>
      <c r="E96" s="27"/>
      <c r="F96" s="26">
        <f t="shared" si="73"/>
        <v>0.10027319106940841</v>
      </c>
      <c r="G96" s="26">
        <f t="shared" si="73"/>
        <v>0</v>
      </c>
      <c r="H96" s="26">
        <f t="shared" si="73"/>
        <v>0.10027319106940841</v>
      </c>
      <c r="I96" s="26">
        <f>IF(F$320=0,0,SUM(F$17:F96)/F$320)</f>
        <v>1.9871050349333088E-2</v>
      </c>
      <c r="J96" s="26">
        <f>IF(G$320=0,0,SUM(G$17:G96)/G$320)</f>
        <v>0</v>
      </c>
      <c r="K96" s="26">
        <f>SUM(H$17:H96)/H$320</f>
        <v>1.9871050349333088E-2</v>
      </c>
      <c r="L96" s="26"/>
      <c r="M96" s="26"/>
      <c r="N96" s="27">
        <f t="shared" si="74"/>
        <v>9.6447888120103353E-2</v>
      </c>
      <c r="O96" s="27">
        <f t="shared" si="75"/>
        <v>0</v>
      </c>
      <c r="P96" s="26">
        <f t="shared" si="76"/>
        <v>9.6447888120103353E-2</v>
      </c>
      <c r="Q96" s="26">
        <f>IF(N$320=0,0,SUM(N$17:N96)/N$320)</f>
        <v>1.9470040115442684E-2</v>
      </c>
      <c r="R96" s="26">
        <f>IF(O$320=0,0,SUM(O$17:O96)/O$320)</f>
        <v>0</v>
      </c>
      <c r="S96" s="26">
        <f>SUM(P$17:P96)/P$320</f>
        <v>1.9470040115442684E-2</v>
      </c>
    </row>
    <row r="97" spans="1:19" x14ac:dyDescent="0.4">
      <c r="A97" s="6">
        <f t="shared" si="70"/>
        <v>0.85707779539074058</v>
      </c>
      <c r="B97" s="25">
        <f t="shared" ref="B97:C97" si="91">C$4*EXP(-0.5*(LN($A97)-LN(C$5))^2/(LN(C$6))^2)/($A97*SQRT(2*PI())*LN(C$6))</f>
        <v>3.4816425454751547</v>
      </c>
      <c r="C97" s="25">
        <f t="shared" si="91"/>
        <v>0</v>
      </c>
      <c r="D97" s="27">
        <f t="shared" si="72"/>
        <v>3.4816425454751547</v>
      </c>
      <c r="E97" s="27"/>
      <c r="F97" s="26">
        <f t="shared" si="73"/>
        <v>0.10467963572072693</v>
      </c>
      <c r="G97" s="26">
        <f t="shared" si="73"/>
        <v>0</v>
      </c>
      <c r="H97" s="26">
        <f t="shared" si="73"/>
        <v>0.10467963572072693</v>
      </c>
      <c r="I97" s="26">
        <f>IF(F$320=0,0,SUM(F$17:F97)/F$320)</f>
        <v>2.0905001143391878E-2</v>
      </c>
      <c r="J97" s="26">
        <f>IF(G$320=0,0,SUM(G$17:G97)/G$320)</f>
        <v>0</v>
      </c>
      <c r="K97" s="26">
        <f>SUM(H$17:H97)/H$320</f>
        <v>2.0905001143391878E-2</v>
      </c>
      <c r="L97" s="26"/>
      <c r="M97" s="26"/>
      <c r="N97" s="27">
        <f t="shared" si="74"/>
        <v>0.10070809388047705</v>
      </c>
      <c r="O97" s="27">
        <f t="shared" si="75"/>
        <v>0</v>
      </c>
      <c r="P97" s="26">
        <f t="shared" si="76"/>
        <v>0.10070809388047705</v>
      </c>
      <c r="Q97" s="26">
        <f>IF(N$320=0,0,SUM(N$17:N97)/N$320)</f>
        <v>2.0482181762482652E-2</v>
      </c>
      <c r="R97" s="26">
        <f>IF(O$320=0,0,SUM(O$17:O97)/O$320)</f>
        <v>0</v>
      </c>
      <c r="S97" s="26">
        <f>SUM(P$17:P97)/P$320</f>
        <v>2.0482181762482652E-2</v>
      </c>
    </row>
    <row r="98" spans="1:19" x14ac:dyDescent="0.4">
      <c r="A98" s="6">
        <f t="shared" si="70"/>
        <v>0.88714395937899138</v>
      </c>
      <c r="B98" s="25">
        <f t="shared" ref="B98:C98" si="92">C$4*EXP(-0.5*(LN($A98)-LN(C$5))^2/(LN(C$6))^2)/($A98*SQRT(2*PI())*LN(C$6))</f>
        <v>3.5099242941553546</v>
      </c>
      <c r="C98" s="25">
        <f t="shared" si="92"/>
        <v>0</v>
      </c>
      <c r="D98" s="27">
        <f t="shared" si="72"/>
        <v>3.5099242941553546</v>
      </c>
      <c r="E98" s="27"/>
      <c r="F98" s="26">
        <f t="shared" si="73"/>
        <v>0.10923193499060595</v>
      </c>
      <c r="G98" s="26">
        <f t="shared" si="73"/>
        <v>0</v>
      </c>
      <c r="H98" s="26">
        <f t="shared" si="73"/>
        <v>0.10923193499060595</v>
      </c>
      <c r="I98" s="26">
        <f>IF(F$320=0,0,SUM(F$17:F98)/F$320)</f>
        <v>2.1983916303370342E-2</v>
      </c>
      <c r="J98" s="26">
        <f>IF(G$320=0,0,SUM(G$17:G98)/G$320)</f>
        <v>0</v>
      </c>
      <c r="K98" s="26">
        <f>SUM(H$17:H98)/H$320</f>
        <v>2.1983916303370342E-2</v>
      </c>
      <c r="L98" s="26"/>
      <c r="M98" s="26"/>
      <c r="N98" s="27">
        <f t="shared" si="74"/>
        <v>0.10511049814996044</v>
      </c>
      <c r="O98" s="27">
        <f t="shared" si="75"/>
        <v>0</v>
      </c>
      <c r="P98" s="26">
        <f t="shared" si="76"/>
        <v>0.10511049814996044</v>
      </c>
      <c r="Q98" s="26">
        <f>IF(N$320=0,0,SUM(N$17:N98)/N$320)</f>
        <v>2.1538568678562658E-2</v>
      </c>
      <c r="R98" s="26">
        <f>IF(O$320=0,0,SUM(O$17:O98)/O$320)</f>
        <v>0</v>
      </c>
      <c r="S98" s="26">
        <f>SUM(P$17:P98)/P$320</f>
        <v>2.1538568678562658E-2</v>
      </c>
    </row>
    <row r="99" spans="1:19" x14ac:dyDescent="0.4">
      <c r="A99" s="6">
        <f t="shared" si="70"/>
        <v>0.91826484001237041</v>
      </c>
      <c r="B99" s="25">
        <f t="shared" ref="B99:C99" si="93">C$4*EXP(-0.5*(LN($A99)-LN(C$5))^2/(LN(C$6))^2)/($A99*SQRT(2*PI())*LN(C$6))</f>
        <v>3.5368885531874357</v>
      </c>
      <c r="C99" s="25">
        <f t="shared" si="93"/>
        <v>0</v>
      </c>
      <c r="D99" s="27">
        <f t="shared" si="72"/>
        <v>3.5368885531874357</v>
      </c>
      <c r="E99" s="27"/>
      <c r="F99" s="26">
        <f t="shared" si="73"/>
        <v>0.11393236412817191</v>
      </c>
      <c r="G99" s="26">
        <f t="shared" si="73"/>
        <v>0</v>
      </c>
      <c r="H99" s="26">
        <f t="shared" si="73"/>
        <v>0.11393236412817191</v>
      </c>
      <c r="I99" s="26">
        <f>IF(F$320=0,0,SUM(F$17:F99)/F$320)</f>
        <v>2.3109258950469308E-2</v>
      </c>
      <c r="J99" s="26">
        <f>IF(G$320=0,0,SUM(G$17:G99)/G$320)</f>
        <v>0</v>
      </c>
      <c r="K99" s="26">
        <f>SUM(H$17:H99)/H$320</f>
        <v>2.3109258950469308E-2</v>
      </c>
      <c r="L99" s="26"/>
      <c r="M99" s="26"/>
      <c r="N99" s="27">
        <f t="shared" si="74"/>
        <v>0.10965738304576089</v>
      </c>
      <c r="O99" s="27">
        <f t="shared" si="75"/>
        <v>0</v>
      </c>
      <c r="P99" s="26">
        <f t="shared" si="76"/>
        <v>0.10965738304576089</v>
      </c>
      <c r="Q99" s="26">
        <f>IF(N$320=0,0,SUM(N$17:N99)/N$320)</f>
        <v>2.2640652930278844E-2</v>
      </c>
      <c r="R99" s="26">
        <f>IF(O$320=0,0,SUM(O$17:O99)/O$320)</f>
        <v>0</v>
      </c>
      <c r="S99" s="26">
        <f>SUM(P$17:P99)/P$320</f>
        <v>2.2640652930278844E-2</v>
      </c>
    </row>
    <row r="100" spans="1:19" x14ac:dyDescent="0.4">
      <c r="A100" s="6">
        <f t="shared" si="70"/>
        <v>0.950477436596873</v>
      </c>
      <c r="B100" s="25">
        <f t="shared" ref="B100:C100" si="94">C$4*EXP(-0.5*(LN($A100)-LN(C$5))^2/(LN(C$6))^2)/($A100*SQRT(2*PI())*LN(C$6))</f>
        <v>3.5625015297365521</v>
      </c>
      <c r="C100" s="25">
        <f t="shared" si="94"/>
        <v>0</v>
      </c>
      <c r="D100" s="27">
        <f t="shared" si="72"/>
        <v>3.5625015297365521</v>
      </c>
      <c r="E100" s="27"/>
      <c r="F100" s="26">
        <f t="shared" si="73"/>
        <v>0.11878309831771945</v>
      </c>
      <c r="G100" s="26">
        <f t="shared" si="73"/>
        <v>0</v>
      </c>
      <c r="H100" s="26">
        <f t="shared" si="73"/>
        <v>0.11878309831771945</v>
      </c>
      <c r="I100" s="26">
        <f>IF(F$320=0,0,SUM(F$17:F100)/F$320)</f>
        <v>2.4282513690808947E-2</v>
      </c>
      <c r="J100" s="26">
        <f>IF(G$320=0,0,SUM(G$17:G100)/G$320)</f>
        <v>0</v>
      </c>
      <c r="K100" s="26">
        <f>SUM(H$17:H100)/H$320</f>
        <v>2.4282513690808947E-2</v>
      </c>
      <c r="L100" s="26"/>
      <c r="M100" s="26"/>
      <c r="N100" s="27">
        <f t="shared" si="74"/>
        <v>0.1143509363098396</v>
      </c>
      <c r="O100" s="27">
        <f t="shared" si="75"/>
        <v>0</v>
      </c>
      <c r="P100" s="26">
        <f t="shared" si="76"/>
        <v>0.1143509363098396</v>
      </c>
      <c r="Q100" s="26">
        <f>IF(N$320=0,0,SUM(N$17:N100)/N$320)</f>
        <v>2.3789908571583761E-2</v>
      </c>
      <c r="R100" s="26">
        <f>IF(O$320=0,0,SUM(O$17:O100)/O$320)</f>
        <v>0</v>
      </c>
      <c r="S100" s="26">
        <f>SUM(P$17:P100)/P$320</f>
        <v>2.3789908571583761E-2</v>
      </c>
    </row>
    <row r="101" spans="1:19" x14ac:dyDescent="0.4">
      <c r="A101" s="6">
        <f t="shared" si="70"/>
        <v>0.98382004636874965</v>
      </c>
      <c r="B101" s="25">
        <f t="shared" ref="B101:C101" si="95">C$4*EXP(-0.5*(LN($A101)-LN(C$5))^2/(LN(C$6))^2)/($A101*SQRT(2*PI())*LN(C$6))</f>
        <v>3.5867309579701279</v>
      </c>
      <c r="C101" s="25">
        <f t="shared" si="95"/>
        <v>0</v>
      </c>
      <c r="D101" s="27">
        <f t="shared" si="72"/>
        <v>3.5867309579701279</v>
      </c>
      <c r="E101" s="27"/>
      <c r="F101" s="26">
        <f t="shared" si="73"/>
        <v>0.12378620448804627</v>
      </c>
      <c r="G101" s="26">
        <f t="shared" si="73"/>
        <v>0</v>
      </c>
      <c r="H101" s="26">
        <f t="shared" si="73"/>
        <v>0.12378620448804627</v>
      </c>
      <c r="I101" s="26">
        <f>IF(F$320=0,0,SUM(F$17:F101)/F$320)</f>
        <v>2.5505185546158146E-2</v>
      </c>
      <c r="J101" s="26">
        <f>IF(G$320=0,0,SUM(G$17:G101)/G$320)</f>
        <v>0</v>
      </c>
      <c r="K101" s="26">
        <f>SUM(H$17:H101)/H$320</f>
        <v>2.5505185546158146E-2</v>
      </c>
      <c r="L101" s="26"/>
      <c r="M101" s="26"/>
      <c r="N101" s="27">
        <f t="shared" si="74"/>
        <v>0.1191932433189196</v>
      </c>
      <c r="O101" s="27">
        <f t="shared" si="75"/>
        <v>0</v>
      </c>
      <c r="P101" s="26">
        <f t="shared" si="76"/>
        <v>0.1191932433189196</v>
      </c>
      <c r="Q101" s="26">
        <f>IF(N$320=0,0,SUM(N$17:N101)/N$320)</f>
        <v>2.4987830614989992E-2</v>
      </c>
      <c r="R101" s="26">
        <f>IF(O$320=0,0,SUM(O$17:O101)/O$320)</f>
        <v>0</v>
      </c>
      <c r="S101" s="26">
        <f>SUM(P$17:P101)/P$320</f>
        <v>2.4987830614989992E-2</v>
      </c>
    </row>
    <row r="102" spans="1:19" x14ac:dyDescent="0.4">
      <c r="A102" s="6">
        <f t="shared" si="70"/>
        <v>1.0183323100257098</v>
      </c>
      <c r="B102" s="25">
        <f t="shared" ref="B102:C102" si="96">C$4*EXP(-0.5*(LN($A102)-LN(C$5))^2/(LN(C$6))^2)/($A102*SQRT(2*PI())*LN(C$6))</f>
        <v>3.609546166746695</v>
      </c>
      <c r="C102" s="25">
        <f t="shared" si="96"/>
        <v>0</v>
      </c>
      <c r="D102" s="27">
        <f t="shared" si="72"/>
        <v>3.609546166746695</v>
      </c>
      <c r="E102" s="27"/>
      <c r="F102" s="26">
        <f t="shared" si="73"/>
        <v>0.12894363301292902</v>
      </c>
      <c r="G102" s="26">
        <f t="shared" si="73"/>
        <v>0</v>
      </c>
      <c r="H102" s="26">
        <f t="shared" si="73"/>
        <v>0.12894363301292902</v>
      </c>
      <c r="I102" s="26">
        <f>IF(F$320=0,0,SUM(F$17:F102)/F$320)</f>
        <v>2.6778798802687135E-2</v>
      </c>
      <c r="J102" s="26">
        <f>IF(G$320=0,0,SUM(G$17:G102)/G$320)</f>
        <v>0</v>
      </c>
      <c r="K102" s="26">
        <f>SUM(H$17:H102)/H$320</f>
        <v>2.6778798802687135E-2</v>
      </c>
      <c r="L102" s="26"/>
      <c r="M102" s="26"/>
      <c r="N102" s="27">
        <f t="shared" si="74"/>
        <v>0.12418627897933486</v>
      </c>
      <c r="O102" s="27">
        <f t="shared" si="75"/>
        <v>0</v>
      </c>
      <c r="P102" s="26">
        <f t="shared" si="76"/>
        <v>0.12418627897933486</v>
      </c>
      <c r="Q102" s="26">
        <f>IF(N$320=0,0,SUM(N$17:N102)/N$320)</f>
        <v>2.6235933921314961E-2</v>
      </c>
      <c r="R102" s="26">
        <f>IF(O$320=0,0,SUM(O$17:O102)/O$320)</f>
        <v>0</v>
      </c>
      <c r="S102" s="26">
        <f>SUM(P$17:P102)/P$320</f>
        <v>2.6235933921314961E-2</v>
      </c>
    </row>
    <row r="103" spans="1:19" x14ac:dyDescent="0.4">
      <c r="A103" s="6">
        <f t="shared" si="70"/>
        <v>1.0540552588553536</v>
      </c>
      <c r="B103" s="25">
        <f t="shared" ref="B103:C103" si="97">C$4*EXP(-0.5*(LN($A103)-LN(C$5))^2/(LN(C$6))^2)/($A103*SQRT(2*PI())*LN(C$6))</f>
        <v>3.630918144281865</v>
      </c>
      <c r="C103" s="25">
        <f t="shared" si="97"/>
        <v>0</v>
      </c>
      <c r="D103" s="27">
        <f t="shared" si="72"/>
        <v>3.630918144281865</v>
      </c>
      <c r="E103" s="27"/>
      <c r="F103" s="26">
        <f t="shared" si="73"/>
        <v>0.13425720932033716</v>
      </c>
      <c r="G103" s="26">
        <f t="shared" si="73"/>
        <v>0</v>
      </c>
      <c r="H103" s="26">
        <f t="shared" si="73"/>
        <v>0.13425720932033716</v>
      </c>
      <c r="I103" s="26">
        <f>IF(F$320=0,0,SUM(F$17:F103)/F$320)</f>
        <v>2.8104895776841908E-2</v>
      </c>
      <c r="J103" s="26">
        <f>IF(G$320=0,0,SUM(G$17:G103)/G$320)</f>
        <v>0</v>
      </c>
      <c r="K103" s="26">
        <f>SUM(H$17:H103)/H$320</f>
        <v>2.8104895776841908E-2</v>
      </c>
      <c r="L103" s="26"/>
      <c r="M103" s="26"/>
      <c r="N103" s="27">
        <f t="shared" si="74"/>
        <v>0.129331899523423</v>
      </c>
      <c r="O103" s="27">
        <f t="shared" si="75"/>
        <v>0</v>
      </c>
      <c r="P103" s="26">
        <f t="shared" si="76"/>
        <v>0.129331899523423</v>
      </c>
      <c r="Q103" s="26">
        <f>IF(N$320=0,0,SUM(N$17:N103)/N$320)</f>
        <v>2.7535752006977502E-2</v>
      </c>
      <c r="R103" s="26">
        <f>IF(O$320=0,0,SUM(O$17:O103)/O$320)</f>
        <v>0</v>
      </c>
      <c r="S103" s="26">
        <f>SUM(P$17:P103)/P$320</f>
        <v>2.7535752006977502E-2</v>
      </c>
    </row>
    <row r="104" spans="1:19" x14ac:dyDescent="0.4">
      <c r="A104" s="6">
        <f t="shared" si="70"/>
        <v>1.0910313635168623</v>
      </c>
      <c r="B104" s="25">
        <f t="shared" ref="B104:C104" si="98">C$4*EXP(-0.5*(LN($A104)-LN(C$5))^2/(LN(C$6))^2)/($A104*SQRT(2*PI())*LN(C$6))</f>
        <v>3.6508195996006427</v>
      </c>
      <c r="C104" s="25">
        <f t="shared" si="98"/>
        <v>0</v>
      </c>
      <c r="D104" s="27">
        <f t="shared" si="72"/>
        <v>3.6508195996006427</v>
      </c>
      <c r="E104" s="27"/>
      <c r="F104" s="26">
        <f t="shared" si="73"/>
        <v>0.13972862542900849</v>
      </c>
      <c r="G104" s="26">
        <f t="shared" si="73"/>
        <v>0</v>
      </c>
      <c r="H104" s="26">
        <f t="shared" si="73"/>
        <v>0.13972862542900849</v>
      </c>
      <c r="I104" s="26">
        <f>IF(F$320=0,0,SUM(F$17:F104)/F$320)</f>
        <v>2.9485035497622963E-2</v>
      </c>
      <c r="J104" s="26">
        <f>IF(G$320=0,0,SUM(G$17:G104)/G$320)</f>
        <v>0</v>
      </c>
      <c r="K104" s="26">
        <f>SUM(H$17:H104)/H$320</f>
        <v>2.9485035497622963E-2</v>
      </c>
      <c r="L104" s="26"/>
      <c r="M104" s="26"/>
      <c r="N104" s="27">
        <f t="shared" si="74"/>
        <v>0.13463183422528155</v>
      </c>
      <c r="O104" s="27">
        <f t="shared" si="75"/>
        <v>0</v>
      </c>
      <c r="P104" s="26">
        <f t="shared" si="76"/>
        <v>0.13463183422528155</v>
      </c>
      <c r="Q104" s="26">
        <f>IF(N$320=0,0,SUM(N$17:N104)/N$320)</f>
        <v>2.8888835768035605E-2</v>
      </c>
      <c r="R104" s="26">
        <f>IF(O$320=0,0,SUM(O$17:O104)/O$320)</f>
        <v>0</v>
      </c>
      <c r="S104" s="26">
        <f>SUM(P$17:P104)/P$320</f>
        <v>2.8888835768035605E-2</v>
      </c>
    </row>
    <row r="105" spans="1:19" x14ac:dyDescent="0.4">
      <c r="A105" s="6">
        <f t="shared" si="70"/>
        <v>1.1293045845339438</v>
      </c>
      <c r="B105" s="25">
        <f t="shared" ref="B105:C105" si="99">C$4*EXP(-0.5*(LN($A105)-LN(C$5))^2/(LN(C$6))^2)/($A105*SQRT(2*PI())*LN(C$6))</f>
        <v>3.66922502059399</v>
      </c>
      <c r="C105" s="25">
        <f t="shared" si="99"/>
        <v>0</v>
      </c>
      <c r="D105" s="27">
        <f t="shared" si="72"/>
        <v>3.66922502059399</v>
      </c>
      <c r="E105" s="27"/>
      <c r="F105" s="26">
        <f t="shared" si="73"/>
        <v>0.14535943143201457</v>
      </c>
      <c r="G105" s="26">
        <f t="shared" si="73"/>
        <v>0</v>
      </c>
      <c r="H105" s="26">
        <f t="shared" si="73"/>
        <v>0.14535943143201457</v>
      </c>
      <c r="I105" s="26">
        <f>IF(F$320=0,0,SUM(F$17:F105)/F$320)</f>
        <v>3.0920792304744781E-2</v>
      </c>
      <c r="J105" s="26">
        <f>IF(G$320=0,0,SUM(G$17:G105)/G$320)</f>
        <v>0</v>
      </c>
      <c r="K105" s="26">
        <f>SUM(H$17:H105)/H$320</f>
        <v>3.0920792304744781E-2</v>
      </c>
      <c r="L105" s="26"/>
      <c r="M105" s="26"/>
      <c r="N105" s="27">
        <f t="shared" si="74"/>
        <v>0.14008767705474198</v>
      </c>
      <c r="O105" s="27">
        <f t="shared" si="75"/>
        <v>0</v>
      </c>
      <c r="P105" s="26">
        <f t="shared" si="76"/>
        <v>0.14008767705474198</v>
      </c>
      <c r="Q105" s="26">
        <f>IF(N$320=0,0,SUM(N$17:N105)/N$320)</f>
        <v>3.0296752120344567E-2</v>
      </c>
      <c r="R105" s="26">
        <f>IF(O$320=0,0,SUM(O$17:O105)/O$320)</f>
        <v>0</v>
      </c>
      <c r="S105" s="26">
        <f>SUM(P$17:P105)/P$320</f>
        <v>3.0296752120344567E-2</v>
      </c>
    </row>
    <row r="106" spans="1:19" x14ac:dyDescent="0.4">
      <c r="A106" s="6">
        <f t="shared" si="70"/>
        <v>1.1689204245590625</v>
      </c>
      <c r="B106" s="25">
        <f t="shared" ref="B106:C106" si="100">C$4*EXP(-0.5*(LN($A106)-LN(C$5))^2/(LN(C$6))^2)/($A106*SQRT(2*PI())*LN(C$6))</f>
        <v>3.6861107285067698</v>
      </c>
      <c r="C106" s="25">
        <f t="shared" si="100"/>
        <v>0</v>
      </c>
      <c r="D106" s="27">
        <f t="shared" si="72"/>
        <v>3.6861107285067698</v>
      </c>
      <c r="E106" s="27"/>
      <c r="F106" s="26">
        <f t="shared" si="73"/>
        <v>0.15115102694793323</v>
      </c>
      <c r="G106" s="26">
        <f t="shared" si="73"/>
        <v>0</v>
      </c>
      <c r="H106" s="26">
        <f t="shared" si="73"/>
        <v>0.15115102694793323</v>
      </c>
      <c r="I106" s="26">
        <f>IF(F$320=0,0,SUM(F$17:F106)/F$320)</f>
        <v>3.2413754362356072E-2</v>
      </c>
      <c r="J106" s="26">
        <f>IF(G$320=0,0,SUM(G$17:G106)/G$320)</f>
        <v>0</v>
      </c>
      <c r="K106" s="26">
        <f>SUM(H$17:H106)/H$320</f>
        <v>3.2413754362356072E-2</v>
      </c>
      <c r="L106" s="26"/>
      <c r="M106" s="26"/>
      <c r="N106" s="27">
        <f t="shared" si="74"/>
        <v>0.14570087828922434</v>
      </c>
      <c r="O106" s="27">
        <f t="shared" si="75"/>
        <v>0</v>
      </c>
      <c r="P106" s="26">
        <f t="shared" si="76"/>
        <v>0.14570087828922434</v>
      </c>
      <c r="Q106" s="26">
        <f>IF(N$320=0,0,SUM(N$17:N106)/N$320)</f>
        <v>3.176108255541215E-2</v>
      </c>
      <c r="R106" s="26">
        <f>IF(O$320=0,0,SUM(O$17:O106)/O$320)</f>
        <v>0</v>
      </c>
      <c r="S106" s="26">
        <f>SUM(P$17:P106)/P$320</f>
        <v>3.176108255541215E-2</v>
      </c>
    </row>
    <row r="107" spans="1:19" x14ac:dyDescent="0.4">
      <c r="A107" s="6">
        <f t="shared" si="70"/>
        <v>1.2099259824710908</v>
      </c>
      <c r="B107" s="25">
        <f t="shared" ref="B107:C107" si="101">C$4*EXP(-0.5*(LN($A107)-LN(C$5))^2/(LN(C$6))^2)/($A107*SQRT(2*PI())*LN(C$6))</f>
        <v>3.7014549286942424</v>
      </c>
      <c r="C107" s="25">
        <f t="shared" si="101"/>
        <v>0</v>
      </c>
      <c r="D107" s="27">
        <f t="shared" si="72"/>
        <v>3.7014549286942424</v>
      </c>
      <c r="E107" s="27"/>
      <c r="F107" s="26">
        <f t="shared" si="73"/>
        <v>0.15710465256118511</v>
      </c>
      <c r="G107" s="26">
        <f t="shared" si="73"/>
        <v>0</v>
      </c>
      <c r="H107" s="26">
        <f t="shared" si="73"/>
        <v>0.15710465256118511</v>
      </c>
      <c r="I107" s="26">
        <f>IF(F$320=0,0,SUM(F$17:F107)/F$320)</f>
        <v>3.3965522088213802E-2</v>
      </c>
      <c r="J107" s="26">
        <f>IF(G$320=0,0,SUM(G$17:G107)/G$320)</f>
        <v>0</v>
      </c>
      <c r="K107" s="26">
        <f>SUM(H$17:H107)/H$320</f>
        <v>3.3965522088213802E-2</v>
      </c>
      <c r="L107" s="26"/>
      <c r="M107" s="26"/>
      <c r="N107" s="27">
        <f t="shared" si="74"/>
        <v>0.15147273610434109</v>
      </c>
      <c r="O107" s="27">
        <f t="shared" si="75"/>
        <v>0</v>
      </c>
      <c r="P107" s="26">
        <f t="shared" si="76"/>
        <v>0.15147273610434109</v>
      </c>
      <c r="Q107" s="26">
        <f>IF(N$320=0,0,SUM(N$17:N107)/N$320)</f>
        <v>3.3283421611737182E-2</v>
      </c>
      <c r="R107" s="26">
        <f>IF(O$320=0,0,SUM(O$17:O107)/O$320)</f>
        <v>0</v>
      </c>
      <c r="S107" s="26">
        <f>SUM(P$17:P107)/P$320</f>
        <v>3.3283421611737182E-2</v>
      </c>
    </row>
    <row r="108" spans="1:19" x14ac:dyDescent="0.4">
      <c r="A108" s="6">
        <f t="shared" si="70"/>
        <v>1.2523700093706989</v>
      </c>
      <c r="B108" s="25">
        <f t="shared" ref="B108:C108" si="102">C$4*EXP(-0.5*(LN($A108)-LN(C$5))^2/(LN(C$6))^2)/($A108*SQRT(2*PI())*LN(C$6))</f>
        <v>3.7152377574948292</v>
      </c>
      <c r="C108" s="25">
        <f t="shared" si="102"/>
        <v>0</v>
      </c>
      <c r="D108" s="27">
        <f t="shared" si="72"/>
        <v>3.7152377574948292</v>
      </c>
      <c r="E108" s="27"/>
      <c r="F108" s="26">
        <f t="shared" si="73"/>
        <v>0.16322138127399075</v>
      </c>
      <c r="G108" s="26">
        <f t="shared" si="73"/>
        <v>0</v>
      </c>
      <c r="H108" s="26">
        <f t="shared" si="73"/>
        <v>0.16322138127399075</v>
      </c>
      <c r="I108" s="26">
        <f>IF(F$320=0,0,SUM(F$17:F108)/F$320)</f>
        <v>3.5577706498425683E-2</v>
      </c>
      <c r="J108" s="26">
        <f>IF(G$320=0,0,SUM(G$17:G108)/G$320)</f>
        <v>0</v>
      </c>
      <c r="K108" s="26">
        <f>SUM(H$17:H108)/H$320</f>
        <v>3.5577706498425683E-2</v>
      </c>
      <c r="L108" s="26"/>
      <c r="M108" s="26"/>
      <c r="N108" s="27">
        <f t="shared" si="74"/>
        <v>0.15740438816476549</v>
      </c>
      <c r="O108" s="27">
        <f t="shared" si="75"/>
        <v>0</v>
      </c>
      <c r="P108" s="26">
        <f t="shared" si="76"/>
        <v>0.15740438816476549</v>
      </c>
      <c r="Q108" s="26">
        <f>IF(N$320=0,0,SUM(N$17:N108)/N$320)</f>
        <v>3.4865375261634322E-2</v>
      </c>
      <c r="R108" s="26">
        <f>IF(O$320=0,0,SUM(O$17:O108)/O$320)</f>
        <v>0</v>
      </c>
      <c r="S108" s="26">
        <f>SUM(P$17:P108)/P$320</f>
        <v>3.4865375261634322E-2</v>
      </c>
    </row>
    <row r="109" spans="1:19" x14ac:dyDescent="0.4">
      <c r="A109" s="6">
        <f t="shared" si="70"/>
        <v>1.2963029665400538</v>
      </c>
      <c r="B109" s="25">
        <f t="shared" ref="B109:C109" si="103">C$4*EXP(-0.5*(LN($A109)-LN(C$5))^2/(LN(C$6))^2)/($A109*SQRT(2*PI())*LN(C$6))</f>
        <v>3.7274413250780198</v>
      </c>
      <c r="C109" s="25">
        <f t="shared" si="103"/>
        <v>0</v>
      </c>
      <c r="D109" s="27">
        <f t="shared" si="72"/>
        <v>3.7274413250780198</v>
      </c>
      <c r="E109" s="27"/>
      <c r="F109" s="26">
        <f t="shared" si="73"/>
        <v>0.16950210999328372</v>
      </c>
      <c r="G109" s="26">
        <f t="shared" si="73"/>
        <v>0</v>
      </c>
      <c r="H109" s="26">
        <f t="shared" si="73"/>
        <v>0.16950210999328372</v>
      </c>
      <c r="I109" s="26">
        <f>IF(F$320=0,0,SUM(F$17:F109)/F$320)</f>
        <v>3.7251927468106558E-2</v>
      </c>
      <c r="J109" s="26">
        <f>IF(G$320=0,0,SUM(G$17:G109)/G$320)</f>
        <v>0</v>
      </c>
      <c r="K109" s="26">
        <f>SUM(H$17:H109)/H$320</f>
        <v>3.7251927468106558E-2</v>
      </c>
      <c r="L109" s="26"/>
      <c r="M109" s="26"/>
      <c r="N109" s="27">
        <f t="shared" si="74"/>
        <v>0.1634968032379433</v>
      </c>
      <c r="O109" s="27">
        <f t="shared" si="75"/>
        <v>0</v>
      </c>
      <c r="P109" s="26">
        <f t="shared" si="76"/>
        <v>0.1634968032379433</v>
      </c>
      <c r="Q109" s="26">
        <f>IF(N$320=0,0,SUM(N$17:N109)/N$320)</f>
        <v>3.6508559213774452E-2</v>
      </c>
      <c r="R109" s="26">
        <f>IF(O$320=0,0,SUM(O$17:O109)/O$320)</f>
        <v>0</v>
      </c>
      <c r="S109" s="26">
        <f>SUM(P$17:P109)/P$320</f>
        <v>3.6508559213774452E-2</v>
      </c>
    </row>
    <row r="110" spans="1:19" x14ac:dyDescent="0.4">
      <c r="A110" s="6">
        <f t="shared" si="70"/>
        <v>1.3417770854357378</v>
      </c>
      <c r="B110" s="25">
        <f t="shared" ref="B110:C110" si="104">C$4*EXP(-0.5*(LN($A110)-LN(C$5))^2/(LN(C$6))^2)/($A110*SQRT(2*PI())*LN(C$6))</f>
        <v>3.7380497541381152</v>
      </c>
      <c r="C110" s="25">
        <f t="shared" si="104"/>
        <v>0</v>
      </c>
      <c r="D110" s="27">
        <f t="shared" si="72"/>
        <v>3.7380497541381152</v>
      </c>
      <c r="E110" s="27"/>
      <c r="F110" s="26">
        <f t="shared" si="73"/>
        <v>0.17594755107671481</v>
      </c>
      <c r="G110" s="26">
        <f t="shared" si="73"/>
        <v>0</v>
      </c>
      <c r="H110" s="26">
        <f t="shared" si="73"/>
        <v>0.17594755107671481</v>
      </c>
      <c r="I110" s="26">
        <f>IF(F$320=0,0,SUM(F$17:F110)/F$320)</f>
        <v>3.8989811908532138E-2</v>
      </c>
      <c r="J110" s="26">
        <f>IF(G$320=0,0,SUM(G$17:G110)/G$320)</f>
        <v>0</v>
      </c>
      <c r="K110" s="26">
        <f>SUM(H$17:H110)/H$320</f>
        <v>3.8989811908532138E-2</v>
      </c>
      <c r="L110" s="26"/>
      <c r="M110" s="26"/>
      <c r="N110" s="27">
        <f t="shared" si="74"/>
        <v>0.16975077285394796</v>
      </c>
      <c r="O110" s="27">
        <f t="shared" si="75"/>
        <v>0</v>
      </c>
      <c r="P110" s="26">
        <f t="shared" si="76"/>
        <v>0.16975077285394796</v>
      </c>
      <c r="Q110" s="26">
        <f>IF(N$320=0,0,SUM(N$17:N110)/N$320)</f>
        <v>3.821459713190458E-2</v>
      </c>
      <c r="R110" s="26">
        <f>IF(O$320=0,0,SUM(O$17:O110)/O$320)</f>
        <v>0</v>
      </c>
      <c r="S110" s="26">
        <f>SUM(P$17:P110)/P$320</f>
        <v>3.821459713190458E-2</v>
      </c>
    </row>
    <row r="111" spans="1:19" x14ac:dyDescent="0.4">
      <c r="A111" s="6">
        <f t="shared" si="70"/>
        <v>1.3888464297862073</v>
      </c>
      <c r="B111" s="25">
        <f t="shared" ref="B111:C111" si="105">C$4*EXP(-0.5*(LN($A111)-LN(C$5))^2/(LN(C$6))^2)/($A111*SQRT(2*PI())*LN(C$6))</f>
        <v>3.7470492143165992</v>
      </c>
      <c r="C111" s="25">
        <f t="shared" si="105"/>
        <v>0</v>
      </c>
      <c r="D111" s="27">
        <f t="shared" si="72"/>
        <v>3.7470492143165992</v>
      </c>
      <c r="E111" s="27"/>
      <c r="F111" s="26">
        <f t="shared" si="73"/>
        <v>0.18255822396266044</v>
      </c>
      <c r="G111" s="26">
        <f t="shared" si="73"/>
        <v>0</v>
      </c>
      <c r="H111" s="26">
        <f t="shared" si="73"/>
        <v>0.18255822396266044</v>
      </c>
      <c r="I111" s="26">
        <f>IF(F$320=0,0,SUM(F$17:F111)/F$320)</f>
        <v>4.0792991861619998E-2</v>
      </c>
      <c r="J111" s="26">
        <f>IF(G$320=0,0,SUM(G$17:G111)/G$320)</f>
        <v>0</v>
      </c>
      <c r="K111" s="26">
        <f>SUM(H$17:H111)/H$320</f>
        <v>4.0792991861619998E-2</v>
      </c>
      <c r="L111" s="26"/>
      <c r="M111" s="26"/>
      <c r="N111" s="27">
        <f t="shared" si="74"/>
        <v>0.17616690303560584</v>
      </c>
      <c r="O111" s="27">
        <f t="shared" si="75"/>
        <v>0</v>
      </c>
      <c r="P111" s="26">
        <f t="shared" si="76"/>
        <v>0.17616690303560584</v>
      </c>
      <c r="Q111" s="26">
        <f>IF(N$320=0,0,SUM(N$17:N111)/N$320)</f>
        <v>3.9985118770453382E-2</v>
      </c>
      <c r="R111" s="26">
        <f>IF(O$320=0,0,SUM(O$17:O111)/O$320)</f>
        <v>0</v>
      </c>
      <c r="S111" s="26">
        <f>SUM(P$17:P111)/P$320</f>
        <v>3.9985118770453382E-2</v>
      </c>
    </row>
    <row r="112" spans="1:19" x14ac:dyDescent="0.4">
      <c r="A112" s="6">
        <f t="shared" si="70"/>
        <v>1.437566959867624</v>
      </c>
      <c r="B112" s="25">
        <f t="shared" ref="B112:C112" si="106">C$4*EXP(-0.5*(LN($A112)-LN(C$5))^2/(LN(C$6))^2)/($A112*SQRT(2*PI())*LN(C$6))</f>
        <v>3.7544279522487161</v>
      </c>
      <c r="C112" s="25">
        <f t="shared" si="106"/>
        <v>0</v>
      </c>
      <c r="D112" s="27">
        <f t="shared" si="72"/>
        <v>3.7544279522487161</v>
      </c>
      <c r="E112" s="27"/>
      <c r="F112" s="26">
        <f t="shared" si="73"/>
        <v>0.18933444690982476</v>
      </c>
      <c r="G112" s="26">
        <f t="shared" si="73"/>
        <v>0</v>
      </c>
      <c r="H112" s="26">
        <f t="shared" si="73"/>
        <v>0.18933444690982476</v>
      </c>
      <c r="I112" s="26">
        <f>IF(F$320=0,0,SUM(F$17:F112)/F$320)</f>
        <v>4.266310251282026E-2</v>
      </c>
      <c r="J112" s="26">
        <f>IF(G$320=0,0,SUM(G$17:G112)/G$320)</f>
        <v>0</v>
      </c>
      <c r="K112" s="26">
        <f>SUM(H$17:H112)/H$320</f>
        <v>4.266310251282026E-2</v>
      </c>
      <c r="L112" s="26"/>
      <c r="M112" s="26"/>
      <c r="N112" s="27">
        <f t="shared" si="74"/>
        <v>0.1827456061237083</v>
      </c>
      <c r="O112" s="27">
        <f t="shared" si="75"/>
        <v>0</v>
      </c>
      <c r="P112" s="26">
        <f t="shared" si="76"/>
        <v>0.1827456061237083</v>
      </c>
      <c r="Q112" s="26">
        <f>IF(N$320=0,0,SUM(N$17:N112)/N$320)</f>
        <v>4.1821758027978086E-2</v>
      </c>
      <c r="R112" s="26">
        <f>IF(O$320=0,0,SUM(O$17:O112)/O$320)</f>
        <v>0</v>
      </c>
      <c r="S112" s="26">
        <f>SUM(P$17:P112)/P$320</f>
        <v>4.1821758027978086E-2</v>
      </c>
    </row>
    <row r="113" spans="1:19" x14ac:dyDescent="0.4">
      <c r="A113" s="6">
        <f t="shared" si="70"/>
        <v>1.4879965990344703</v>
      </c>
      <c r="B113" s="25">
        <f t="shared" ref="B113:C113" si="107">C$4*EXP(-0.5*(LN($A113)-LN(C$5))^2/(LN(C$6))^2)/($A113*SQRT(2*PI())*LN(C$6))</f>
        <v>3.7601763171428693</v>
      </c>
      <c r="C113" s="25">
        <f t="shared" si="107"/>
        <v>0</v>
      </c>
      <c r="D113" s="27">
        <f t="shared" si="72"/>
        <v>3.7601763171428693</v>
      </c>
      <c r="E113" s="27"/>
      <c r="F113" s="26">
        <f t="shared" si="73"/>
        <v>0.19627632887269675</v>
      </c>
      <c r="G113" s="26">
        <f t="shared" si="73"/>
        <v>0</v>
      </c>
      <c r="H113" s="26">
        <f t="shared" si="73"/>
        <v>0.19627632887269675</v>
      </c>
      <c r="I113" s="26">
        <f>IF(F$320=0,0,SUM(F$17:F113)/F$320)</f>
        <v>4.4601780123757789E-2</v>
      </c>
      <c r="J113" s="26">
        <f>IF(G$320=0,0,SUM(G$17:G113)/G$320)</f>
        <v>0</v>
      </c>
      <c r="K113" s="26">
        <f>SUM(H$17:H113)/H$320</f>
        <v>4.4601780123757789E-2</v>
      </c>
      <c r="L113" s="26"/>
      <c r="M113" s="26"/>
      <c r="N113" s="27">
        <f t="shared" si="74"/>
        <v>0.18948709272276557</v>
      </c>
      <c r="O113" s="27">
        <f t="shared" si="75"/>
        <v>0</v>
      </c>
      <c r="P113" s="26">
        <f t="shared" si="76"/>
        <v>0.18948709272276557</v>
      </c>
      <c r="Q113" s="26">
        <f>IF(N$320=0,0,SUM(N$17:N113)/N$320)</f>
        <v>4.3726150919664163E-2</v>
      </c>
      <c r="R113" s="26">
        <f>IF(O$320=0,0,SUM(O$17:O113)/O$320)</f>
        <v>0</v>
      </c>
      <c r="S113" s="26">
        <f>SUM(P$17:P113)/P$320</f>
        <v>4.3726150919664163E-2</v>
      </c>
    </row>
    <row r="114" spans="1:19" x14ac:dyDescent="0.4">
      <c r="A114" s="6">
        <f t="shared" si="70"/>
        <v>1.5401953025840516</v>
      </c>
      <c r="B114" s="25">
        <f t="shared" ref="B114:C114" si="108">C$4*EXP(-0.5*(LN($A114)-LN(C$5))^2/(LN(C$6))^2)/($A114*SQRT(2*PI())*LN(C$6))</f>
        <v>3.7642867818149099</v>
      </c>
      <c r="C114" s="25">
        <f t="shared" si="108"/>
        <v>0</v>
      </c>
      <c r="D114" s="27">
        <f t="shared" si="72"/>
        <v>3.7642867818149099</v>
      </c>
      <c r="E114" s="27"/>
      <c r="F114" s="26">
        <f t="shared" si="73"/>
        <v>0.20338376153965779</v>
      </c>
      <c r="G114" s="26">
        <f t="shared" si="73"/>
        <v>0</v>
      </c>
      <c r="H114" s="26">
        <f t="shared" si="73"/>
        <v>0.20338376153965779</v>
      </c>
      <c r="I114" s="26">
        <f>IF(F$320=0,0,SUM(F$17:F114)/F$320)</f>
        <v>4.6610659886232496E-2</v>
      </c>
      <c r="J114" s="26">
        <f>IF(G$320=0,0,SUM(G$17:G114)/G$320)</f>
        <v>0</v>
      </c>
      <c r="K114" s="26">
        <f>SUM(H$17:H114)/H$320</f>
        <v>4.6610659886232496E-2</v>
      </c>
      <c r="L114" s="26"/>
      <c r="M114" s="26"/>
      <c r="N114" s="27">
        <f t="shared" si="74"/>
        <v>0.19639136379345987</v>
      </c>
      <c r="O114" s="27">
        <f t="shared" si="75"/>
        <v>0</v>
      </c>
      <c r="P114" s="26">
        <f t="shared" si="76"/>
        <v>0.19639136379345987</v>
      </c>
      <c r="Q114" s="26">
        <f>IF(N$320=0,0,SUM(N$17:N114)/N$320)</f>
        <v>4.56999334703522E-2</v>
      </c>
      <c r="R114" s="26">
        <f>IF(O$320=0,0,SUM(O$17:O114)/O$320)</f>
        <v>0</v>
      </c>
      <c r="S114" s="26">
        <f>SUM(P$17:P114)/P$320</f>
        <v>4.56999334703522E-2</v>
      </c>
    </row>
    <row r="115" spans="1:19" x14ac:dyDescent="0.4">
      <c r="A115" s="6">
        <f t="shared" si="70"/>
        <v>1.5942251290367531</v>
      </c>
      <c r="B115" s="25">
        <f t="shared" ref="B115:C115" si="109">C$4*EXP(-0.5*(LN($A115)-LN(C$5))^2/(LN(C$6))^2)/($A115*SQRT(2*PI())*LN(C$6))</f>
        <v>3.766753959113152</v>
      </c>
      <c r="C115" s="25">
        <f t="shared" si="109"/>
        <v>0</v>
      </c>
      <c r="D115" s="27">
        <f t="shared" si="72"/>
        <v>3.766753959113152</v>
      </c>
      <c r="E115" s="27"/>
      <c r="F115" s="26">
        <f t="shared" si="73"/>
        <v>0.21065641156104803</v>
      </c>
      <c r="G115" s="26">
        <f t="shared" si="73"/>
        <v>0</v>
      </c>
      <c r="H115" s="26">
        <f t="shared" si="73"/>
        <v>0.21065641156104803</v>
      </c>
      <c r="I115" s="26">
        <f>IF(F$320=0,0,SUM(F$17:F115)/F$320)</f>
        <v>4.8691373699454081E-2</v>
      </c>
      <c r="J115" s="26">
        <f>IF(G$320=0,0,SUM(G$17:G115)/G$320)</f>
        <v>0</v>
      </c>
      <c r="K115" s="26">
        <f>SUM(H$17:H115)/H$320</f>
        <v>4.8691373699454081E-2</v>
      </c>
      <c r="L115" s="26"/>
      <c r="M115" s="26"/>
      <c r="N115" s="27">
        <f t="shared" si="74"/>
        <v>0.2034582029183031</v>
      </c>
      <c r="O115" s="27">
        <f t="shared" si="75"/>
        <v>0</v>
      </c>
      <c r="P115" s="26">
        <f t="shared" si="76"/>
        <v>0.2034582029183031</v>
      </c>
      <c r="Q115" s="26">
        <f>IF(N$320=0,0,SUM(N$17:N115)/N$320)</f>
        <v>4.774473952983263E-2</v>
      </c>
      <c r="R115" s="26">
        <f>IF(O$320=0,0,SUM(O$17:O115)/O$320)</f>
        <v>0</v>
      </c>
      <c r="S115" s="26">
        <f>SUM(P$17:P115)/P$320</f>
        <v>4.774473952983263E-2</v>
      </c>
    </row>
    <row r="116" spans="1:19" x14ac:dyDescent="0.4">
      <c r="A116" s="6">
        <f t="shared" si="70"/>
        <v>1.650150313916799</v>
      </c>
      <c r="B116" s="25">
        <f t="shared" ref="B116:C116" si="110">C$4*EXP(-0.5*(LN($A116)-LN(C$5))^2/(LN(C$6))^2)/($A116*SQRT(2*PI())*LN(C$6))</f>
        <v>3.7675746136839425</v>
      </c>
      <c r="C116" s="25">
        <f t="shared" si="110"/>
        <v>0</v>
      </c>
      <c r="D116" s="27">
        <f t="shared" si="72"/>
        <v>3.7675746136839425</v>
      </c>
      <c r="E116" s="27"/>
      <c r="F116" s="26">
        <f t="shared" si="73"/>
        <v>0.21809371299491709</v>
      </c>
      <c r="G116" s="26">
        <f t="shared" si="73"/>
        <v>0</v>
      </c>
      <c r="H116" s="26">
        <f t="shared" si="73"/>
        <v>0.21809371299491709</v>
      </c>
      <c r="I116" s="26">
        <f>IF(F$320=0,0,SUM(F$17:F116)/F$320)</f>
        <v>5.0845547872661247E-2</v>
      </c>
      <c r="J116" s="26">
        <f>IF(G$320=0,0,SUM(G$17:G116)/G$320)</f>
        <v>0</v>
      </c>
      <c r="K116" s="26">
        <f>SUM(H$17:H116)/H$320</f>
        <v>5.0845547872661247E-2</v>
      </c>
      <c r="L116" s="26"/>
      <c r="M116" s="26"/>
      <c r="N116" s="27">
        <f t="shared" si="74"/>
        <v>0.21068716876761207</v>
      </c>
      <c r="O116" s="27">
        <f t="shared" si="75"/>
        <v>0</v>
      </c>
      <c r="P116" s="26">
        <f t="shared" si="76"/>
        <v>0.21068716876761207</v>
      </c>
      <c r="Q116" s="26">
        <f>IF(N$320=0,0,SUM(N$17:N116)/N$320)</f>
        <v>4.9862198512421699E-2</v>
      </c>
      <c r="R116" s="26">
        <f>IF(O$320=0,0,SUM(O$17:O116)/O$320)</f>
        <v>0</v>
      </c>
      <c r="S116" s="26">
        <f>SUM(P$17:P116)/P$320</f>
        <v>4.9862198512421699E-2</v>
      </c>
    </row>
    <row r="117" spans="1:19" x14ac:dyDescent="0.4">
      <c r="A117" s="6">
        <f t="shared" si="70"/>
        <v>1.7080373461212295</v>
      </c>
      <c r="B117" s="25">
        <f t="shared" ref="B117:C117" si="111">C$4*EXP(-0.5*(LN($A117)-LN(C$5))^2/(LN(C$6))^2)/($A117*SQRT(2*PI())*LN(C$6))</f>
        <v>3.7667476690418042</v>
      </c>
      <c r="C117" s="25">
        <f t="shared" si="111"/>
        <v>0</v>
      </c>
      <c r="D117" s="27">
        <f t="shared" si="72"/>
        <v>3.7667476690418042</v>
      </c>
      <c r="E117" s="27"/>
      <c r="F117" s="26">
        <f t="shared" si="73"/>
        <v>0.2256948599985025</v>
      </c>
      <c r="G117" s="26">
        <f t="shared" si="73"/>
        <v>0</v>
      </c>
      <c r="H117" s="26">
        <f t="shared" si="73"/>
        <v>0.2256948599985025</v>
      </c>
      <c r="I117" s="26">
        <f>IF(F$320=0,0,SUM(F$17:F117)/F$320)</f>
        <v>5.3074800755552522E-2</v>
      </c>
      <c r="J117" s="26">
        <f>IF(G$320=0,0,SUM(G$17:G117)/G$320)</f>
        <v>0</v>
      </c>
      <c r="K117" s="26">
        <f>SUM(H$17:H117)/H$320</f>
        <v>5.3074800755552522E-2</v>
      </c>
      <c r="L117" s="26"/>
      <c r="M117" s="26"/>
      <c r="N117" s="27">
        <f t="shared" si="74"/>
        <v>0.21807758779318343</v>
      </c>
      <c r="O117" s="27">
        <f t="shared" si="75"/>
        <v>0</v>
      </c>
      <c r="P117" s="26">
        <f t="shared" si="76"/>
        <v>0.21807758779318343</v>
      </c>
      <c r="Q117" s="26">
        <f>IF(N$320=0,0,SUM(N$17:N117)/N$320)</f>
        <v>5.2053933063106954E-2</v>
      </c>
      <c r="R117" s="26">
        <f>IF(O$320=0,0,SUM(O$17:O117)/O$320)</f>
        <v>0</v>
      </c>
      <c r="S117" s="26">
        <f>SUM(P$17:P117)/P$320</f>
        <v>5.2053933063106954E-2</v>
      </c>
    </row>
    <row r="118" spans="1:19" x14ac:dyDescent="0.4">
      <c r="A118" s="6">
        <f t="shared" si="70"/>
        <v>1.76795504696789</v>
      </c>
      <c r="B118" s="25">
        <f t="shared" ref="B118:C118" si="112">C$4*EXP(-0.5*(LN($A118)-LN(C$5))^2/(LN(C$6))^2)/($A118*SQRT(2*PI())*LN(C$6))</f>
        <v>3.7642742099225499</v>
      </c>
      <c r="C118" s="25">
        <f t="shared" si="112"/>
        <v>0</v>
      </c>
      <c r="D118" s="27">
        <f t="shared" si="72"/>
        <v>3.7642742099225499</v>
      </c>
      <c r="E118" s="27"/>
      <c r="F118" s="26">
        <f t="shared" si="73"/>
        <v>0.23345879979373624</v>
      </c>
      <c r="G118" s="26">
        <f t="shared" si="73"/>
        <v>0</v>
      </c>
      <c r="H118" s="26">
        <f t="shared" si="73"/>
        <v>0.23345879979373624</v>
      </c>
      <c r="I118" s="26">
        <f>IF(F$320=0,0,SUM(F$17:F118)/F$320)</f>
        <v>5.5380740299235426E-2</v>
      </c>
      <c r="J118" s="26">
        <f>IF(G$320=0,0,SUM(G$17:G118)/G$320)</f>
        <v>0</v>
      </c>
      <c r="K118" s="26">
        <f>SUM(H$17:H118)/H$320</f>
        <v>5.5380740299235426E-2</v>
      </c>
      <c r="L118" s="26"/>
      <c r="M118" s="26"/>
      <c r="N118" s="27">
        <f t="shared" si="74"/>
        <v>0.22562854717740125</v>
      </c>
      <c r="O118" s="27">
        <f t="shared" si="75"/>
        <v>0</v>
      </c>
      <c r="P118" s="26">
        <f t="shared" si="76"/>
        <v>0.22562854717740125</v>
      </c>
      <c r="Q118" s="26">
        <f>IF(N$320=0,0,SUM(N$17:N118)/N$320)</f>
        <v>5.4321556652829575E-2</v>
      </c>
      <c r="R118" s="26">
        <f>IF(O$320=0,0,SUM(O$17:O118)/O$320)</f>
        <v>0</v>
      </c>
      <c r="S118" s="26">
        <f>SUM(P$17:P118)/P$320</f>
        <v>5.4321556652829575E-2</v>
      </c>
    </row>
    <row r="119" spans="1:19" x14ac:dyDescent="0.4">
      <c r="A119" s="6">
        <f t="shared" si="70"/>
        <v>1.8299746520164126</v>
      </c>
      <c r="B119" s="25">
        <f t="shared" ref="B119:C119" si="113">C$4*EXP(-0.5*(LN($A119)-LN(C$5))^2/(LN(C$6))^2)/($A119*SQRT(2*PI())*LN(C$6))</f>
        <v>3.7601574799121305</v>
      </c>
      <c r="C119" s="25">
        <f t="shared" si="113"/>
        <v>0</v>
      </c>
      <c r="D119" s="27">
        <f t="shared" si="72"/>
        <v>3.7601574799121305</v>
      </c>
      <c r="E119" s="27"/>
      <c r="F119" s="26">
        <f t="shared" si="73"/>
        <v>0.2413842259352251</v>
      </c>
      <c r="G119" s="26">
        <f t="shared" si="73"/>
        <v>0</v>
      </c>
      <c r="H119" s="26">
        <f t="shared" si="73"/>
        <v>0.2413842259352251</v>
      </c>
      <c r="I119" s="26">
        <f>IF(F$320=0,0,SUM(F$17:F119)/F$320)</f>
        <v>5.7764961550681518E-2</v>
      </c>
      <c r="J119" s="26">
        <f>IF(G$320=0,0,SUM(G$17:G119)/G$320)</f>
        <v>0</v>
      </c>
      <c r="K119" s="26">
        <f>SUM(H$17:H119)/H$320</f>
        <v>5.7764961550681518E-2</v>
      </c>
      <c r="L119" s="26"/>
      <c r="M119" s="26"/>
      <c r="N119" s="27">
        <f t="shared" si="74"/>
        <v>0.23333888806560121</v>
      </c>
      <c r="O119" s="27">
        <f t="shared" si="75"/>
        <v>0</v>
      </c>
      <c r="P119" s="26">
        <f t="shared" si="76"/>
        <v>0.23333888806560121</v>
      </c>
      <c r="Q119" s="26">
        <f>IF(N$320=0,0,SUM(N$17:N119)/N$320)</f>
        <v>5.6666671105750195E-2</v>
      </c>
      <c r="R119" s="26">
        <f>IF(O$320=0,0,SUM(O$17:O119)/O$320)</f>
        <v>0</v>
      </c>
      <c r="S119" s="26">
        <f>SUM(P$17:P119)/P$320</f>
        <v>5.6666671105750195E-2</v>
      </c>
    </row>
    <row r="120" spans="1:19" x14ac:dyDescent="0.4">
      <c r="A120" s="6">
        <f t="shared" si="70"/>
        <v>1.8941698957594661</v>
      </c>
      <c r="B120" s="25">
        <f t="shared" ref="B120:C120" si="114">C$4*EXP(-0.5*(LN($A120)-LN(C$5))^2/(LN(C$6))^2)/($A120*SQRT(2*PI())*LN(C$6))</f>
        <v>3.7544028743585272</v>
      </c>
      <c r="C120" s="25">
        <f t="shared" si="114"/>
        <v>0</v>
      </c>
      <c r="D120" s="27">
        <f t="shared" si="72"/>
        <v>3.7544028743585272</v>
      </c>
      <c r="E120" s="27"/>
      <c r="F120" s="26">
        <f t="shared" si="73"/>
        <v>0.24946957190920965</v>
      </c>
      <c r="G120" s="26">
        <f t="shared" si="73"/>
        <v>0</v>
      </c>
      <c r="H120" s="26">
        <f t="shared" si="73"/>
        <v>0.24946957190920965</v>
      </c>
      <c r="I120" s="26">
        <f>IF(F$320=0,0,SUM(F$17:F120)/F$320)</f>
        <v>6.0229044083956518E-2</v>
      </c>
      <c r="J120" s="26">
        <f>IF(G$320=0,0,SUM(G$17:G120)/G$320)</f>
        <v>0</v>
      </c>
      <c r="K120" s="26">
        <f>SUM(H$17:H120)/H$320</f>
        <v>6.0229044083956518E-2</v>
      </c>
      <c r="L120" s="26"/>
      <c r="M120" s="26"/>
      <c r="N120" s="27">
        <f t="shared" si="74"/>
        <v>0.24120719910978097</v>
      </c>
      <c r="O120" s="27">
        <f t="shared" si="75"/>
        <v>0</v>
      </c>
      <c r="P120" s="26">
        <f t="shared" si="76"/>
        <v>0.24120719910978097</v>
      </c>
      <c r="Q120" s="26">
        <f>IF(N$320=0,0,SUM(N$17:N120)/N$320)</f>
        <v>5.9090864061627391E-2</v>
      </c>
      <c r="R120" s="26">
        <f>IF(O$320=0,0,SUM(O$17:O120)/O$320)</f>
        <v>0</v>
      </c>
      <c r="S120" s="26">
        <f>SUM(P$17:P120)/P$320</f>
        <v>5.9090864061627391E-2</v>
      </c>
    </row>
    <row r="121" spans="1:19" x14ac:dyDescent="0.4">
      <c r="A121" s="6">
        <f t="shared" si="70"/>
        <v>1.9606170992849625</v>
      </c>
      <c r="B121" s="25">
        <f t="shared" ref="B121:C121" si="115">C$4*EXP(-0.5*(LN($A121)-LN(C$5))^2/(LN(C$6))^2)/($A121*SQRT(2*PI())*LN(C$6))</f>
        <v>3.7470179285882987</v>
      </c>
      <c r="C121" s="25">
        <f t="shared" si="115"/>
        <v>0</v>
      </c>
      <c r="D121" s="27">
        <f t="shared" si="72"/>
        <v>3.7470179285882987</v>
      </c>
      <c r="E121" s="27"/>
      <c r="F121" s="26">
        <f t="shared" si="73"/>
        <v>0.25771300509194661</v>
      </c>
      <c r="G121" s="26">
        <f t="shared" si="73"/>
        <v>0</v>
      </c>
      <c r="H121" s="26">
        <f t="shared" si="73"/>
        <v>0.25771300509194661</v>
      </c>
      <c r="I121" s="26">
        <f>IF(F$320=0,0,SUM(F$17:F121)/F$320)</f>
        <v>6.2774549371775692E-2</v>
      </c>
      <c r="J121" s="26">
        <f>IF(G$320=0,0,SUM(G$17:G121)/G$320)</f>
        <v>0</v>
      </c>
      <c r="K121" s="26">
        <f>SUM(H$17:H121)/H$320</f>
        <v>6.2774549371775692E-2</v>
      </c>
      <c r="L121" s="26"/>
      <c r="M121" s="26"/>
      <c r="N121" s="27">
        <f t="shared" si="74"/>
        <v>0.24923181035156408</v>
      </c>
      <c r="O121" s="27">
        <f t="shared" si="75"/>
        <v>0</v>
      </c>
      <c r="P121" s="26">
        <f t="shared" si="76"/>
        <v>0.24923181035156408</v>
      </c>
      <c r="Q121" s="26">
        <f>IF(N$320=0,0,SUM(N$17:N121)/N$320)</f>
        <v>6.159570637671849E-2</v>
      </c>
      <c r="R121" s="26">
        <f>IF(O$320=0,0,SUM(O$17:O121)/O$320)</f>
        <v>0</v>
      </c>
      <c r="S121" s="26">
        <f>SUM(P$17:P121)/P$320</f>
        <v>6.159570637671849E-2</v>
      </c>
    </row>
    <row r="122" spans="1:19" x14ac:dyDescent="0.4">
      <c r="A122" s="6">
        <f t="shared" si="70"/>
        <v>2.0293952610134389</v>
      </c>
      <c r="B122" s="25">
        <f t="shared" ref="B122:C122" si="116">C$4*EXP(-0.5*(LN($A122)-LN(C$5))^2/(LN(C$6))^2)/($A122*SQRT(2*PI())*LN(C$6))</f>
        <v>3.7380123014638706</v>
      </c>
      <c r="C122" s="25">
        <f t="shared" si="116"/>
        <v>0</v>
      </c>
      <c r="D122" s="27">
        <f t="shared" si="72"/>
        <v>3.7380123014638706</v>
      </c>
      <c r="E122" s="27"/>
      <c r="F122" s="26">
        <f t="shared" si="73"/>
        <v>0.26611242109586541</v>
      </c>
      <c r="G122" s="26">
        <f t="shared" si="73"/>
        <v>0</v>
      </c>
      <c r="H122" s="26">
        <f t="shared" si="73"/>
        <v>0.26611242109586541</v>
      </c>
      <c r="I122" s="26">
        <f>IF(F$320=0,0,SUM(F$17:F122)/F$320)</f>
        <v>6.5403018101214502E-2</v>
      </c>
      <c r="J122" s="26">
        <f>IF(G$320=0,0,SUM(G$17:G122)/G$320)</f>
        <v>0</v>
      </c>
      <c r="K122" s="26">
        <f>SUM(H$17:H122)/H$320</f>
        <v>6.5403018101214502E-2</v>
      </c>
      <c r="L122" s="26"/>
      <c r="M122" s="26"/>
      <c r="N122" s="27">
        <f t="shared" si="74"/>
        <v>0.25741078747239382</v>
      </c>
      <c r="O122" s="27">
        <f t="shared" si="75"/>
        <v>0</v>
      </c>
      <c r="P122" s="26">
        <f t="shared" si="76"/>
        <v>0.25741078747239382</v>
      </c>
      <c r="Q122" s="26">
        <f>IF(N$320=0,0,SUM(N$17:N122)/N$320)</f>
        <v>6.4182749466893299E-2</v>
      </c>
      <c r="R122" s="26">
        <f>IF(O$320=0,0,SUM(O$17:O122)/O$320)</f>
        <v>0</v>
      </c>
      <c r="S122" s="26">
        <f>SUM(P$17:P122)/P$320</f>
        <v>6.4182749466893299E-2</v>
      </c>
    </row>
    <row r="123" spans="1:19" x14ac:dyDescent="0.4">
      <c r="A123" s="6">
        <f t="shared" si="70"/>
        <v>2.1005861506184975</v>
      </c>
      <c r="B123" s="25">
        <f t="shared" ref="B123:C123" si="117">C$4*EXP(-0.5*(LN($A123)-LN(C$5))^2/(LN(C$6))^2)/($A123*SQRT(2*PI())*LN(C$6))</f>
        <v>3.7273977543317587</v>
      </c>
      <c r="C123" s="25">
        <f t="shared" si="117"/>
        <v>0</v>
      </c>
      <c r="D123" s="27">
        <f t="shared" si="72"/>
        <v>3.7273977543317587</v>
      </c>
      <c r="E123" s="27"/>
      <c r="F123" s="26">
        <f t="shared" si="73"/>
        <v>0.27466543853150915</v>
      </c>
      <c r="G123" s="26">
        <f t="shared" si="73"/>
        <v>0</v>
      </c>
      <c r="H123" s="26">
        <f t="shared" si="73"/>
        <v>0.27466543853150915</v>
      </c>
      <c r="I123" s="26">
        <f>IF(F$320=0,0,SUM(F$17:F123)/F$320)</f>
        <v>6.8115967437681571E-2</v>
      </c>
      <c r="J123" s="26">
        <f>IF(G$320=0,0,SUM(G$17:G123)/G$320)</f>
        <v>0</v>
      </c>
      <c r="K123" s="26">
        <f>SUM(H$17:H123)/H$320</f>
        <v>6.8115967437681571E-2</v>
      </c>
      <c r="L123" s="26"/>
      <c r="M123" s="26"/>
      <c r="N123" s="27">
        <f t="shared" si="74"/>
        <v>0.26574192643863681</v>
      </c>
      <c r="O123" s="27">
        <f t="shared" si="75"/>
        <v>0</v>
      </c>
      <c r="P123" s="26">
        <f t="shared" si="76"/>
        <v>0.26574192643863681</v>
      </c>
      <c r="Q123" s="26">
        <f>IF(N$320=0,0,SUM(N$17:N123)/N$320)</f>
        <v>6.6853522596929851E-2</v>
      </c>
      <c r="R123" s="26">
        <f>IF(O$320=0,0,SUM(O$17:O123)/O$320)</f>
        <v>0</v>
      </c>
      <c r="S123" s="26">
        <f>SUM(P$17:P123)/P$320</f>
        <v>6.6853522596929851E-2</v>
      </c>
    </row>
    <row r="124" spans="1:19" x14ac:dyDescent="0.4">
      <c r="A124" s="6">
        <f t="shared" si="70"/>
        <v>2.1742744062419574</v>
      </c>
      <c r="B124" s="25">
        <f t="shared" ref="B124:C124" si="118">C$4*EXP(-0.5*(LN($A124)-LN(C$5))^2/(LN(C$6))^2)/($A124*SQRT(2*PI())*LN(C$6))</f>
        <v>3.7151881254259633</v>
      </c>
      <c r="C124" s="25">
        <f t="shared" si="118"/>
        <v>0</v>
      </c>
      <c r="D124" s="27">
        <f t="shared" si="72"/>
        <v>3.7151881254259633</v>
      </c>
      <c r="E124" s="27"/>
      <c r="F124" s="26">
        <f t="shared" si="73"/>
        <v>0.28336939421300594</v>
      </c>
      <c r="G124" s="26">
        <f t="shared" si="73"/>
        <v>0</v>
      </c>
      <c r="H124" s="26">
        <f t="shared" si="73"/>
        <v>0.28336939421300594</v>
      </c>
      <c r="I124" s="26">
        <f>IF(F$320=0,0,SUM(F$17:F124)/F$320)</f>
        <v>7.0914888241534565E-2</v>
      </c>
      <c r="J124" s="26">
        <f>IF(G$320=0,0,SUM(G$17:G124)/G$320)</f>
        <v>0</v>
      </c>
      <c r="K124" s="26">
        <f>SUM(H$17:H124)/H$320</f>
        <v>7.0914888241534565E-2</v>
      </c>
      <c r="L124" s="26"/>
      <c r="M124" s="26"/>
      <c r="N124" s="27">
        <f t="shared" si="74"/>
        <v>0.27422274856905154</v>
      </c>
      <c r="O124" s="27">
        <f t="shared" si="75"/>
        <v>0</v>
      </c>
      <c r="P124" s="26">
        <f t="shared" si="76"/>
        <v>0.27422274856905154</v>
      </c>
      <c r="Q124" s="26">
        <f>IF(N$320=0,0,SUM(N$17:N124)/N$320)</f>
        <v>6.9609530120236893E-2</v>
      </c>
      <c r="R124" s="26">
        <f>IF(O$320=0,0,SUM(O$17:O124)/O$320)</f>
        <v>0</v>
      </c>
      <c r="S124" s="26">
        <f>SUM(P$17:P124)/P$320</f>
        <v>6.9609530120236893E-2</v>
      </c>
    </row>
    <row r="125" spans="1:19" x14ac:dyDescent="0.4">
      <c r="A125" s="6">
        <f t="shared" si="70"/>
        <v>2.2505476351193017</v>
      </c>
      <c r="B125" s="25">
        <f t="shared" ref="B125:C125" si="119">C$4*EXP(-0.5*(LN($A125)-LN(C$5))^2/(LN(C$6))^2)/($A125*SQRT(2*PI())*LN(C$6))</f>
        <v>3.7013992998044931</v>
      </c>
      <c r="C125" s="25">
        <f t="shared" si="119"/>
        <v>0</v>
      </c>
      <c r="D125" s="27">
        <f t="shared" si="72"/>
        <v>3.7013992998044931</v>
      </c>
      <c r="E125" s="27"/>
      <c r="F125" s="26">
        <f t="shared" si="73"/>
        <v>0.2922213388342737</v>
      </c>
      <c r="G125" s="26">
        <f t="shared" si="73"/>
        <v>0</v>
      </c>
      <c r="H125" s="26">
        <f t="shared" si="73"/>
        <v>0.2922213388342737</v>
      </c>
      <c r="I125" s="26">
        <f>IF(F$320=0,0,SUM(F$17:F125)/F$320)</f>
        <v>7.3801242241988876E-2</v>
      </c>
      <c r="J125" s="26">
        <f>IF(G$320=0,0,SUM(G$17:G125)/G$320)</f>
        <v>0</v>
      </c>
      <c r="K125" s="26">
        <f>SUM(H$17:H125)/H$320</f>
        <v>7.3801242241988876E-2</v>
      </c>
      <c r="L125" s="26"/>
      <c r="M125" s="26"/>
      <c r="N125" s="27">
        <f t="shared" si="74"/>
        <v>0.28285049605149548</v>
      </c>
      <c r="O125" s="27">
        <f t="shared" si="75"/>
        <v>0</v>
      </c>
      <c r="P125" s="26">
        <f t="shared" si="76"/>
        <v>0.28285049605149548</v>
      </c>
      <c r="Q125" s="26">
        <f>IF(N$320=0,0,SUM(N$17:N125)/N$320)</f>
        <v>7.2452248673518252E-2</v>
      </c>
      <c r="R125" s="26">
        <f>IF(O$320=0,0,SUM(O$17:O125)/O$320)</f>
        <v>0</v>
      </c>
      <c r="S125" s="26">
        <f>SUM(P$17:P125)/P$320</f>
        <v>7.2452248673518252E-2</v>
      </c>
    </row>
    <row r="126" spans="1:19" x14ac:dyDescent="0.4">
      <c r="A126" s="6">
        <f t="shared" si="70"/>
        <v>2.3294965177350488</v>
      </c>
      <c r="B126" s="25">
        <f t="shared" ref="B126:C126" si="120">C$4*EXP(-0.5*(LN($A126)-LN(C$5))^2/(LN(C$6))^2)/($A126*SQRT(2*PI())*LN(C$6))</f>
        <v>3.686049174910484</v>
      </c>
      <c r="C126" s="25">
        <f t="shared" si="120"/>
        <v>0</v>
      </c>
      <c r="D126" s="27">
        <f t="shared" si="72"/>
        <v>3.686049174910484</v>
      </c>
      <c r="E126" s="27"/>
      <c r="F126" s="26">
        <f t="shared" si="73"/>
        <v>0.30121803314262874</v>
      </c>
      <c r="G126" s="26">
        <f t="shared" si="73"/>
        <v>0</v>
      </c>
      <c r="H126" s="26">
        <f t="shared" si="73"/>
        <v>0.30121803314262874</v>
      </c>
      <c r="I126" s="26">
        <f>IF(F$320=0,0,SUM(F$17:F126)/F$320)</f>
        <v>7.6776459173231795E-2</v>
      </c>
      <c r="J126" s="26">
        <f>IF(G$320=0,0,SUM(G$17:G126)/G$320)</f>
        <v>0</v>
      </c>
      <c r="K126" s="26">
        <f>SUM(H$17:H126)/H$320</f>
        <v>7.6776459173231795E-2</v>
      </c>
      <c r="L126" s="26"/>
      <c r="M126" s="26"/>
      <c r="N126" s="27">
        <f t="shared" si="74"/>
        <v>0.29162212793561737</v>
      </c>
      <c r="O126" s="27">
        <f t="shared" si="75"/>
        <v>0</v>
      </c>
      <c r="P126" s="26">
        <f t="shared" si="76"/>
        <v>0.29162212793561737</v>
      </c>
      <c r="Q126" s="26">
        <f>IF(N$320=0,0,SUM(N$17:N126)/N$320)</f>
        <v>7.5383124331162649E-2</v>
      </c>
      <c r="R126" s="26">
        <f>IF(O$320=0,0,SUM(O$17:O126)/O$320)</f>
        <v>0</v>
      </c>
      <c r="S126" s="26">
        <f>SUM(P$17:P126)/P$320</f>
        <v>7.5383124331162649E-2</v>
      </c>
    </row>
    <row r="127" spans="1:19" x14ac:dyDescent="0.4">
      <c r="A127" s="6">
        <f t="shared" si="70"/>
        <v>2.4112149156318821</v>
      </c>
      <c r="B127" s="25">
        <f t="shared" ref="B127:C127" si="121">C$4*EXP(-0.5*(LN($A127)-LN(C$5))^2/(LN(C$6))^2)/($A127*SQRT(2*PI())*LN(C$6))</f>
        <v>3.6691576218623672</v>
      </c>
      <c r="C127" s="25">
        <f t="shared" si="121"/>
        <v>0</v>
      </c>
      <c r="D127" s="27">
        <f t="shared" si="72"/>
        <v>3.6691576218623672</v>
      </c>
      <c r="E127" s="27"/>
      <c r="F127" s="26">
        <f t="shared" si="73"/>
        <v>0.3103559446357253</v>
      </c>
      <c r="G127" s="26">
        <f t="shared" si="73"/>
        <v>0</v>
      </c>
      <c r="H127" s="26">
        <f t="shared" si="73"/>
        <v>0.3103559446357253</v>
      </c>
      <c r="I127" s="26">
        <f>IF(F$320=0,0,SUM(F$17:F127)/F$320)</f>
        <v>7.9841933877911497E-2</v>
      </c>
      <c r="J127" s="26">
        <f>IF(G$320=0,0,SUM(G$17:G127)/G$320)</f>
        <v>0</v>
      </c>
      <c r="K127" s="26">
        <f>SUM(H$17:H127)/H$320</f>
        <v>7.9841933877911497E-2</v>
      </c>
      <c r="L127" s="26"/>
      <c r="M127" s="26"/>
      <c r="N127" s="27">
        <f t="shared" si="74"/>
        <v>0.30053431662701996</v>
      </c>
      <c r="O127" s="27">
        <f t="shared" si="75"/>
        <v>0</v>
      </c>
      <c r="P127" s="26">
        <f t="shared" si="76"/>
        <v>0.30053431662701996</v>
      </c>
      <c r="Q127" s="26">
        <f>IF(N$320=0,0,SUM(N$17:N127)/N$320)</f>
        <v>7.8403569724399019E-2</v>
      </c>
      <c r="R127" s="26">
        <f>IF(O$320=0,0,SUM(O$17:O127)/O$320)</f>
        <v>0</v>
      </c>
      <c r="S127" s="26">
        <f>SUM(P$17:P127)/P$320</f>
        <v>7.8403569724399019E-2</v>
      </c>
    </row>
    <row r="128" spans="1:19" x14ac:dyDescent="0.4">
      <c r="A128" s="6">
        <f t="shared" si="70"/>
        <v>2.4957999830017044</v>
      </c>
      <c r="B128" s="25">
        <f t="shared" ref="B128:C128" si="122">C$4*EXP(-0.5*(LN($A128)-LN(C$5))^2/(LN(C$6))^2)/($A128*SQRT(2*PI())*LN(C$6))</f>
        <v>3.6507464425903295</v>
      </c>
      <c r="C128" s="25">
        <f t="shared" si="122"/>
        <v>0</v>
      </c>
      <c r="D128" s="27">
        <f t="shared" si="72"/>
        <v>3.6507464425903295</v>
      </c>
      <c r="E128" s="27"/>
      <c r="F128" s="26">
        <f t="shared" si="73"/>
        <v>0.31963124480699528</v>
      </c>
      <c r="G128" s="26">
        <f t="shared" si="73"/>
        <v>0</v>
      </c>
      <c r="H128" s="26">
        <f t="shared" si="73"/>
        <v>0.31963124480699528</v>
      </c>
      <c r="I128" s="26">
        <f>IF(F$320=0,0,SUM(F$17:F128)/F$320)</f>
        <v>8.2999023383418399E-2</v>
      </c>
      <c r="J128" s="26">
        <f>IF(G$320=0,0,SUM(G$17:G128)/G$320)</f>
        <v>0</v>
      </c>
      <c r="K128" s="26">
        <f>SUM(H$17:H128)/H$320</f>
        <v>8.2999023383418399E-2</v>
      </c>
      <c r="L128" s="26"/>
      <c r="M128" s="26"/>
      <c r="N128" s="27">
        <f t="shared" si="74"/>
        <v>0.3095834449084553</v>
      </c>
      <c r="O128" s="27">
        <f t="shared" si="75"/>
        <v>0</v>
      </c>
      <c r="P128" s="26">
        <f t="shared" si="76"/>
        <v>0.3095834449084553</v>
      </c>
      <c r="Q128" s="26">
        <f>IF(N$320=0,0,SUM(N$17:N128)/N$320)</f>
        <v>8.1514961130514138E-2</v>
      </c>
      <c r="R128" s="26">
        <f>IF(O$320=0,0,SUM(O$17:O128)/O$320)</f>
        <v>0</v>
      </c>
      <c r="S128" s="26">
        <f>SUM(P$17:P128)/P$320</f>
        <v>8.1514961130514138E-2</v>
      </c>
    </row>
    <row r="129" spans="1:19" x14ac:dyDescent="0.4">
      <c r="A129" s="6">
        <f t="shared" si="70"/>
        <v>2.5833522821912931</v>
      </c>
      <c r="B129" s="25">
        <f t="shared" ref="B129:C129" si="123">C$4*EXP(-0.5*(LN($A129)-LN(C$5))^2/(LN(C$6))^2)/($A129*SQRT(2*PI())*LN(C$6))</f>
        <v>3.6308393229484563</v>
      </c>
      <c r="C129" s="25">
        <f t="shared" si="123"/>
        <v>0</v>
      </c>
      <c r="D129" s="27">
        <f t="shared" si="72"/>
        <v>3.6308393229484563</v>
      </c>
      <c r="E129" s="27"/>
      <c r="F129" s="26">
        <f t="shared" si="73"/>
        <v>0.32903980696378538</v>
      </c>
      <c r="G129" s="26">
        <f t="shared" si="73"/>
        <v>0</v>
      </c>
      <c r="H129" s="26">
        <f t="shared" si="73"/>
        <v>0.32903980696378538</v>
      </c>
      <c r="I129" s="26">
        <f>IF(F$320=0,0,SUM(F$17:F129)/F$320)</f>
        <v>8.6249043956615645E-2</v>
      </c>
      <c r="J129" s="26">
        <f>IF(G$320=0,0,SUM(G$17:G129)/G$320)</f>
        <v>0</v>
      </c>
      <c r="K129" s="26">
        <f>SUM(H$17:H129)/H$320</f>
        <v>8.6249043956615645E-2</v>
      </c>
      <c r="L129" s="26"/>
      <c r="M129" s="26"/>
      <c r="N129" s="27">
        <f t="shared" si="74"/>
        <v>0.31876560351193767</v>
      </c>
      <c r="O129" s="27">
        <f t="shared" si="75"/>
        <v>0</v>
      </c>
      <c r="P129" s="26">
        <f t="shared" si="76"/>
        <v>0.31876560351193767</v>
      </c>
      <c r="Q129" s="26">
        <f>IF(N$320=0,0,SUM(N$17:N129)/N$320)</f>
        <v>8.4718635537669298E-2</v>
      </c>
      <c r="R129" s="26">
        <f>IF(O$320=0,0,SUM(O$17:O129)/O$320)</f>
        <v>0</v>
      </c>
      <c r="S129" s="26">
        <f>SUM(P$17:P129)/P$320</f>
        <v>8.4718635537669298E-2</v>
      </c>
    </row>
    <row r="130" spans="1:19" x14ac:dyDescent="0.4">
      <c r="A130" s="6">
        <f t="shared" si="70"/>
        <v>2.6739759032598744</v>
      </c>
      <c r="B130" s="25">
        <f t="shared" ref="B130:C130" si="124">C$4*EXP(-0.5*(LN($A130)-LN(C$5))^2/(LN(C$6))^2)/($A130*SQRT(2*PI())*LN(C$6))</f>
        <v>3.6094617819436903</v>
      </c>
      <c r="C130" s="25">
        <f t="shared" si="124"/>
        <v>0</v>
      </c>
      <c r="D130" s="27">
        <f t="shared" si="72"/>
        <v>3.6094617819436903</v>
      </c>
      <c r="E130" s="27"/>
      <c r="F130" s="26">
        <f t="shared" si="73"/>
        <v>0.33857720464139518</v>
      </c>
      <c r="G130" s="26">
        <f t="shared" si="73"/>
        <v>0</v>
      </c>
      <c r="H130" s="26">
        <f t="shared" si="73"/>
        <v>0.33857720464139518</v>
      </c>
      <c r="I130" s="26">
        <f>IF(F$320=0,0,SUM(F$17:F130)/F$320)</f>
        <v>8.9593268142904622E-2</v>
      </c>
      <c r="J130" s="26">
        <f>IF(G$320=0,0,SUM(G$17:G130)/G$320)</f>
        <v>0</v>
      </c>
      <c r="K130" s="26">
        <f>SUM(H$17:H130)/H$320</f>
        <v>8.9593268142904622E-2</v>
      </c>
      <c r="L130" s="26"/>
      <c r="M130" s="26"/>
      <c r="N130" s="27">
        <f t="shared" si="74"/>
        <v>0.32807658926518879</v>
      </c>
      <c r="O130" s="27">
        <f t="shared" si="75"/>
        <v>0</v>
      </c>
      <c r="P130" s="26">
        <f t="shared" si="76"/>
        <v>0.32807658926518879</v>
      </c>
      <c r="Q130" s="26">
        <f>IF(N$320=0,0,SUM(N$17:N130)/N$320)</f>
        <v>8.8015887691088285E-2</v>
      </c>
      <c r="R130" s="26">
        <f>IF(O$320=0,0,SUM(O$17:O130)/O$320)</f>
        <v>0</v>
      </c>
      <c r="S130" s="26">
        <f>SUM(P$17:P130)/P$320</f>
        <v>8.8015887691088285E-2</v>
      </c>
    </row>
    <row r="131" spans="1:19" x14ac:dyDescent="0.4">
      <c r="A131" s="6">
        <f t="shared" si="70"/>
        <v>2.767778587730763</v>
      </c>
      <c r="B131" s="25">
        <f t="shared" ref="B131:C131" si="125">C$4*EXP(-0.5*(LN($A131)-LN(C$5))^2/(LN(C$6))^2)/($A131*SQRT(2*PI())*LN(C$6))</f>
        <v>3.5866411172339343</v>
      </c>
      <c r="C131" s="25">
        <f t="shared" si="125"/>
        <v>0</v>
      </c>
      <c r="D131" s="27">
        <f t="shared" si="72"/>
        <v>3.5866411172339343</v>
      </c>
      <c r="E131" s="27"/>
      <c r="F131" s="26">
        <f t="shared" si="73"/>
        <v>0.34823871063501016</v>
      </c>
      <c r="G131" s="26">
        <f t="shared" si="73"/>
        <v>0</v>
      </c>
      <c r="H131" s="26">
        <f t="shared" si="73"/>
        <v>0.34823871063501016</v>
      </c>
      <c r="I131" s="26">
        <f>IF(F$320=0,0,SUM(F$17:F131)/F$320)</f>
        <v>9.3032921795728571E-2</v>
      </c>
      <c r="J131" s="26">
        <f>IF(G$320=0,0,SUM(G$17:G131)/G$320)</f>
        <v>0</v>
      </c>
      <c r="K131" s="26">
        <f>SUM(H$17:H131)/H$320</f>
        <v>9.3032921795728571E-2</v>
      </c>
      <c r="L131" s="26"/>
      <c r="M131" s="26"/>
      <c r="N131" s="27">
        <f t="shared" si="74"/>
        <v>0.33751190383490004</v>
      </c>
      <c r="O131" s="27">
        <f t="shared" si="75"/>
        <v>0</v>
      </c>
      <c r="P131" s="26">
        <f t="shared" si="76"/>
        <v>0.33751190383490004</v>
      </c>
      <c r="Q131" s="26">
        <f>IF(N$320=0,0,SUM(N$17:N131)/N$320)</f>
        <v>9.1407967126614906E-2</v>
      </c>
      <c r="R131" s="26">
        <f>IF(O$320=0,0,SUM(O$17:O131)/O$320)</f>
        <v>0</v>
      </c>
      <c r="S131" s="26">
        <f>SUM(P$17:P131)/P$320</f>
        <v>9.1407967126614906E-2</v>
      </c>
    </row>
    <row r="132" spans="1:19" x14ac:dyDescent="0.4">
      <c r="A132" s="6">
        <f t="shared" si="70"/>
        <v>2.8648718566841889</v>
      </c>
      <c r="B132" s="25">
        <f t="shared" ref="B132:C132" si="126">C$4*EXP(-0.5*(LN($A132)-LN(C$5))^2/(LN(C$6))^2)/($A132*SQRT(2*PI())*LN(C$6))</f>
        <v>3.562406347058205</v>
      </c>
      <c r="C132" s="25">
        <f t="shared" si="126"/>
        <v>0</v>
      </c>
      <c r="D132" s="27">
        <f t="shared" si="72"/>
        <v>3.562406347058205</v>
      </c>
      <c r="E132" s="27"/>
      <c r="F132" s="26">
        <f t="shared" si="73"/>
        <v>0.35801929667031401</v>
      </c>
      <c r="G132" s="26">
        <f t="shared" si="73"/>
        <v>0</v>
      </c>
      <c r="H132" s="26">
        <f t="shared" si="73"/>
        <v>0.35801929667031401</v>
      </c>
      <c r="I132" s="26">
        <f>IF(F$320=0,0,SUM(F$17:F132)/F$320)</f>
        <v>9.6569181102822671E-2</v>
      </c>
      <c r="J132" s="26">
        <f>IF(G$320=0,0,SUM(G$17:G132)/G$320)</f>
        <v>0</v>
      </c>
      <c r="K132" s="26">
        <f>SUM(H$17:H132)/H$320</f>
        <v>9.6569181102822671E-2</v>
      </c>
      <c r="L132" s="26"/>
      <c r="M132" s="26"/>
      <c r="N132" s="27">
        <f t="shared" si="74"/>
        <v>0.34706675308735779</v>
      </c>
      <c r="O132" s="27">
        <f t="shared" si="75"/>
        <v>0</v>
      </c>
      <c r="P132" s="26">
        <f t="shared" si="76"/>
        <v>0.34706675308735779</v>
      </c>
      <c r="Q132" s="26">
        <f>IF(N$320=0,0,SUM(N$17:N132)/N$320)</f>
        <v>9.4896075197844626E-2</v>
      </c>
      <c r="R132" s="26">
        <f>IF(O$320=0,0,SUM(O$17:O132)/O$320)</f>
        <v>0</v>
      </c>
      <c r="S132" s="26">
        <f>SUM(P$17:P132)/P$320</f>
        <v>9.4896075197844626E-2</v>
      </c>
    </row>
    <row r="133" spans="1:19" x14ac:dyDescent="0.4">
      <c r="A133" s="6">
        <f t="shared" si="70"/>
        <v>2.9653711433436016</v>
      </c>
      <c r="B133" s="25">
        <f t="shared" ref="B133:C133" si="127">C$4*EXP(-0.5*(LN($A133)-LN(C$5))^2/(LN(C$6))^2)/($A133*SQRT(2*PI())*LN(C$6))</f>
        <v>3.536788148771687</v>
      </c>
      <c r="C133" s="25">
        <f t="shared" si="127"/>
        <v>0</v>
      </c>
      <c r="D133" s="27">
        <f t="shared" si="72"/>
        <v>3.536788148771687</v>
      </c>
      <c r="E133" s="27"/>
      <c r="F133" s="26">
        <f t="shared" si="73"/>
        <v>0.36791363373216623</v>
      </c>
      <c r="G133" s="26">
        <f t="shared" si="73"/>
        <v>0</v>
      </c>
      <c r="H133" s="26">
        <f t="shared" si="73"/>
        <v>0.36791363373216623</v>
      </c>
      <c r="I133" s="26">
        <f>IF(F$320=0,0,SUM(F$17:F133)/F$320)</f>
        <v>0.10020316961571074</v>
      </c>
      <c r="J133" s="26">
        <f>IF(G$320=0,0,SUM(G$17:G133)/G$320)</f>
        <v>0</v>
      </c>
      <c r="K133" s="26">
        <f>SUM(H$17:H133)/H$320</f>
        <v>0.10020316961571074</v>
      </c>
      <c r="L133" s="26"/>
      <c r="M133" s="26"/>
      <c r="N133" s="27">
        <f t="shared" si="74"/>
        <v>0.35673604708665041</v>
      </c>
      <c r="O133" s="27">
        <f t="shared" si="75"/>
        <v>0</v>
      </c>
      <c r="P133" s="26">
        <f t="shared" si="76"/>
        <v>0.35673604708665041</v>
      </c>
      <c r="Q133" s="26">
        <f>IF(N$320=0,0,SUM(N$17:N133)/N$320)</f>
        <v>9.8481362103238101E-2</v>
      </c>
      <c r="R133" s="26">
        <f>IF(O$320=0,0,SUM(O$17:O133)/O$320)</f>
        <v>0</v>
      </c>
      <c r="S133" s="26">
        <f>SUM(P$17:P133)/P$320</f>
        <v>9.8481362103238101E-2</v>
      </c>
    </row>
    <row r="134" spans="1:19" x14ac:dyDescent="0.4">
      <c r="A134" s="6">
        <f t="shared" si="70"/>
        <v>3.0693959303130844</v>
      </c>
      <c r="B134" s="25">
        <f t="shared" ref="B134:C134" si="128">C$4*EXP(-0.5*(LN($A134)-LN(C$5))^2/(LN(C$6))^2)/($A134*SQRT(2*PI())*LN(C$6))</f>
        <v>3.5098187941678494</v>
      </c>
      <c r="C134" s="25">
        <f t="shared" si="128"/>
        <v>0</v>
      </c>
      <c r="D134" s="27">
        <f t="shared" si="72"/>
        <v>3.5098187941678494</v>
      </c>
      <c r="E134" s="27"/>
      <c r="F134" s="26">
        <f t="shared" si="73"/>
        <v>0.37791609306922669</v>
      </c>
      <c r="G134" s="26">
        <f t="shared" si="73"/>
        <v>0</v>
      </c>
      <c r="H134" s="26">
        <f t="shared" si="73"/>
        <v>0.37791609306922669</v>
      </c>
      <c r="I134" s="26">
        <f>IF(F$320=0,0,SUM(F$17:F134)/F$320)</f>
        <v>0.10393595528912469</v>
      </c>
      <c r="J134" s="26">
        <f>IF(G$320=0,0,SUM(G$17:G134)/G$320)</f>
        <v>0</v>
      </c>
      <c r="K134" s="26">
        <f>SUM(H$17:H134)/H$320</f>
        <v>0.10393595528912469</v>
      </c>
      <c r="L134" s="26"/>
      <c r="M134" s="26"/>
      <c r="N134" s="27">
        <f t="shared" si="74"/>
        <v>0.36651440074841057</v>
      </c>
      <c r="O134" s="27">
        <f t="shared" si="75"/>
        <v>0</v>
      </c>
      <c r="P134" s="26">
        <f t="shared" si="76"/>
        <v>0.36651440074841057</v>
      </c>
      <c r="Q134" s="26">
        <f>IF(N$320=0,0,SUM(N$17:N134)/N$320)</f>
        <v>0.10216492391980504</v>
      </c>
      <c r="R134" s="26">
        <f>IF(O$320=0,0,SUM(O$17:O134)/O$320)</f>
        <v>0</v>
      </c>
      <c r="S134" s="26">
        <f>SUM(P$17:P134)/P$320</f>
        <v>0.10216492391980504</v>
      </c>
    </row>
    <row r="135" spans="1:19" x14ac:dyDescent="0.4">
      <c r="A135" s="6">
        <f t="shared" si="70"/>
        <v>3.1770698916290354</v>
      </c>
      <c r="B135" s="25">
        <f t="shared" ref="B135:C135" si="129">C$4*EXP(-0.5*(LN($A135)-LN(C$5))^2/(LN(C$6))^2)/($A135*SQRT(2*PI())*LN(C$6))</f>
        <v>3.4815320817784419</v>
      </c>
      <c r="C135" s="25">
        <f t="shared" si="129"/>
        <v>0</v>
      </c>
      <c r="D135" s="27">
        <f t="shared" si="72"/>
        <v>3.4815320817784419</v>
      </c>
      <c r="E135" s="27"/>
      <c r="F135" s="26">
        <f t="shared" si="73"/>
        <v>0.38802074789085439</v>
      </c>
      <c r="G135" s="26">
        <f t="shared" si="73"/>
        <v>0</v>
      </c>
      <c r="H135" s="26">
        <f t="shared" si="73"/>
        <v>0.38802074789085439</v>
      </c>
      <c r="I135" s="26">
        <f>IF(F$320=0,0,SUM(F$17:F135)/F$320)</f>
        <v>0.107768547537185</v>
      </c>
      <c r="J135" s="26">
        <f>IF(G$320=0,0,SUM(G$17:G135)/G$320)</f>
        <v>0</v>
      </c>
      <c r="K135" s="26">
        <f>SUM(H$17:H135)/H$320</f>
        <v>0.107768547537185</v>
      </c>
      <c r="L135" s="26"/>
      <c r="M135" s="26"/>
      <c r="N135" s="27">
        <f t="shared" si="74"/>
        <v>0.3763961351662487</v>
      </c>
      <c r="O135" s="27">
        <f t="shared" si="75"/>
        <v>0</v>
      </c>
      <c r="P135" s="26">
        <f t="shared" si="76"/>
        <v>0.3763961351662487</v>
      </c>
      <c r="Q135" s="26">
        <f>IF(N$320=0,0,SUM(N$17:N135)/N$320)</f>
        <v>0.10594779965011911</v>
      </c>
      <c r="R135" s="26">
        <f>IF(O$320=0,0,SUM(O$17:O135)/O$320)</f>
        <v>0</v>
      </c>
      <c r="S135" s="26">
        <f>SUM(P$17:P135)/P$320</f>
        <v>0.10594779965011911</v>
      </c>
    </row>
    <row r="136" spans="1:19" x14ac:dyDescent="0.4">
      <c r="A136" s="6">
        <f t="shared" si="70"/>
        <v>3.2885210397950018</v>
      </c>
      <c r="B136" s="25">
        <f t="shared" ref="B136:C136" si="130">C$4*EXP(-0.5*(LN($A136)-LN(C$5))^2/(LN(C$6))^2)/($A136*SQRT(2*PI())*LN(C$6))</f>
        <v>3.4519632663499689</v>
      </c>
      <c r="C136" s="25">
        <f t="shared" si="130"/>
        <v>0</v>
      </c>
      <c r="D136" s="27">
        <f t="shared" si="72"/>
        <v>3.4519632663499689</v>
      </c>
      <c r="E136" s="27"/>
      <c r="F136" s="26">
        <f t="shared" si="73"/>
        <v>0.39822137577088024</v>
      </c>
      <c r="G136" s="26">
        <f t="shared" si="73"/>
        <v>0</v>
      </c>
      <c r="H136" s="26">
        <f t="shared" si="73"/>
        <v>0.39822137577088024</v>
      </c>
      <c r="I136" s="26">
        <f>IF(F$320=0,0,SUM(F$17:F136)/F$320)</f>
        <v>0.11170189431332361</v>
      </c>
      <c r="J136" s="26">
        <f>IF(G$320=0,0,SUM(G$17:G136)/G$320)</f>
        <v>0</v>
      </c>
      <c r="K136" s="26">
        <f>SUM(H$17:H136)/H$320</f>
        <v>0.11170189431332361</v>
      </c>
      <c r="L136" s="26"/>
      <c r="M136" s="26"/>
      <c r="N136" s="27">
        <f t="shared" si="74"/>
        <v>0.38637527962572249</v>
      </c>
      <c r="O136" s="27">
        <f t="shared" si="75"/>
        <v>0</v>
      </c>
      <c r="P136" s="26">
        <f t="shared" si="76"/>
        <v>0.38637527962572249</v>
      </c>
      <c r="Q136" s="26">
        <f>IF(N$320=0,0,SUM(N$17:N136)/N$320)</f>
        <v>0.1098309682895736</v>
      </c>
      <c r="R136" s="26">
        <f>IF(O$320=0,0,SUM(O$17:O136)/O$320)</f>
        <v>0</v>
      </c>
      <c r="S136" s="26">
        <f>SUM(P$17:P136)/P$320</f>
        <v>0.1098309682895736</v>
      </c>
    </row>
    <row r="137" spans="1:19" x14ac:dyDescent="0.4">
      <c r="A137" s="6">
        <f t="shared" si="70"/>
        <v>3.4038818779744737</v>
      </c>
      <c r="B137" s="25">
        <f t="shared" ref="B137:C137" si="131">C$4*EXP(-0.5*(LN($A137)-LN(C$5))^2/(LN(C$6))^2)/($A137*SQRT(2*PI())*LN(C$6))</f>
        <v>3.4211489857025024</v>
      </c>
      <c r="C137" s="25">
        <f t="shared" si="131"/>
        <v>0</v>
      </c>
      <c r="D137" s="27">
        <f t="shared" si="72"/>
        <v>3.4211489857025024</v>
      </c>
      <c r="E137" s="27"/>
      <c r="F137" s="26">
        <f t="shared" si="73"/>
        <v>0.40851146177109698</v>
      </c>
      <c r="G137" s="26">
        <f t="shared" si="73"/>
        <v>0</v>
      </c>
      <c r="H137" s="26">
        <f t="shared" si="73"/>
        <v>0.40851146177109698</v>
      </c>
      <c r="I137" s="26">
        <f>IF(F$320=0,0,SUM(F$17:F137)/F$320)</f>
        <v>0.11573687922105873</v>
      </c>
      <c r="J137" s="26">
        <f>IF(G$320=0,0,SUM(G$17:G137)/G$320)</f>
        <v>0</v>
      </c>
      <c r="K137" s="26">
        <f>SUM(H$17:H137)/H$320</f>
        <v>0.11573687922105873</v>
      </c>
      <c r="L137" s="26"/>
      <c r="M137" s="26"/>
      <c r="N137" s="27">
        <f t="shared" si="74"/>
        <v>0.39644557431972455</v>
      </c>
      <c r="O137" s="27">
        <f t="shared" si="75"/>
        <v>0</v>
      </c>
      <c r="P137" s="26">
        <f t="shared" si="76"/>
        <v>0.39644557431972455</v>
      </c>
      <c r="Q137" s="26">
        <f>IF(N$320=0,0,SUM(N$17:N137)/N$320)</f>
        <v>0.11381534592092761</v>
      </c>
      <c r="R137" s="26">
        <f>IF(O$320=0,0,SUM(O$17:O137)/O$320)</f>
        <v>0</v>
      </c>
      <c r="S137" s="26">
        <f>SUM(P$17:P137)/P$320</f>
        <v>0.11381534592092761</v>
      </c>
    </row>
    <row r="138" spans="1:19" x14ac:dyDescent="0.4">
      <c r="A138" s="6">
        <f t="shared" si="70"/>
        <v>3.5232895575225811</v>
      </c>
      <c r="B138" s="25">
        <f t="shared" ref="B138:C138" si="132">C$4*EXP(-0.5*(LN($A138)-LN(C$5))^2/(LN(C$6))^2)/($A138*SQRT(2*PI())*LN(C$6))</f>
        <v>3.3891271851829274</v>
      </c>
      <c r="C138" s="25">
        <f t="shared" si="132"/>
        <v>0</v>
      </c>
      <c r="D138" s="27">
        <f t="shared" si="72"/>
        <v>3.3891271851829274</v>
      </c>
      <c r="E138" s="27"/>
      <c r="F138" s="26">
        <f t="shared" si="73"/>
        <v>0.41888420229537487</v>
      </c>
      <c r="G138" s="26">
        <f t="shared" si="73"/>
        <v>0</v>
      </c>
      <c r="H138" s="26">
        <f t="shared" si="73"/>
        <v>0.41888420229537487</v>
      </c>
      <c r="I138" s="26">
        <f>IF(F$320=0,0,SUM(F$17:F138)/F$320)</f>
        <v>0.11987431866283765</v>
      </c>
      <c r="J138" s="26">
        <f>IF(G$320=0,0,SUM(G$17:G138)/G$320)</f>
        <v>0</v>
      </c>
      <c r="K138" s="26">
        <f>SUM(H$17:H138)/H$320</f>
        <v>0.11987431866283765</v>
      </c>
      <c r="L138" s="26"/>
      <c r="M138" s="26"/>
      <c r="N138" s="27">
        <f t="shared" si="74"/>
        <v>0.40660047377656522</v>
      </c>
      <c r="O138" s="27">
        <f t="shared" si="75"/>
        <v>0</v>
      </c>
      <c r="P138" s="26">
        <f t="shared" si="76"/>
        <v>0.40660047377656522</v>
      </c>
      <c r="Q138" s="26">
        <f>IF(N$320=0,0,SUM(N$17:N138)/N$320)</f>
        <v>0.11790178284330514</v>
      </c>
      <c r="R138" s="26">
        <f>IF(O$320=0,0,SUM(O$17:O138)/O$320)</f>
        <v>0</v>
      </c>
      <c r="S138" s="26">
        <f>SUM(P$17:P138)/P$320</f>
        <v>0.11790178284330514</v>
      </c>
    </row>
    <row r="139" spans="1:19" x14ac:dyDescent="0.4">
      <c r="A139" s="6">
        <f t="shared" si="70"/>
        <v>3.6468860410439765</v>
      </c>
      <c r="B139" s="25">
        <f t="shared" ref="B139:C139" si="133">C$4*EXP(-0.5*(LN($A139)-LN(C$5))^2/(LN(C$6))^2)/($A139*SQRT(2*PI())*LN(C$6))</f>
        <v>3.355937039930418</v>
      </c>
      <c r="C139" s="25">
        <f t="shared" si="133"/>
        <v>0</v>
      </c>
      <c r="D139" s="27">
        <f t="shared" si="72"/>
        <v>3.355937039930418</v>
      </c>
      <c r="E139" s="27"/>
      <c r="F139" s="26">
        <f t="shared" si="73"/>
        <v>0.4293325096833997</v>
      </c>
      <c r="G139" s="26">
        <f t="shared" si="73"/>
        <v>0</v>
      </c>
      <c r="H139" s="26">
        <f t="shared" si="73"/>
        <v>0.4293325096833997</v>
      </c>
      <c r="I139" s="26">
        <f>IF(F$320=0,0,SUM(F$17:F139)/F$320)</f>
        <v>0.12411495903425337</v>
      </c>
      <c r="J139" s="26">
        <f>IF(G$320=0,0,SUM(G$17:G139)/G$320)</f>
        <v>0</v>
      </c>
      <c r="K139" s="26">
        <f>SUM(H$17:H139)/H$320</f>
        <v>0.12411495903425337</v>
      </c>
      <c r="L139" s="26"/>
      <c r="M139" s="26"/>
      <c r="N139" s="27">
        <f t="shared" si="74"/>
        <v>0.41683315101094104</v>
      </c>
      <c r="O139" s="27">
        <f t="shared" si="75"/>
        <v>0</v>
      </c>
      <c r="P139" s="26">
        <f t="shared" si="76"/>
        <v>0.41683315101094104</v>
      </c>
      <c r="Q139" s="26">
        <f>IF(N$320=0,0,SUM(N$17:N139)/N$320)</f>
        <v>0.12209106074291259</v>
      </c>
      <c r="R139" s="26">
        <f>IF(O$320=0,0,SUM(O$17:O139)/O$320)</f>
        <v>0</v>
      </c>
      <c r="S139" s="26">
        <f>SUM(P$17:P139)/P$320</f>
        <v>0.12209106074291259</v>
      </c>
    </row>
    <row r="140" spans="1:19" x14ac:dyDescent="0.4">
      <c r="A140" s="6">
        <f t="shared" si="70"/>
        <v>3.7748182711707674</v>
      </c>
      <c r="B140" s="25">
        <f t="shared" ref="B140:C140" si="134">C$4*EXP(-0.5*(LN($A140)-LN(C$5))^2/(LN(C$6))^2)/($A140*SQRT(2*PI())*LN(C$6))</f>
        <v>3.3216188751766098</v>
      </c>
      <c r="C140" s="25">
        <f t="shared" si="134"/>
        <v>0</v>
      </c>
      <c r="D140" s="27">
        <f t="shared" si="72"/>
        <v>3.3216188751766098</v>
      </c>
      <c r="E140" s="27"/>
      <c r="F140" s="26">
        <f t="shared" si="73"/>
        <v>0.43984901755090844</v>
      </c>
      <c r="G140" s="26">
        <f t="shared" si="73"/>
        <v>0</v>
      </c>
      <c r="H140" s="26">
        <f t="shared" si="73"/>
        <v>0.43984901755090844</v>
      </c>
      <c r="I140" s="26">
        <f>IF(F$320=0,0,SUM(F$17:F140)/F$320)</f>
        <v>0.1284594739710081</v>
      </c>
      <c r="J140" s="26">
        <f>IF(G$320=0,0,SUM(G$17:G140)/G$320)</f>
        <v>0</v>
      </c>
      <c r="K140" s="26">
        <f>SUM(H$17:H140)/H$320</f>
        <v>0.1284594739710081</v>
      </c>
      <c r="L140" s="26"/>
      <c r="M140" s="26"/>
      <c r="N140" s="27">
        <f t="shared" si="74"/>
        <v>0.42713650240525508</v>
      </c>
      <c r="O140" s="27">
        <f t="shared" si="75"/>
        <v>0</v>
      </c>
      <c r="P140" s="26">
        <f t="shared" si="76"/>
        <v>0.42713650240525508</v>
      </c>
      <c r="Q140" s="26">
        <f>IF(N$320=0,0,SUM(N$17:N140)/N$320)</f>
        <v>0.12638388991281463</v>
      </c>
      <c r="R140" s="26">
        <f>IF(O$320=0,0,SUM(O$17:O140)/O$320)</f>
        <v>0</v>
      </c>
      <c r="S140" s="26">
        <f>SUM(P$17:P140)/P$320</f>
        <v>0.12638388991281463</v>
      </c>
    </row>
    <row r="141" spans="1:19" x14ac:dyDescent="0.4">
      <c r="A141" s="6">
        <f t="shared" si="70"/>
        <v>3.9072383452611525</v>
      </c>
      <c r="B141" s="25">
        <f t="shared" ref="B141:C141" si="135">C$4*EXP(-0.5*(LN($A141)-LN(C$5))^2/(LN(C$6))^2)/($A141*SQRT(2*PI())*LN(C$6))</f>
        <v>3.2862140848069323</v>
      </c>
      <c r="C141" s="25">
        <f t="shared" si="135"/>
        <v>0</v>
      </c>
      <c r="D141" s="27">
        <f t="shared" si="72"/>
        <v>3.2862140848069323</v>
      </c>
      <c r="E141" s="27"/>
      <c r="F141" s="26">
        <f t="shared" si="73"/>
        <v>0.45042608688119523</v>
      </c>
      <c r="G141" s="26">
        <f t="shared" si="73"/>
        <v>0</v>
      </c>
      <c r="H141" s="26">
        <f t="shared" si="73"/>
        <v>0.45042608688119523</v>
      </c>
      <c r="I141" s="26">
        <f>IF(F$320=0,0,SUM(F$17:F141)/F$320)</f>
        <v>0.13290846165604445</v>
      </c>
      <c r="J141" s="26">
        <f>IF(G$320=0,0,SUM(G$17:G141)/G$320)</f>
        <v>0</v>
      </c>
      <c r="K141" s="26">
        <f>SUM(H$17:H141)/H$320</f>
        <v>0.13290846165604445</v>
      </c>
      <c r="L141" s="26"/>
      <c r="M141" s="26"/>
      <c r="N141" s="27">
        <f t="shared" si="74"/>
        <v>0.43750315332724277</v>
      </c>
      <c r="O141" s="27">
        <f t="shared" si="75"/>
        <v>0</v>
      </c>
      <c r="P141" s="26">
        <f t="shared" si="76"/>
        <v>0.43750315332724277</v>
      </c>
      <c r="Q141" s="26">
        <f>IF(N$320=0,0,SUM(N$17:N141)/N$320)</f>
        <v>0.13078090652916882</v>
      </c>
      <c r="R141" s="26">
        <f>IF(O$320=0,0,SUM(O$17:O141)/O$320)</f>
        <v>0</v>
      </c>
      <c r="S141" s="26">
        <f>SUM(P$17:P141)/P$320</f>
        <v>0.13078090652916882</v>
      </c>
    </row>
    <row r="142" spans="1:19" x14ac:dyDescent="0.4">
      <c r="A142" s="6">
        <f t="shared" si="70"/>
        <v>4.0443036962264589</v>
      </c>
      <c r="B142" s="25">
        <f t="shared" ref="B142:C142" si="136">C$4*EXP(-0.5*(LN($A142)-LN(C$5))^2/(LN(C$6))^2)/($A142*SQRT(2*PI())*LN(C$6))</f>
        <v>3.2497650484126934</v>
      </c>
      <c r="C142" s="25">
        <f t="shared" si="136"/>
        <v>0</v>
      </c>
      <c r="D142" s="27">
        <f t="shared" si="72"/>
        <v>3.2497650484126934</v>
      </c>
      <c r="E142" s="27"/>
      <c r="F142" s="26">
        <f t="shared" si="73"/>
        <v>0.46105581287048009</v>
      </c>
      <c r="G142" s="26">
        <f t="shared" si="73"/>
        <v>0</v>
      </c>
      <c r="H142" s="26">
        <f t="shared" si="73"/>
        <v>0.46105581287048009</v>
      </c>
      <c r="I142" s="26">
        <f>IF(F$320=0,0,SUM(F$17:F142)/F$320)</f>
        <v>0.13746244219429027</v>
      </c>
      <c r="J142" s="26">
        <f>IF(G$320=0,0,SUM(G$17:G142)/G$320)</f>
        <v>0</v>
      </c>
      <c r="K142" s="26">
        <f>SUM(H$17:H142)/H$320</f>
        <v>0.13746244219429027</v>
      </c>
      <c r="L142" s="26"/>
      <c r="M142" s="26"/>
      <c r="N142" s="27">
        <f t="shared" si="74"/>
        <v>0.44792546448737258</v>
      </c>
      <c r="O142" s="27">
        <f t="shared" si="75"/>
        <v>0</v>
      </c>
      <c r="P142" s="26">
        <f t="shared" si="76"/>
        <v>0.44792546448737258</v>
      </c>
      <c r="Q142" s="26">
        <f>IF(N$320=0,0,SUM(N$17:N142)/N$320)</f>
        <v>0.13528266999135347</v>
      </c>
      <c r="R142" s="26">
        <f>IF(O$320=0,0,SUM(O$17:O142)/O$320)</f>
        <v>0</v>
      </c>
      <c r="S142" s="26">
        <f>SUM(P$17:P142)/P$320</f>
        <v>0.13528266999135347</v>
      </c>
    </row>
    <row r="143" spans="1:19" x14ac:dyDescent="0.4">
      <c r="A143" s="6">
        <f t="shared" si="70"/>
        <v>4.1861772797015711</v>
      </c>
      <c r="B143" s="25">
        <f t="shared" ref="B143:C143" si="137">C$4*EXP(-0.5*(LN($A143)-LN(C$5))^2/(LN(C$6))^2)/($A143*SQRT(2*PI())*LN(C$6))</f>
        <v>3.2123150470657871</v>
      </c>
      <c r="C143" s="25">
        <f t="shared" si="137"/>
        <v>0</v>
      </c>
      <c r="D143" s="27">
        <f t="shared" si="72"/>
        <v>3.2123150470657871</v>
      </c>
      <c r="E143" s="27"/>
      <c r="F143" s="26">
        <f t="shared" si="73"/>
        <v>0.47173003252735218</v>
      </c>
      <c r="G143" s="26">
        <f t="shared" si="73"/>
        <v>0</v>
      </c>
      <c r="H143" s="26">
        <f t="shared" si="73"/>
        <v>0.47173003252735218</v>
      </c>
      <c r="I143" s="26">
        <f>IF(F$320=0,0,SUM(F$17:F143)/F$320)</f>
        <v>0.14212185506246536</v>
      </c>
      <c r="J143" s="26">
        <f>IF(G$320=0,0,SUM(G$17:G143)/G$320)</f>
        <v>0</v>
      </c>
      <c r="K143" s="26">
        <f>SUM(H$17:H143)/H$320</f>
        <v>0.14212185506246536</v>
      </c>
      <c r="L143" s="26"/>
      <c r="M143" s="26"/>
      <c r="N143" s="27">
        <f t="shared" si="74"/>
        <v>0.4583955390376232</v>
      </c>
      <c r="O143" s="27">
        <f t="shared" si="75"/>
        <v>0</v>
      </c>
      <c r="P143" s="26">
        <f t="shared" si="76"/>
        <v>0.4583955390376232</v>
      </c>
      <c r="Q143" s="26">
        <f>IF(N$320=0,0,SUM(N$17:N143)/N$320)</f>
        <v>0.13988966033344014</v>
      </c>
      <c r="R143" s="26">
        <f>IF(O$320=0,0,SUM(O$17:O143)/O$320)</f>
        <v>0</v>
      </c>
      <c r="S143" s="26">
        <f>SUM(P$17:P143)/P$320</f>
        <v>0.13988966033344014</v>
      </c>
    </row>
    <row r="144" spans="1:19" x14ac:dyDescent="0.4">
      <c r="A144" s="6">
        <f t="shared" si="70"/>
        <v>4.3330277677812639</v>
      </c>
      <c r="B144" s="25">
        <f t="shared" ref="B144:C144" si="138">C$4*EXP(-0.5*(LN($A144)-LN(C$5))^2/(LN(C$6))^2)/($A144*SQRT(2*PI())*LN(C$6))</f>
        <v>3.1739081780493863</v>
      </c>
      <c r="C144" s="25">
        <f t="shared" si="138"/>
        <v>0</v>
      </c>
      <c r="D144" s="27">
        <f t="shared" si="72"/>
        <v>3.1739081780493863</v>
      </c>
      <c r="E144" s="27"/>
      <c r="F144" s="26">
        <f t="shared" si="73"/>
        <v>0.48244033302433093</v>
      </c>
      <c r="G144" s="26">
        <f t="shared" si="73"/>
        <v>0</v>
      </c>
      <c r="H144" s="26">
        <f t="shared" si="73"/>
        <v>0.48244033302433093</v>
      </c>
      <c r="I144" s="26">
        <f>IF(F$320=0,0,SUM(F$17:F144)/F$320)</f>
        <v>0.14688705664137883</v>
      </c>
      <c r="J144" s="26">
        <f>IF(G$320=0,0,SUM(G$17:G144)/G$320)</f>
        <v>0</v>
      </c>
      <c r="K144" s="26">
        <f>SUM(H$17:H144)/H$320</f>
        <v>0.14688705664137883</v>
      </c>
      <c r="L144" s="26"/>
      <c r="M144" s="26"/>
      <c r="N144" s="27">
        <f t="shared" si="74"/>
        <v>0.46890523041042964</v>
      </c>
      <c r="O144" s="27">
        <f t="shared" si="75"/>
        <v>0</v>
      </c>
      <c r="P144" s="26">
        <f t="shared" si="76"/>
        <v>0.46890523041042964</v>
      </c>
      <c r="Q144" s="26">
        <f>IF(N$320=0,0,SUM(N$17:N144)/N$320)</f>
        <v>0.14460227571444947</v>
      </c>
      <c r="R144" s="26">
        <f>IF(O$320=0,0,SUM(O$17:O144)/O$320)</f>
        <v>0</v>
      </c>
      <c r="S144" s="26">
        <f>SUM(P$17:P144)/P$320</f>
        <v>0.14460227571444947</v>
      </c>
    </row>
    <row r="145" spans="1:19" x14ac:dyDescent="0.4">
      <c r="A145" s="6">
        <f t="shared" si="70"/>
        <v>4.4850297495527807</v>
      </c>
      <c r="B145" s="25">
        <f t="shared" ref="B145:C145" si="139">C$4*EXP(-0.5*(LN($A145)-LN(C$5))^2/(LN(C$6))^2)/($A145*SQRT(2*PI())*LN(C$6))</f>
        <v>3.1345892687785928</v>
      </c>
      <c r="C145" s="25">
        <f t="shared" si="139"/>
        <v>0</v>
      </c>
      <c r="D145" s="27">
        <f t="shared" si="72"/>
        <v>3.1345892687785928</v>
      </c>
      <c r="E145" s="27"/>
      <c r="F145" s="26">
        <f t="shared" si="73"/>
        <v>0.49317806079709592</v>
      </c>
      <c r="G145" s="26">
        <f t="shared" si="73"/>
        <v>0</v>
      </c>
      <c r="H145" s="26">
        <f t="shared" si="73"/>
        <v>0.49317806079709592</v>
      </c>
      <c r="I145" s="26">
        <f>IF(F$320=0,0,SUM(F$17:F145)/F$320)</f>
        <v>0.15175831783810234</v>
      </c>
      <c r="J145" s="26">
        <f>IF(G$320=0,0,SUM(G$17:G145)/G$320)</f>
        <v>0</v>
      </c>
      <c r="K145" s="26">
        <f>SUM(H$17:H145)/H$320</f>
        <v>0.15175831783810234</v>
      </c>
      <c r="L145" s="26"/>
      <c r="M145" s="26"/>
      <c r="N145" s="27">
        <f t="shared" si="74"/>
        <v>0.47944615089507425</v>
      </c>
      <c r="O145" s="27">
        <f t="shared" si="75"/>
        <v>0</v>
      </c>
      <c r="P145" s="26">
        <f t="shared" si="76"/>
        <v>0.47944615089507425</v>
      </c>
      <c r="Q145" s="26">
        <f>IF(N$320=0,0,SUM(N$17:N145)/N$320)</f>
        <v>0.14942082999480197</v>
      </c>
      <c r="R145" s="26">
        <f>IF(O$320=0,0,SUM(O$17:O145)/O$320)</f>
        <v>0</v>
      </c>
      <c r="S145" s="26">
        <f>SUM(P$17:P145)/P$320</f>
        <v>0.14942082999480197</v>
      </c>
    </row>
    <row r="146" spans="1:19" x14ac:dyDescent="0.4">
      <c r="A146" s="6">
        <f t="shared" ref="A146:A209" si="140">10^((LOG(A$318)-LOG(A$17))/301+LOG(A145))</f>
        <v>4.6423639386630704</v>
      </c>
      <c r="B146" s="25">
        <f t="shared" ref="B146:C146" si="141">C$4*EXP(-0.5*(LN($A146)-LN(C$5))^2/(LN(C$6))^2)/($A146*SQRT(2*PI())*LN(C$6))</f>
        <v>3.0944037901448533</v>
      </c>
      <c r="C146" s="25">
        <f t="shared" si="141"/>
        <v>0</v>
      </c>
      <c r="D146" s="27">
        <f t="shared" ref="D146:D209" si="142">B146+C146</f>
        <v>3.0944037901448533</v>
      </c>
      <c r="E146" s="27"/>
      <c r="F146" s="26">
        <f t="shared" ref="F146:H209" si="143">B146*($A147-$A146)</f>
        <v>0.50393433138449928</v>
      </c>
      <c r="G146" s="26">
        <f t="shared" si="143"/>
        <v>0</v>
      </c>
      <c r="H146" s="26">
        <f t="shared" si="143"/>
        <v>0.50393433138449928</v>
      </c>
      <c r="I146" s="26">
        <f>IF(F$320=0,0,SUM(F$17:F146)/F$320)</f>
        <v>0.15673582180533596</v>
      </c>
      <c r="J146" s="26">
        <f>IF(G$320=0,0,SUM(G$17:G146)/G$320)</f>
        <v>0</v>
      </c>
      <c r="K146" s="26">
        <f>SUM(H$17:H146)/H$320</f>
        <v>0.15673582180533596</v>
      </c>
      <c r="L146" s="26"/>
      <c r="M146" s="26"/>
      <c r="N146" s="27">
        <f t="shared" ref="N146:N209" si="144">C$4*((NORMDIST(LN($A146),LN(C$5),LN(C$6),TRUE))-(NORMDIST(LN($A145),LN(C$5),LN(C$6),TRUE)))</f>
        <v>0.49000968094562725</v>
      </c>
      <c r="O146" s="27">
        <f t="shared" ref="O146:O209" si="145">D$4*((NORMDIST(LN($A146),LN(D$5),LN(D$6),TRUE))-(NORMDIST(LN($A145),LN(D$5),LN(D$6),TRUE)))</f>
        <v>0</v>
      </c>
      <c r="P146" s="26">
        <f t="shared" ref="P146:P209" si="146">N146+O146</f>
        <v>0.49000968094562725</v>
      </c>
      <c r="Q146" s="26">
        <f>IF(N$320=0,0,SUM(N$17:N146)/N$320)</f>
        <v>0.15434555040631581</v>
      </c>
      <c r="R146" s="26">
        <f>IF(O$320=0,0,SUM(O$17:O146)/O$320)</f>
        <v>0</v>
      </c>
      <c r="S146" s="26">
        <f>SUM(P$17:P146)/P$320</f>
        <v>0.15434555040631581</v>
      </c>
    </row>
    <row r="147" spans="1:19" x14ac:dyDescent="0.4">
      <c r="A147" s="6">
        <f t="shared" si="140"/>
        <v>4.8052173881674447</v>
      </c>
      <c r="B147" s="25">
        <f t="shared" ref="B147:C147" si="147">C$4*EXP(-0.5*(LN($A147)-LN(C$5))^2/(LN(C$6))^2)/($A147*SQRT(2*PI())*LN(C$6))</f>
        <v>3.0533977695169816</v>
      </c>
      <c r="C147" s="25">
        <f t="shared" si="147"/>
        <v>0</v>
      </c>
      <c r="D147" s="27">
        <f t="shared" si="142"/>
        <v>3.0533977695169816</v>
      </c>
      <c r="E147" s="27"/>
      <c r="F147" s="26">
        <f t="shared" si="143"/>
        <v>0.51470004000015335</v>
      </c>
      <c r="G147" s="26">
        <f t="shared" si="143"/>
        <v>0</v>
      </c>
      <c r="H147" s="26">
        <f t="shared" si="143"/>
        <v>0.51470004000015335</v>
      </c>
      <c r="I147" s="26">
        <f>IF(F$320=0,0,SUM(F$17:F147)/F$320)</f>
        <v>0.16181966176519244</v>
      </c>
      <c r="J147" s="26">
        <f>IF(G$320=0,0,SUM(G$17:G147)/G$320)</f>
        <v>0</v>
      </c>
      <c r="K147" s="26">
        <f>SUM(H$17:H147)/H$320</f>
        <v>0.16181966176519244</v>
      </c>
      <c r="L147" s="26"/>
      <c r="M147" s="26"/>
      <c r="N147" s="27">
        <f t="shared" si="144"/>
        <v>0.50058697921267492</v>
      </c>
      <c r="O147" s="27">
        <f t="shared" si="145"/>
        <v>0</v>
      </c>
      <c r="P147" s="26">
        <f t="shared" si="146"/>
        <v>0.50058697921267492</v>
      </c>
      <c r="Q147" s="26">
        <f>IF(N$320=0,0,SUM(N$17:N147)/N$320)</f>
        <v>0.1593765753230261</v>
      </c>
      <c r="R147" s="26">
        <f>IF(O$320=0,0,SUM(O$17:O147)/O$320)</f>
        <v>0</v>
      </c>
      <c r="S147" s="26">
        <f>SUM(P$17:P147)/P$320</f>
        <v>0.1593765753230261</v>
      </c>
    </row>
    <row r="148" spans="1:19" x14ac:dyDescent="0.4">
      <c r="A148" s="6">
        <f t="shared" si="140"/>
        <v>4.9737837129150959</v>
      </c>
      <c r="B148" s="25">
        <f t="shared" ref="B148:C148" si="148">C$4*EXP(-0.5*(LN($A148)-LN(C$5))^2/(LN(C$6))^2)/($A148*SQRT(2*PI())*LN(C$6))</f>
        <v>3.0116177036297791</v>
      </c>
      <c r="C148" s="25">
        <f t="shared" si="148"/>
        <v>0</v>
      </c>
      <c r="D148" s="27">
        <f t="shared" si="142"/>
        <v>3.0116177036297791</v>
      </c>
      <c r="E148" s="27"/>
      <c r="F148" s="26">
        <f t="shared" si="143"/>
        <v>0.52546587282381918</v>
      </c>
      <c r="G148" s="26">
        <f t="shared" si="143"/>
        <v>0</v>
      </c>
      <c r="H148" s="26">
        <f t="shared" si="143"/>
        <v>0.52546587282381918</v>
      </c>
      <c r="I148" s="26">
        <f>IF(F$320=0,0,SUM(F$17:F148)/F$320)</f>
        <v>0.16700983894450991</v>
      </c>
      <c r="J148" s="26">
        <f>IF(G$320=0,0,SUM(G$17:G148)/G$320)</f>
        <v>0</v>
      </c>
      <c r="K148" s="26">
        <f>SUM(H$17:H148)/H$320</f>
        <v>0.16700983894450991</v>
      </c>
      <c r="L148" s="26"/>
      <c r="M148" s="26"/>
      <c r="N148" s="27">
        <f t="shared" si="144"/>
        <v>0.51116899328848275</v>
      </c>
      <c r="O148" s="27">
        <f t="shared" si="145"/>
        <v>0</v>
      </c>
      <c r="P148" s="26">
        <f t="shared" si="146"/>
        <v>0.51116899328848275</v>
      </c>
      <c r="Q148" s="26">
        <f>IF(N$320=0,0,SUM(N$17:N148)/N$320)</f>
        <v>0.16451395213999578</v>
      </c>
      <c r="R148" s="26">
        <f>IF(O$320=0,0,SUM(O$17:O148)/O$320)</f>
        <v>0</v>
      </c>
      <c r="S148" s="26">
        <f>SUM(P$17:P148)/P$320</f>
        <v>0.16451395213999578</v>
      </c>
    </row>
    <row r="149" spans="1:19" x14ac:dyDescent="0.4">
      <c r="A149" s="6">
        <f t="shared" si="140"/>
        <v>5.1482633197358743</v>
      </c>
      <c r="B149" s="25">
        <f t="shared" ref="B149:C149" si="149">C$4*EXP(-0.5*(LN($A149)-LN(C$5))^2/(LN(C$6))^2)/($A149*SQRT(2*PI())*LN(C$6))</f>
        <v>2.9691104715887366</v>
      </c>
      <c r="C149" s="25">
        <f t="shared" si="149"/>
        <v>0</v>
      </c>
      <c r="D149" s="27">
        <f t="shared" si="142"/>
        <v>2.9691104715887366</v>
      </c>
      <c r="E149" s="27"/>
      <c r="F149" s="26">
        <f t="shared" si="143"/>
        <v>0.53622231899829331</v>
      </c>
      <c r="G149" s="26">
        <f t="shared" si="143"/>
        <v>0</v>
      </c>
      <c r="H149" s="26">
        <f t="shared" si="143"/>
        <v>0.53622231899829331</v>
      </c>
      <c r="I149" s="26">
        <f>IF(F$320=0,0,SUM(F$17:F149)/F$320)</f>
        <v>0.17230626062866136</v>
      </c>
      <c r="J149" s="26">
        <f>IF(G$320=0,0,SUM(G$17:G149)/G$320)</f>
        <v>0</v>
      </c>
      <c r="K149" s="26">
        <f>SUM(H$17:H149)/H$320</f>
        <v>0.17230626062866136</v>
      </c>
      <c r="L149" s="26"/>
      <c r="M149" s="26"/>
      <c r="N149" s="27">
        <f t="shared" si="144"/>
        <v>0.52174647115289241</v>
      </c>
      <c r="O149" s="27">
        <f t="shared" si="145"/>
        <v>0</v>
      </c>
      <c r="P149" s="26">
        <f t="shared" si="146"/>
        <v>0.52174647115289241</v>
      </c>
      <c r="Q149" s="26">
        <f>IF(N$320=0,0,SUM(N$17:N149)/N$320)</f>
        <v>0.16975763526716051</v>
      </c>
      <c r="R149" s="26">
        <f>IF(O$320=0,0,SUM(O$17:O149)/O$320)</f>
        <v>0</v>
      </c>
      <c r="S149" s="26">
        <f>SUM(P$17:P149)/P$320</f>
        <v>0.16975763526716051</v>
      </c>
    </row>
    <row r="150" spans="1:19" x14ac:dyDescent="0.4">
      <c r="A150" s="6">
        <f t="shared" si="140"/>
        <v>5.3288636457019765</v>
      </c>
      <c r="B150" s="25">
        <f t="shared" ref="B150:C150" si="150">C$4*EXP(-0.5*(LN($A150)-LN(C$5))^2/(LN(C$6))^2)/($A150*SQRT(2*PI())*LN(C$6))</f>
        <v>2.9259232482159381</v>
      </c>
      <c r="C150" s="25">
        <f t="shared" si="150"/>
        <v>0</v>
      </c>
      <c r="D150" s="27">
        <f t="shared" si="142"/>
        <v>2.9259232482159381</v>
      </c>
      <c r="E150" s="27"/>
      <c r="F150" s="26">
        <f t="shared" si="143"/>
        <v>0.54695968331511746</v>
      </c>
      <c r="G150" s="26">
        <f t="shared" si="143"/>
        <v>0</v>
      </c>
      <c r="H150" s="26">
        <f t="shared" si="143"/>
        <v>0.54695968331511746</v>
      </c>
      <c r="I150" s="26">
        <f>IF(F$320=0,0,SUM(F$17:F150)/F$320)</f>
        <v>0.17770873834066425</v>
      </c>
      <c r="J150" s="26">
        <f>IF(G$320=0,0,SUM(G$17:G150)/G$320)</f>
        <v>0</v>
      </c>
      <c r="K150" s="26">
        <f>SUM(H$17:H150)/H$320</f>
        <v>0.17770873834066425</v>
      </c>
      <c r="L150" s="26"/>
      <c r="M150" s="26"/>
      <c r="N150" s="27">
        <f t="shared" si="144"/>
        <v>0.53230997330443452</v>
      </c>
      <c r="O150" s="27">
        <f t="shared" si="145"/>
        <v>0</v>
      </c>
      <c r="P150" s="26">
        <f t="shared" si="146"/>
        <v>0.53230997330443452</v>
      </c>
      <c r="Q150" s="26">
        <f>IF(N$320=0,0,SUM(N$17:N150)/N$320)</f>
        <v>0.17510748424509454</v>
      </c>
      <c r="R150" s="26">
        <f>IF(O$320=0,0,SUM(O$17:O150)/O$320)</f>
        <v>0</v>
      </c>
      <c r="S150" s="26">
        <f>SUM(P$17:P150)/P$320</f>
        <v>0.17510748424509454</v>
      </c>
    </row>
    <row r="151" spans="1:19" x14ac:dyDescent="0.4">
      <c r="A151" s="6">
        <f t="shared" si="140"/>
        <v>5.5157994047478169</v>
      </c>
      <c r="B151" s="25">
        <f t="shared" ref="B151:C151" si="151">C$4*EXP(-0.5*(LN($A151)-LN(C$5))^2/(LN(C$6))^2)/($A151*SQRT(2*PI())*LN(C$6))</f>
        <v>2.8821034179582243</v>
      </c>
      <c r="C151" s="25">
        <f t="shared" si="151"/>
        <v>0</v>
      </c>
      <c r="D151" s="27">
        <f t="shared" si="142"/>
        <v>2.8821034179582243</v>
      </c>
      <c r="E151" s="27"/>
      <c r="F151" s="26">
        <f t="shared" si="143"/>
        <v>0.5576680995699218</v>
      </c>
      <c r="G151" s="26">
        <f t="shared" si="143"/>
        <v>0</v>
      </c>
      <c r="H151" s="26">
        <f t="shared" si="143"/>
        <v>0.5576680995699218</v>
      </c>
      <c r="I151" s="26">
        <f>IF(F$320=0,0,SUM(F$17:F151)/F$320)</f>
        <v>0.18321698615220502</v>
      </c>
      <c r="J151" s="26">
        <f>IF(G$320=0,0,SUM(G$17:G151)/G$320)</f>
        <v>0</v>
      </c>
      <c r="K151" s="26">
        <f>SUM(H$17:H151)/H$320</f>
        <v>0.18321698615220502</v>
      </c>
      <c r="L151" s="26"/>
      <c r="M151" s="26"/>
      <c r="N151" s="27">
        <f t="shared" si="144"/>
        <v>0.54284988555951263</v>
      </c>
      <c r="O151" s="27">
        <f t="shared" si="145"/>
        <v>0</v>
      </c>
      <c r="P151" s="26">
        <f t="shared" si="146"/>
        <v>0.54284988555951263</v>
      </c>
      <c r="Q151" s="26">
        <f>IF(N$320=0,0,SUM(N$17:N151)/N$320)</f>
        <v>0.18056326198941122</v>
      </c>
      <c r="R151" s="26">
        <f>IF(O$320=0,0,SUM(O$17:O151)/O$320)</f>
        <v>0</v>
      </c>
      <c r="S151" s="26">
        <f>SUM(P$17:P151)/P$320</f>
        <v>0.18056326198941122</v>
      </c>
    </row>
    <row r="152" spans="1:19" x14ac:dyDescent="0.4">
      <c r="A152" s="6">
        <f t="shared" si="140"/>
        <v>5.7092928429412986</v>
      </c>
      <c r="B152" s="25">
        <f t="shared" ref="B152:C152" si="152">C$4*EXP(-0.5*(LN($A152)-LN(C$5))^2/(LN(C$6))^2)/($A152*SQRT(2*PI())*LN(C$6))</f>
        <v>2.8376984895738926</v>
      </c>
      <c r="C152" s="25">
        <f t="shared" si="152"/>
        <v>0</v>
      </c>
      <c r="D152" s="27">
        <f t="shared" si="142"/>
        <v>2.8376984895738926</v>
      </c>
      <c r="E152" s="27"/>
      <c r="F152" s="26">
        <f t="shared" si="143"/>
        <v>0.56833754456562136</v>
      </c>
      <c r="G152" s="26">
        <f t="shared" si="143"/>
        <v>0</v>
      </c>
      <c r="H152" s="26">
        <f t="shared" si="143"/>
        <v>0.56833754456562136</v>
      </c>
      <c r="I152" s="26">
        <f>IF(F$320=0,0,SUM(F$17:F152)/F$320)</f>
        <v>0.1888306191329768</v>
      </c>
      <c r="J152" s="26">
        <f>IF(G$320=0,0,SUM(G$17:G152)/G$320)</f>
        <v>0</v>
      </c>
      <c r="K152" s="26">
        <f>SUM(H$17:H152)/H$320</f>
        <v>0.1888306191329768</v>
      </c>
      <c r="L152" s="26"/>
      <c r="M152" s="26"/>
      <c r="N152" s="27">
        <f t="shared" si="144"/>
        <v>0.55335643249893596</v>
      </c>
      <c r="O152" s="27">
        <f t="shared" si="145"/>
        <v>0</v>
      </c>
      <c r="P152" s="26">
        <f t="shared" si="146"/>
        <v>0.55335643249893596</v>
      </c>
      <c r="Q152" s="26">
        <f>IF(N$320=0,0,SUM(N$17:N152)/N$320)</f>
        <v>0.18612463317030506</v>
      </c>
      <c r="R152" s="26">
        <f>IF(O$320=0,0,SUM(O$17:O152)/O$320)</f>
        <v>0</v>
      </c>
      <c r="S152" s="26">
        <f>SUM(P$17:P152)/P$320</f>
        <v>0.18612463317030506</v>
      </c>
    </row>
    <row r="153" spans="1:19" x14ac:dyDescent="0.4">
      <c r="A153" s="6">
        <f t="shared" si="140"/>
        <v>5.9095740027099541</v>
      </c>
      <c r="B153" s="25">
        <f t="shared" ref="B153:C153" si="153">C$4*EXP(-0.5*(LN($A153)-LN(C$5))^2/(LN(C$6))^2)/($A153*SQRT(2*PI())*LN(C$6))</f>
        <v>2.7927560118087604</v>
      </c>
      <c r="C153" s="25">
        <f t="shared" si="153"/>
        <v>0</v>
      </c>
      <c r="D153" s="27">
        <f t="shared" si="142"/>
        <v>2.7927560118087604</v>
      </c>
      <c r="E153" s="27"/>
      <c r="F153" s="26">
        <f t="shared" si="143"/>
        <v>0.57895785273942157</v>
      </c>
      <c r="G153" s="26">
        <f t="shared" si="143"/>
        <v>0</v>
      </c>
      <c r="H153" s="26">
        <f t="shared" si="143"/>
        <v>0.57895785273942157</v>
      </c>
      <c r="I153" s="26">
        <f>IF(F$320=0,0,SUM(F$17:F153)/F$320)</f>
        <v>0.19454915194449257</v>
      </c>
      <c r="J153" s="26">
        <f>IF(G$320=0,0,SUM(G$17:G153)/G$320)</f>
        <v>0</v>
      </c>
      <c r="K153" s="26">
        <f>SUM(H$17:H153)/H$320</f>
        <v>0.19454915194449257</v>
      </c>
      <c r="L153" s="26"/>
      <c r="M153" s="26"/>
      <c r="N153" s="27">
        <f t="shared" si="144"/>
        <v>0.56381969153982969</v>
      </c>
      <c r="O153" s="27">
        <f t="shared" si="145"/>
        <v>0</v>
      </c>
      <c r="P153" s="26">
        <f t="shared" si="146"/>
        <v>0.56381969153982969</v>
      </c>
      <c r="Q153" s="26">
        <f>IF(N$320=0,0,SUM(N$17:N153)/N$320)</f>
        <v>0.19179116273351943</v>
      </c>
      <c r="R153" s="26">
        <f>IF(O$320=0,0,SUM(O$17:O153)/O$320)</f>
        <v>0</v>
      </c>
      <c r="S153" s="26">
        <f>SUM(P$17:P153)/P$320</f>
        <v>0.19179116273351943</v>
      </c>
    </row>
    <row r="154" spans="1:19" x14ac:dyDescent="0.4">
      <c r="A154" s="6">
        <f t="shared" si="140"/>
        <v>6.1168809963361008</v>
      </c>
      <c r="B154" s="25">
        <f t="shared" ref="B154:C154" si="154">C$4*EXP(-0.5*(LN($A154)-LN(C$5))^2/(LN(C$6))^2)/($A154*SQRT(2*PI())*LN(C$6))</f>
        <v>2.7473234902662829</v>
      </c>
      <c r="C154" s="25">
        <f t="shared" si="154"/>
        <v>0</v>
      </c>
      <c r="D154" s="27">
        <f t="shared" si="142"/>
        <v>2.7473234902662829</v>
      </c>
      <c r="E154" s="27"/>
      <c r="F154" s="26">
        <f t="shared" si="143"/>
        <v>0.58951873138711464</v>
      </c>
      <c r="G154" s="26">
        <f t="shared" si="143"/>
        <v>0</v>
      </c>
      <c r="H154" s="26">
        <f t="shared" si="143"/>
        <v>0.58951873138711464</v>
      </c>
      <c r="I154" s="26">
        <f>IF(F$320=0,0,SUM(F$17:F154)/F$320)</f>
        <v>0.20037199758427301</v>
      </c>
      <c r="J154" s="26">
        <f>IF(G$320=0,0,SUM(G$17:G154)/G$320)</f>
        <v>0</v>
      </c>
      <c r="K154" s="26">
        <f>SUM(H$17:H154)/H$320</f>
        <v>0.20037199758427301</v>
      </c>
      <c r="L154" s="26"/>
      <c r="M154" s="26"/>
      <c r="N154" s="27">
        <f t="shared" si="144"/>
        <v>0.57422960760769304</v>
      </c>
      <c r="O154" s="27">
        <f t="shared" si="145"/>
        <v>0</v>
      </c>
      <c r="P154" s="26">
        <f t="shared" si="146"/>
        <v>0.57422960760769304</v>
      </c>
      <c r="Q154" s="26">
        <f>IF(N$320=0,0,SUM(N$17:N154)/N$320)</f>
        <v>0.19756231456877266</v>
      </c>
      <c r="R154" s="26">
        <f>IF(O$320=0,0,SUM(O$17:O154)/O$320)</f>
        <v>0</v>
      </c>
      <c r="S154" s="26">
        <f>SUM(P$17:P154)/P$320</f>
        <v>0.19756231456877266</v>
      </c>
    </row>
    <row r="155" spans="1:19" x14ac:dyDescent="0.4">
      <c r="A155" s="6">
        <f t="shared" si="140"/>
        <v>6.3314602890461762</v>
      </c>
      <c r="B155" s="25">
        <f t="shared" ref="B155:C155" si="155">C$4*EXP(-0.5*(LN($A155)-LN(C$5))^2/(LN(C$6))^2)/($A155*SQRT(2*PI())*LN(C$6))</f>
        <v>2.7014483056696856</v>
      </c>
      <c r="C155" s="25">
        <f t="shared" si="155"/>
        <v>0</v>
      </c>
      <c r="D155" s="27">
        <f t="shared" si="142"/>
        <v>2.7014483056696856</v>
      </c>
      <c r="E155" s="27"/>
      <c r="F155" s="26">
        <f t="shared" si="143"/>
        <v>0.60000977645566977</v>
      </c>
      <c r="G155" s="26">
        <f t="shared" si="143"/>
        <v>0</v>
      </c>
      <c r="H155" s="26">
        <f t="shared" si="143"/>
        <v>0.60000977645566977</v>
      </c>
      <c r="I155" s="26">
        <f>IF(F$320=0,0,SUM(F$17:F155)/F$320)</f>
        <v>0.20629846628602205</v>
      </c>
      <c r="J155" s="26">
        <f>IF(G$320=0,0,SUM(G$17:G155)/G$320)</f>
        <v>0</v>
      </c>
      <c r="K155" s="26">
        <f>SUM(H$17:H155)/H$320</f>
        <v>0.20629846628602205</v>
      </c>
      <c r="L155" s="26"/>
      <c r="M155" s="26"/>
      <c r="N155" s="27">
        <f t="shared" si="144"/>
        <v>0.58457600838144885</v>
      </c>
      <c r="O155" s="27">
        <f t="shared" si="145"/>
        <v>0</v>
      </c>
      <c r="P155" s="26">
        <f t="shared" si="146"/>
        <v>0.58457600838144885</v>
      </c>
      <c r="Q155" s="26">
        <f>IF(N$320=0,0,SUM(N$17:N155)/N$320)</f>
        <v>0.20343745033140029</v>
      </c>
      <c r="R155" s="26">
        <f>IF(O$320=0,0,SUM(O$17:O155)/O$320)</f>
        <v>0</v>
      </c>
      <c r="S155" s="26">
        <f>SUM(P$17:P155)/P$320</f>
        <v>0.20343745033140029</v>
      </c>
    </row>
    <row r="156" spans="1:19" x14ac:dyDescent="0.4">
      <c r="A156" s="6">
        <f t="shared" si="140"/>
        <v>6.5535669920307917</v>
      </c>
      <c r="B156" s="25">
        <f t="shared" ref="B156:C156" si="156">C$4*EXP(-0.5*(LN($A156)-LN(C$5))^2/(LN(C$6))^2)/($A156*SQRT(2*PI())*LN(C$6))</f>
        <v>2.6551776337067761</v>
      </c>
      <c r="C156" s="25">
        <f t="shared" si="156"/>
        <v>0</v>
      </c>
      <c r="D156" s="27">
        <f t="shared" si="142"/>
        <v>2.6551776337067761</v>
      </c>
      <c r="E156" s="27"/>
      <c r="F156" s="26">
        <f t="shared" si="143"/>
        <v>0.61042048887306843</v>
      </c>
      <c r="G156" s="26">
        <f t="shared" si="143"/>
        <v>0</v>
      </c>
      <c r="H156" s="26">
        <f t="shared" si="143"/>
        <v>0.61042048887306843</v>
      </c>
      <c r="I156" s="26">
        <f>IF(F$320=0,0,SUM(F$17:F156)/F$320)</f>
        <v>0.21232776458109717</v>
      </c>
      <c r="J156" s="26">
        <f>IF(G$320=0,0,SUM(G$17:G156)/G$320)</f>
        <v>0</v>
      </c>
      <c r="K156" s="26">
        <f>SUM(H$17:H156)/H$320</f>
        <v>0.21232776458109717</v>
      </c>
      <c r="L156" s="26"/>
      <c r="M156" s="26"/>
      <c r="N156" s="27">
        <f t="shared" si="144"/>
        <v>0.59484862008212513</v>
      </c>
      <c r="O156" s="27">
        <f t="shared" si="145"/>
        <v>0</v>
      </c>
      <c r="P156" s="26">
        <f t="shared" si="146"/>
        <v>0.59484862008212513</v>
      </c>
      <c r="Q156" s="26">
        <f>IF(N$320=0,0,SUM(N$17:N156)/N$320)</f>
        <v>0.20941582842267792</v>
      </c>
      <c r="R156" s="26">
        <f>IF(O$320=0,0,SUM(O$17:O156)/O$320)</f>
        <v>0</v>
      </c>
      <c r="S156" s="26">
        <f>SUM(P$17:P156)/P$320</f>
        <v>0.20941582842267792</v>
      </c>
    </row>
    <row r="157" spans="1:19" x14ac:dyDescent="0.4">
      <c r="A157" s="6">
        <f t="shared" si="140"/>
        <v>6.7834651657438956</v>
      </c>
      <c r="B157" s="25">
        <f t="shared" ref="B157:C157" si="157">C$4*EXP(-0.5*(LN($A157)-LN(C$5))^2/(LN(C$6))^2)/($A157*SQRT(2*PI())*LN(C$6))</f>
        <v>2.6085583666402004</v>
      </c>
      <c r="C157" s="25">
        <f t="shared" si="157"/>
        <v>0</v>
      </c>
      <c r="D157" s="27">
        <f t="shared" si="142"/>
        <v>2.6085583666402004</v>
      </c>
      <c r="E157" s="27"/>
      <c r="F157" s="26">
        <f t="shared" si="143"/>
        <v>0.6207402913818767</v>
      </c>
      <c r="G157" s="26">
        <f t="shared" si="143"/>
        <v>0</v>
      </c>
      <c r="H157" s="26">
        <f t="shared" si="143"/>
        <v>0.6207402913818767</v>
      </c>
      <c r="I157" s="26">
        <f>IF(F$320=0,0,SUM(F$17:F157)/F$320)</f>
        <v>0.21845899452624967</v>
      </c>
      <c r="J157" s="26">
        <f>IF(G$320=0,0,SUM(G$17:G157)/G$320)</f>
        <v>0</v>
      </c>
      <c r="K157" s="26">
        <f>SUM(H$17:H157)/H$320</f>
        <v>0.21845899452624967</v>
      </c>
      <c r="L157" s="26"/>
      <c r="M157" s="26"/>
      <c r="N157" s="27">
        <f t="shared" si="144"/>
        <v>0.60503708377300236</v>
      </c>
      <c r="O157" s="27">
        <f t="shared" si="145"/>
        <v>0</v>
      </c>
      <c r="P157" s="26">
        <f t="shared" si="146"/>
        <v>0.60503708377300236</v>
      </c>
      <c r="Q157" s="26">
        <f>IF(N$320=0,0,SUM(N$17:N157)/N$320)</f>
        <v>0.21549660313396438</v>
      </c>
      <c r="R157" s="26">
        <f>IF(O$320=0,0,SUM(O$17:O157)/O$320)</f>
        <v>0</v>
      </c>
      <c r="S157" s="26">
        <f>SUM(P$17:P157)/P$320</f>
        <v>0.21549660313396438</v>
      </c>
    </row>
    <row r="158" spans="1:19" x14ac:dyDescent="0.4">
      <c r="A158" s="6">
        <f t="shared" si="140"/>
        <v>7.0214281338416287</v>
      </c>
      <c r="B158" s="25">
        <f t="shared" ref="B158:C158" si="158">C$4*EXP(-0.5*(LN($A158)-LN(C$5))^2/(LN(C$6))^2)/($A158*SQRT(2*PI())*LN(C$6))</f>
        <v>2.5616370368575714</v>
      </c>
      <c r="C158" s="25">
        <f t="shared" si="158"/>
        <v>0</v>
      </c>
      <c r="D158" s="27">
        <f t="shared" si="142"/>
        <v>2.5616370368575714</v>
      </c>
      <c r="E158" s="27"/>
      <c r="F158" s="26">
        <f t="shared" si="143"/>
        <v>0.63095854584096034</v>
      </c>
      <c r="G158" s="26">
        <f t="shared" si="143"/>
        <v>0</v>
      </c>
      <c r="H158" s="26">
        <f t="shared" si="143"/>
        <v>0.63095854584096034</v>
      </c>
      <c r="I158" s="26">
        <f>IF(F$320=0,0,SUM(F$17:F158)/F$320)</f>
        <v>0.22469115310225882</v>
      </c>
      <c r="J158" s="26">
        <f>IF(G$320=0,0,SUM(G$17:G158)/G$320)</f>
        <v>0</v>
      </c>
      <c r="K158" s="26">
        <f>SUM(H$17:H158)/H$320</f>
        <v>0.22469115310225882</v>
      </c>
      <c r="L158" s="26"/>
      <c r="M158" s="26"/>
      <c r="N158" s="27">
        <f t="shared" si="144"/>
        <v>0.61513097213788948</v>
      </c>
      <c r="O158" s="27">
        <f t="shared" si="145"/>
        <v>0</v>
      </c>
      <c r="P158" s="26">
        <f t="shared" si="146"/>
        <v>0.61513097213788948</v>
      </c>
      <c r="Q158" s="26">
        <f>IF(N$320=0,0,SUM(N$17:N158)/N$320)</f>
        <v>0.22167882395947081</v>
      </c>
      <c r="R158" s="26">
        <f>IF(O$320=0,0,SUM(O$17:O158)/O$320)</f>
        <v>0</v>
      </c>
      <c r="S158" s="26">
        <f>SUM(P$17:P158)/P$320</f>
        <v>0.22167882395947081</v>
      </c>
    </row>
    <row r="159" spans="1:19" x14ac:dyDescent="0.4">
      <c r="A159" s="6">
        <f t="shared" si="140"/>
        <v>7.2677388081341014</v>
      </c>
      <c r="B159" s="25">
        <f t="shared" ref="B159:C159" si="159">C$4*EXP(-0.5*(LN($A159)-LN(C$5))^2/(LN(C$6))^2)/($A159*SQRT(2*PI())*LN(C$6))</f>
        <v>2.5144597425270416</v>
      </c>
      <c r="C159" s="25">
        <f t="shared" si="159"/>
        <v>0</v>
      </c>
      <c r="D159" s="27">
        <f t="shared" si="142"/>
        <v>2.5144597425270416</v>
      </c>
      <c r="E159" s="27"/>
      <c r="F159" s="26">
        <f t="shared" si="143"/>
        <v>0.64106457095776059</v>
      </c>
      <c r="G159" s="26">
        <f t="shared" si="143"/>
        <v>0</v>
      </c>
      <c r="H159" s="26">
        <f t="shared" si="143"/>
        <v>0.64106457095776059</v>
      </c>
      <c r="I159" s="26">
        <f>IF(F$320=0,0,SUM(F$17:F159)/F$320)</f>
        <v>0.23102313178771283</v>
      </c>
      <c r="J159" s="26">
        <f>IF(G$320=0,0,SUM(G$17:G159)/G$320)</f>
        <v>0</v>
      </c>
      <c r="K159" s="26">
        <f>SUM(H$17:H159)/H$320</f>
        <v>0.23102313178771283</v>
      </c>
      <c r="L159" s="26"/>
      <c r="M159" s="26"/>
      <c r="N159" s="27">
        <f t="shared" si="144"/>
        <v>0.62511980670089395</v>
      </c>
      <c r="O159" s="27">
        <f t="shared" si="145"/>
        <v>0</v>
      </c>
      <c r="P159" s="26">
        <f t="shared" si="146"/>
        <v>0.62511980670089395</v>
      </c>
      <c r="Q159" s="26">
        <f>IF(N$320=0,0,SUM(N$17:N159)/N$320)</f>
        <v>0.22796143508209285</v>
      </c>
      <c r="R159" s="26">
        <f>IF(O$320=0,0,SUM(O$17:O159)/O$320)</f>
        <v>0</v>
      </c>
      <c r="S159" s="26">
        <f>SUM(P$17:P159)/P$320</f>
        <v>0.22796143508209285</v>
      </c>
    </row>
    <row r="160" spans="1:19" x14ac:dyDescent="0.4">
      <c r="A160" s="6">
        <f t="shared" si="140"/>
        <v>7.5226900249364386</v>
      </c>
      <c r="B160" s="25">
        <f t="shared" ref="B160:C160" si="160">C$4*EXP(-0.5*(LN($A160)-LN(C$5))^2/(LN(C$6))^2)/($A160*SQRT(2*PI())*LN(C$6))</f>
        <v>2.4670720755146456</v>
      </c>
      <c r="C160" s="25">
        <f t="shared" si="160"/>
        <v>0</v>
      </c>
      <c r="D160" s="27">
        <f t="shared" si="142"/>
        <v>2.4670720755146456</v>
      </c>
      <c r="E160" s="27"/>
      <c r="F160" s="26">
        <f t="shared" si="143"/>
        <v>0.65104766041143858</v>
      </c>
      <c r="G160" s="26">
        <f t="shared" si="143"/>
        <v>0</v>
      </c>
      <c r="H160" s="26">
        <f t="shared" si="143"/>
        <v>0.65104766041143858</v>
      </c>
      <c r="I160" s="26">
        <f>IF(F$320=0,0,SUM(F$17:F160)/F$320)</f>
        <v>0.23745371631179749</v>
      </c>
      <c r="J160" s="26">
        <f>IF(G$320=0,0,SUM(G$17:G160)/G$320)</f>
        <v>0</v>
      </c>
      <c r="K160" s="26">
        <f>SUM(H$17:H160)/H$320</f>
        <v>0.23745371631179749</v>
      </c>
      <c r="L160" s="26"/>
      <c r="M160" s="26"/>
      <c r="N160" s="27">
        <f t="shared" si="144"/>
        <v>0.63499307545027972</v>
      </c>
      <c r="O160" s="27">
        <f t="shared" si="145"/>
        <v>0</v>
      </c>
      <c r="P160" s="26">
        <f t="shared" si="146"/>
        <v>0.63499307545027972</v>
      </c>
      <c r="Q160" s="26">
        <f>IF(N$320=0,0,SUM(N$17:N160)/N$320)</f>
        <v>0.23434327503636701</v>
      </c>
      <c r="R160" s="26">
        <f>IF(O$320=0,0,SUM(O$17:O160)/O$320)</f>
        <v>0</v>
      </c>
      <c r="S160" s="26">
        <f>SUM(P$17:P160)/P$320</f>
        <v>0.23434327503636701</v>
      </c>
    </row>
    <row r="161" spans="1:19" x14ac:dyDescent="0.4">
      <c r="A161" s="6">
        <f t="shared" si="140"/>
        <v>7.7865848932189659</v>
      </c>
      <c r="B161" s="25">
        <f t="shared" ref="B161:C161" si="161">C$4*EXP(-0.5*(LN($A161)-LN(C$5))^2/(LN(C$6))^2)/($A161*SQRT(2*PI())*LN(C$6))</f>
        <v>2.4195190517101013</v>
      </c>
      <c r="C161" s="25">
        <f t="shared" si="161"/>
        <v>0</v>
      </c>
      <c r="D161" s="27">
        <f t="shared" si="142"/>
        <v>2.4195190517101013</v>
      </c>
      <c r="E161" s="27"/>
      <c r="F161" s="26">
        <f t="shared" si="143"/>
        <v>0.66089710132542667</v>
      </c>
      <c r="G161" s="26">
        <f t="shared" si="143"/>
        <v>0</v>
      </c>
      <c r="H161" s="26">
        <f t="shared" si="143"/>
        <v>0.66089710132542667</v>
      </c>
      <c r="I161" s="26">
        <f>IF(F$320=0,0,SUM(F$17:F161)/F$320)</f>
        <v>0.24398158658954316</v>
      </c>
      <c r="J161" s="26">
        <f>IF(G$320=0,0,SUM(G$17:G161)/G$320)</f>
        <v>0</v>
      </c>
      <c r="K161" s="26">
        <f>SUM(H$17:H161)/H$320</f>
        <v>0.24398158658954316</v>
      </c>
      <c r="L161" s="26"/>
      <c r="M161" s="26"/>
      <c r="N161" s="27">
        <f t="shared" si="144"/>
        <v>0.64474025082608966</v>
      </c>
      <c r="O161" s="27">
        <f t="shared" si="145"/>
        <v>0</v>
      </c>
      <c r="P161" s="26">
        <f t="shared" si="146"/>
        <v>0.64474025082608966</v>
      </c>
      <c r="Q161" s="26">
        <f>IF(N$320=0,0,SUM(N$17:N161)/N$320)</f>
        <v>0.24082307655220708</v>
      </c>
      <c r="R161" s="26">
        <f>IF(O$320=0,0,SUM(O$17:O161)/O$320)</f>
        <v>0</v>
      </c>
      <c r="S161" s="26">
        <f>SUM(P$17:P161)/P$320</f>
        <v>0.24082307655220708</v>
      </c>
    </row>
    <row r="162" spans="1:19" x14ac:dyDescent="0.4">
      <c r="A162" s="6">
        <f t="shared" si="140"/>
        <v>8.0597371549704526</v>
      </c>
      <c r="B162" s="25">
        <f t="shared" ref="B162:C162" si="162">C$4*EXP(-0.5*(LN($A162)-LN(C$5))^2/(LN(C$6))^2)/($A162*SQRT(2*PI())*LN(C$6))</f>
        <v>2.3718450438977809</v>
      </c>
      <c r="C162" s="25">
        <f t="shared" si="162"/>
        <v>0</v>
      </c>
      <c r="D162" s="27">
        <f t="shared" si="142"/>
        <v>2.3718450438977809</v>
      </c>
      <c r="E162" s="27"/>
      <c r="F162" s="26">
        <f t="shared" si="143"/>
        <v>0.67060219304615609</v>
      </c>
      <c r="G162" s="26">
        <f t="shared" si="143"/>
        <v>0</v>
      </c>
      <c r="H162" s="26">
        <f t="shared" si="143"/>
        <v>0.67060219304615609</v>
      </c>
      <c r="I162" s="26">
        <f>IF(F$320=0,0,SUM(F$17:F162)/F$320)</f>
        <v>0.25060531684255505</v>
      </c>
      <c r="J162" s="26">
        <f>IF(G$320=0,0,SUM(G$17:G162)/G$320)</f>
        <v>0</v>
      </c>
      <c r="K162" s="26">
        <f>SUM(H$17:H162)/H$320</f>
        <v>0.25060531684255505</v>
      </c>
      <c r="L162" s="26"/>
      <c r="M162" s="26"/>
      <c r="N162" s="27">
        <f t="shared" si="144"/>
        <v>0.65435080803017687</v>
      </c>
      <c r="O162" s="27">
        <f t="shared" si="145"/>
        <v>0</v>
      </c>
      <c r="P162" s="26">
        <f t="shared" si="146"/>
        <v>0.65435080803017687</v>
      </c>
      <c r="Q162" s="26">
        <f>IF(N$320=0,0,SUM(N$17:N162)/N$320)</f>
        <v>0.24739946658266113</v>
      </c>
      <c r="R162" s="26">
        <f>IF(O$320=0,0,SUM(O$17:O162)/O$320)</f>
        <v>0</v>
      </c>
      <c r="S162" s="26">
        <f>SUM(P$17:P162)/P$320</f>
        <v>0.24739946658266113</v>
      </c>
    </row>
    <row r="163" spans="1:19" x14ac:dyDescent="0.4">
      <c r="A163" s="6">
        <f t="shared" si="140"/>
        <v>8.342471558202849</v>
      </c>
      <c r="B163" s="25">
        <f t="shared" ref="B163:C163" si="163">C$4*EXP(-0.5*(LN($A163)-LN(C$5))^2/(LN(C$6))^2)/($A163*SQRT(2*PI())*LN(C$6))</f>
        <v>2.3240937172993008</v>
      </c>
      <c r="C163" s="25">
        <f t="shared" si="163"/>
        <v>0</v>
      </c>
      <c r="D163" s="27">
        <f t="shared" si="142"/>
        <v>2.3240937172993008</v>
      </c>
      <c r="E163" s="27"/>
      <c r="F163" s="26">
        <f t="shared" si="143"/>
        <v>0.68015226618307367</v>
      </c>
      <c r="G163" s="26">
        <f t="shared" si="143"/>
        <v>0</v>
      </c>
      <c r="H163" s="26">
        <f t="shared" si="143"/>
        <v>0.68015226618307367</v>
      </c>
      <c r="I163" s="26">
        <f>IF(F$320=0,0,SUM(F$17:F163)/F$320)</f>
        <v>0.25732337590780674</v>
      </c>
      <c r="J163" s="26">
        <f>IF(G$320=0,0,SUM(G$17:G163)/G$320)</f>
        <v>0</v>
      </c>
      <c r="K163" s="26">
        <f>SUM(H$17:H163)/H$320</f>
        <v>0.25732337590780674</v>
      </c>
      <c r="L163" s="26"/>
      <c r="M163" s="26"/>
      <c r="N163" s="27">
        <f t="shared" si="144"/>
        <v>0.66381424361518504</v>
      </c>
      <c r="O163" s="27">
        <f t="shared" si="145"/>
        <v>0</v>
      </c>
      <c r="P163" s="26">
        <f t="shared" si="146"/>
        <v>0.66381424361518504</v>
      </c>
      <c r="Q163" s="26">
        <f>IF(N$320=0,0,SUM(N$17:N163)/N$320)</f>
        <v>0.25407096651849215</v>
      </c>
      <c r="R163" s="26">
        <f>IF(O$320=0,0,SUM(O$17:O163)/O$320)</f>
        <v>0</v>
      </c>
      <c r="S163" s="26">
        <f>SUM(P$17:P163)/P$320</f>
        <v>0.25407096651849215</v>
      </c>
    </row>
    <row r="164" spans="1:19" x14ac:dyDescent="0.4">
      <c r="A164" s="6">
        <f t="shared" si="140"/>
        <v>8.6351242430409805</v>
      </c>
      <c r="B164" s="25">
        <f t="shared" ref="B164:C164" si="164">C$4*EXP(-0.5*(LN($A164)-LN(C$5))^2/(LN(C$6))^2)/($A164*SQRT(2*PI())*LN(C$6))</f>
        <v>2.2763079679036884</v>
      </c>
      <c r="C164" s="25">
        <f t="shared" si="164"/>
        <v>0</v>
      </c>
      <c r="D164" s="27">
        <f t="shared" si="142"/>
        <v>2.2763079679036884</v>
      </c>
      <c r="E164" s="27"/>
      <c r="F164" s="26">
        <f t="shared" si="143"/>
        <v>0.68953670186351312</v>
      </c>
      <c r="G164" s="26">
        <f t="shared" si="143"/>
        <v>0</v>
      </c>
      <c r="H164" s="26">
        <f t="shared" si="143"/>
        <v>0.68953670186351312</v>
      </c>
      <c r="I164" s="26">
        <f>IF(F$320=0,0,SUM(F$17:F164)/F$320)</f>
        <v>0.26413412773662015</v>
      </c>
      <c r="J164" s="26">
        <f>IF(G$320=0,0,SUM(G$17:G164)/G$320)</f>
        <v>0</v>
      </c>
      <c r="K164" s="26">
        <f>SUM(H$17:H164)/H$320</f>
        <v>0.26413412773662015</v>
      </c>
      <c r="L164" s="26"/>
      <c r="M164" s="26"/>
      <c r="N164" s="27">
        <f t="shared" si="144"/>
        <v>0.67312009430771091</v>
      </c>
      <c r="O164" s="27">
        <f t="shared" si="145"/>
        <v>0</v>
      </c>
      <c r="P164" s="26">
        <f t="shared" si="146"/>
        <v>0.67312009430771091</v>
      </c>
      <c r="Q164" s="26">
        <f>IF(N$320=0,0,SUM(N$17:N164)/N$320)</f>
        <v>0.26083599259193646</v>
      </c>
      <c r="R164" s="26">
        <f>IF(O$320=0,0,SUM(O$17:O164)/O$320)</f>
        <v>0</v>
      </c>
      <c r="S164" s="26">
        <f>SUM(P$17:P164)/P$320</f>
        <v>0.26083599259193646</v>
      </c>
    </row>
    <row r="165" spans="1:19" x14ac:dyDescent="0.4">
      <c r="A165" s="6">
        <f t="shared" si="140"/>
        <v>8.9380431413561876</v>
      </c>
      <c r="B165" s="25">
        <f t="shared" ref="B165:C165" si="165">C$4*EXP(-0.5*(LN($A165)-LN(C$5))^2/(LN(C$6))^2)/($A165*SQRT(2*PI())*LN(C$6))</f>
        <v>2.2285298636903583</v>
      </c>
      <c r="C165" s="25">
        <f t="shared" si="165"/>
        <v>0</v>
      </c>
      <c r="D165" s="27">
        <f t="shared" si="142"/>
        <v>2.2285298636903583</v>
      </c>
      <c r="E165" s="27"/>
      <c r="F165" s="26">
        <f t="shared" si="143"/>
        <v>0.69874495115491897</v>
      </c>
      <c r="G165" s="26">
        <f t="shared" si="143"/>
        <v>0</v>
      </c>
      <c r="H165" s="26">
        <f t="shared" si="143"/>
        <v>0.69874495115491897</v>
      </c>
      <c r="I165" s="26">
        <f>IF(F$320=0,0,SUM(F$17:F165)/F$320)</f>
        <v>0.27103583208548371</v>
      </c>
      <c r="J165" s="26">
        <f>IF(G$320=0,0,SUM(G$17:G165)/G$320)</f>
        <v>0</v>
      </c>
      <c r="K165" s="26">
        <f>SUM(H$17:H165)/H$320</f>
        <v>0.27103583208548371</v>
      </c>
      <c r="L165" s="26"/>
      <c r="M165" s="26"/>
      <c r="N165" s="27">
        <f t="shared" si="144"/>
        <v>0.68225795601922767</v>
      </c>
      <c r="O165" s="27">
        <f t="shared" si="145"/>
        <v>0</v>
      </c>
      <c r="P165" s="26">
        <f t="shared" si="146"/>
        <v>0.68225795601922767</v>
      </c>
      <c r="Q165" s="26">
        <f>IF(N$320=0,0,SUM(N$17:N165)/N$320)</f>
        <v>0.26769285647152669</v>
      </c>
      <c r="R165" s="26">
        <f>IF(O$320=0,0,SUM(O$17:O165)/O$320)</f>
        <v>0</v>
      </c>
      <c r="S165" s="26">
        <f>SUM(P$17:P165)/P$320</f>
        <v>0.26769285647152669</v>
      </c>
    </row>
    <row r="166" spans="1:19" x14ac:dyDescent="0.4">
      <c r="A166" s="6">
        <f t="shared" si="140"/>
        <v>9.2515883904190943</v>
      </c>
      <c r="B166" s="25">
        <f t="shared" ref="B166:C166" si="166">C$4*EXP(-0.5*(LN($A166)-LN(C$5))^2/(LN(C$6))^2)/($A166*SQRT(2*PI())*LN(C$6))</f>
        <v>2.1808005888392805</v>
      </c>
      <c r="C166" s="25">
        <f t="shared" si="166"/>
        <v>0</v>
      </c>
      <c r="D166" s="27">
        <f t="shared" si="142"/>
        <v>2.1808005888392805</v>
      </c>
      <c r="E166" s="27"/>
      <c r="F166" s="26">
        <f t="shared" si="143"/>
        <v>0.70776655460517301</v>
      </c>
      <c r="G166" s="26">
        <f t="shared" si="143"/>
        <v>0</v>
      </c>
      <c r="H166" s="26">
        <f t="shared" si="143"/>
        <v>0.70776655460517301</v>
      </c>
      <c r="I166" s="26">
        <f>IF(F$320=0,0,SUM(F$17:F166)/F$320)</f>
        <v>0.27802664539987676</v>
      </c>
      <c r="J166" s="26">
        <f>IF(G$320=0,0,SUM(G$17:G166)/G$320)</f>
        <v>0</v>
      </c>
      <c r="K166" s="26">
        <f>SUM(H$17:H166)/H$320</f>
        <v>0.27802664539987676</v>
      </c>
      <c r="L166" s="26"/>
      <c r="M166" s="26"/>
      <c r="N166" s="27">
        <f t="shared" si="144"/>
        <v>0.69121750299766527</v>
      </c>
      <c r="O166" s="27">
        <f t="shared" si="145"/>
        <v>0</v>
      </c>
      <c r="P166" s="26">
        <f t="shared" si="146"/>
        <v>0.69121750299766527</v>
      </c>
      <c r="Q166" s="26">
        <f>IF(N$320=0,0,SUM(N$17:N166)/N$320)</f>
        <v>0.27463976604939266</v>
      </c>
      <c r="R166" s="26">
        <f>IF(O$320=0,0,SUM(O$17:O166)/O$320)</f>
        <v>0</v>
      </c>
      <c r="S166" s="26">
        <f>SUM(P$17:P166)/P$320</f>
        <v>0.27463976604939266</v>
      </c>
    </row>
    <row r="167" spans="1:19" x14ac:dyDescent="0.4">
      <c r="A167" s="6">
        <f t="shared" si="140"/>
        <v>9.5761327610632154</v>
      </c>
      <c r="B167" s="25">
        <f t="shared" ref="B167:C167" si="167">C$4*EXP(-0.5*(LN($A167)-LN(C$5))^2/(LN(C$6))^2)/($A167*SQRT(2*PI())*LN(C$6))</f>
        <v>2.1331603910117636</v>
      </c>
      <c r="C167" s="25">
        <f t="shared" si="167"/>
        <v>0</v>
      </c>
      <c r="D167" s="27">
        <f t="shared" si="142"/>
        <v>2.1331603910117636</v>
      </c>
      <c r="E167" s="27"/>
      <c r="F167" s="26">
        <f t="shared" si="143"/>
        <v>0.71659116185138327</v>
      </c>
      <c r="G167" s="26">
        <f t="shared" si="143"/>
        <v>0</v>
      </c>
      <c r="H167" s="26">
        <f t="shared" si="143"/>
        <v>0.71659116185138327</v>
      </c>
      <c r="I167" s="26">
        <f>IF(F$320=0,0,SUM(F$17:F167)/F$320)</f>
        <v>0.28510462189177477</v>
      </c>
      <c r="J167" s="26">
        <f>IF(G$320=0,0,SUM(G$17:G167)/G$320)</f>
        <v>0</v>
      </c>
      <c r="K167" s="26">
        <f>SUM(H$17:H167)/H$320</f>
        <v>0.28510462189177477</v>
      </c>
      <c r="L167" s="26"/>
      <c r="M167" s="26"/>
      <c r="N167" s="27">
        <f t="shared" si="144"/>
        <v>0.69998850707042592</v>
      </c>
      <c r="O167" s="27">
        <f t="shared" si="145"/>
        <v>0</v>
      </c>
      <c r="P167" s="26">
        <f t="shared" si="146"/>
        <v>0.69998850707042592</v>
      </c>
      <c r="Q167" s="26">
        <f>IF(N$320=0,0,SUM(N$17:N167)/N$320)</f>
        <v>0.28167482642195979</v>
      </c>
      <c r="R167" s="26">
        <f>IF(O$320=0,0,SUM(O$17:O167)/O$320)</f>
        <v>0</v>
      </c>
      <c r="S167" s="26">
        <f>SUM(P$17:P167)/P$320</f>
        <v>0.28167482642195979</v>
      </c>
    </row>
    <row r="168" spans="1:19" x14ac:dyDescent="0.4">
      <c r="A168" s="6">
        <f t="shared" si="140"/>
        <v>9.9120621008685088</v>
      </c>
      <c r="B168" s="25">
        <f t="shared" ref="B168:C168" si="168">C$4*EXP(-0.5*(LN($A168)-LN(C$5))^2/(LN(C$6))^2)/($A168*SQRT(2*PI())*LN(C$6))</f>
        <v>2.0856485317742313</v>
      </c>
      <c r="C168" s="25">
        <f t="shared" si="168"/>
        <v>0</v>
      </c>
      <c r="D168" s="27">
        <f t="shared" si="142"/>
        <v>2.0856485317742313</v>
      </c>
      <c r="E168" s="27"/>
      <c r="F168" s="26">
        <f t="shared" si="143"/>
        <v>0.72520855124603301</v>
      </c>
      <c r="G168" s="26">
        <f t="shared" si="143"/>
        <v>0</v>
      </c>
      <c r="H168" s="26">
        <f t="shared" si="143"/>
        <v>0.72520855124603301</v>
      </c>
      <c r="I168" s="26">
        <f>IF(F$320=0,0,SUM(F$17:F168)/F$320)</f>
        <v>0.29226771481100805</v>
      </c>
      <c r="J168" s="26">
        <f>IF(G$320=0,0,SUM(G$17:G168)/G$320)</f>
        <v>0</v>
      </c>
      <c r="K168" s="26">
        <f>SUM(H$17:H168)/H$320</f>
        <v>0.29226771481100805</v>
      </c>
      <c r="L168" s="26"/>
      <c r="M168" s="26"/>
      <c r="N168" s="27">
        <f t="shared" si="144"/>
        <v>0.70856085692989623</v>
      </c>
      <c r="O168" s="27">
        <f t="shared" si="145"/>
        <v>0</v>
      </c>
      <c r="P168" s="26">
        <f t="shared" si="146"/>
        <v>0.70856085692989623</v>
      </c>
      <c r="Q168" s="26">
        <f>IF(N$320=0,0,SUM(N$17:N168)/N$320)</f>
        <v>0.28879604106447126</v>
      </c>
      <c r="R168" s="26">
        <f>IF(O$320=0,0,SUM(O$17:O168)/O$320)</f>
        <v>0</v>
      </c>
      <c r="S168" s="26">
        <f>SUM(P$17:P168)/P$320</f>
        <v>0.28879604106447126</v>
      </c>
    </row>
    <row r="169" spans="1:19" x14ac:dyDescent="0.4">
      <c r="A169" s="6">
        <f t="shared" si="140"/>
        <v>10.259775792891732</v>
      </c>
      <c r="B169" s="25">
        <f t="shared" ref="B169:C169" si="169">C$4*EXP(-0.5*(LN($A169)-LN(C$5))^2/(LN(C$6))^2)/($A169*SQRT(2*PI())*LN(C$6))</f>
        <v>2.0383032402263295</v>
      </c>
      <c r="C169" s="25">
        <f t="shared" si="169"/>
        <v>0</v>
      </c>
      <c r="D169" s="27">
        <f t="shared" si="142"/>
        <v>2.0383032402263295</v>
      </c>
      <c r="E169" s="27"/>
      <c r="F169" s="26">
        <f t="shared" si="143"/>
        <v>0.73360864944901882</v>
      </c>
      <c r="G169" s="26">
        <f t="shared" si="143"/>
        <v>0</v>
      </c>
      <c r="H169" s="26">
        <f t="shared" si="143"/>
        <v>0.73360864944901882</v>
      </c>
      <c r="I169" s="26">
        <f>IF(F$320=0,0,SUM(F$17:F169)/F$320)</f>
        <v>0.29951377791013689</v>
      </c>
      <c r="J169" s="26">
        <f>IF(G$320=0,0,SUM(G$17:G169)/G$320)</f>
        <v>0</v>
      </c>
      <c r="K169" s="26">
        <f>SUM(H$17:H169)/H$320</f>
        <v>0.29951377791013689</v>
      </c>
      <c r="L169" s="26"/>
      <c r="M169" s="26"/>
      <c r="N169" s="27">
        <f t="shared" si="144"/>
        <v>0.7169245774106936</v>
      </c>
      <c r="O169" s="27">
        <f t="shared" si="145"/>
        <v>0</v>
      </c>
      <c r="P169" s="26">
        <f t="shared" si="146"/>
        <v>0.7169245774106936</v>
      </c>
      <c r="Q169" s="26">
        <f>IF(N$320=0,0,SUM(N$17:N169)/N$320)</f>
        <v>0.2960013131992521</v>
      </c>
      <c r="R169" s="26">
        <f>IF(O$320=0,0,SUM(O$17:O169)/O$320)</f>
        <v>0</v>
      </c>
      <c r="S169" s="26">
        <f>SUM(P$17:P169)/P$320</f>
        <v>0.2960013131992521</v>
      </c>
    </row>
    <row r="170" spans="1:19" x14ac:dyDescent="0.4">
      <c r="A170" s="6">
        <f t="shared" si="140"/>
        <v>10.619687230488996</v>
      </c>
      <c r="B170" s="25">
        <f t="shared" ref="B170:C170" si="170">C$4*EXP(-0.5*(LN($A170)-LN(C$5))^2/(LN(C$6))^2)/($A170*SQRT(2*PI())*LN(C$6))</f>
        <v>1.9911616698836792</v>
      </c>
      <c r="C170" s="25">
        <f t="shared" si="170"/>
        <v>0</v>
      </c>
      <c r="D170" s="27">
        <f t="shared" si="142"/>
        <v>1.9911616698836792</v>
      </c>
      <c r="E170" s="27"/>
      <c r="F170" s="26">
        <f t="shared" si="143"/>
        <v>0.74178155093337472</v>
      </c>
      <c r="G170" s="26">
        <f t="shared" si="143"/>
        <v>0</v>
      </c>
      <c r="H170" s="26">
        <f t="shared" si="143"/>
        <v>0.74178155093337472</v>
      </c>
      <c r="I170" s="26">
        <f>IF(F$320=0,0,SUM(F$17:F170)/F$320)</f>
        <v>0.30684056710198981</v>
      </c>
      <c r="J170" s="26">
        <f>IF(G$320=0,0,SUM(G$17:G170)/G$320)</f>
        <v>0</v>
      </c>
      <c r="K170" s="26">
        <f>SUM(H$17:H170)/H$320</f>
        <v>0.30684056710198981</v>
      </c>
      <c r="L170" s="26"/>
      <c r="M170" s="26"/>
      <c r="N170" s="27">
        <f t="shared" si="144"/>
        <v>0.72506984870768232</v>
      </c>
      <c r="O170" s="27">
        <f t="shared" si="145"/>
        <v>0</v>
      </c>
      <c r="P170" s="26">
        <f t="shared" si="146"/>
        <v>0.72506984870768232</v>
      </c>
      <c r="Q170" s="26">
        <f>IF(N$320=0,0,SUM(N$17:N170)/N$320)</f>
        <v>0.3032884473571183</v>
      </c>
      <c r="R170" s="26">
        <f>IF(O$320=0,0,SUM(O$17:O170)/O$320)</f>
        <v>0</v>
      </c>
      <c r="S170" s="26">
        <f>SUM(P$17:P170)/P$320</f>
        <v>0.3032884473571183</v>
      </c>
    </row>
    <row r="171" spans="1:19" x14ac:dyDescent="0.4">
      <c r="A171" s="6">
        <f t="shared" si="140"/>
        <v>10.992224308795002</v>
      </c>
      <c r="B171" s="25">
        <f t="shared" ref="B171:C171" si="171">C$4*EXP(-0.5*(LN($A171)-LN(C$5))^2/(LN(C$6))^2)/($A171*SQRT(2*PI())*LN(C$6))</f>
        <v>1.94425985885463</v>
      </c>
      <c r="C171" s="25">
        <f t="shared" si="171"/>
        <v>0</v>
      </c>
      <c r="D171" s="27">
        <f t="shared" si="142"/>
        <v>1.94425985885463</v>
      </c>
      <c r="E171" s="27"/>
      <c r="F171" s="26">
        <f t="shared" si="143"/>
        <v>0.74971753735234015</v>
      </c>
      <c r="G171" s="26">
        <f t="shared" si="143"/>
        <v>0</v>
      </c>
      <c r="H171" s="26">
        <f t="shared" si="143"/>
        <v>0.74971753735234015</v>
      </c>
      <c r="I171" s="26">
        <f>IF(F$320=0,0,SUM(F$17:F171)/F$320)</f>
        <v>0.31424574230849622</v>
      </c>
      <c r="J171" s="26">
        <f>IF(G$320=0,0,SUM(G$17:G171)/G$320)</f>
        <v>0</v>
      </c>
      <c r="K171" s="26">
        <f>SUM(H$17:H171)/H$320</f>
        <v>0.31424574230849622</v>
      </c>
      <c r="L171" s="26"/>
      <c r="M171" s="26"/>
      <c r="N171" s="27">
        <f t="shared" si="144"/>
        <v>0.73298702548364458</v>
      </c>
      <c r="O171" s="27">
        <f t="shared" si="145"/>
        <v>0</v>
      </c>
      <c r="P171" s="26">
        <f t="shared" si="146"/>
        <v>0.73298702548364458</v>
      </c>
      <c r="Q171" s="26">
        <f>IF(N$320=0,0,SUM(N$17:N171)/N$320)</f>
        <v>0.31065515113082326</v>
      </c>
      <c r="R171" s="26">
        <f>IF(O$320=0,0,SUM(O$17:O171)/O$320)</f>
        <v>0</v>
      </c>
      <c r="S171" s="26">
        <f>SUM(P$17:P171)/P$320</f>
        <v>0.31065515113082326</v>
      </c>
    </row>
    <row r="172" spans="1:19" x14ac:dyDescent="0.4">
      <c r="A172" s="6">
        <f t="shared" si="140"/>
        <v>11.377829933443346</v>
      </c>
      <c r="B172" s="25">
        <f t="shared" ref="B172:C172" si="172">C$4*EXP(-0.5*(LN($A172)-LN(C$5))^2/(LN(C$6))^2)/($A172*SQRT(2*PI())*LN(C$6))</f>
        <v>1.8976326933395071</v>
      </c>
      <c r="C172" s="25">
        <f t="shared" si="172"/>
        <v>0</v>
      </c>
      <c r="D172" s="27">
        <f t="shared" si="142"/>
        <v>1.8976326933395071</v>
      </c>
      <c r="E172" s="27"/>
      <c r="F172" s="26">
        <f t="shared" si="143"/>
        <v>0.75740709671479278</v>
      </c>
      <c r="G172" s="26">
        <f t="shared" si="143"/>
        <v>0</v>
      </c>
      <c r="H172" s="26">
        <f t="shared" si="143"/>
        <v>0.75740709671479278</v>
      </c>
      <c r="I172" s="26">
        <f>IF(F$320=0,0,SUM(F$17:F172)/F$320)</f>
        <v>0.32172686949892038</v>
      </c>
      <c r="J172" s="26">
        <f>IF(G$320=0,0,SUM(G$17:G172)/G$320)</f>
        <v>0</v>
      </c>
      <c r="K172" s="26">
        <f>SUM(H$17:H172)/H$320</f>
        <v>0.32172686949892038</v>
      </c>
      <c r="L172" s="26"/>
      <c r="M172" s="26"/>
      <c r="N172" s="27">
        <f t="shared" si="144"/>
        <v>0.74066665581441482</v>
      </c>
      <c r="O172" s="27">
        <f t="shared" si="145"/>
        <v>0</v>
      </c>
      <c r="P172" s="26">
        <f t="shared" si="146"/>
        <v>0.74066665581441482</v>
      </c>
      <c r="Q172" s="26">
        <f>IF(N$320=0,0,SUM(N$17:N172)/N$320)</f>
        <v>0.3180990371189078</v>
      </c>
      <c r="R172" s="26">
        <f>IF(O$320=0,0,SUM(O$17:O172)/O$320)</f>
        <v>0</v>
      </c>
      <c r="S172" s="26">
        <f>SUM(P$17:P172)/P$320</f>
        <v>0.3180990371189078</v>
      </c>
    </row>
    <row r="173" spans="1:19" x14ac:dyDescent="0.4">
      <c r="A173" s="6">
        <f t="shared" si="140"/>
        <v>11.776962547132609</v>
      </c>
      <c r="B173" s="25">
        <f t="shared" ref="B173:C173" si="173">C$4*EXP(-0.5*(LN($A173)-LN(C$5))^2/(LN(C$6))^2)/($A173*SQRT(2*PI())*LN(C$6))</f>
        <v>1.8513138744701663</v>
      </c>
      <c r="C173" s="25">
        <f t="shared" si="173"/>
        <v>0</v>
      </c>
      <c r="D173" s="27">
        <f t="shared" si="142"/>
        <v>1.8513138744701663</v>
      </c>
      <c r="E173" s="27"/>
      <c r="F173" s="26">
        <f t="shared" si="143"/>
        <v>0.7648409423166328</v>
      </c>
      <c r="G173" s="26">
        <f t="shared" si="143"/>
        <v>0</v>
      </c>
      <c r="H173" s="26">
        <f t="shared" si="143"/>
        <v>0.7648409423166328</v>
      </c>
      <c r="I173" s="26">
        <f>IF(F$320=0,0,SUM(F$17:F173)/F$320)</f>
        <v>0.32928142291508566</v>
      </c>
      <c r="J173" s="26">
        <f>IF(G$320=0,0,SUM(G$17:G173)/G$320)</f>
        <v>0</v>
      </c>
      <c r="K173" s="26">
        <f>SUM(H$17:H173)/H$320</f>
        <v>0.32928142291508566</v>
      </c>
      <c r="L173" s="26"/>
      <c r="M173" s="26"/>
      <c r="N173" s="27">
        <f t="shared" si="144"/>
        <v>0.74809949992012958</v>
      </c>
      <c r="O173" s="27">
        <f t="shared" si="145"/>
        <v>0</v>
      </c>
      <c r="P173" s="26">
        <f t="shared" si="146"/>
        <v>0.74809949992012958</v>
      </c>
      <c r="Q173" s="26">
        <f>IF(N$320=0,0,SUM(N$17:N173)/N$320)</f>
        <v>0.32561762505780362</v>
      </c>
      <c r="R173" s="26">
        <f>IF(O$320=0,0,SUM(O$17:O173)/O$320)</f>
        <v>0</v>
      </c>
      <c r="S173" s="26">
        <f>SUM(P$17:P173)/P$320</f>
        <v>0.32561762505780362</v>
      </c>
    </row>
    <row r="174" spans="1:19" x14ac:dyDescent="0.4">
      <c r="A174" s="6">
        <f t="shared" si="140"/>
        <v>12.190096674664346</v>
      </c>
      <c r="B174" s="25">
        <f t="shared" ref="B174:C174" si="174">C$4*EXP(-0.5*(LN($A174)-LN(C$5))^2/(LN(C$6))^2)/($A174*SQRT(2*PI())*LN(C$6))</f>
        <v>1.8053358884971329</v>
      </c>
      <c r="C174" s="25">
        <f t="shared" si="174"/>
        <v>0</v>
      </c>
      <c r="D174" s="27">
        <f t="shared" si="142"/>
        <v>1.8053358884971329</v>
      </c>
      <c r="E174" s="27"/>
      <c r="F174" s="26">
        <f t="shared" si="143"/>
        <v>0.77201003137533919</v>
      </c>
      <c r="G174" s="26">
        <f t="shared" si="143"/>
        <v>0</v>
      </c>
      <c r="H174" s="26">
        <f t="shared" si="143"/>
        <v>0.77201003137533919</v>
      </c>
      <c r="I174" s="26">
        <f>IF(F$320=0,0,SUM(F$17:F174)/F$320)</f>
        <v>0.33690678748065828</v>
      </c>
      <c r="J174" s="26">
        <f>IF(G$320=0,0,SUM(G$17:G174)/G$320)</f>
        <v>0</v>
      </c>
      <c r="K174" s="26">
        <f>SUM(H$17:H174)/H$320</f>
        <v>0.33690678748065828</v>
      </c>
      <c r="L174" s="26"/>
      <c r="M174" s="26"/>
      <c r="N174" s="27">
        <f t="shared" si="144"/>
        <v>0.75527654863051796</v>
      </c>
      <c r="O174" s="27">
        <f t="shared" si="145"/>
        <v>0</v>
      </c>
      <c r="P174" s="26">
        <f t="shared" si="146"/>
        <v>0.75527654863051796</v>
      </c>
      <c r="Q174" s="26">
        <f>IF(N$320=0,0,SUM(N$17:N174)/N$320)</f>
        <v>0.33320834413951733</v>
      </c>
      <c r="R174" s="26">
        <f>IF(O$320=0,0,SUM(O$17:O174)/O$320)</f>
        <v>0</v>
      </c>
      <c r="S174" s="26">
        <f>SUM(P$17:P174)/P$320</f>
        <v>0.33320834413951733</v>
      </c>
    </row>
    <row r="175" spans="1:19" x14ac:dyDescent="0.4">
      <c r="A175" s="6">
        <f t="shared" si="140"/>
        <v>12.617723487100898</v>
      </c>
      <c r="B175" s="25">
        <f t="shared" ref="B175:C175" si="175">C$4*EXP(-0.5*(LN($A175)-LN(C$5))^2/(LN(C$6))^2)/($A175*SQRT(2*PI())*LN(C$6))</f>
        <v>1.7597299803213207</v>
      </c>
      <c r="C175" s="25">
        <f t="shared" si="175"/>
        <v>0</v>
      </c>
      <c r="D175" s="27">
        <f t="shared" si="142"/>
        <v>1.7597299803213207</v>
      </c>
      <c r="E175" s="27"/>
      <c r="F175" s="26">
        <f t="shared" si="143"/>
        <v>0.77890558331574522</v>
      </c>
      <c r="G175" s="26">
        <f t="shared" si="143"/>
        <v>0</v>
      </c>
      <c r="H175" s="26">
        <f t="shared" si="143"/>
        <v>0.77890558331574522</v>
      </c>
      <c r="I175" s="26">
        <f>IF(F$320=0,0,SUM(F$17:F175)/F$320)</f>
        <v>0.34460026139104449</v>
      </c>
      <c r="J175" s="26">
        <f>IF(G$320=0,0,SUM(G$17:G175)/G$320)</f>
        <v>0</v>
      </c>
      <c r="K175" s="26">
        <f>SUM(H$17:H175)/H$320</f>
        <v>0.34460026139104449</v>
      </c>
      <c r="L175" s="26"/>
      <c r="M175" s="26"/>
      <c r="N175" s="27">
        <f t="shared" si="144"/>
        <v>0.76218904153284583</v>
      </c>
      <c r="O175" s="27">
        <f t="shared" si="145"/>
        <v>0</v>
      </c>
      <c r="P175" s="26">
        <f t="shared" si="146"/>
        <v>0.76218904153284583</v>
      </c>
      <c r="Q175" s="26">
        <f>IF(N$320=0,0,SUM(N$17:N175)/N$320)</f>
        <v>0.34086853551170676</v>
      </c>
      <c r="R175" s="26">
        <f>IF(O$320=0,0,SUM(O$17:O175)/O$320)</f>
        <v>0</v>
      </c>
      <c r="S175" s="26">
        <f>SUM(P$17:P175)/P$320</f>
        <v>0.34086853551170676</v>
      </c>
    </row>
    <row r="176" spans="1:19" x14ac:dyDescent="0.4">
      <c r="A176" s="6">
        <f t="shared" si="140"/>
        <v>13.060351385713798</v>
      </c>
      <c r="B176" s="25">
        <f t="shared" ref="B176:C176" si="176">C$4*EXP(-0.5*(LN($A176)-LN(C$5))^2/(LN(C$6))^2)/($A176*SQRT(2*PI())*LN(C$6))</f>
        <v>1.7145261303572796</v>
      </c>
      <c r="C176" s="25">
        <f t="shared" si="176"/>
        <v>0</v>
      </c>
      <c r="D176" s="27">
        <f t="shared" si="142"/>
        <v>1.7145261303572796</v>
      </c>
      <c r="E176" s="27"/>
      <c r="F176" s="26">
        <f t="shared" si="143"/>
        <v>0.78551909765523265</v>
      </c>
      <c r="G176" s="26">
        <f t="shared" si="143"/>
        <v>0</v>
      </c>
      <c r="H176" s="26">
        <f t="shared" si="143"/>
        <v>0.78551909765523265</v>
      </c>
      <c r="I176" s="26">
        <f>IF(F$320=0,0,SUM(F$17:F176)/F$320)</f>
        <v>0.35235905887994473</v>
      </c>
      <c r="J176" s="26">
        <f>IF(G$320=0,0,SUM(G$17:G176)/G$320)</f>
        <v>0</v>
      </c>
      <c r="K176" s="26">
        <f>SUM(H$17:H176)/H$320</f>
        <v>0.35235905887994473</v>
      </c>
      <c r="L176" s="26"/>
      <c r="M176" s="26"/>
      <c r="N176" s="27">
        <f t="shared" si="144"/>
        <v>0.76882848475167687</v>
      </c>
      <c r="O176" s="27">
        <f t="shared" si="145"/>
        <v>0</v>
      </c>
      <c r="P176" s="26">
        <f t="shared" si="146"/>
        <v>0.76882848475167687</v>
      </c>
      <c r="Q176" s="26">
        <f>IF(N$320=0,0,SUM(N$17:N176)/N$320)</f>
        <v>0.34859545495644728</v>
      </c>
      <c r="R176" s="26">
        <f>IF(O$320=0,0,SUM(O$17:O176)/O$320)</f>
        <v>0</v>
      </c>
      <c r="S176" s="26">
        <f>SUM(P$17:P176)/P$320</f>
        <v>0.34859545495644728</v>
      </c>
    </row>
    <row r="177" spans="1:19" x14ac:dyDescent="0.4">
      <c r="A177" s="6">
        <f t="shared" si="140"/>
        <v>13.518506606416992</v>
      </c>
      <c r="B177" s="25">
        <f t="shared" ref="B177:C177" si="177">C$4*EXP(-0.5*(LN($A177)-LN(C$5))^2/(LN(C$6))^2)/($A177*SQRT(2*PI())*LN(C$6))</f>
        <v>1.6697530347051837</v>
      </c>
      <c r="C177" s="25">
        <f t="shared" si="177"/>
        <v>0</v>
      </c>
      <c r="D177" s="27">
        <f t="shared" si="142"/>
        <v>1.6697530347051837</v>
      </c>
      <c r="E177" s="27"/>
      <c r="F177" s="26">
        <f t="shared" si="143"/>
        <v>0.79184237143756708</v>
      </c>
      <c r="G177" s="26">
        <f t="shared" si="143"/>
        <v>0</v>
      </c>
      <c r="H177" s="26">
        <f t="shared" si="143"/>
        <v>0.79184237143756708</v>
      </c>
      <c r="I177" s="26">
        <f>IF(F$320=0,0,SUM(F$17:F177)/F$320)</f>
        <v>0.36018031315810767</v>
      </c>
      <c r="J177" s="26">
        <f>IF(G$320=0,0,SUM(G$17:G177)/G$320)</f>
        <v>0</v>
      </c>
      <c r="K177" s="26">
        <f>SUM(H$17:H177)/H$320</f>
        <v>0.36018031315810767</v>
      </c>
      <c r="L177" s="26"/>
      <c r="M177" s="26"/>
      <c r="N177" s="27">
        <f t="shared" si="144"/>
        <v>0.77518666830984073</v>
      </c>
      <c r="O177" s="27">
        <f t="shared" si="145"/>
        <v>0</v>
      </c>
      <c r="P177" s="26">
        <f t="shared" si="146"/>
        <v>0.77518666830984073</v>
      </c>
      <c r="Q177" s="26">
        <f>IF(N$320=0,0,SUM(N$17:N177)/N$320)</f>
        <v>0.35638627574348086</v>
      </c>
      <c r="R177" s="26">
        <f>IF(O$320=0,0,SUM(O$17:O177)/O$320)</f>
        <v>0</v>
      </c>
      <c r="S177" s="26">
        <f>SUM(P$17:P177)/P$320</f>
        <v>0.35638627574348086</v>
      </c>
    </row>
    <row r="178" spans="1:19" x14ac:dyDescent="0.4">
      <c r="A178" s="6">
        <f t="shared" si="140"/>
        <v>13.992733845403491</v>
      </c>
      <c r="B178" s="25">
        <f t="shared" ref="B178:C178" si="178">C$4*EXP(-0.5*(LN($A178)-LN(C$5))^2/(LN(C$6))^2)/($A178*SQRT(2*PI())*LN(C$6))</f>
        <v>1.6254380885993382</v>
      </c>
      <c r="C178" s="25">
        <f t="shared" si="178"/>
        <v>0</v>
      </c>
      <c r="D178" s="27">
        <f t="shared" si="142"/>
        <v>1.6254380885993382</v>
      </c>
      <c r="E178" s="27"/>
      <c r="F178" s="26">
        <f t="shared" si="143"/>
        <v>0.7978675161653942</v>
      </c>
      <c r="G178" s="26">
        <f t="shared" si="143"/>
        <v>0</v>
      </c>
      <c r="H178" s="26">
        <f t="shared" si="143"/>
        <v>0.7978675161653942</v>
      </c>
      <c r="I178" s="26">
        <f>IF(F$320=0,0,SUM(F$17:F178)/F$320)</f>
        <v>0.36806107951933009</v>
      </c>
      <c r="J178" s="26">
        <f>IF(G$320=0,0,SUM(G$17:G178)/G$320)</f>
        <v>0</v>
      </c>
      <c r="K178" s="26">
        <f>SUM(H$17:H178)/H$320</f>
        <v>0.36806107951933009</v>
      </c>
      <c r="L178" s="26"/>
      <c r="M178" s="26"/>
      <c r="N178" s="27">
        <f t="shared" si="144"/>
        <v>0.78125568302105375</v>
      </c>
      <c r="O178" s="27">
        <f t="shared" si="145"/>
        <v>0</v>
      </c>
      <c r="P178" s="26">
        <f t="shared" si="146"/>
        <v>0.78125568302105375</v>
      </c>
      <c r="Q178" s="26">
        <f>IF(N$320=0,0,SUM(N$17:N178)/N$320)</f>
        <v>0.36423809165324017</v>
      </c>
      <c r="R178" s="26">
        <f>IF(O$320=0,0,SUM(O$17:O178)/O$320)</f>
        <v>0</v>
      </c>
      <c r="S178" s="26">
        <f>SUM(P$17:P178)/P$320</f>
        <v>0.36423809165324017</v>
      </c>
    </row>
    <row r="179" spans="1:19" x14ac:dyDescent="0.4">
      <c r="A179" s="6">
        <f t="shared" si="140"/>
        <v>14.48359690672927</v>
      </c>
      <c r="B179" s="25">
        <f t="shared" ref="B179:C179" si="179">C$4*EXP(-0.5*(LN($A179)-LN(C$5))^2/(LN(C$6))^2)/($A179*SQRT(2*PI())*LN(C$6))</f>
        <v>1.5816073730919125</v>
      </c>
      <c r="C179" s="25">
        <f t="shared" si="179"/>
        <v>0</v>
      </c>
      <c r="D179" s="27">
        <f t="shared" si="142"/>
        <v>1.5816073730919125</v>
      </c>
      <c r="E179" s="27"/>
      <c r="F179" s="26">
        <f t="shared" si="143"/>
        <v>0.80358697418250891</v>
      </c>
      <c r="G179" s="26">
        <f t="shared" si="143"/>
        <v>0</v>
      </c>
      <c r="H179" s="26">
        <f t="shared" si="143"/>
        <v>0.80358697418250891</v>
      </c>
      <c r="I179" s="26">
        <f>IF(F$320=0,0,SUM(F$17:F179)/F$320)</f>
        <v>0.37599833860827048</v>
      </c>
      <c r="J179" s="26">
        <f>IF(G$320=0,0,SUM(G$17:G179)/G$320)</f>
        <v>0</v>
      </c>
      <c r="K179" s="26">
        <f>SUM(H$17:H179)/H$320</f>
        <v>0.37599833860827048</v>
      </c>
      <c r="L179" s="26"/>
      <c r="M179" s="26"/>
      <c r="N179" s="27">
        <f t="shared" si="144"/>
        <v>0.78702793686581951</v>
      </c>
      <c r="O179" s="27">
        <f t="shared" si="145"/>
        <v>0</v>
      </c>
      <c r="P179" s="26">
        <f t="shared" si="146"/>
        <v>0.78702793686581951</v>
      </c>
      <c r="Q179" s="26">
        <f>IF(N$320=0,0,SUM(N$17:N179)/N$320)</f>
        <v>0.37214792016445442</v>
      </c>
      <c r="R179" s="26">
        <f>IF(O$320=0,0,SUM(O$17:O179)/O$320)</f>
        <v>0</v>
      </c>
      <c r="S179" s="26">
        <f>SUM(P$17:P179)/P$320</f>
        <v>0.37214792016445442</v>
      </c>
    </row>
    <row r="180" spans="1:19" x14ac:dyDescent="0.4">
      <c r="A180" s="6">
        <f t="shared" si="140"/>
        <v>14.991679372614316</v>
      </c>
      <c r="B180" s="25">
        <f t="shared" ref="B180:C180" si="180">C$4*EXP(-0.5*(LN($A180)-LN(C$5))^2/(LN(C$6))^2)/($A180*SQRT(2*PI())*LN(C$6))</f>
        <v>1.5382856449218942</v>
      </c>
      <c r="C180" s="25">
        <f t="shared" si="180"/>
        <v>0</v>
      </c>
      <c r="D180" s="27">
        <f t="shared" si="142"/>
        <v>1.5382856449218942</v>
      </c>
      <c r="E180" s="27"/>
      <c r="F180" s="26">
        <f t="shared" si="143"/>
        <v>0.80899353445832844</v>
      </c>
      <c r="G180" s="26">
        <f t="shared" si="143"/>
        <v>0</v>
      </c>
      <c r="H180" s="26">
        <f t="shared" si="143"/>
        <v>0.80899353445832844</v>
      </c>
      <c r="I180" s="26">
        <f>IF(F$320=0,0,SUM(F$17:F180)/F$320)</f>
        <v>0.38398899984416923</v>
      </c>
      <c r="J180" s="26">
        <f>IF(G$320=0,0,SUM(G$17:G180)/G$320)</f>
        <v>0</v>
      </c>
      <c r="K180" s="26">
        <f>SUM(H$17:H180)/H$320</f>
        <v>0.38398899984416923</v>
      </c>
      <c r="L180" s="26"/>
      <c r="M180" s="26"/>
      <c r="N180" s="27">
        <f t="shared" si="144"/>
        <v>0.79249617080289769</v>
      </c>
      <c r="O180" s="27">
        <f t="shared" si="145"/>
        <v>0</v>
      </c>
      <c r="P180" s="26">
        <f t="shared" si="146"/>
        <v>0.79249617080289769</v>
      </c>
      <c r="Q180" s="26">
        <f>IF(N$320=0,0,SUM(N$17:N180)/N$320)</f>
        <v>0.38011270580066447</v>
      </c>
      <c r="R180" s="26">
        <f>IF(O$320=0,0,SUM(O$17:O180)/O$320)</f>
        <v>0</v>
      </c>
      <c r="S180" s="26">
        <f>SUM(P$17:P180)/P$320</f>
        <v>0.38011270580066447</v>
      </c>
    </row>
    <row r="181" spans="1:19" x14ac:dyDescent="0.4">
      <c r="A181" s="6">
        <f t="shared" si="140"/>
        <v>15.517585297257723</v>
      </c>
      <c r="B181" s="25">
        <f t="shared" ref="B181:C181" si="181">C$4*EXP(-0.5*(LN($A181)-LN(C$5))^2/(LN(C$6))^2)/($A181*SQRT(2*PI())*LN(C$6))</f>
        <v>1.4954963295109787</v>
      </c>
      <c r="C181" s="25">
        <f t="shared" si="181"/>
        <v>0</v>
      </c>
      <c r="D181" s="27">
        <f t="shared" si="142"/>
        <v>1.4954963295109787</v>
      </c>
      <c r="E181" s="27"/>
      <c r="F181" s="26">
        <f t="shared" si="143"/>
        <v>0.81408034772853888</v>
      </c>
      <c r="G181" s="26">
        <f t="shared" si="143"/>
        <v>0</v>
      </c>
      <c r="H181" s="26">
        <f t="shared" si="143"/>
        <v>0.81408034772853888</v>
      </c>
      <c r="I181" s="26">
        <f>IF(F$320=0,0,SUM(F$17:F181)/F$320)</f>
        <v>0.39202990499411827</v>
      </c>
      <c r="J181" s="26">
        <f>IF(G$320=0,0,SUM(G$17:G181)/G$320)</f>
        <v>0</v>
      </c>
      <c r="K181" s="26">
        <f>SUM(H$17:H181)/H$320</f>
        <v>0.39202990499411827</v>
      </c>
      <c r="L181" s="26"/>
      <c r="M181" s="26"/>
      <c r="N181" s="27">
        <f t="shared" si="144"/>
        <v>0.79765347397063868</v>
      </c>
      <c r="O181" s="27">
        <f t="shared" si="145"/>
        <v>0</v>
      </c>
      <c r="P181" s="26">
        <f t="shared" si="146"/>
        <v>0.79765347397063868</v>
      </c>
      <c r="Q181" s="26">
        <f>IF(N$320=0,0,SUM(N$17:N181)/N$320)</f>
        <v>0.38812932362951508</v>
      </c>
      <c r="R181" s="26">
        <f>IF(O$320=0,0,SUM(O$17:O181)/O$320)</f>
        <v>0</v>
      </c>
      <c r="S181" s="26">
        <f>SUM(P$17:P181)/P$320</f>
        <v>0.38812932362951508</v>
      </c>
    </row>
    <row r="182" spans="1:19" x14ac:dyDescent="0.4">
      <c r="A182" s="6">
        <f t="shared" si="140"/>
        <v>16.061939924991741</v>
      </c>
      <c r="B182" s="25">
        <f t="shared" ref="B182:C182" si="182">C$4*EXP(-0.5*(LN($A182)-LN(C$5))^2/(LN(C$6))^2)/($A182*SQRT(2*PI())*LN(C$6))</f>
        <v>1.4532615170202043</v>
      </c>
      <c r="C182" s="25">
        <f t="shared" si="182"/>
        <v>0</v>
      </c>
      <c r="D182" s="27">
        <f t="shared" si="142"/>
        <v>1.4532615170202043</v>
      </c>
      <c r="E182" s="27"/>
      <c r="F182" s="26">
        <f t="shared" si="143"/>
        <v>0.81884094094734983</v>
      </c>
      <c r="G182" s="26">
        <f t="shared" si="143"/>
        <v>0</v>
      </c>
      <c r="H182" s="26">
        <f t="shared" si="143"/>
        <v>0.81884094094734983</v>
      </c>
      <c r="I182" s="26">
        <f>IF(F$320=0,0,SUM(F$17:F182)/F$320)</f>
        <v>0.40011783188907896</v>
      </c>
      <c r="J182" s="26">
        <f>IF(G$320=0,0,SUM(G$17:G182)/G$320)</f>
        <v>0</v>
      </c>
      <c r="K182" s="26">
        <f>SUM(H$17:H182)/H$320</f>
        <v>0.40011783188907896</v>
      </c>
      <c r="L182" s="26"/>
      <c r="M182" s="26"/>
      <c r="N182" s="27">
        <f t="shared" si="144"/>
        <v>0.80249329823325888</v>
      </c>
      <c r="O182" s="27">
        <f t="shared" si="145"/>
        <v>0</v>
      </c>
      <c r="P182" s="26">
        <f t="shared" si="146"/>
        <v>0.80249329823325888</v>
      </c>
      <c r="Q182" s="26">
        <f>IF(N$320=0,0,SUM(N$17:N182)/N$320)</f>
        <v>0.39619458290824133</v>
      </c>
      <c r="R182" s="26">
        <f>IF(O$320=0,0,SUM(O$17:O182)/O$320)</f>
        <v>0</v>
      </c>
      <c r="S182" s="26">
        <f>SUM(P$17:P182)/P$320</f>
        <v>0.39619458290824133</v>
      </c>
    </row>
    <row r="183" spans="1:19" x14ac:dyDescent="0.4">
      <c r="A183" s="6">
        <f t="shared" si="140"/>
        <v>16.62539043362856</v>
      </c>
      <c r="B183" s="25">
        <f t="shared" ref="B183:C183" si="183">C$4*EXP(-0.5*(LN($A183)-LN(C$5))^2/(LN(C$6))^2)/($A183*SQRT(2*PI())*LN(C$6))</f>
        <v>1.4116019613937212</v>
      </c>
      <c r="C183" s="25">
        <f t="shared" si="183"/>
        <v>0</v>
      </c>
      <c r="D183" s="27">
        <f t="shared" si="142"/>
        <v>1.4116019613937212</v>
      </c>
      <c r="E183" s="27"/>
      <c r="F183" s="26">
        <f t="shared" si="143"/>
        <v>0.82326923100870475</v>
      </c>
      <c r="G183" s="26">
        <f t="shared" si="143"/>
        <v>0</v>
      </c>
      <c r="H183" s="26">
        <f t="shared" si="143"/>
        <v>0.82326923100870475</v>
      </c>
      <c r="I183" s="26">
        <f>IF(F$320=0,0,SUM(F$17:F183)/F$320)</f>
        <v>0.40824949827542917</v>
      </c>
      <c r="J183" s="26">
        <f>IF(G$320=0,0,SUM(G$17:G183)/G$320)</f>
        <v>0</v>
      </c>
      <c r="K183" s="26">
        <f>SUM(H$17:H183)/H$320</f>
        <v>0.40824949827542917</v>
      </c>
      <c r="L183" s="26"/>
      <c r="M183" s="26"/>
      <c r="N183" s="27">
        <f t="shared" si="144"/>
        <v>0.80700947202965723</v>
      </c>
      <c r="O183" s="27">
        <f t="shared" si="145"/>
        <v>0</v>
      </c>
      <c r="P183" s="26">
        <f t="shared" si="146"/>
        <v>0.80700947202965723</v>
      </c>
      <c r="Q183" s="26">
        <f>IF(N$320=0,0,SUM(N$17:N183)/N$320)</f>
        <v>0.40430523086833836</v>
      </c>
      <c r="R183" s="26">
        <f>IF(O$320=0,0,SUM(O$17:O183)/O$320)</f>
        <v>0</v>
      </c>
      <c r="S183" s="26">
        <f>SUM(P$17:P183)/P$320</f>
        <v>0.40430523086833836</v>
      </c>
    </row>
    <row r="184" spans="1:19" x14ac:dyDescent="0.4">
      <c r="A184" s="6">
        <f t="shared" si="140"/>
        <v>17.208606703883571</v>
      </c>
      <c r="B184" s="25">
        <f t="shared" ref="B184:C184" si="184">C$4*EXP(-0.5*(LN($A184)-LN(C$5))^2/(LN(C$6))^2)/($A184*SQRT(2*PI())*LN(C$6))</f>
        <v>1.3705370823090919</v>
      </c>
      <c r="C184" s="25">
        <f t="shared" si="184"/>
        <v>0</v>
      </c>
      <c r="D184" s="27">
        <f t="shared" si="142"/>
        <v>1.3705370823090919</v>
      </c>
      <c r="E184" s="27"/>
      <c r="F184" s="26">
        <f t="shared" si="143"/>
        <v>0.8273595376958558</v>
      </c>
      <c r="G184" s="26">
        <f t="shared" si="143"/>
        <v>0</v>
      </c>
      <c r="H184" s="26">
        <f t="shared" si="143"/>
        <v>0.8273595376958558</v>
      </c>
      <c r="I184" s="26">
        <f>IF(F$320=0,0,SUM(F$17:F184)/F$320)</f>
        <v>0.41642156579441614</v>
      </c>
      <c r="J184" s="26">
        <f>IF(G$320=0,0,SUM(G$17:G184)/G$320)</f>
        <v>0</v>
      </c>
      <c r="K184" s="26">
        <f>SUM(H$17:H184)/H$320</f>
        <v>0.41642156579441614</v>
      </c>
      <c r="L184" s="26"/>
      <c r="M184" s="26"/>
      <c r="N184" s="27">
        <f t="shared" si="144"/>
        <v>0.81119621348344495</v>
      </c>
      <c r="O184" s="27">
        <f t="shared" si="145"/>
        <v>0</v>
      </c>
      <c r="P184" s="26">
        <f t="shared" si="146"/>
        <v>0.81119621348344495</v>
      </c>
      <c r="Q184" s="26">
        <f>IF(N$320=0,0,SUM(N$17:N184)/N$320)</f>
        <v>0.41245795663199103</v>
      </c>
      <c r="R184" s="26">
        <f>IF(O$320=0,0,SUM(O$17:O184)/O$320)</f>
        <v>0</v>
      </c>
      <c r="S184" s="26">
        <f>SUM(P$17:P184)/P$320</f>
        <v>0.41245795663199103</v>
      </c>
    </row>
    <row r="185" spans="1:19" x14ac:dyDescent="0.4">
      <c r="A185" s="6">
        <f t="shared" si="140"/>
        <v>17.812282115789912</v>
      </c>
      <c r="B185" s="25">
        <f t="shared" ref="B185:C185" si="185">C$4*EXP(-0.5*(LN($A185)-LN(C$5))^2/(LN(C$6))^2)/($A185*SQRT(2*PI())*LN(C$6))</f>
        <v>1.3300849699470119</v>
      </c>
      <c r="C185" s="25">
        <f t="shared" si="185"/>
        <v>0</v>
      </c>
      <c r="D185" s="27">
        <f t="shared" si="142"/>
        <v>1.3300849699470119</v>
      </c>
      <c r="E185" s="27"/>
      <c r="F185" s="26">
        <f t="shared" si="143"/>
        <v>0.83110659582054747</v>
      </c>
      <c r="G185" s="26">
        <f t="shared" si="143"/>
        <v>0</v>
      </c>
      <c r="H185" s="26">
        <f t="shared" si="143"/>
        <v>0.83110659582054747</v>
      </c>
      <c r="I185" s="26">
        <f>IF(F$320=0,0,SUM(F$17:F185)/F$320)</f>
        <v>0.4246306440815123</v>
      </c>
      <c r="J185" s="26">
        <f>IF(G$320=0,0,SUM(G$17:G185)/G$320)</f>
        <v>0</v>
      </c>
      <c r="K185" s="26">
        <f>SUM(H$17:H185)/H$320</f>
        <v>0.4246306440815123</v>
      </c>
      <c r="L185" s="26"/>
      <c r="M185" s="26"/>
      <c r="N185" s="27">
        <f t="shared" si="144"/>
        <v>0.81504814273534731</v>
      </c>
      <c r="O185" s="27">
        <f t="shared" si="145"/>
        <v>0</v>
      </c>
      <c r="P185" s="26">
        <f t="shared" si="146"/>
        <v>0.81504814273534731</v>
      </c>
      <c r="Q185" s="26">
        <f>IF(N$320=0,0,SUM(N$17:N185)/N$320)</f>
        <v>0.42064939525244677</v>
      </c>
      <c r="R185" s="26">
        <f>IF(O$320=0,0,SUM(O$17:O185)/O$320)</f>
        <v>0</v>
      </c>
      <c r="S185" s="26">
        <f>SUM(P$17:P185)/P$320</f>
        <v>0.42064939525244677</v>
      </c>
    </row>
    <row r="186" spans="1:19" x14ac:dyDescent="0.4">
      <c r="A186" s="6">
        <f t="shared" si="140"/>
        <v>18.437134373051084</v>
      </c>
      <c r="B186" s="25">
        <f t="shared" ref="B186:C186" si="186">C$4*EXP(-0.5*(LN($A186)-LN(C$5))^2/(LN(C$6))^2)/($A186*SQRT(2*PI())*LN(C$6))</f>
        <v>1.2902623924873224</v>
      </c>
      <c r="C186" s="25">
        <f t="shared" si="186"/>
        <v>0</v>
      </c>
      <c r="D186" s="27">
        <f t="shared" si="142"/>
        <v>1.2902623924873224</v>
      </c>
      <c r="E186" s="27"/>
      <c r="F186" s="26">
        <f t="shared" si="143"/>
        <v>0.83450556651572438</v>
      </c>
      <c r="G186" s="26">
        <f t="shared" si="143"/>
        <v>0</v>
      </c>
      <c r="H186" s="26">
        <f t="shared" si="143"/>
        <v>0.83450556651572438</v>
      </c>
      <c r="I186" s="26">
        <f>IF(F$320=0,0,SUM(F$17:F186)/F$320)</f>
        <v>0.43287329497731181</v>
      </c>
      <c r="J186" s="26">
        <f>IF(G$320=0,0,SUM(G$17:G186)/G$320)</f>
        <v>0</v>
      </c>
      <c r="K186" s="26">
        <f>SUM(H$17:H186)/H$320</f>
        <v>0.43287329497731181</v>
      </c>
      <c r="L186" s="26"/>
      <c r="M186" s="26"/>
      <c r="N186" s="27">
        <f t="shared" si="144"/>
        <v>0.8185602934612457</v>
      </c>
      <c r="O186" s="27">
        <f t="shared" si="145"/>
        <v>0</v>
      </c>
      <c r="P186" s="26">
        <f t="shared" si="146"/>
        <v>0.8185602934612457</v>
      </c>
      <c r="Q186" s="26">
        <f>IF(N$320=0,0,SUM(N$17:N186)/N$320)</f>
        <v>0.42887613187014773</v>
      </c>
      <c r="R186" s="26">
        <f>IF(O$320=0,0,SUM(O$17:O186)/O$320)</f>
        <v>0</v>
      </c>
      <c r="S186" s="26">
        <f>SUM(P$17:P186)/P$320</f>
        <v>0.42887613187014773</v>
      </c>
    </row>
    <row r="187" spans="1:19" x14ac:dyDescent="0.4">
      <c r="A187" s="6">
        <f t="shared" si="140"/>
        <v>19.083906356311786</v>
      </c>
      <c r="B187" s="25">
        <f t="shared" ref="B187:C187" si="187">C$4*EXP(-0.5*(LN($A187)-LN(C$5))^2/(LN(C$6))^2)/($A187*SQRT(2*PI())*LN(C$6))</f>
        <v>1.2510848062326405</v>
      </c>
      <c r="C187" s="25">
        <f t="shared" si="187"/>
        <v>0</v>
      </c>
      <c r="D187" s="27">
        <f t="shared" si="142"/>
        <v>1.2510848062326405</v>
      </c>
      <c r="E187" s="27"/>
      <c r="F187" s="26">
        <f t="shared" si="143"/>
        <v>0.83755204764758895</v>
      </c>
      <c r="G187" s="26">
        <f t="shared" si="143"/>
        <v>0</v>
      </c>
      <c r="H187" s="26">
        <f t="shared" si="143"/>
        <v>0.83755204764758895</v>
      </c>
      <c r="I187" s="26">
        <f>IF(F$320=0,0,SUM(F$17:F187)/F$320)</f>
        <v>0.44114603684127041</v>
      </c>
      <c r="J187" s="26">
        <f>IF(G$320=0,0,SUM(G$17:G187)/G$320)</f>
        <v>0</v>
      </c>
      <c r="K187" s="26">
        <f>SUM(H$17:H187)/H$320</f>
        <v>0.44114603684127041</v>
      </c>
      <c r="L187" s="26"/>
      <c r="M187" s="26"/>
      <c r="N187" s="27">
        <f t="shared" si="144"/>
        <v>0.8217281235412266</v>
      </c>
      <c r="O187" s="27">
        <f t="shared" si="145"/>
        <v>0</v>
      </c>
      <c r="P187" s="26">
        <f t="shared" si="146"/>
        <v>0.8217281235412266</v>
      </c>
      <c r="Q187" s="26">
        <f>IF(N$320=0,0,SUM(N$17:N187)/N$320)</f>
        <v>0.43713470597608972</v>
      </c>
      <c r="R187" s="26">
        <f>IF(O$320=0,0,SUM(O$17:O187)/O$320)</f>
        <v>0</v>
      </c>
      <c r="S187" s="26">
        <f>SUM(P$17:P187)/P$320</f>
        <v>0.43713470597608972</v>
      </c>
    </row>
    <row r="188" spans="1:19" x14ac:dyDescent="0.4">
      <c r="A188" s="6">
        <f t="shared" si="140"/>
        <v>19.753367006361312</v>
      </c>
      <c r="B188" s="25">
        <f t="shared" ref="B188:C188" si="188">C$4*EXP(-0.5*(LN($A188)-LN(C$5))^2/(LN(C$6))^2)/($A188*SQRT(2*PI())*LN(C$6))</f>
        <v>1.2125663682559087</v>
      </c>
      <c r="C188" s="25">
        <f t="shared" si="188"/>
        <v>0</v>
      </c>
      <c r="D188" s="27">
        <f t="shared" si="142"/>
        <v>1.2125663682559087</v>
      </c>
      <c r="E188" s="27"/>
      <c r="F188" s="26">
        <f t="shared" si="143"/>
        <v>0.84024208331595163</v>
      </c>
      <c r="G188" s="26">
        <f t="shared" si="143"/>
        <v>0</v>
      </c>
      <c r="H188" s="26">
        <f t="shared" si="143"/>
        <v>0.84024208331595163</v>
      </c>
      <c r="I188" s="26">
        <f>IF(F$320=0,0,SUM(F$17:F188)/F$320)</f>
        <v>0.44944534895928262</v>
      </c>
      <c r="J188" s="26">
        <f>IF(G$320=0,0,SUM(G$17:G188)/G$320)</f>
        <v>0</v>
      </c>
      <c r="K188" s="26">
        <f>SUM(H$17:H188)/H$320</f>
        <v>0.44944534895928262</v>
      </c>
      <c r="L188" s="26"/>
      <c r="M188" s="26"/>
      <c r="N188" s="27">
        <f t="shared" si="144"/>
        <v>0.82454752484759086</v>
      </c>
      <c r="O188" s="27">
        <f t="shared" si="145"/>
        <v>0</v>
      </c>
      <c r="P188" s="26">
        <f t="shared" si="146"/>
        <v>0.82454752484759086</v>
      </c>
      <c r="Q188" s="26">
        <f>IF(N$320=0,0,SUM(N$17:N188)/N$320)</f>
        <v>0.44542161577355294</v>
      </c>
      <c r="R188" s="26">
        <f>IF(O$320=0,0,SUM(O$17:O188)/O$320)</f>
        <v>0</v>
      </c>
      <c r="S188" s="26">
        <f>SUM(P$17:P188)/P$320</f>
        <v>0.44542161577355294</v>
      </c>
    </row>
    <row r="189" spans="1:19" x14ac:dyDescent="0.4">
      <c r="A189" s="6">
        <f t="shared" si="140"/>
        <v>20.446312238319635</v>
      </c>
      <c r="B189" s="25">
        <f t="shared" ref="B189:C189" si="189">C$4*EXP(-0.5*(LN($A189)-LN(C$5))^2/(LN(C$6))^2)/($A189*SQRT(2*PI())*LN(C$6))</f>
        <v>1.1747199514636475</v>
      </c>
      <c r="C189" s="25">
        <f t="shared" si="189"/>
        <v>0</v>
      </c>
      <c r="D189" s="27">
        <f t="shared" si="142"/>
        <v>1.1747199514636475</v>
      </c>
      <c r="E189" s="27"/>
      <c r="F189" s="26">
        <f t="shared" si="143"/>
        <v>0.84257217241394344</v>
      </c>
      <c r="G189" s="26">
        <f t="shared" si="143"/>
        <v>0</v>
      </c>
      <c r="H189" s="26">
        <f t="shared" si="143"/>
        <v>0.84257217241394344</v>
      </c>
      <c r="I189" s="26">
        <f>IF(F$320=0,0,SUM(F$17:F189)/F$320)</f>
        <v>0.45776767603580631</v>
      </c>
      <c r="J189" s="26">
        <f>IF(G$320=0,0,SUM(G$17:G189)/G$320)</f>
        <v>0</v>
      </c>
      <c r="K189" s="26">
        <f>SUM(H$17:H189)/H$320</f>
        <v>0.45776767603580631</v>
      </c>
      <c r="L189" s="26"/>
      <c r="M189" s="26"/>
      <c r="N189" s="27">
        <f t="shared" si="144"/>
        <v>0.82701483212230809</v>
      </c>
      <c r="O189" s="27">
        <f t="shared" si="145"/>
        <v>0</v>
      </c>
      <c r="P189" s="26">
        <f t="shared" si="146"/>
        <v>0.82701483212230809</v>
      </c>
      <c r="Q189" s="26">
        <f>IF(N$320=0,0,SUM(N$17:N189)/N$320)</f>
        <v>0.45373332262905347</v>
      </c>
      <c r="R189" s="26">
        <f>IF(O$320=0,0,SUM(O$17:O189)/O$320)</f>
        <v>0</v>
      </c>
      <c r="S189" s="26">
        <f>SUM(P$17:P189)/P$320</f>
        <v>0.45373332262905347</v>
      </c>
    </row>
    <row r="190" spans="1:19" x14ac:dyDescent="0.4">
      <c r="A190" s="6">
        <f t="shared" si="140"/>
        <v>21.163565887892997</v>
      </c>
      <c r="B190" s="25">
        <f t="shared" ref="B190:C190" si="190">C$4*EXP(-0.5*(LN($A190)-LN(C$5))^2/(LN(C$6))^2)/($A190*SQRT(2*PI())*LN(C$6))</f>
        <v>1.1375571619626581</v>
      </c>
      <c r="C190" s="25">
        <f t="shared" si="190"/>
        <v>0</v>
      </c>
      <c r="D190" s="27">
        <f t="shared" si="142"/>
        <v>1.1375571619626581</v>
      </c>
      <c r="E190" s="27"/>
      <c r="F190" s="26">
        <f t="shared" si="143"/>
        <v>0.84453927622124036</v>
      </c>
      <c r="G190" s="26">
        <f t="shared" si="143"/>
        <v>0</v>
      </c>
      <c r="H190" s="26">
        <f t="shared" si="143"/>
        <v>0.84453927622124036</v>
      </c>
      <c r="I190" s="26">
        <f>IF(F$320=0,0,SUM(F$17:F190)/F$320)</f>
        <v>0.46610943276098649</v>
      </c>
      <c r="J190" s="26">
        <f>IF(G$320=0,0,SUM(G$17:G190)/G$320)</f>
        <v>0</v>
      </c>
      <c r="K190" s="26">
        <f>SUM(H$17:H190)/H$320</f>
        <v>0.46610943276098649</v>
      </c>
      <c r="L190" s="26"/>
      <c r="M190" s="26"/>
      <c r="N190" s="27">
        <f t="shared" si="144"/>
        <v>0.82912683091712625</v>
      </c>
      <c r="O190" s="27">
        <f t="shared" si="145"/>
        <v>0</v>
      </c>
      <c r="P190" s="26">
        <f t="shared" si="146"/>
        <v>0.82912683091712625</v>
      </c>
      <c r="Q190" s="26">
        <f>IF(N$320=0,0,SUM(N$17:N190)/N$320)</f>
        <v>0.46206625560309494</v>
      </c>
      <c r="R190" s="26">
        <f>IF(O$320=0,0,SUM(O$17:O190)/O$320)</f>
        <v>0</v>
      </c>
      <c r="S190" s="26">
        <f>SUM(P$17:P190)/P$320</f>
        <v>0.46206625560309494</v>
      </c>
    </row>
    <row r="191" spans="1:19" x14ac:dyDescent="0.4">
      <c r="A191" s="6">
        <f t="shared" si="140"/>
        <v>21.905980690823984</v>
      </c>
      <c r="B191" s="25">
        <f t="shared" ref="B191:C191" si="191">C$4*EXP(-0.5*(LN($A191)-LN(C$5))^2/(LN(C$6))^2)/($A191*SQRT(2*PI())*LN(C$6))</f>
        <v>1.1010883586144373</v>
      </c>
      <c r="C191" s="25">
        <f t="shared" si="191"/>
        <v>0</v>
      </c>
      <c r="D191" s="27">
        <f t="shared" si="142"/>
        <v>1.1010883586144373</v>
      </c>
      <c r="E191" s="27"/>
      <c r="F191" s="26">
        <f t="shared" si="143"/>
        <v>0.84614082500782317</v>
      </c>
      <c r="G191" s="26">
        <f t="shared" si="143"/>
        <v>0</v>
      </c>
      <c r="H191" s="26">
        <f t="shared" si="143"/>
        <v>0.84614082500782317</v>
      </c>
      <c r="I191" s="26">
        <f>IF(F$320=0,0,SUM(F$17:F191)/F$320)</f>
        <v>0.47446700844300782</v>
      </c>
      <c r="J191" s="26">
        <f>IF(G$320=0,0,SUM(G$17:G191)/G$320)</f>
        <v>0</v>
      </c>
      <c r="K191" s="26">
        <f>SUM(H$17:H191)/H$320</f>
        <v>0.47446700844300782</v>
      </c>
      <c r="L191" s="26"/>
      <c r="M191" s="26"/>
      <c r="N191" s="27">
        <f t="shared" si="144"/>
        <v>0.83088076457213389</v>
      </c>
      <c r="O191" s="27">
        <f t="shared" si="145"/>
        <v>0</v>
      </c>
      <c r="P191" s="26">
        <f t="shared" si="146"/>
        <v>0.83088076457213389</v>
      </c>
      <c r="Q191" s="26">
        <f>IF(N$320=0,0,SUM(N$17:N191)/N$320)</f>
        <v>0.47041681605105612</v>
      </c>
      <c r="R191" s="26">
        <f>IF(O$320=0,0,SUM(O$17:O191)/O$320)</f>
        <v>0</v>
      </c>
      <c r="S191" s="26">
        <f>SUM(P$17:P191)/P$320</f>
        <v>0.47041681605105612</v>
      </c>
    </row>
    <row r="192" spans="1:19" x14ac:dyDescent="0.4">
      <c r="A192" s="6">
        <f t="shared" si="140"/>
        <v>22.674439296700601</v>
      </c>
      <c r="B192" s="25">
        <f t="shared" ref="B192:C192" si="192">C$4*EXP(-0.5*(LN($A192)-LN(C$5))^2/(LN(C$6))^2)/($A192*SQRT(2*PI())*LN(C$6))</f>
        <v>1.0653226746585411</v>
      </c>
      <c r="C192" s="25">
        <f t="shared" si="192"/>
        <v>0</v>
      </c>
      <c r="D192" s="27">
        <f t="shared" si="142"/>
        <v>1.0653226746585411</v>
      </c>
      <c r="E192" s="27"/>
      <c r="F192" s="26">
        <f t="shared" si="143"/>
        <v>0.84737472362804178</v>
      </c>
      <c r="G192" s="26">
        <f t="shared" si="143"/>
        <v>0</v>
      </c>
      <c r="H192" s="26">
        <f t="shared" si="143"/>
        <v>0.84737472362804178</v>
      </c>
      <c r="I192" s="26">
        <f>IF(F$320=0,0,SUM(F$17:F192)/F$320)</f>
        <v>0.48283677169570016</v>
      </c>
      <c r="J192" s="26">
        <f>IF(G$320=0,0,SUM(G$17:G192)/G$320)</f>
        <v>0</v>
      </c>
      <c r="K192" s="26">
        <f>SUM(H$17:H192)/H$320</f>
        <v>0.48283677169570016</v>
      </c>
      <c r="L192" s="26"/>
      <c r="M192" s="26"/>
      <c r="N192" s="27">
        <f t="shared" si="144"/>
        <v>0.83227434021160285</v>
      </c>
      <c r="O192" s="27">
        <f t="shared" si="145"/>
        <v>0</v>
      </c>
      <c r="P192" s="26">
        <f t="shared" si="146"/>
        <v>0.83227434021160285</v>
      </c>
      <c r="Q192" s="26">
        <f>IF(N$320=0,0,SUM(N$17:N192)/N$320)</f>
        <v>0.47878138228433859</v>
      </c>
      <c r="R192" s="26">
        <f>IF(O$320=0,0,SUM(O$17:O192)/O$320)</f>
        <v>0</v>
      </c>
      <c r="S192" s="26">
        <f>SUM(P$17:P192)/P$320</f>
        <v>0.47878138228433859</v>
      </c>
    </row>
    <row r="193" spans="1:19" x14ac:dyDescent="0.4">
      <c r="A193" s="6">
        <f t="shared" si="140"/>
        <v>23.469855318329582</v>
      </c>
      <c r="B193" s="25">
        <f t="shared" ref="B193:C193" si="193">C$4*EXP(-0.5*(LN($A193)-LN(C$5))^2/(LN(C$6))^2)/($A193*SQRT(2*PI())*LN(C$6))</f>
        <v>1.0302680412836542</v>
      </c>
      <c r="C193" s="25">
        <f t="shared" si="193"/>
        <v>0</v>
      </c>
      <c r="D193" s="27">
        <f t="shared" si="142"/>
        <v>1.0302680412836542</v>
      </c>
      <c r="E193" s="27"/>
      <c r="F193" s="26">
        <f t="shared" si="143"/>
        <v>0.84823935608809198</v>
      </c>
      <c r="G193" s="26">
        <f t="shared" si="143"/>
        <v>0</v>
      </c>
      <c r="H193" s="26">
        <f t="shared" si="143"/>
        <v>0.84823935608809198</v>
      </c>
      <c r="I193" s="26">
        <f>IF(F$320=0,0,SUM(F$17:F193)/F$320)</f>
        <v>0.49121507517125901</v>
      </c>
      <c r="J193" s="26">
        <f>IF(G$320=0,0,SUM(G$17:G193)/G$320)</f>
        <v>0</v>
      </c>
      <c r="K193" s="26">
        <f>SUM(H$17:H193)/H$320</f>
        <v>0.49121507517125901</v>
      </c>
      <c r="L193" s="26"/>
      <c r="M193" s="26"/>
      <c r="N193" s="27">
        <f t="shared" si="144"/>
        <v>0.83330573373905925</v>
      </c>
      <c r="O193" s="27">
        <f t="shared" si="145"/>
        <v>0</v>
      </c>
      <c r="P193" s="26">
        <f t="shared" si="146"/>
        <v>0.83330573373905925</v>
      </c>
      <c r="Q193" s="26">
        <f>IF(N$320=0,0,SUM(N$17:N193)/N$320)</f>
        <v>0.48715631428171602</v>
      </c>
      <c r="R193" s="26">
        <f>IF(O$320=0,0,SUM(O$17:O193)/O$320)</f>
        <v>0</v>
      </c>
      <c r="S193" s="26">
        <f>SUM(P$17:P193)/P$320</f>
        <v>0.48715631428171602</v>
      </c>
    </row>
    <row r="194" spans="1:19" x14ac:dyDescent="0.4">
      <c r="A194" s="6">
        <f t="shared" si="140"/>
        <v>24.293174417921602</v>
      </c>
      <c r="B194" s="25">
        <f t="shared" ref="B194:C194" si="194">C$4*EXP(-0.5*(LN($A194)-LN(C$5))^2/(LN(C$6))^2)/($A194*SQRT(2*PI())*LN(C$6))</f>
        <v>0.99593121302309984</v>
      </c>
      <c r="C194" s="25">
        <f t="shared" si="194"/>
        <v>0</v>
      </c>
      <c r="D194" s="27">
        <f t="shared" si="142"/>
        <v>0.99593121302309984</v>
      </c>
      <c r="E194" s="27"/>
      <c r="F194" s="26">
        <f t="shared" si="143"/>
        <v>0.84873358907282948</v>
      </c>
      <c r="G194" s="26">
        <f t="shared" si="143"/>
        <v>0</v>
      </c>
      <c r="H194" s="26">
        <f t="shared" si="143"/>
        <v>0.84873358907282948</v>
      </c>
      <c r="I194" s="26">
        <f>IF(F$320=0,0,SUM(F$17:F194)/F$320)</f>
        <v>0.49959826032780102</v>
      </c>
      <c r="J194" s="26">
        <f>IF(G$320=0,0,SUM(G$17:G194)/G$320)</f>
        <v>0</v>
      </c>
      <c r="K194" s="26">
        <f>SUM(H$17:H194)/H$320</f>
        <v>0.49959826032780102</v>
      </c>
      <c r="L194" s="26"/>
      <c r="M194" s="26"/>
      <c r="N194" s="27">
        <f t="shared" si="144"/>
        <v>0.83397359381594538</v>
      </c>
      <c r="O194" s="27">
        <f t="shared" si="145"/>
        <v>0</v>
      </c>
      <c r="P194" s="26">
        <f t="shared" si="146"/>
        <v>0.83397359381594538</v>
      </c>
      <c r="Q194" s="26">
        <f>IF(N$320=0,0,SUM(N$17:N194)/N$320)</f>
        <v>0.49553795844067028</v>
      </c>
      <c r="R194" s="26">
        <f>IF(O$320=0,0,SUM(O$17:O194)/O$320)</f>
        <v>0</v>
      </c>
      <c r="S194" s="26">
        <f>SUM(P$17:P194)/P$320</f>
        <v>0.49553795844067028</v>
      </c>
    </row>
    <row r="195" spans="1:19" x14ac:dyDescent="0.4">
      <c r="A195" s="6">
        <f t="shared" si="140"/>
        <v>25.145375431379691</v>
      </c>
      <c r="B195" s="25">
        <f t="shared" ref="B195:C195" si="195">C$4*EXP(-0.5*(LN($A195)-LN(C$5))^2/(LN(C$6))^2)/($A195*SQRT(2*PI())*LN(C$6))</f>
        <v>0.96231779485002644</v>
      </c>
      <c r="C195" s="25">
        <f t="shared" si="195"/>
        <v>0</v>
      </c>
      <c r="D195" s="27">
        <f t="shared" si="142"/>
        <v>0.96231779485002644</v>
      </c>
      <c r="E195" s="27"/>
      <c r="F195" s="26">
        <f t="shared" si="143"/>
        <v>0.84885677442122187</v>
      </c>
      <c r="G195" s="26">
        <f t="shared" si="143"/>
        <v>0</v>
      </c>
      <c r="H195" s="26">
        <f t="shared" si="143"/>
        <v>0.84885677442122187</v>
      </c>
      <c r="I195" s="26">
        <f>IF(F$320=0,0,SUM(F$17:F195)/F$320)</f>
        <v>0.50798266222137023</v>
      </c>
      <c r="J195" s="26">
        <f>IF(G$320=0,0,SUM(G$17:G195)/G$320)</f>
        <v>0</v>
      </c>
      <c r="K195" s="26">
        <f>SUM(H$17:H195)/H$320</f>
        <v>0.50798266222137023</v>
      </c>
      <c r="L195" s="26"/>
      <c r="M195" s="26"/>
      <c r="N195" s="27">
        <f t="shared" si="144"/>
        <v>0.83427704481215392</v>
      </c>
      <c r="O195" s="27">
        <f t="shared" si="145"/>
        <v>0</v>
      </c>
      <c r="P195" s="26">
        <f t="shared" si="146"/>
        <v>0.83427704481215392</v>
      </c>
      <c r="Q195" s="26">
        <f>IF(N$320=0,0,SUM(N$17:N195)/N$320)</f>
        <v>0.50392265235838041</v>
      </c>
      <c r="R195" s="26">
        <f>IF(O$320=0,0,SUM(O$17:O195)/O$320)</f>
        <v>0</v>
      </c>
      <c r="S195" s="26">
        <f>SUM(P$17:P195)/P$320</f>
        <v>0.50392265235838041</v>
      </c>
    </row>
    <row r="196" spans="1:19" x14ac:dyDescent="0.4">
      <c r="A196" s="6">
        <f t="shared" si="140"/>
        <v>26.027471532027516</v>
      </c>
      <c r="B196" s="25">
        <f t="shared" ref="B196:C196" si="196">C$4*EXP(-0.5*(LN($A196)-LN(C$5))^2/(LN(C$6))^2)/($A196*SQRT(2*PI())*LN(C$6))</f>
        <v>0.92943227084645752</v>
      </c>
      <c r="C196" s="25">
        <f t="shared" si="196"/>
        <v>0</v>
      </c>
      <c r="D196" s="27">
        <f t="shared" si="142"/>
        <v>0.92943227084645752</v>
      </c>
      <c r="E196" s="27"/>
      <c r="F196" s="26">
        <f t="shared" si="143"/>
        <v>0.84860875054284635</v>
      </c>
      <c r="G196" s="26">
        <f t="shared" si="143"/>
        <v>0</v>
      </c>
      <c r="H196" s="26">
        <f t="shared" si="143"/>
        <v>0.84860875054284635</v>
      </c>
      <c r="I196" s="26">
        <f>IF(F$320=0,0,SUM(F$17:F196)/F$320)</f>
        <v>0.51636461431193603</v>
      </c>
      <c r="J196" s="26">
        <f>IF(G$320=0,0,SUM(G$17:G196)/G$320)</f>
        <v>0</v>
      </c>
      <c r="K196" s="26">
        <f>SUM(H$17:H196)/H$320</f>
        <v>0.51636461431193603</v>
      </c>
      <c r="L196" s="26"/>
      <c r="M196" s="26"/>
      <c r="N196" s="27">
        <f t="shared" si="144"/>
        <v>0.83421568871913099</v>
      </c>
      <c r="O196" s="27">
        <f t="shared" si="145"/>
        <v>0</v>
      </c>
      <c r="P196" s="26">
        <f t="shared" si="146"/>
        <v>0.83421568871913099</v>
      </c>
      <c r="Q196" s="26">
        <f>IF(N$320=0,0,SUM(N$17:N196)/N$320)</f>
        <v>0.51230672963193946</v>
      </c>
      <c r="R196" s="26">
        <f>IF(O$320=0,0,SUM(O$17:O196)/O$320)</f>
        <v>0</v>
      </c>
      <c r="S196" s="26">
        <f>SUM(P$17:P196)/P$320</f>
        <v>0.51230672963193946</v>
      </c>
    </row>
    <row r="197" spans="1:19" x14ac:dyDescent="0.4">
      <c r="A197" s="6">
        <f t="shared" si="140"/>
        <v>26.940511435161067</v>
      </c>
      <c r="B197" s="25">
        <f t="shared" ref="B197:C197" si="197">C$4*EXP(-0.5*(LN($A197)-LN(C$5))^2/(LN(C$6))^2)/($A197*SQRT(2*PI())*LN(C$6))</f>
        <v>0.89727803431982789</v>
      </c>
      <c r="C197" s="25">
        <f t="shared" si="197"/>
        <v>0</v>
      </c>
      <c r="D197" s="27">
        <f t="shared" si="142"/>
        <v>0.89727803431982789</v>
      </c>
      <c r="E197" s="27"/>
      <c r="F197" s="26">
        <f t="shared" si="143"/>
        <v>0.84798984277116596</v>
      </c>
      <c r="G197" s="26">
        <f t="shared" si="143"/>
        <v>0</v>
      </c>
      <c r="H197" s="26">
        <f t="shared" si="143"/>
        <v>0.84798984277116596</v>
      </c>
      <c r="I197" s="26">
        <f>IF(F$320=0,0,SUM(F$17:F197)/F$320)</f>
        <v>0.52474045327287955</v>
      </c>
      <c r="J197" s="26">
        <f>IF(G$320=0,0,SUM(G$17:G197)/G$320)</f>
        <v>0</v>
      </c>
      <c r="K197" s="26">
        <f>SUM(H$17:H197)/H$320</f>
        <v>0.52474045327287955</v>
      </c>
      <c r="L197" s="26"/>
      <c r="M197" s="26"/>
      <c r="N197" s="27">
        <f t="shared" si="144"/>
        <v>0.83378960601971919</v>
      </c>
      <c r="O197" s="27">
        <f t="shared" si="145"/>
        <v>0</v>
      </c>
      <c r="P197" s="26">
        <f t="shared" si="146"/>
        <v>0.83378960601971919</v>
      </c>
      <c r="Q197" s="26">
        <f>IF(N$320=0,0,SUM(N$17:N197)/N$320)</f>
        <v>0.52068652466731358</v>
      </c>
      <c r="R197" s="26">
        <f>IF(O$320=0,0,SUM(O$17:O197)/O$320)</f>
        <v>0</v>
      </c>
      <c r="S197" s="26">
        <f>SUM(P$17:P197)/P$320</f>
        <v>0.52068652466731358</v>
      </c>
    </row>
    <row r="198" spans="1:19" x14ac:dyDescent="0.4">
      <c r="A198" s="6">
        <f t="shared" si="140"/>
        <v>27.885580644855892</v>
      </c>
      <c r="B198" s="25">
        <f t="shared" ref="B198:C198" si="198">C$4*EXP(-0.5*(LN($A198)-LN(C$5))^2/(LN(C$6))^2)/($A198*SQRT(2*PI())*LN(C$6))</f>
        <v>0.86585741924051085</v>
      </c>
      <c r="C198" s="25">
        <f t="shared" si="198"/>
        <v>0</v>
      </c>
      <c r="D198" s="27">
        <f t="shared" si="142"/>
        <v>0.86585741924051085</v>
      </c>
      <c r="E198" s="27"/>
      <c r="F198" s="26">
        <f t="shared" si="143"/>
        <v>0.84700086265235763</v>
      </c>
      <c r="G198" s="26">
        <f t="shared" si="143"/>
        <v>0</v>
      </c>
      <c r="H198" s="26">
        <f t="shared" si="143"/>
        <v>0.84700086265235763</v>
      </c>
      <c r="I198" s="26">
        <f>IF(F$320=0,0,SUM(F$17:F198)/F$320)</f>
        <v>0.53310652379345624</v>
      </c>
      <c r="J198" s="26">
        <f>IF(G$320=0,0,SUM(G$17:G198)/G$320)</f>
        <v>0</v>
      </c>
      <c r="K198" s="26">
        <f>SUM(H$17:H198)/H$320</f>
        <v>0.53310652379345624</v>
      </c>
      <c r="L198" s="26"/>
      <c r="M198" s="26"/>
      <c r="N198" s="27">
        <f t="shared" si="144"/>
        <v>0.83299935551239823</v>
      </c>
      <c r="O198" s="27">
        <f t="shared" si="145"/>
        <v>0</v>
      </c>
      <c r="P198" s="26">
        <f t="shared" si="146"/>
        <v>0.83299935551239823</v>
      </c>
      <c r="Q198" s="26">
        <f>IF(N$320=0,0,SUM(N$17:N198)/N$320)</f>
        <v>0.52905837748653362</v>
      </c>
      <c r="R198" s="26">
        <f>IF(O$320=0,0,SUM(O$17:O198)/O$320)</f>
        <v>0</v>
      </c>
      <c r="S198" s="26">
        <f>SUM(P$17:P198)/P$320</f>
        <v>0.52905837748653362</v>
      </c>
    </row>
    <row r="199" spans="1:19" x14ac:dyDescent="0.4">
      <c r="A199" s="6">
        <f t="shared" si="140"/>
        <v>28.8638027445121</v>
      </c>
      <c r="B199" s="25">
        <f t="shared" ref="B199:C199" si="199">C$4*EXP(-0.5*(LN($A199)-LN(C$5))^2/(LN(C$6))^2)/($A199*SQRT(2*PI())*LN(C$6))</f>
        <v>0.8351717328741588</v>
      </c>
      <c r="C199" s="25">
        <f t="shared" si="199"/>
        <v>0</v>
      </c>
      <c r="D199" s="27">
        <f t="shared" si="142"/>
        <v>0.8351717328741588</v>
      </c>
      <c r="E199" s="27"/>
      <c r="F199" s="26">
        <f t="shared" si="143"/>
        <v>0.8456431061719929</v>
      </c>
      <c r="G199" s="26">
        <f t="shared" si="143"/>
        <v>0</v>
      </c>
      <c r="H199" s="26">
        <f t="shared" si="143"/>
        <v>0.8456431061719929</v>
      </c>
      <c r="I199" s="26">
        <f>IF(F$320=0,0,SUM(F$17:F199)/F$320)</f>
        <v>0.5414591833637431</v>
      </c>
      <c r="J199" s="26">
        <f>IF(G$320=0,0,SUM(G$17:G199)/G$320)</f>
        <v>0</v>
      </c>
      <c r="K199" s="26">
        <f>SUM(H$17:H199)/H$320</f>
        <v>0.5414591833637431</v>
      </c>
      <c r="L199" s="26"/>
      <c r="M199" s="26"/>
      <c r="N199" s="27">
        <f t="shared" si="144"/>
        <v>0.83184597308983976</v>
      </c>
      <c r="O199" s="27">
        <f t="shared" si="145"/>
        <v>0</v>
      </c>
      <c r="P199" s="26">
        <f t="shared" si="146"/>
        <v>0.83184597308983976</v>
      </c>
      <c r="Q199" s="26">
        <f>IF(N$320=0,0,SUM(N$17:N199)/N$320)</f>
        <v>0.5374186385226124</v>
      </c>
      <c r="R199" s="26">
        <f>IF(O$320=0,0,SUM(O$17:O199)/O$320)</f>
        <v>0</v>
      </c>
      <c r="S199" s="26">
        <f>SUM(P$17:P199)/P$320</f>
        <v>0.5374186385226124</v>
      </c>
    </row>
    <row r="200" spans="1:19" x14ac:dyDescent="0.4">
      <c r="A200" s="6">
        <f t="shared" si="140"/>
        <v>29.87634073267149</v>
      </c>
      <c r="B200" s="25">
        <f t="shared" ref="B200:C200" si="200">C$4*EXP(-0.5*(LN($A200)-LN(C$5))^2/(LN(C$6))^2)/($A200*SQRT(2*PI())*LN(C$6))</f>
        <v>0.80522128948343585</v>
      </c>
      <c r="C200" s="25">
        <f t="shared" si="200"/>
        <v>0</v>
      </c>
      <c r="D200" s="27">
        <f t="shared" si="142"/>
        <v>0.80522128948343585</v>
      </c>
      <c r="E200" s="27"/>
      <c r="F200" s="26">
        <f t="shared" si="143"/>
        <v>0.84391835092502054</v>
      </c>
      <c r="G200" s="26">
        <f t="shared" si="143"/>
        <v>0</v>
      </c>
      <c r="H200" s="26">
        <f t="shared" si="143"/>
        <v>0.84391835092502054</v>
      </c>
      <c r="I200" s="26">
        <f>IF(F$320=0,0,SUM(F$17:F200)/F$320)</f>
        <v>0.5497948070316323</v>
      </c>
      <c r="J200" s="26">
        <f>IF(G$320=0,0,SUM(G$17:G200)/G$320)</f>
        <v>0</v>
      </c>
      <c r="K200" s="26">
        <f>SUM(H$17:H200)/H$320</f>
        <v>0.5497948070316323</v>
      </c>
      <c r="L200" s="26"/>
      <c r="M200" s="26"/>
      <c r="N200" s="27">
        <f t="shared" si="144"/>
        <v>0.83033096947627838</v>
      </c>
      <c r="O200" s="27">
        <f t="shared" si="145"/>
        <v>0</v>
      </c>
      <c r="P200" s="26">
        <f t="shared" si="146"/>
        <v>0.83033096947627838</v>
      </c>
      <c r="Q200" s="26">
        <f>IF(N$320=0,0,SUM(N$17:N200)/N$320)</f>
        <v>0.54576367339172083</v>
      </c>
      <c r="R200" s="26">
        <f>IF(O$320=0,0,SUM(O$17:O200)/O$320)</f>
        <v>0</v>
      </c>
      <c r="S200" s="26">
        <f>SUM(P$17:P200)/P$320</f>
        <v>0.54576367339172083</v>
      </c>
    </row>
    <row r="201" spans="1:19" x14ac:dyDescent="0.4">
      <c r="A201" s="6">
        <f t="shared" si="140"/>
        <v>30.924398405695026</v>
      </c>
      <c r="B201" s="25">
        <f t="shared" ref="B201:C201" si="201">C$4*EXP(-0.5*(LN($A201)-LN(C$5))^2/(LN(C$6))^2)/($A201*SQRT(2*PI())*LN(C$6))</f>
        <v>0.77600544497485402</v>
      </c>
      <c r="C201" s="25">
        <f t="shared" si="201"/>
        <v>0</v>
      </c>
      <c r="D201" s="27">
        <f t="shared" si="142"/>
        <v>0.77600544497485402</v>
      </c>
      <c r="E201" s="27"/>
      <c r="F201" s="26">
        <f t="shared" si="143"/>
        <v>0.84182885223749748</v>
      </c>
      <c r="G201" s="26">
        <f t="shared" si="143"/>
        <v>0</v>
      </c>
      <c r="H201" s="26">
        <f t="shared" si="143"/>
        <v>0.84182885223749748</v>
      </c>
      <c r="I201" s="26">
        <f>IF(F$320=0,0,SUM(F$17:F201)/F$320)</f>
        <v>0.55810979212151846</v>
      </c>
      <c r="J201" s="26">
        <f>IF(G$320=0,0,SUM(G$17:G201)/G$320)</f>
        <v>0</v>
      </c>
      <c r="K201" s="26">
        <f>SUM(H$17:H201)/H$320</f>
        <v>0.55810979212151846</v>
      </c>
      <c r="L201" s="26"/>
      <c r="M201" s="26"/>
      <c r="N201" s="27">
        <f t="shared" si="144"/>
        <v>0.8284563269298939</v>
      </c>
      <c r="O201" s="27">
        <f t="shared" si="145"/>
        <v>0</v>
      </c>
      <c r="P201" s="26">
        <f t="shared" si="146"/>
        <v>0.8284563269298939</v>
      </c>
      <c r="Q201" s="26">
        <f>IF(N$320=0,0,SUM(N$17:N201)/N$320)</f>
        <v>0.55408986763222223</v>
      </c>
      <c r="R201" s="26">
        <f>IF(O$320=0,0,SUM(O$17:O201)/O$320)</f>
        <v>0</v>
      </c>
      <c r="S201" s="26">
        <f>SUM(P$17:P201)/P$320</f>
        <v>0.55408986763222223</v>
      </c>
    </row>
    <row r="202" spans="1:19" x14ac:dyDescent="0.4">
      <c r="A202" s="6">
        <f t="shared" si="140"/>
        <v>32.009221788944323</v>
      </c>
      <c r="B202" s="25">
        <f t="shared" ref="B202:C202" si="202">C$4*EXP(-0.5*(LN($A202)-LN(C$5))^2/(LN(C$6))^2)/($A202*SQRT(2*PI())*LN(C$6))</f>
        <v>0.747522632367977</v>
      </c>
      <c r="C202" s="25">
        <f t="shared" si="202"/>
        <v>0</v>
      </c>
      <c r="D202" s="27">
        <f t="shared" si="142"/>
        <v>0.747522632367977</v>
      </c>
      <c r="E202" s="27"/>
      <c r="F202" s="26">
        <f t="shared" si="143"/>
        <v>0.83937733825218941</v>
      </c>
      <c r="G202" s="26">
        <f t="shared" si="143"/>
        <v>0</v>
      </c>
      <c r="H202" s="26">
        <f t="shared" si="143"/>
        <v>0.83937733825218941</v>
      </c>
      <c r="I202" s="26">
        <f>IF(F$320=0,0,SUM(F$17:F202)/F$320)</f>
        <v>0.56640056290444518</v>
      </c>
      <c r="J202" s="26">
        <f>IF(G$320=0,0,SUM(G$17:G202)/G$320)</f>
        <v>0</v>
      </c>
      <c r="K202" s="26">
        <f>SUM(H$17:H202)/H$320</f>
        <v>0.56640056290444518</v>
      </c>
      <c r="L202" s="26"/>
      <c r="M202" s="26"/>
      <c r="N202" s="27">
        <f t="shared" si="144"/>
        <v>0.82622449492080197</v>
      </c>
      <c r="O202" s="27">
        <f t="shared" si="145"/>
        <v>0</v>
      </c>
      <c r="P202" s="26">
        <f t="shared" si="146"/>
        <v>0.82622449492080197</v>
      </c>
      <c r="Q202" s="26">
        <f>IF(N$320=0,0,SUM(N$17:N202)/N$320)</f>
        <v>0.56239363140027043</v>
      </c>
      <c r="R202" s="26">
        <f>IF(O$320=0,0,SUM(O$17:O202)/O$320)</f>
        <v>0</v>
      </c>
      <c r="S202" s="26">
        <f>SUM(P$17:P202)/P$320</f>
        <v>0.56239363140027043</v>
      </c>
    </row>
    <row r="203" spans="1:19" x14ac:dyDescent="0.4">
      <c r="A203" s="6">
        <f t="shared" si="140"/>
        <v>33.132100618168849</v>
      </c>
      <c r="B203" s="25">
        <f t="shared" ref="B203:C203" si="203">C$4*EXP(-0.5*(LN($A203)-LN(C$5))^2/(LN(C$6))^2)/($A203*SQRT(2*PI())*LN(C$6))</f>
        <v>0.71977039796614994</v>
      </c>
      <c r="C203" s="25">
        <f t="shared" si="203"/>
        <v>0</v>
      </c>
      <c r="D203" s="27">
        <f t="shared" si="142"/>
        <v>0.71977039796614994</v>
      </c>
      <c r="E203" s="27"/>
      <c r="F203" s="26">
        <f t="shared" si="143"/>
        <v>0.83656700399283646</v>
      </c>
      <c r="G203" s="26">
        <f t="shared" si="143"/>
        <v>0</v>
      </c>
      <c r="H203" s="26">
        <f t="shared" si="143"/>
        <v>0.83656700399283646</v>
      </c>
      <c r="I203" s="26">
        <f>IF(F$320=0,0,SUM(F$17:F203)/F$320)</f>
        <v>0.57466357520962175</v>
      </c>
      <c r="J203" s="26">
        <f>IF(G$320=0,0,SUM(G$17:G203)/G$320)</f>
        <v>0</v>
      </c>
      <c r="K203" s="26">
        <f>SUM(H$17:H203)/H$320</f>
        <v>0.57466357520962175</v>
      </c>
      <c r="L203" s="26"/>
      <c r="M203" s="26"/>
      <c r="N203" s="27">
        <f t="shared" si="144"/>
        <v>0.8236383847975981</v>
      </c>
      <c r="O203" s="27">
        <f t="shared" si="145"/>
        <v>0</v>
      </c>
      <c r="P203" s="26">
        <f t="shared" si="146"/>
        <v>0.8236383847975981</v>
      </c>
      <c r="Q203" s="26">
        <f>IF(N$320=0,0,SUM(N$17:N203)/N$320)</f>
        <v>0.57067140411180406</v>
      </c>
      <c r="R203" s="26">
        <f>IF(O$320=0,0,SUM(O$17:O203)/O$320)</f>
        <v>0</v>
      </c>
      <c r="S203" s="26">
        <f>SUM(P$17:P203)/P$320</f>
        <v>0.57067140411180406</v>
      </c>
    </row>
    <row r="204" spans="1:19" x14ac:dyDescent="0.4">
      <c r="A204" s="6">
        <f t="shared" si="140"/>
        <v>34.294369872859953</v>
      </c>
      <c r="B204" s="25">
        <f t="shared" ref="B204:C204" si="204">C$4*EXP(-0.5*(LN($A204)-LN(C$5))^2/(LN(C$6))^2)/($A204*SQRT(2*PI())*LN(C$6))</f>
        <v>0.69274543811016442</v>
      </c>
      <c r="C204" s="25">
        <f t="shared" si="204"/>
        <v>0</v>
      </c>
      <c r="D204" s="27">
        <f t="shared" si="142"/>
        <v>0.69274543811016442</v>
      </c>
      <c r="E204" s="27"/>
      <c r="F204" s="26">
        <f t="shared" si="143"/>
        <v>0.83340150442522121</v>
      </c>
      <c r="G204" s="26">
        <f t="shared" si="143"/>
        <v>0</v>
      </c>
      <c r="H204" s="26">
        <f t="shared" si="143"/>
        <v>0.83340150442522121</v>
      </c>
      <c r="I204" s="26">
        <f>IF(F$320=0,0,SUM(F$17:F204)/F$320)</f>
        <v>0.5828953209674036</v>
      </c>
      <c r="J204" s="26">
        <f>IF(G$320=0,0,SUM(G$17:G204)/G$320)</f>
        <v>0</v>
      </c>
      <c r="K204" s="26">
        <f>SUM(H$17:H204)/H$320</f>
        <v>0.5828953209674036</v>
      </c>
      <c r="L204" s="26"/>
      <c r="M204" s="26"/>
      <c r="N204" s="27">
        <f t="shared" si="144"/>
        <v>0.82070136345870903</v>
      </c>
      <c r="O204" s="27">
        <f t="shared" si="145"/>
        <v>0</v>
      </c>
      <c r="P204" s="26">
        <f t="shared" si="146"/>
        <v>0.82070136345870903</v>
      </c>
      <c r="Q204" s="26">
        <f>IF(N$320=0,0,SUM(N$17:N204)/N$320)</f>
        <v>0.57891965902093689</v>
      </c>
      <c r="R204" s="26">
        <f>IF(O$320=0,0,SUM(O$17:O204)/O$320)</f>
        <v>0</v>
      </c>
      <c r="S204" s="26">
        <f>SUM(P$17:P204)/P$320</f>
        <v>0.57891965902093689</v>
      </c>
    </row>
    <row r="205" spans="1:19" x14ac:dyDescent="0.4">
      <c r="A205" s="6">
        <f t="shared" si="140"/>
        <v>35.497411363394733</v>
      </c>
      <c r="B205" s="25">
        <f t="shared" ref="B205:C205" si="205">C$4*EXP(-0.5*(LN($A205)-LN(C$5))^2/(LN(C$6))^2)/($A205*SQRT(2*PI())*LN(C$6))</f>
        <v>0.66644363639884785</v>
      </c>
      <c r="C205" s="25">
        <f t="shared" si="205"/>
        <v>0</v>
      </c>
      <c r="D205" s="27">
        <f t="shared" si="142"/>
        <v>0.66644363639884785</v>
      </c>
      <c r="E205" s="27"/>
      <c r="F205" s="26">
        <f t="shared" si="143"/>
        <v>0.82988494653612976</v>
      </c>
      <c r="G205" s="26">
        <f t="shared" si="143"/>
        <v>0</v>
      </c>
      <c r="H205" s="26">
        <f t="shared" si="143"/>
        <v>0.82988494653612976</v>
      </c>
      <c r="I205" s="26">
        <f>IF(F$320=0,0,SUM(F$17:F205)/F$320)</f>
        <v>0.59109233267403272</v>
      </c>
      <c r="J205" s="26">
        <f>IF(G$320=0,0,SUM(G$17:G205)/G$320)</f>
        <v>0</v>
      </c>
      <c r="K205" s="26">
        <f>SUM(H$17:H205)/H$320</f>
        <v>0.59109233267403272</v>
      </c>
      <c r="L205" s="26"/>
      <c r="M205" s="26"/>
      <c r="N205" s="27">
        <f t="shared" si="144"/>
        <v>0.81741724604806887</v>
      </c>
      <c r="O205" s="27">
        <f t="shared" si="145"/>
        <v>0</v>
      </c>
      <c r="P205" s="26">
        <f t="shared" si="146"/>
        <v>0.81741724604806887</v>
      </c>
      <c r="Q205" s="26">
        <f>IF(N$320=0,0,SUM(N$17:N205)/N$320)</f>
        <v>0.58713490772493748</v>
      </c>
      <c r="R205" s="26">
        <f>IF(O$320=0,0,SUM(O$17:O205)/O$320)</f>
        <v>0</v>
      </c>
      <c r="S205" s="26">
        <f>SUM(P$17:P205)/P$320</f>
        <v>0.58713490772493748</v>
      </c>
    </row>
    <row r="206" spans="1:19" x14ac:dyDescent="0.4">
      <c r="A206" s="6">
        <f t="shared" si="140"/>
        <v>36.742655373856657</v>
      </c>
      <c r="B206" s="25">
        <f t="shared" ref="B206:C206" si="206">C$4*EXP(-0.5*(LN($A206)-LN(C$5))^2/(LN(C$6))^2)/($A206*SQRT(2*PI())*LN(C$6))</f>
        <v>0.64086010126344251</v>
      </c>
      <c r="C206" s="25">
        <f t="shared" si="206"/>
        <v>0</v>
      </c>
      <c r="D206" s="27">
        <f t="shared" si="142"/>
        <v>0.64086010126344251</v>
      </c>
      <c r="E206" s="27"/>
      <c r="F206" s="26">
        <f t="shared" si="143"/>
        <v>0.82602188045425695</v>
      </c>
      <c r="G206" s="26">
        <f t="shared" si="143"/>
        <v>0</v>
      </c>
      <c r="H206" s="26">
        <f t="shared" si="143"/>
        <v>0.82602188045425695</v>
      </c>
      <c r="I206" s="26">
        <f>IF(F$320=0,0,SUM(F$17:F206)/F$320)</f>
        <v>0.59925118776867758</v>
      </c>
      <c r="J206" s="26">
        <f>IF(G$320=0,0,SUM(G$17:G206)/G$320)</f>
        <v>0</v>
      </c>
      <c r="K206" s="26">
        <f>SUM(H$17:H206)/H$320</f>
        <v>0.59925118776867758</v>
      </c>
      <c r="L206" s="26"/>
      <c r="M206" s="26"/>
      <c r="N206" s="27">
        <f t="shared" si="144"/>
        <v>0.81379028769670292</v>
      </c>
      <c r="O206" s="27">
        <f t="shared" si="145"/>
        <v>0</v>
      </c>
      <c r="P206" s="26">
        <f t="shared" si="146"/>
        <v>0.81379028769670292</v>
      </c>
      <c r="Q206" s="26">
        <f>IF(N$320=0,0,SUM(N$17:N206)/N$320)</f>
        <v>0.59531370458621091</v>
      </c>
      <c r="R206" s="26">
        <f>IF(O$320=0,0,SUM(O$17:O206)/O$320)</f>
        <v>0</v>
      </c>
      <c r="S206" s="26">
        <f>SUM(P$17:P206)/P$320</f>
        <v>0.59531370458621091</v>
      </c>
    </row>
    <row r="207" spans="1:19" x14ac:dyDescent="0.4">
      <c r="A207" s="6">
        <f t="shared" si="140"/>
        <v>38.031582362486112</v>
      </c>
      <c r="B207" s="25">
        <f t="shared" ref="B207:C207" si="207">C$4*EXP(-0.5*(LN($A207)-LN(C$5))^2/(LN(C$6))^2)/($A207*SQRT(2*PI())*LN(C$6))</f>
        <v>0.61598920378580069</v>
      </c>
      <c r="C207" s="25">
        <f t="shared" si="207"/>
        <v>0</v>
      </c>
      <c r="D207" s="27">
        <f t="shared" si="142"/>
        <v>0.61598920378580069</v>
      </c>
      <c r="E207" s="27"/>
      <c r="F207" s="26">
        <f t="shared" si="143"/>
        <v>0.82181728963992129</v>
      </c>
      <c r="G207" s="26">
        <f t="shared" si="143"/>
        <v>0</v>
      </c>
      <c r="H207" s="26">
        <f t="shared" si="143"/>
        <v>0.82181728963992129</v>
      </c>
      <c r="I207" s="26">
        <f>IF(F$320=0,0,SUM(F$17:F207)/F$320)</f>
        <v>0.60736851291357385</v>
      </c>
      <c r="J207" s="26">
        <f>IF(G$320=0,0,SUM(G$17:G207)/G$320)</f>
        <v>0</v>
      </c>
      <c r="K207" s="26">
        <f>SUM(H$17:H207)/H$320</f>
        <v>0.60736851291357385</v>
      </c>
      <c r="L207" s="26"/>
      <c r="M207" s="26"/>
      <c r="N207" s="27">
        <f t="shared" si="144"/>
        <v>0.80982517433610957</v>
      </c>
      <c r="O207" s="27">
        <f t="shared" si="145"/>
        <v>0</v>
      </c>
      <c r="P207" s="26">
        <f t="shared" si="146"/>
        <v>0.80982517433610957</v>
      </c>
      <c r="Q207" s="26">
        <f>IF(N$320=0,0,SUM(N$17:N207)/N$320)</f>
        <v>0.60345265106195078</v>
      </c>
      <c r="R207" s="26">
        <f>IF(O$320=0,0,SUM(O$17:O207)/O$320)</f>
        <v>0</v>
      </c>
      <c r="S207" s="26">
        <f>SUM(P$17:P207)/P$320</f>
        <v>0.60345265106195078</v>
      </c>
    </row>
    <row r="208" spans="1:19" x14ac:dyDescent="0.4">
      <c r="A208" s="6">
        <f t="shared" si="140"/>
        <v>39.365724721782549</v>
      </c>
      <c r="B208" s="25">
        <f t="shared" ref="B208:C208" si="208">C$4*EXP(-0.5*(LN($A208)-LN(C$5))^2/(LN(C$6))^2)/($A208*SQRT(2*PI())*LN(C$6))</f>
        <v>0.59182461565384048</v>
      </c>
      <c r="C208" s="25">
        <f t="shared" si="208"/>
        <v>0</v>
      </c>
      <c r="D208" s="27">
        <f t="shared" si="142"/>
        <v>0.59182461565384048</v>
      </c>
      <c r="E208" s="27"/>
      <c r="F208" s="26">
        <f t="shared" si="143"/>
        <v>0.81727658017307925</v>
      </c>
      <c r="G208" s="26">
        <f t="shared" si="143"/>
        <v>0</v>
      </c>
      <c r="H208" s="26">
        <f t="shared" si="143"/>
        <v>0.81727658017307925</v>
      </c>
      <c r="I208" s="26">
        <f>IF(F$320=0,0,SUM(F$17:F208)/F$320)</f>
        <v>0.61544098816836013</v>
      </c>
      <c r="J208" s="26">
        <f>IF(G$320=0,0,SUM(G$17:G208)/G$320)</f>
        <v>0</v>
      </c>
      <c r="K208" s="26">
        <f>SUM(H$17:H208)/H$320</f>
        <v>0.61544098816836013</v>
      </c>
      <c r="L208" s="26"/>
      <c r="M208" s="26"/>
      <c r="N208" s="27">
        <f t="shared" si="144"/>
        <v>0.80552701261034088</v>
      </c>
      <c r="O208" s="27">
        <f t="shared" si="145"/>
        <v>0</v>
      </c>
      <c r="P208" s="26">
        <f t="shared" si="146"/>
        <v>0.80552701261034088</v>
      </c>
      <c r="Q208" s="26">
        <f>IF(N$320=0,0,SUM(N$17:N208)/N$320)</f>
        <v>0.61154839993240639</v>
      </c>
      <c r="R208" s="26">
        <f>IF(O$320=0,0,SUM(O$17:O208)/O$320)</f>
        <v>0</v>
      </c>
      <c r="S208" s="26">
        <f>SUM(P$17:P208)/P$320</f>
        <v>0.61154839993240639</v>
      </c>
    </row>
    <row r="209" spans="1:19" x14ac:dyDescent="0.4">
      <c r="A209" s="6">
        <f t="shared" si="140"/>
        <v>40.746668600350631</v>
      </c>
      <c r="B209" s="25">
        <f t="shared" ref="B209:C209" si="209">C$4*EXP(-0.5*(LN($A209)-LN(C$5))^2/(LN(C$6))^2)/($A209*SQRT(2*PI())*LN(C$6))</f>
        <v>0.56835934715136893</v>
      </c>
      <c r="C209" s="25">
        <f t="shared" si="209"/>
        <v>0</v>
      </c>
      <c r="D209" s="27">
        <f t="shared" si="142"/>
        <v>0.56835934715136893</v>
      </c>
      <c r="E209" s="27"/>
      <c r="F209" s="26">
        <f t="shared" si="143"/>
        <v>0.81240556917212614</v>
      </c>
      <c r="G209" s="26">
        <f t="shared" si="143"/>
        <v>0</v>
      </c>
      <c r="H209" s="26">
        <f t="shared" si="143"/>
        <v>0.81240556917212614</v>
      </c>
      <c r="I209" s="26">
        <f>IF(F$320=0,0,SUM(F$17:F209)/F$320)</f>
        <v>0.62346535105002221</v>
      </c>
      <c r="J209" s="26">
        <f>IF(G$320=0,0,SUM(G$17:G209)/G$320)</f>
        <v>0</v>
      </c>
      <c r="K209" s="26">
        <f>SUM(H$17:H209)/H$320</f>
        <v>0.62346535105002221</v>
      </c>
      <c r="L209" s="26"/>
      <c r="M209" s="26"/>
      <c r="N209" s="27">
        <f t="shared" si="144"/>
        <v>0.80090131891777938</v>
      </c>
      <c r="O209" s="27">
        <f t="shared" si="145"/>
        <v>0</v>
      </c>
      <c r="P209" s="26">
        <f t="shared" si="146"/>
        <v>0.80090131891777938</v>
      </c>
      <c r="Q209" s="26">
        <f>IF(N$320=0,0,SUM(N$17:N209)/N$320)</f>
        <v>0.61959765941901723</v>
      </c>
      <c r="R209" s="26">
        <f>IF(O$320=0,0,SUM(O$17:O209)/O$320)</f>
        <v>0</v>
      </c>
      <c r="S209" s="26">
        <f>SUM(P$17:P209)/P$320</f>
        <v>0.61959765941901723</v>
      </c>
    </row>
    <row r="210" spans="1:19" x14ac:dyDescent="0.4">
      <c r="A210" s="6">
        <f t="shared" ref="A210:A273" si="210">10^((LOG(A$318)-LOG(A$17))/301+LOG(A209))</f>
        <v>42.176055788656626</v>
      </c>
      <c r="B210" s="25">
        <f t="shared" ref="B210:C210" si="211">C$4*EXP(-0.5*(LN($A210)-LN(C$5))^2/(LN(C$6))^2)/($A210*SQRT(2*PI())*LN(C$6))</f>
        <v>0.54558578508323363</v>
      </c>
      <c r="C210" s="25">
        <f t="shared" si="211"/>
        <v>0</v>
      </c>
      <c r="D210" s="27">
        <f t="shared" ref="D210:D273" si="212">B210+C210</f>
        <v>0.54558578508323363</v>
      </c>
      <c r="E210" s="27"/>
      <c r="F210" s="26">
        <f t="shared" ref="F210:H273" si="213">B210*($A211-$A210)</f>
        <v>0.80721047237791443</v>
      </c>
      <c r="G210" s="26">
        <f t="shared" si="213"/>
        <v>0</v>
      </c>
      <c r="H210" s="26">
        <f t="shared" si="213"/>
        <v>0.80721047237791443</v>
      </c>
      <c r="I210" s="26">
        <f>IF(F$320=0,0,SUM(F$17:F210)/F$320)</f>
        <v>0.63143840047020139</v>
      </c>
      <c r="J210" s="26">
        <f>IF(G$320=0,0,SUM(G$17:G210)/G$320)</f>
        <v>0</v>
      </c>
      <c r="K210" s="26">
        <f>SUM(H$17:H210)/H$320</f>
        <v>0.63143840047020139</v>
      </c>
      <c r="L210" s="26"/>
      <c r="M210" s="26"/>
      <c r="N210" s="27">
        <f t="shared" ref="N210:N273" si="214">C$4*((NORMDIST(LN($A210),LN(C$5),LN(C$6),TRUE))-(NORMDIST(LN($A209),LN(C$5),LN(C$6),TRUE)))</f>
        <v>0.79595400761525159</v>
      </c>
      <c r="O210" s="27">
        <f t="shared" ref="O210:O273" si="215">D$4*((NORMDIST(LN($A210),LN(D$5),LN(D$6),TRUE))-(NORMDIST(LN($A209),LN(D$5),LN(D$6),TRUE)))</f>
        <v>0</v>
      </c>
      <c r="P210" s="26">
        <f t="shared" ref="P210:P273" si="216">N210+O210</f>
        <v>0.79595400761525159</v>
      </c>
      <c r="Q210" s="26">
        <f>IF(N$320=0,0,SUM(N$17:N210)/N$320)</f>
        <v>0.62759719718399465</v>
      </c>
      <c r="R210" s="26">
        <f>IF(O$320=0,0,SUM(O$17:O210)/O$320)</f>
        <v>0</v>
      </c>
      <c r="S210" s="26">
        <f>SUM(P$17:P210)/P$320</f>
        <v>0.62759719718399465</v>
      </c>
    </row>
    <row r="211" spans="1:19" x14ac:dyDescent="0.4">
      <c r="A211" s="6">
        <f t="shared" si="210"/>
        <v>43.655585670936766</v>
      </c>
      <c r="B211" s="25">
        <f t="shared" ref="B211:C211" si="217">C$4*EXP(-0.5*(LN($A211)-LN(C$5))^2/(LN(C$6))^2)/($A211*SQRT(2*PI())*LN(C$6))</f>
        <v>0.52349573054083476</v>
      </c>
      <c r="C211" s="25">
        <f t="shared" si="217"/>
        <v>0</v>
      </c>
      <c r="D211" s="27">
        <f t="shared" si="212"/>
        <v>0.52349573054083476</v>
      </c>
      <c r="E211" s="27"/>
      <c r="F211" s="26">
        <f t="shared" si="213"/>
        <v>0.80169789094026145</v>
      </c>
      <c r="G211" s="26">
        <f t="shared" si="213"/>
        <v>0</v>
      </c>
      <c r="H211" s="26">
        <f t="shared" si="213"/>
        <v>0.80169789094026145</v>
      </c>
      <c r="I211" s="26">
        <f>IF(F$320=0,0,SUM(F$17:F211)/F$320)</f>
        <v>0.63935700054198985</v>
      </c>
      <c r="J211" s="26">
        <f>IF(G$320=0,0,SUM(G$17:G211)/G$320)</f>
        <v>0</v>
      </c>
      <c r="K211" s="26">
        <f>SUM(H$17:H211)/H$320</f>
        <v>0.63935700054198985</v>
      </c>
      <c r="L211" s="26"/>
      <c r="M211" s="26"/>
      <c r="N211" s="27">
        <f t="shared" si="214"/>
        <v>0.79069137841981663</v>
      </c>
      <c r="O211" s="27">
        <f t="shared" si="215"/>
        <v>0</v>
      </c>
      <c r="P211" s="26">
        <f t="shared" si="216"/>
        <v>0.79069137841981663</v>
      </c>
      <c r="Q211" s="26">
        <f>IF(N$320=0,0,SUM(N$17:N211)/N$320)</f>
        <v>0.63554384420328924</v>
      </c>
      <c r="R211" s="26">
        <f>IF(O$320=0,0,SUM(O$17:O211)/O$320)</f>
        <v>0</v>
      </c>
      <c r="S211" s="26">
        <f>SUM(P$17:P211)/P$320</f>
        <v>0.63554384420328924</v>
      </c>
    </row>
    <row r="212" spans="1:19" x14ac:dyDescent="0.4">
      <c r="A212" s="6">
        <f t="shared" si="210"/>
        <v>45.187017245578282</v>
      </c>
      <c r="B212" s="25">
        <f t="shared" ref="B212:C212" si="218">C$4*EXP(-0.5*(LN($A212)-LN(C$5))^2/(LN(C$6))^2)/($A212*SQRT(2*PI())*LN(C$6))</f>
        <v>0.50208043641724442</v>
      </c>
      <c r="C212" s="25">
        <f t="shared" si="218"/>
        <v>0</v>
      </c>
      <c r="D212" s="27">
        <f t="shared" si="212"/>
        <v>0.50208043641724442</v>
      </c>
      <c r="E212" s="27"/>
      <c r="F212" s="26">
        <f t="shared" si="213"/>
        <v>0.79587479744623313</v>
      </c>
      <c r="G212" s="26">
        <f t="shared" si="213"/>
        <v>0</v>
      </c>
      <c r="H212" s="26">
        <f t="shared" si="213"/>
        <v>0.79587479744623313</v>
      </c>
      <c r="I212" s="26">
        <f>IF(F$320=0,0,SUM(F$17:F212)/F$320)</f>
        <v>0.64721808424872251</v>
      </c>
      <c r="J212" s="26">
        <f>IF(G$320=0,0,SUM(G$17:G212)/G$320)</f>
        <v>0</v>
      </c>
      <c r="K212" s="26">
        <f>SUM(H$17:H212)/H$320</f>
        <v>0.64721808424872251</v>
      </c>
      <c r="L212" s="26"/>
      <c r="M212" s="26"/>
      <c r="N212" s="27">
        <f t="shared" si="214"/>
        <v>0.78512010304575552</v>
      </c>
      <c r="O212" s="27">
        <f t="shared" si="215"/>
        <v>0</v>
      </c>
      <c r="P212" s="26">
        <f t="shared" si="216"/>
        <v>0.78512010304575552</v>
      </c>
      <c r="Q212" s="26">
        <f>IF(N$320=0,0,SUM(N$17:N212)/N$320)</f>
        <v>0.64343449850525658</v>
      </c>
      <c r="R212" s="26">
        <f>IF(O$320=0,0,SUM(O$17:O212)/O$320)</f>
        <v>0</v>
      </c>
      <c r="S212" s="26">
        <f>SUM(P$17:P212)/P$320</f>
        <v>0.64343449850525658</v>
      </c>
    </row>
    <row r="213" spans="1:19" x14ac:dyDescent="0.4">
      <c r="A213" s="6">
        <f t="shared" si="210"/>
        <v>46.772171216375177</v>
      </c>
      <c r="B213" s="25">
        <f t="shared" ref="B213:C213" si="219">C$4*EXP(-0.5*(LN($A213)-LN(C$5))^2/(LN(C$6))^2)/($A213*SQRT(2*PI())*LN(C$6))</f>
        <v>0.48133064458554958</v>
      </c>
      <c r="C213" s="25">
        <f t="shared" si="219"/>
        <v>0</v>
      </c>
      <c r="D213" s="27">
        <f t="shared" si="212"/>
        <v>0.48133064458554958</v>
      </c>
      <c r="E213" s="27"/>
      <c r="F213" s="26">
        <f t="shared" si="213"/>
        <v>0.789748521231453</v>
      </c>
      <c r="G213" s="26">
        <f t="shared" si="213"/>
        <v>0</v>
      </c>
      <c r="H213" s="26">
        <f t="shared" si="213"/>
        <v>0.789748521231453</v>
      </c>
      <c r="I213" s="26">
        <f>IF(F$320=0,0,SUM(F$17:F213)/F$320)</f>
        <v>0.65501865696768491</v>
      </c>
      <c r="J213" s="26">
        <f>IF(G$320=0,0,SUM(G$17:G213)/G$320)</f>
        <v>0</v>
      </c>
      <c r="K213" s="26">
        <f>SUM(H$17:H213)/H$320</f>
        <v>0.65501865696768491</v>
      </c>
      <c r="L213" s="26"/>
      <c r="M213" s="26"/>
      <c r="N213" s="27">
        <f t="shared" si="214"/>
        <v>0.77924721111669593</v>
      </c>
      <c r="O213" s="27">
        <f t="shared" si="215"/>
        <v>0</v>
      </c>
      <c r="P213" s="26">
        <f t="shared" si="216"/>
        <v>0.77924721111669593</v>
      </c>
      <c r="Q213" s="26">
        <f>IF(N$320=0,0,SUM(N$17:N213)/N$320)</f>
        <v>0.65126612876773593</v>
      </c>
      <c r="R213" s="26">
        <f>IF(O$320=0,0,SUM(O$17:O213)/O$320)</f>
        <v>0</v>
      </c>
      <c r="S213" s="26">
        <f>SUM(P$17:P213)/P$320</f>
        <v>0.65126612876773593</v>
      </c>
    </row>
    <row r="214" spans="1:19" x14ac:dyDescent="0.4">
      <c r="A214" s="6">
        <f t="shared" si="210"/>
        <v>48.412932157144837</v>
      </c>
      <c r="B214" s="25">
        <f t="shared" ref="B214:C214" si="220">C$4*EXP(-0.5*(LN($A214)-LN(C$5))^2/(LN(C$6))^2)/($A214*SQRT(2*PI())*LN(C$6))</f>
        <v>0.46123662265852483</v>
      </c>
      <c r="C214" s="25">
        <f t="shared" si="220"/>
        <v>0</v>
      </c>
      <c r="D214" s="27">
        <f t="shared" si="212"/>
        <v>0.46123662265852483</v>
      </c>
      <c r="E214" s="27"/>
      <c r="F214" s="26">
        <f t="shared" si="213"/>
        <v>0.78332673301790345</v>
      </c>
      <c r="G214" s="26">
        <f t="shared" si="213"/>
        <v>0</v>
      </c>
      <c r="H214" s="26">
        <f t="shared" si="213"/>
        <v>0.78332673301790345</v>
      </c>
      <c r="I214" s="26">
        <f>IF(F$320=0,0,SUM(F$17:F214)/F$320)</f>
        <v>0.66275579984208421</v>
      </c>
      <c r="J214" s="26">
        <f>IF(G$320=0,0,SUM(G$17:G214)/G$320)</f>
        <v>0</v>
      </c>
      <c r="K214" s="26">
        <f>SUM(H$17:H214)/H$320</f>
        <v>0.66275579984208421</v>
      </c>
      <c r="L214" s="26"/>
      <c r="M214" s="26"/>
      <c r="N214" s="27">
        <f t="shared" si="214"/>
        <v>0.77308007539388379</v>
      </c>
      <c r="O214" s="27">
        <f t="shared" si="215"/>
        <v>0</v>
      </c>
      <c r="P214" s="26">
        <f t="shared" si="216"/>
        <v>0.77308007539388379</v>
      </c>
      <c r="Q214" s="26">
        <f>IF(N$320=0,0,SUM(N$17:N214)/N$320)</f>
        <v>0.65903577776666944</v>
      </c>
      <c r="R214" s="26">
        <f>IF(O$320=0,0,SUM(O$17:O214)/O$320)</f>
        <v>0</v>
      </c>
      <c r="S214" s="26">
        <f>SUM(P$17:P214)/P$320</f>
        <v>0.65903577776666944</v>
      </c>
    </row>
    <row r="215" spans="1:19" x14ac:dyDescent="0.4">
      <c r="A215" s="6">
        <f t="shared" si="210"/>
        <v>50.111250752279112</v>
      </c>
      <c r="B215" s="25">
        <f t="shared" ref="B215:C215" si="221">C$4*EXP(-0.5*(LN($A215)-LN(C$5))^2/(LN(C$6))^2)/($A215*SQRT(2*PI())*LN(C$6))</f>
        <v>0.44178820025232607</v>
      </c>
      <c r="C215" s="25">
        <f t="shared" si="221"/>
        <v>0</v>
      </c>
      <c r="D215" s="27">
        <f t="shared" si="212"/>
        <v>0.44178820025232607</v>
      </c>
      <c r="E215" s="27"/>
      <c r="F215" s="26">
        <f t="shared" si="213"/>
        <v>0.77661742892320296</v>
      </c>
      <c r="G215" s="26">
        <f t="shared" si="213"/>
        <v>0</v>
      </c>
      <c r="H215" s="26">
        <f t="shared" si="213"/>
        <v>0.77661742892320296</v>
      </c>
      <c r="I215" s="26">
        <f>IF(F$320=0,0,SUM(F$17:F215)/F$320)</f>
        <v>0.67042667299507552</v>
      </c>
      <c r="J215" s="26">
        <f>IF(G$320=0,0,SUM(G$17:G215)/G$320)</f>
        <v>0</v>
      </c>
      <c r="K215" s="26">
        <f>SUM(H$17:H215)/H$320</f>
        <v>0.67042667299507552</v>
      </c>
      <c r="L215" s="26"/>
      <c r="M215" s="26"/>
      <c r="N215" s="27">
        <f t="shared" si="214"/>
        <v>0.76662639636482233</v>
      </c>
      <c r="O215" s="27">
        <f t="shared" si="215"/>
        <v>0</v>
      </c>
      <c r="P215" s="26">
        <f t="shared" si="216"/>
        <v>0.76662639636482233</v>
      </c>
      <c r="Q215" s="26">
        <f>IF(N$320=0,0,SUM(N$17:N215)/N$320)</f>
        <v>0.66674056566983353</v>
      </c>
      <c r="R215" s="26">
        <f>IF(O$320=0,0,SUM(O$17:O215)/O$320)</f>
        <v>0</v>
      </c>
      <c r="S215" s="26">
        <f>SUM(P$17:P215)/P$320</f>
        <v>0.66674056566983353</v>
      </c>
    </row>
    <row r="216" spans="1:19" x14ac:dyDescent="0.4">
      <c r="A216" s="6">
        <f t="shared" si="210"/>
        <v>51.869146115893713</v>
      </c>
      <c r="B216" s="25">
        <f t="shared" ref="B216:C216" si="222">C$4*EXP(-0.5*(LN($A216)-LN(C$5))^2/(LN(C$6))^2)/($A216*SQRT(2*PI())*LN(C$6))</f>
        <v>0.42297480468155857</v>
      </c>
      <c r="C216" s="25">
        <f t="shared" si="222"/>
        <v>0</v>
      </c>
      <c r="D216" s="27">
        <f t="shared" si="212"/>
        <v>0.42297480468155857</v>
      </c>
      <c r="E216" s="27"/>
      <c r="F216" s="26">
        <f t="shared" si="213"/>
        <v>0.76962891388780164</v>
      </c>
      <c r="G216" s="26">
        <f t="shared" si="213"/>
        <v>0</v>
      </c>
      <c r="H216" s="26">
        <f t="shared" si="213"/>
        <v>0.76962891388780164</v>
      </c>
      <c r="I216" s="26">
        <f>IF(F$320=0,0,SUM(F$17:F216)/F$320)</f>
        <v>0.6780285185800935</v>
      </c>
      <c r="J216" s="26">
        <f>IF(G$320=0,0,SUM(G$17:G216)/G$320)</f>
        <v>0</v>
      </c>
      <c r="K216" s="26">
        <f>SUM(H$17:H216)/H$320</f>
        <v>0.6780285185800935</v>
      </c>
      <c r="L216" s="26"/>
      <c r="M216" s="26"/>
      <c r="N216" s="27">
        <f t="shared" si="214"/>
        <v>0.75989418623658711</v>
      </c>
      <c r="O216" s="27">
        <f t="shared" si="215"/>
        <v>0</v>
      </c>
      <c r="P216" s="26">
        <f t="shared" si="216"/>
        <v>0.75989418623658711</v>
      </c>
      <c r="Q216" s="26">
        <f>IF(N$320=0,0,SUM(N$17:N216)/N$320)</f>
        <v>0.67437769316969876</v>
      </c>
      <c r="R216" s="26">
        <f>IF(O$320=0,0,SUM(O$17:O216)/O$320)</f>
        <v>0</v>
      </c>
      <c r="S216" s="26">
        <f>SUM(P$17:P216)/P$320</f>
        <v>0.67437769316969876</v>
      </c>
    </row>
    <row r="217" spans="1:19" x14ac:dyDescent="0.4">
      <c r="A217" s="6">
        <f t="shared" si="210"/>
        <v>53.688708192332818</v>
      </c>
      <c r="B217" s="25">
        <f t="shared" ref="B217:C217" si="223">C$4*EXP(-0.5*(LN($A217)-LN(C$5))^2/(LN(C$6))^2)/($A217*SQRT(2*PI())*LN(C$6))</f>
        <v>0.40478549601780117</v>
      </c>
      <c r="C217" s="25">
        <f t="shared" si="223"/>
        <v>0</v>
      </c>
      <c r="D217" s="27">
        <f t="shared" si="212"/>
        <v>0.40478549601780117</v>
      </c>
      <c r="E217" s="27"/>
      <c r="F217" s="26">
        <f t="shared" si="213"/>
        <v>0.76236978456846416</v>
      </c>
      <c r="G217" s="26">
        <f t="shared" si="213"/>
        <v>0</v>
      </c>
      <c r="H217" s="26">
        <f t="shared" si="213"/>
        <v>0.76236978456846416</v>
      </c>
      <c r="I217" s="26">
        <f>IF(F$320=0,0,SUM(F$17:F217)/F$320)</f>
        <v>0.68555866366221774</v>
      </c>
      <c r="J217" s="26">
        <f>IF(G$320=0,0,SUM(G$17:G217)/G$320)</f>
        <v>0</v>
      </c>
      <c r="K217" s="26">
        <f>SUM(H$17:H217)/H$320</f>
        <v>0.68555866366221774</v>
      </c>
      <c r="L217" s="26"/>
      <c r="M217" s="26"/>
      <c r="N217" s="27">
        <f t="shared" si="214"/>
        <v>0.7528917523809131</v>
      </c>
      <c r="O217" s="27">
        <f t="shared" si="215"/>
        <v>0</v>
      </c>
      <c r="P217" s="26">
        <f t="shared" si="216"/>
        <v>0.7528917523809131</v>
      </c>
      <c r="Q217" s="26">
        <f>IF(N$320=0,0,SUM(N$17:N217)/N$320)</f>
        <v>0.68194444444990898</v>
      </c>
      <c r="R217" s="26">
        <f>IF(O$320=0,0,SUM(O$17:O217)/O$320)</f>
        <v>0</v>
      </c>
      <c r="S217" s="26">
        <f>SUM(P$17:P217)/P$320</f>
        <v>0.68194444444990898</v>
      </c>
    </row>
    <row r="218" spans="1:19" x14ac:dyDescent="0.4">
      <c r="A218" s="6">
        <f t="shared" si="210"/>
        <v>55.572100240883238</v>
      </c>
      <c r="B218" s="25">
        <f t="shared" ref="B218:C218" si="224">C$4*EXP(-0.5*(LN($A218)-LN(C$5))^2/(LN(C$6))^2)/($A218*SQRT(2*PI())*LN(C$6))</f>
        <v>0.38720900144841131</v>
      </c>
      <c r="C218" s="25">
        <f t="shared" si="224"/>
        <v>0</v>
      </c>
      <c r="D218" s="27">
        <f t="shared" si="212"/>
        <v>0.38720900144841131</v>
      </c>
      <c r="E218" s="27"/>
      <c r="F218" s="26">
        <f t="shared" si="213"/>
        <v>0.7548489117469438</v>
      </c>
      <c r="G218" s="26">
        <f t="shared" si="213"/>
        <v>0</v>
      </c>
      <c r="H218" s="26">
        <f t="shared" si="213"/>
        <v>0.7548489117469438</v>
      </c>
      <c r="I218" s="26">
        <f>IF(F$320=0,0,SUM(F$17:F218)/F$320)</f>
        <v>0.69301452292578447</v>
      </c>
      <c r="J218" s="26">
        <f>IF(G$320=0,0,SUM(G$17:G218)/G$320)</f>
        <v>0</v>
      </c>
      <c r="K218" s="26">
        <f>SUM(H$17:H218)/H$320</f>
        <v>0.69301452292578447</v>
      </c>
      <c r="L218" s="26"/>
      <c r="M218" s="26"/>
      <c r="N218" s="27">
        <f t="shared" si="214"/>
        <v>0.74562768027852666</v>
      </c>
      <c r="O218" s="27">
        <f t="shared" si="215"/>
        <v>0</v>
      </c>
      <c r="P218" s="26">
        <f t="shared" si="216"/>
        <v>0.74562768027852666</v>
      </c>
      <c r="Q218" s="26">
        <f>IF(N$320=0,0,SUM(N$17:N218)/N$320)</f>
        <v>0.68943818998034645</v>
      </c>
      <c r="R218" s="26">
        <f>IF(O$320=0,0,SUM(O$17:O218)/O$320)</f>
        <v>0</v>
      </c>
      <c r="S218" s="26">
        <f>SUM(P$17:P218)/P$320</f>
        <v>0.68943818998034645</v>
      </c>
    </row>
    <row r="219" spans="1:19" x14ac:dyDescent="0.4">
      <c r="A219" s="6">
        <f t="shared" si="210"/>
        <v>57.521561407651888</v>
      </c>
      <c r="B219" s="25">
        <f t="shared" ref="B219:C219" si="225">C$4*EXP(-0.5*(LN($A219)-LN(C$5))^2/(LN(C$6))^2)/($A219*SQRT(2*PI())*LN(C$6))</f>
        <v>0.3702337488772196</v>
      </c>
      <c r="C219" s="25">
        <f t="shared" si="225"/>
        <v>0</v>
      </c>
      <c r="D219" s="27">
        <f t="shared" si="212"/>
        <v>0.3702337488772196</v>
      </c>
      <c r="E219" s="27"/>
      <c r="F219" s="26">
        <f t="shared" si="213"/>
        <v>0.74707542230433344</v>
      </c>
      <c r="G219" s="26">
        <f t="shared" si="213"/>
        <v>0</v>
      </c>
      <c r="H219" s="26">
        <f t="shared" si="213"/>
        <v>0.74707542230433344</v>
      </c>
      <c r="I219" s="26">
        <f>IF(F$320=0,0,SUM(F$17:F219)/F$320)</f>
        <v>0.70039360120395266</v>
      </c>
      <c r="J219" s="26">
        <f>IF(G$320=0,0,SUM(G$17:G219)/G$320)</f>
        <v>0</v>
      </c>
      <c r="K219" s="26">
        <f>SUM(H$17:H219)/H$320</f>
        <v>0.70039360120395266</v>
      </c>
      <c r="L219" s="26"/>
      <c r="M219" s="26"/>
      <c r="N219" s="27">
        <f t="shared" si="214"/>
        <v>0.73811081601165007</v>
      </c>
      <c r="O219" s="27">
        <f t="shared" si="215"/>
        <v>0</v>
      </c>
      <c r="P219" s="26">
        <f t="shared" si="216"/>
        <v>0.73811081601165007</v>
      </c>
      <c r="Q219" s="26">
        <f>IF(N$320=0,0,SUM(N$17:N219)/N$320)</f>
        <v>0.69685638913624248</v>
      </c>
      <c r="R219" s="26">
        <f>IF(O$320=0,0,SUM(O$17:O219)/O$320)</f>
        <v>0</v>
      </c>
      <c r="S219" s="26">
        <f>SUM(P$17:P219)/P$320</f>
        <v>0.69685638913624248</v>
      </c>
    </row>
    <row r="220" spans="1:19" x14ac:dyDescent="0.4">
      <c r="A220" s="6">
        <f t="shared" si="210"/>
        <v>59.539409387664335</v>
      </c>
      <c r="B220" s="25">
        <f t="shared" ref="B220:C220" si="226">C$4*EXP(-0.5*(LN($A220)-LN(C$5))^2/(LN(C$6))^2)/($A220*SQRT(2*PI())*LN(C$6))</f>
        <v>0.35384789971348357</v>
      </c>
      <c r="C220" s="25">
        <f t="shared" si="226"/>
        <v>0</v>
      </c>
      <c r="D220" s="27">
        <f t="shared" si="212"/>
        <v>0.35384789971348357</v>
      </c>
      <c r="E220" s="27"/>
      <c r="F220" s="26">
        <f t="shared" si="213"/>
        <v>0.73905868081223058</v>
      </c>
      <c r="G220" s="26">
        <f t="shared" si="213"/>
        <v>0</v>
      </c>
      <c r="H220" s="26">
        <f t="shared" si="213"/>
        <v>0.73905868081223058</v>
      </c>
      <c r="I220" s="26">
        <f>IF(F$320=0,0,SUM(F$17:F220)/F$320)</f>
        <v>0.7076934958264417</v>
      </c>
      <c r="J220" s="26">
        <f>IF(G$320=0,0,SUM(G$17:G220)/G$320)</f>
        <v>0</v>
      </c>
      <c r="K220" s="26">
        <f>SUM(H$17:H220)/H$320</f>
        <v>0.7076934958264417</v>
      </c>
      <c r="L220" s="26"/>
      <c r="M220" s="26"/>
      <c r="N220" s="27">
        <f t="shared" si="214"/>
        <v>0.73035024835493845</v>
      </c>
      <c r="O220" s="27">
        <f t="shared" si="215"/>
        <v>0</v>
      </c>
      <c r="P220" s="26">
        <f t="shared" si="216"/>
        <v>0.73035024835493845</v>
      </c>
      <c r="Q220" s="26">
        <f>IF(N$320=0,0,SUM(N$17:N220)/N$320)</f>
        <v>0.70419659263729717</v>
      </c>
      <c r="R220" s="26">
        <f>IF(O$320=0,0,SUM(O$17:O220)/O$320)</f>
        <v>0</v>
      </c>
      <c r="S220" s="26">
        <f>SUM(P$17:P220)/P$320</f>
        <v>0.70419659263729717</v>
      </c>
    </row>
    <row r="221" spans="1:19" x14ac:dyDescent="0.4">
      <c r="A221" s="6">
        <f t="shared" si="210"/>
        <v>61.628043180349437</v>
      </c>
      <c r="B221" s="25">
        <f t="shared" ref="B221:C221" si="227">C$4*EXP(-0.5*(LN($A221)-LN(C$5))^2/(LN(C$6))^2)/($A221*SQRT(2*PI())*LN(C$6))</f>
        <v>0.33803938080021634</v>
      </c>
      <c r="C221" s="25">
        <f t="shared" si="227"/>
        <v>0</v>
      </c>
      <c r="D221" s="27">
        <f t="shared" si="212"/>
        <v>0.33803938080021634</v>
      </c>
      <c r="E221" s="27"/>
      <c r="F221" s="26">
        <f t="shared" si="213"/>
        <v>0.73080827079245847</v>
      </c>
      <c r="G221" s="26">
        <f t="shared" si="213"/>
        <v>0</v>
      </c>
      <c r="H221" s="26">
        <f t="shared" si="213"/>
        <v>0.73080827079245847</v>
      </c>
      <c r="I221" s="26">
        <f>IF(F$320=0,0,SUM(F$17:F221)/F$320)</f>
        <v>0.71491189878216566</v>
      </c>
      <c r="J221" s="26">
        <f>IF(G$320=0,0,SUM(G$17:G221)/G$320)</f>
        <v>0</v>
      </c>
      <c r="K221" s="26">
        <f>SUM(H$17:H221)/H$320</f>
        <v>0.71491189878216566</v>
      </c>
      <c r="L221" s="26"/>
      <c r="M221" s="26"/>
      <c r="N221" s="27">
        <f t="shared" si="214"/>
        <v>0.72235529051495329</v>
      </c>
      <c r="O221" s="27">
        <f t="shared" si="215"/>
        <v>0</v>
      </c>
      <c r="P221" s="26">
        <f t="shared" si="216"/>
        <v>0.72235529051495329</v>
      </c>
      <c r="Q221" s="26">
        <f>IF(N$320=0,0,SUM(N$17:N221)/N$320)</f>
        <v>0.71145644480327663</v>
      </c>
      <c r="R221" s="26">
        <f>IF(O$320=0,0,SUM(O$17:O221)/O$320)</f>
        <v>0</v>
      </c>
      <c r="S221" s="26">
        <f>SUM(P$17:P221)/P$320</f>
        <v>0.71145644480327663</v>
      </c>
    </row>
    <row r="222" spans="1:19" x14ac:dyDescent="0.4">
      <c r="A222" s="6">
        <f t="shared" si="210"/>
        <v>63.789945941685907</v>
      </c>
      <c r="B222" s="25">
        <f t="shared" ref="B222:C222" si="228">C$4*EXP(-0.5*(LN($A222)-LN(C$5))^2/(LN(C$6))^2)/($A222*SQRT(2*PI())*LN(C$6))</f>
        <v>0.32279591543772024</v>
      </c>
      <c r="C222" s="25">
        <f t="shared" si="228"/>
        <v>0</v>
      </c>
      <c r="D222" s="27">
        <f t="shared" si="212"/>
        <v>0.32279591543772024</v>
      </c>
      <c r="E222" s="27"/>
      <c r="F222" s="26">
        <f t="shared" si="213"/>
        <v>0.72233397569776181</v>
      </c>
      <c r="G222" s="26">
        <f t="shared" si="213"/>
        <v>0</v>
      </c>
      <c r="H222" s="26">
        <f t="shared" si="213"/>
        <v>0.72233397569776181</v>
      </c>
      <c r="I222" s="26">
        <f>IF(F$320=0,0,SUM(F$17:F222)/F$320)</f>
        <v>0.72204659869400789</v>
      </c>
      <c r="J222" s="26">
        <f>IF(G$320=0,0,SUM(G$17:G222)/G$320)</f>
        <v>0</v>
      </c>
      <c r="K222" s="26">
        <f>SUM(H$17:H222)/H$320</f>
        <v>0.72204659869400789</v>
      </c>
      <c r="L222" s="26"/>
      <c r="M222" s="26"/>
      <c r="N222" s="27">
        <f t="shared" si="214"/>
        <v>0.71413546156963159</v>
      </c>
      <c r="O222" s="27">
        <f t="shared" si="215"/>
        <v>0</v>
      </c>
      <c r="P222" s="26">
        <f t="shared" si="216"/>
        <v>0.71413546156963159</v>
      </c>
      <c r="Q222" s="26">
        <f>IF(N$320=0,0,SUM(N$17:N222)/N$320)</f>
        <v>0.71863368562307184</v>
      </c>
      <c r="R222" s="26">
        <f>IF(O$320=0,0,SUM(O$17:O222)/O$320)</f>
        <v>0</v>
      </c>
      <c r="S222" s="26">
        <f>SUM(P$17:P222)/P$320</f>
        <v>0.71863368562307184</v>
      </c>
    </row>
    <row r="223" spans="1:19" x14ac:dyDescent="0.4">
      <c r="A223" s="6">
        <f t="shared" si="210"/>
        <v>66.027687936401847</v>
      </c>
      <c r="B223" s="25">
        <f t="shared" ref="B223:C223" si="229">C$4*EXP(-0.5*(LN($A223)-LN(C$5))^2/(LN(C$6))^2)/($A223*SQRT(2*PI())*LN(C$6))</f>
        <v>0.30810505346279932</v>
      </c>
      <c r="C223" s="25">
        <f t="shared" si="229"/>
        <v>0</v>
      </c>
      <c r="D223" s="27">
        <f t="shared" si="212"/>
        <v>0.30810505346279932</v>
      </c>
      <c r="E223" s="27"/>
      <c r="F223" s="26">
        <f t="shared" si="213"/>
        <v>0.71364575966598454</v>
      </c>
      <c r="G223" s="26">
        <f t="shared" si="213"/>
        <v>0</v>
      </c>
      <c r="H223" s="26">
        <f t="shared" si="213"/>
        <v>0.71364575966598454</v>
      </c>
      <c r="I223" s="26">
        <f>IF(F$320=0,0,SUM(F$17:F223)/F$320)</f>
        <v>0.72909548260349999</v>
      </c>
      <c r="J223" s="26">
        <f>IF(G$320=0,0,SUM(G$17:G223)/G$320)</f>
        <v>0</v>
      </c>
      <c r="K223" s="26">
        <f>SUM(H$17:H223)/H$320</f>
        <v>0.72909548260349999</v>
      </c>
      <c r="L223" s="26"/>
      <c r="M223" s="26"/>
      <c r="N223" s="27">
        <f t="shared" si="214"/>
        <v>0.7057004676594425</v>
      </c>
      <c r="O223" s="27">
        <f t="shared" si="215"/>
        <v>0</v>
      </c>
      <c r="P223" s="26">
        <f t="shared" si="216"/>
        <v>0.7057004676594425</v>
      </c>
      <c r="Q223" s="26">
        <f>IF(N$320=0,0,SUM(N$17:N223)/N$320)</f>
        <v>0.72572615263472451</v>
      </c>
      <c r="R223" s="26">
        <f>IF(O$320=0,0,SUM(O$17:O223)/O$320)</f>
        <v>0</v>
      </c>
      <c r="S223" s="26">
        <f>SUM(P$17:P223)/P$320</f>
        <v>0.72572615263472451</v>
      </c>
    </row>
    <row r="224" spans="1:19" x14ac:dyDescent="0.4">
      <c r="A224" s="6">
        <f t="shared" si="210"/>
        <v>68.343929593736917</v>
      </c>
      <c r="B224" s="25">
        <f t="shared" ref="B224:C224" si="230">C$4*EXP(-0.5*(LN($A224)-LN(C$5))^2/(LN(C$6))^2)/($A224*SQRT(2*PI())*LN(C$6))</f>
        <v>0.29395420034871345</v>
      </c>
      <c r="C224" s="25">
        <f t="shared" si="230"/>
        <v>0</v>
      </c>
      <c r="D224" s="27">
        <f t="shared" si="212"/>
        <v>0.29395420034871345</v>
      </c>
      <c r="E224" s="27"/>
      <c r="F224" s="26">
        <f t="shared" si="213"/>
        <v>0.7047537481005558</v>
      </c>
      <c r="G224" s="26">
        <f t="shared" si="213"/>
        <v>0</v>
      </c>
      <c r="H224" s="26">
        <f t="shared" si="213"/>
        <v>0.7047537481005558</v>
      </c>
      <c r="I224" s="26">
        <f>IF(F$320=0,0,SUM(F$17:F224)/F$320)</f>
        <v>0.73605653756368838</v>
      </c>
      <c r="J224" s="26">
        <f>IF(G$320=0,0,SUM(G$17:G224)/G$320)</f>
        <v>0</v>
      </c>
      <c r="K224" s="26">
        <f>SUM(H$17:H224)/H$320</f>
        <v>0.73605653756368838</v>
      </c>
      <c r="L224" s="26"/>
      <c r="M224" s="26"/>
      <c r="N224" s="27">
        <f t="shared" si="214"/>
        <v>0.69706018298165695</v>
      </c>
      <c r="O224" s="27">
        <f t="shared" si="215"/>
        <v>0</v>
      </c>
      <c r="P224" s="26">
        <f t="shared" si="216"/>
        <v>0.69706018298165695</v>
      </c>
      <c r="Q224" s="26">
        <f>IF(N$320=0,0,SUM(N$17:N224)/N$320)</f>
        <v>0.73273178261443961</v>
      </c>
      <c r="R224" s="26">
        <f>IF(O$320=0,0,SUM(O$17:O224)/O$320)</f>
        <v>0</v>
      </c>
      <c r="S224" s="26">
        <f>SUM(P$17:P224)/P$320</f>
        <v>0.73273178261443961</v>
      </c>
    </row>
    <row r="225" spans="1:19" x14ac:dyDescent="0.4">
      <c r="A225" s="6">
        <f t="shared" si="210"/>
        <v>70.741424670400278</v>
      </c>
      <c r="B225" s="25">
        <f t="shared" ref="B225:C225" si="231">C$4*EXP(-0.5*(LN($A225)-LN(C$5))^2/(LN(C$6))^2)/($A225*SQRT(2*PI())*LN(C$6))</f>
        <v>0.28033064529542867</v>
      </c>
      <c r="C225" s="25">
        <f t="shared" si="231"/>
        <v>0</v>
      </c>
      <c r="D225" s="27">
        <f t="shared" si="212"/>
        <v>0.28033064529542867</v>
      </c>
      <c r="E225" s="27"/>
      <c r="F225" s="26">
        <f t="shared" si="213"/>
        <v>0.69566820812985519</v>
      </c>
      <c r="G225" s="26">
        <f t="shared" si="213"/>
        <v>0</v>
      </c>
      <c r="H225" s="26">
        <f t="shared" si="213"/>
        <v>0.69566820812985519</v>
      </c>
      <c r="I225" s="26">
        <f>IF(F$320=0,0,SUM(F$17:F225)/F$320)</f>
        <v>0.74292785203899192</v>
      </c>
      <c r="J225" s="26">
        <f>IF(G$320=0,0,SUM(G$17:G225)/G$320)</f>
        <v>0</v>
      </c>
      <c r="K225" s="26">
        <f>SUM(H$17:H225)/H$320</f>
        <v>0.74292785203899192</v>
      </c>
      <c r="L225" s="26"/>
      <c r="M225" s="26"/>
      <c r="N225" s="27">
        <f t="shared" si="214"/>
        <v>0.68822463063995531</v>
      </c>
      <c r="O225" s="27">
        <f t="shared" si="215"/>
        <v>0</v>
      </c>
      <c r="P225" s="26">
        <f t="shared" si="216"/>
        <v>0.68822463063995531</v>
      </c>
      <c r="Q225" s="26">
        <f>IF(N$320=0,0,SUM(N$17:N225)/N$320)</f>
        <v>0.73964861307313257</v>
      </c>
      <c r="R225" s="26">
        <f>IF(O$320=0,0,SUM(O$17:O225)/O$320)</f>
        <v>0</v>
      </c>
      <c r="S225" s="26">
        <f>SUM(P$17:P225)/P$320</f>
        <v>0.73964861307313257</v>
      </c>
    </row>
    <row r="226" spans="1:19" x14ac:dyDescent="0.4">
      <c r="A226" s="6">
        <f t="shared" si="210"/>
        <v>73.223023524484603</v>
      </c>
      <c r="B226" s="25">
        <f t="shared" ref="B226:C226" si="232">C$4*EXP(-0.5*(LN($A226)-LN(C$5))^2/(LN(C$6))^2)/($A226*SQRT(2*PI())*LN(C$6))</f>
        <v>0.26722158828411935</v>
      </c>
      <c r="C226" s="25">
        <f t="shared" si="232"/>
        <v>0</v>
      </c>
      <c r="D226" s="27">
        <f t="shared" si="212"/>
        <v>0.26722158828411935</v>
      </c>
      <c r="E226" s="27"/>
      <c r="F226" s="26">
        <f t="shared" si="213"/>
        <v>0.6863995289978938</v>
      </c>
      <c r="G226" s="26">
        <f t="shared" si="213"/>
        <v>0</v>
      </c>
      <c r="H226" s="26">
        <f t="shared" si="213"/>
        <v>0.6863995289978938</v>
      </c>
      <c r="I226" s="26">
        <f>IF(F$320=0,0,SUM(F$17:F226)/F$320)</f>
        <v>0.7497076171113729</v>
      </c>
      <c r="J226" s="26">
        <f>IF(G$320=0,0,SUM(G$17:G226)/G$320)</f>
        <v>0</v>
      </c>
      <c r="K226" s="26">
        <f>SUM(H$17:H226)/H$320</f>
        <v>0.7497076171113729</v>
      </c>
      <c r="L226" s="26"/>
      <c r="M226" s="26"/>
      <c r="N226" s="27">
        <f t="shared" si="214"/>
        <v>0.67920396340066524</v>
      </c>
      <c r="O226" s="27">
        <f t="shared" si="215"/>
        <v>0</v>
      </c>
      <c r="P226" s="26">
        <f t="shared" si="216"/>
        <v>0.67920396340066524</v>
      </c>
      <c r="Q226" s="26">
        <f>IF(N$320=0,0,SUM(N$17:N226)/N$320)</f>
        <v>0.74647478355957142</v>
      </c>
      <c r="R226" s="26">
        <f>IF(O$320=0,0,SUM(O$17:O226)/O$320)</f>
        <v>0</v>
      </c>
      <c r="S226" s="26">
        <f>SUM(P$17:P226)/P$320</f>
        <v>0.74647478355957142</v>
      </c>
    </row>
    <row r="227" spans="1:19" x14ac:dyDescent="0.4">
      <c r="A227" s="6">
        <f t="shared" si="210"/>
        <v>75.791676504228477</v>
      </c>
      <c r="B227" s="25">
        <f t="shared" ref="B227:C227" si="233">C$4*EXP(-0.5*(LN($A227)-LN(C$5))^2/(LN(C$6))^2)/($A227*SQRT(2*PI())*LN(C$6))</f>
        <v>0.2546141660741621</v>
      </c>
      <c r="C227" s="25">
        <f t="shared" si="233"/>
        <v>0</v>
      </c>
      <c r="D227" s="27">
        <f t="shared" si="212"/>
        <v>0.2546141660741621</v>
      </c>
      <c r="E227" s="27"/>
      <c r="F227" s="26">
        <f t="shared" si="213"/>
        <v>0.67695820243830473</v>
      </c>
      <c r="G227" s="26">
        <f t="shared" si="213"/>
        <v>0</v>
      </c>
      <c r="H227" s="26">
        <f t="shared" si="213"/>
        <v>0.67695820243830473</v>
      </c>
      <c r="I227" s="26">
        <f>IF(F$320=0,0,SUM(F$17:F227)/F$320)</f>
        <v>0.75639412749265711</v>
      </c>
      <c r="J227" s="26">
        <f>IF(G$320=0,0,SUM(G$17:G227)/G$320)</f>
        <v>0</v>
      </c>
      <c r="K227" s="26">
        <f>SUM(H$17:H227)/H$320</f>
        <v>0.75639412749265711</v>
      </c>
      <c r="L227" s="26"/>
      <c r="M227" s="26"/>
      <c r="N227" s="27">
        <f t="shared" si="214"/>
        <v>0.67000844440704421</v>
      </c>
      <c r="O227" s="27">
        <f t="shared" si="215"/>
        <v>0</v>
      </c>
      <c r="P227" s="26">
        <f t="shared" si="216"/>
        <v>0.67000844440704421</v>
      </c>
      <c r="Q227" s="26">
        <f>IF(N$320=0,0,SUM(N$17:N227)/N$320)</f>
        <v>0.75320853676969246</v>
      </c>
      <c r="R227" s="26">
        <f>IF(O$320=0,0,SUM(O$17:O227)/O$320)</f>
        <v>0</v>
      </c>
      <c r="S227" s="26">
        <f>SUM(P$17:P227)/P$320</f>
        <v>0.75320853676969246</v>
      </c>
    </row>
    <row r="228" spans="1:19" x14ac:dyDescent="0.4">
      <c r="A228" s="6">
        <f t="shared" si="210"/>
        <v>78.450437455656157</v>
      </c>
      <c r="B228" s="25">
        <f t="shared" ref="B228:C228" si="234">C$4*EXP(-0.5*(LN($A228)-LN(C$5))^2/(LN(C$6))^2)/($A228*SQRT(2*PI())*LN(C$6))</f>
        <v>0.24249547712502706</v>
      </c>
      <c r="C228" s="25">
        <f t="shared" si="234"/>
        <v>0</v>
      </c>
      <c r="D228" s="27">
        <f t="shared" si="212"/>
        <v>0.24249547712502706</v>
      </c>
      <c r="E228" s="27"/>
      <c r="F228" s="26">
        <f t="shared" si="213"/>
        <v>0.66735480308294226</v>
      </c>
      <c r="G228" s="26">
        <f t="shared" si="213"/>
        <v>0</v>
      </c>
      <c r="H228" s="26">
        <f t="shared" si="213"/>
        <v>0.66735480308294226</v>
      </c>
      <c r="I228" s="26">
        <f>IF(F$320=0,0,SUM(F$17:F228)/F$320)</f>
        <v>0.76298578234334302</v>
      </c>
      <c r="J228" s="26">
        <f>IF(G$320=0,0,SUM(G$17:G228)/G$320)</f>
        <v>0</v>
      </c>
      <c r="K228" s="26">
        <f>SUM(H$17:H228)/H$320</f>
        <v>0.76298578234334302</v>
      </c>
      <c r="L228" s="26"/>
      <c r="M228" s="26"/>
      <c r="N228" s="27">
        <f t="shared" si="214"/>
        <v>0.66064842790264366</v>
      </c>
      <c r="O228" s="27">
        <f t="shared" si="215"/>
        <v>0</v>
      </c>
      <c r="P228" s="26">
        <f t="shared" si="216"/>
        <v>0.66064842790264366</v>
      </c>
      <c r="Q228" s="26">
        <f>IF(N$320=0,0,SUM(N$17:N228)/N$320)</f>
        <v>0.7598482194621814</v>
      </c>
      <c r="R228" s="26">
        <f>IF(O$320=0,0,SUM(O$17:O228)/O$320)</f>
        <v>0</v>
      </c>
      <c r="S228" s="26">
        <f>SUM(P$17:P228)/P$320</f>
        <v>0.7598482194621814</v>
      </c>
    </row>
    <row r="229" spans="1:19" x14ac:dyDescent="0.4">
      <c r="A229" s="6">
        <f t="shared" si="210"/>
        <v>81.20246735326478</v>
      </c>
      <c r="B229" s="25">
        <f t="shared" ref="B229:C229" si="235">C$4*EXP(-0.5*(LN($A229)-LN(C$5))^2/(LN(C$6))^2)/($A229*SQRT(2*PI())*LN(C$6))</f>
        <v>0.23085260542950359</v>
      </c>
      <c r="C229" s="25">
        <f t="shared" si="235"/>
        <v>0</v>
      </c>
      <c r="D229" s="27">
        <f t="shared" si="212"/>
        <v>0.23085260542950359</v>
      </c>
      <c r="E229" s="27"/>
      <c r="F229" s="26">
        <f t="shared" si="213"/>
        <v>0.65759996895572981</v>
      </c>
      <c r="G229" s="26">
        <f t="shared" si="213"/>
        <v>0</v>
      </c>
      <c r="H229" s="26">
        <f t="shared" si="213"/>
        <v>0.65759996895572981</v>
      </c>
      <c r="I229" s="26">
        <f>IF(F$320=0,0,SUM(F$17:F229)/F$320)</f>
        <v>0.76948108589874298</v>
      </c>
      <c r="J229" s="26">
        <f>IF(G$320=0,0,SUM(G$17:G229)/G$320)</f>
        <v>0</v>
      </c>
      <c r="K229" s="26">
        <f>SUM(H$17:H229)/H$320</f>
        <v>0.76948108589874298</v>
      </c>
      <c r="L229" s="26"/>
      <c r="M229" s="26"/>
      <c r="N229" s="27">
        <f t="shared" si="214"/>
        <v>0.65113434001331516</v>
      </c>
      <c r="O229" s="27">
        <f t="shared" si="215"/>
        <v>0</v>
      </c>
      <c r="P229" s="26">
        <f t="shared" si="216"/>
        <v>0.65113434001331516</v>
      </c>
      <c r="Q229" s="26">
        <f>IF(N$320=0,0,SUM(N$17:N229)/N$320)</f>
        <v>0.76639228318090813</v>
      </c>
      <c r="R229" s="26">
        <f>IF(O$320=0,0,SUM(O$17:O229)/O$320)</f>
        <v>0</v>
      </c>
      <c r="S229" s="26">
        <f>SUM(P$17:P229)/P$320</f>
        <v>0.76639228318090813</v>
      </c>
    </row>
    <row r="230" spans="1:19" x14ac:dyDescent="0.4">
      <c r="A230" s="6">
        <f t="shared" si="210"/>
        <v>84.051038058075576</v>
      </c>
      <c r="B230" s="25">
        <f t="shared" ref="B230:C230" si="236">C$4*EXP(-0.5*(LN($A230)-LN(C$5))^2/(LN(C$6))^2)/($A230*SQRT(2*PI())*LN(C$6))</f>
        <v>0.21967264324858532</v>
      </c>
      <c r="C230" s="25">
        <f t="shared" si="236"/>
        <v>0</v>
      </c>
      <c r="D230" s="27">
        <f t="shared" si="212"/>
        <v>0.21967264324858532</v>
      </c>
      <c r="E230" s="27"/>
      <c r="F230" s="26">
        <f t="shared" si="213"/>
        <v>0.64770438210133718</v>
      </c>
      <c r="G230" s="26">
        <f t="shared" si="213"/>
        <v>0</v>
      </c>
      <c r="H230" s="26">
        <f t="shared" si="213"/>
        <v>0.64770438210133718</v>
      </c>
      <c r="I230" s="26">
        <f>IF(F$320=0,0,SUM(F$17:F230)/F$320)</f>
        <v>0.77587864790378958</v>
      </c>
      <c r="J230" s="26">
        <f>IF(G$320=0,0,SUM(G$17:G230)/G$320)</f>
        <v>0</v>
      </c>
      <c r="K230" s="26">
        <f>SUM(H$17:H230)/H$320</f>
        <v>0.77587864790378958</v>
      </c>
      <c r="L230" s="26"/>
      <c r="M230" s="26"/>
      <c r="N230" s="27">
        <f t="shared" si="214"/>
        <v>0.64147665963778522</v>
      </c>
      <c r="O230" s="27">
        <f t="shared" si="215"/>
        <v>0</v>
      </c>
      <c r="P230" s="26">
        <f t="shared" si="216"/>
        <v>0.64147665963778522</v>
      </c>
      <c r="Q230" s="26">
        <f>IF(N$320=0,0,SUM(N$17:N230)/N$320)</f>
        <v>0.77283928478530806</v>
      </c>
      <c r="R230" s="26">
        <f>IF(O$320=0,0,SUM(O$17:O230)/O$320)</f>
        <v>0</v>
      </c>
      <c r="S230" s="26">
        <f>SUM(P$17:P230)/P$320</f>
        <v>0.77283928478530806</v>
      </c>
    </row>
    <row r="231" spans="1:19" x14ac:dyDescent="0.4">
      <c r="A231" s="6">
        <f t="shared" si="210"/>
        <v>86.999536207516897</v>
      </c>
      <c r="B231" s="25">
        <f t="shared" ref="B231:C231" si="237">C$4*EXP(-0.5*(LN($A231)-LN(C$5))^2/(LN(C$6))^2)/($A231*SQRT(2*PI())*LN(C$6))</f>
        <v>0.20894271274208021</v>
      </c>
      <c r="C231" s="25">
        <f t="shared" si="237"/>
        <v>0</v>
      </c>
      <c r="D231" s="27">
        <f t="shared" si="212"/>
        <v>0.20894271274208021</v>
      </c>
      <c r="E231" s="27"/>
      <c r="F231" s="26">
        <f t="shared" si="213"/>
        <v>0.63767874939731173</v>
      </c>
      <c r="G231" s="26">
        <f t="shared" si="213"/>
        <v>0</v>
      </c>
      <c r="H231" s="26">
        <f t="shared" si="213"/>
        <v>0.63767874939731173</v>
      </c>
      <c r="I231" s="26">
        <f>IF(F$320=0,0,SUM(F$17:F231)/F$320)</f>
        <v>0.78217718385831636</v>
      </c>
      <c r="J231" s="26">
        <f>IF(G$320=0,0,SUM(G$17:G231)/G$320)</f>
        <v>0</v>
      </c>
      <c r="K231" s="26">
        <f>SUM(H$17:H231)/H$320</f>
        <v>0.78217718385831636</v>
      </c>
      <c r="L231" s="26"/>
      <c r="M231" s="26"/>
      <c r="N231" s="27">
        <f t="shared" si="214"/>
        <v>0.63168589949452736</v>
      </c>
      <c r="O231" s="27">
        <f t="shared" si="215"/>
        <v>0</v>
      </c>
      <c r="P231" s="26">
        <f t="shared" si="216"/>
        <v>0.63168589949452736</v>
      </c>
      <c r="Q231" s="26">
        <f>IF(N$320=0,0,SUM(N$17:N231)/N$320)</f>
        <v>0.77918788679027817</v>
      </c>
      <c r="R231" s="26">
        <f>IF(O$320=0,0,SUM(O$17:O231)/O$320)</f>
        <v>0</v>
      </c>
      <c r="S231" s="26">
        <f>SUM(P$17:P231)/P$320</f>
        <v>0.77918788679027817</v>
      </c>
    </row>
    <row r="232" spans="1:19" x14ac:dyDescent="0.4">
      <c r="A232" s="6">
        <f t="shared" si="210"/>
        <v>90.051467241763902</v>
      </c>
      <c r="B232" s="25">
        <f t="shared" ref="B232:C232" si="238">C$4*EXP(-0.5*(LN($A232)-LN(C$5))^2/(LN(C$6))^2)/($A232*SQRT(2*PI())*LN(C$6))</f>
        <v>0.19864998649259011</v>
      </c>
      <c r="C232" s="25">
        <f t="shared" si="238"/>
        <v>0</v>
      </c>
      <c r="D232" s="27">
        <f t="shared" si="212"/>
        <v>0.19864998649259011</v>
      </c>
      <c r="E232" s="27"/>
      <c r="F232" s="26">
        <f t="shared" si="213"/>
        <v>0.62753378359681977</v>
      </c>
      <c r="G232" s="26">
        <f t="shared" si="213"/>
        <v>0</v>
      </c>
      <c r="H232" s="26">
        <f t="shared" si="213"/>
        <v>0.62753378359681977</v>
      </c>
      <c r="I232" s="26">
        <f>IF(F$320=0,0,SUM(F$17:F232)/F$320)</f>
        <v>0.78837551507509351</v>
      </c>
      <c r="J232" s="26">
        <f>IF(G$320=0,0,SUM(G$17:G232)/G$320)</f>
        <v>0</v>
      </c>
      <c r="K232" s="26">
        <f>SUM(H$17:H232)/H$320</f>
        <v>0.78837551507509351</v>
      </c>
      <c r="L232" s="26"/>
      <c r="M232" s="26"/>
      <c r="N232" s="27">
        <f t="shared" si="214"/>
        <v>0.62177258737228236</v>
      </c>
      <c r="O232" s="27">
        <f t="shared" si="215"/>
        <v>0</v>
      </c>
      <c r="P232" s="26">
        <f t="shared" si="216"/>
        <v>0.62177258737228236</v>
      </c>
      <c r="Q232" s="26">
        <f>IF(N$320=0,0,SUM(N$17:N232)/N$320)</f>
        <v>0.7854368575176377</v>
      </c>
      <c r="R232" s="26">
        <f>IF(O$320=0,0,SUM(O$17:O232)/O$320)</f>
        <v>0</v>
      </c>
      <c r="S232" s="26">
        <f>SUM(P$17:P232)/P$320</f>
        <v>0.7854368575176377</v>
      </c>
    </row>
    <row r="233" spans="1:19" x14ac:dyDescent="0.4">
      <c r="A233" s="6">
        <f t="shared" si="210"/>
        <v>93.210459571321536</v>
      </c>
      <c r="B233" s="25">
        <f t="shared" ref="B233:C233" si="239">C$4*EXP(-0.5*(LN($A233)-LN(C$5))^2/(LN(C$6))^2)/($A233*SQRT(2*PI())*LN(C$6))</f>
        <v>0.18878170692392457</v>
      </c>
      <c r="C233" s="25">
        <f t="shared" si="239"/>
        <v>0</v>
      </c>
      <c r="D233" s="27">
        <f t="shared" si="212"/>
        <v>0.18878170692392457</v>
      </c>
      <c r="E233" s="27"/>
      <c r="F233" s="26">
        <f t="shared" si="213"/>
        <v>0.61728018464798273</v>
      </c>
      <c r="G233" s="26">
        <f t="shared" si="213"/>
        <v>0</v>
      </c>
      <c r="H233" s="26">
        <f t="shared" si="213"/>
        <v>0.61728018464798273</v>
      </c>
      <c r="I233" s="26">
        <f>IF(F$320=0,0,SUM(F$17:F233)/F$320)</f>
        <v>0.79447256855334869</v>
      </c>
      <c r="J233" s="26">
        <f>IF(G$320=0,0,SUM(G$17:G233)/G$320)</f>
        <v>0</v>
      </c>
      <c r="K233" s="26">
        <f>SUM(H$17:H233)/H$320</f>
        <v>0.79447256855334869</v>
      </c>
      <c r="L233" s="26"/>
      <c r="M233" s="26"/>
      <c r="N233" s="27">
        <f t="shared" si="214"/>
        <v>0.6117472476299457</v>
      </c>
      <c r="O233" s="27">
        <f t="shared" si="215"/>
        <v>0</v>
      </c>
      <c r="P233" s="26">
        <f t="shared" si="216"/>
        <v>0.6117472476299457</v>
      </c>
      <c r="Q233" s="26">
        <f>IF(N$320=0,0,SUM(N$17:N233)/N$320)</f>
        <v>0.79158507106165732</v>
      </c>
      <c r="R233" s="26">
        <f>IF(O$320=0,0,SUM(O$17:O233)/O$320)</f>
        <v>0</v>
      </c>
      <c r="S233" s="26">
        <f>SUM(P$17:P233)/P$320</f>
        <v>0.79158507106165732</v>
      </c>
    </row>
    <row r="234" spans="1:19" x14ac:dyDescent="0.4">
      <c r="A234" s="6">
        <f t="shared" si="210"/>
        <v>96.480268890805732</v>
      </c>
      <c r="B234" s="25">
        <f t="shared" ref="B234:C234" si="240">C$4*EXP(-0.5*(LN($A234)-LN(C$5))^2/(LN(C$6))^2)/($A234*SQRT(2*PI())*LN(C$6))</f>
        <v>0.17932520461825843</v>
      </c>
      <c r="C234" s="25">
        <f t="shared" si="240"/>
        <v>0</v>
      </c>
      <c r="D234" s="27">
        <f t="shared" si="212"/>
        <v>0.17932520461825843</v>
      </c>
      <c r="E234" s="27"/>
      <c r="F234" s="26">
        <f t="shared" si="213"/>
        <v>0.60692862133411263</v>
      </c>
      <c r="G234" s="26">
        <f t="shared" si="213"/>
        <v>0</v>
      </c>
      <c r="H234" s="26">
        <f t="shared" si="213"/>
        <v>0.60692862133411263</v>
      </c>
      <c r="I234" s="26">
        <f>IF(F$320=0,0,SUM(F$17:F234)/F$320)</f>
        <v>0.8004673766709427</v>
      </c>
      <c r="J234" s="26">
        <f>IF(G$320=0,0,SUM(G$17:G234)/G$320)</f>
        <v>0</v>
      </c>
      <c r="K234" s="26">
        <f>SUM(H$17:H234)/H$320</f>
        <v>0.8004673766709427</v>
      </c>
      <c r="L234" s="26"/>
      <c r="M234" s="26"/>
      <c r="N234" s="27">
        <f t="shared" si="214"/>
        <v>0.60162038299033105</v>
      </c>
      <c r="O234" s="27">
        <f t="shared" si="215"/>
        <v>0</v>
      </c>
      <c r="P234" s="26">
        <f t="shared" si="216"/>
        <v>0.60162038299033105</v>
      </c>
      <c r="Q234" s="26">
        <f>IF(N$320=0,0,SUM(N$17:N234)/N$320)</f>
        <v>0.79763150707161035</v>
      </c>
      <c r="R234" s="26">
        <f>IF(O$320=0,0,SUM(O$17:O234)/O$320)</f>
        <v>0</v>
      </c>
      <c r="S234" s="26">
        <f>SUM(P$17:P234)/P$320</f>
        <v>0.79763150707161035</v>
      </c>
    </row>
    <row r="235" spans="1:19" x14ac:dyDescent="0.4">
      <c r="A235" s="6">
        <f t="shared" si="210"/>
        <v>99.86478264405153</v>
      </c>
      <c r="B235" s="25">
        <f t="shared" ref="B235:C235" si="241">C$4*EXP(-0.5*(LN($A235)-LN(C$5))^2/(LN(C$6))^2)/($A235*SQRT(2*PI())*LN(C$6))</f>
        <v>0.17026791553942153</v>
      </c>
      <c r="C235" s="25">
        <f t="shared" si="241"/>
        <v>0</v>
      </c>
      <c r="D235" s="27">
        <f t="shared" si="212"/>
        <v>0.17026791553942153</v>
      </c>
      <c r="E235" s="27"/>
      <c r="F235" s="26">
        <f t="shared" si="213"/>
        <v>0.59648971327744282</v>
      </c>
      <c r="G235" s="26">
        <f t="shared" si="213"/>
        <v>0</v>
      </c>
      <c r="H235" s="26">
        <f t="shared" si="213"/>
        <v>0.59648971327744282</v>
      </c>
      <c r="I235" s="26">
        <f>IF(F$320=0,0,SUM(F$17:F235)/F$320)</f>
        <v>0.80635907669879259</v>
      </c>
      <c r="J235" s="26">
        <f>IF(G$320=0,0,SUM(G$17:G235)/G$320)</f>
        <v>0</v>
      </c>
      <c r="K235" s="26">
        <f>SUM(H$17:H235)/H$320</f>
        <v>0.80635907669879259</v>
      </c>
      <c r="L235" s="26"/>
      <c r="M235" s="26"/>
      <c r="N235" s="27">
        <f t="shared" si="214"/>
        <v>0.59140245667014257</v>
      </c>
      <c r="O235" s="27">
        <f t="shared" si="215"/>
        <v>0</v>
      </c>
      <c r="P235" s="26">
        <f t="shared" si="216"/>
        <v>0.59140245667014257</v>
      </c>
      <c r="Q235" s="26">
        <f>IF(N$320=0,0,SUM(N$17:N235)/N$320)</f>
        <v>0.80357525035472732</v>
      </c>
      <c r="R235" s="26">
        <f>IF(O$320=0,0,SUM(O$17:O235)/O$320)</f>
        <v>0</v>
      </c>
      <c r="S235" s="26">
        <f>SUM(P$17:P235)/P$320</f>
        <v>0.80357525035472732</v>
      </c>
    </row>
    <row r="236" spans="1:19" x14ac:dyDescent="0.4">
      <c r="A236" s="6">
        <f t="shared" si="210"/>
        <v>103.36802464585627</v>
      </c>
      <c r="B236" s="25">
        <f t="shared" ref="B236:C236" si="242">C$4*EXP(-0.5*(LN($A236)-LN(C$5))^2/(LN(C$6))^2)/($A236*SQRT(2*PI())*LN(C$6))</f>
        <v>0.16159739717260269</v>
      </c>
      <c r="C236" s="25">
        <f t="shared" si="242"/>
        <v>0</v>
      </c>
      <c r="D236" s="27">
        <f t="shared" si="212"/>
        <v>0.16159739717260269</v>
      </c>
      <c r="E236" s="27"/>
      <c r="F236" s="26">
        <f t="shared" si="213"/>
        <v>0.58597401334743371</v>
      </c>
      <c r="G236" s="26">
        <f t="shared" si="213"/>
        <v>0</v>
      </c>
      <c r="H236" s="26">
        <f t="shared" si="213"/>
        <v>0.58597401334743371</v>
      </c>
      <c r="I236" s="26">
        <f>IF(F$320=0,0,SUM(F$17:F236)/F$320)</f>
        <v>0.81214691014153395</v>
      </c>
      <c r="J236" s="26">
        <f>IF(G$320=0,0,SUM(G$17:G236)/G$320)</f>
        <v>0</v>
      </c>
      <c r="K236" s="26">
        <f>SUM(H$17:H236)/H$320</f>
        <v>0.81214691014153395</v>
      </c>
      <c r="L236" s="26"/>
      <c r="M236" s="26"/>
      <c r="N236" s="27">
        <f t="shared" si="214"/>
        <v>0.58110387488785609</v>
      </c>
      <c r="O236" s="27">
        <f t="shared" si="215"/>
        <v>0</v>
      </c>
      <c r="P236" s="26">
        <f t="shared" si="216"/>
        <v>0.58110387488785609</v>
      </c>
      <c r="Q236" s="26">
        <f>IF(N$320=0,0,SUM(N$17:N236)/N$320)</f>
        <v>0.80941549030334903</v>
      </c>
      <c r="R236" s="26">
        <f>IF(O$320=0,0,SUM(O$17:O236)/O$320)</f>
        <v>0</v>
      </c>
      <c r="S236" s="26">
        <f>SUM(P$17:P236)/P$320</f>
        <v>0.80941549030334903</v>
      </c>
    </row>
    <row r="237" spans="1:19" x14ac:dyDescent="0.4">
      <c r="A237" s="6">
        <f t="shared" si="210"/>
        <v>106.99415986585336</v>
      </c>
      <c r="B237" s="25">
        <f t="shared" ref="B237:C237" si="243">C$4*EXP(-0.5*(LN($A237)-LN(C$5))^2/(LN(C$6))^2)/($A237*SQRT(2*PI())*LN(C$6))</f>
        <v>0.15330134359347358</v>
      </c>
      <c r="C237" s="25">
        <f t="shared" si="243"/>
        <v>0</v>
      </c>
      <c r="D237" s="27">
        <f t="shared" si="212"/>
        <v>0.15330134359347358</v>
      </c>
      <c r="E237" s="27"/>
      <c r="F237" s="26">
        <f t="shared" si="213"/>
        <v>0.57539199051229184</v>
      </c>
      <c r="G237" s="26">
        <f t="shared" si="213"/>
        <v>0</v>
      </c>
      <c r="H237" s="26">
        <f t="shared" si="213"/>
        <v>0.57539199051229184</v>
      </c>
      <c r="I237" s="26">
        <f>IF(F$320=0,0,SUM(F$17:F237)/F$320)</f>
        <v>0.81783022190880494</v>
      </c>
      <c r="J237" s="26">
        <f>IF(G$320=0,0,SUM(G$17:G237)/G$320)</f>
        <v>0</v>
      </c>
      <c r="K237" s="26">
        <f>SUM(H$17:H237)/H$320</f>
        <v>0.81783022190880494</v>
      </c>
      <c r="L237" s="26"/>
      <c r="M237" s="26"/>
      <c r="N237" s="27">
        <f t="shared" si="214"/>
        <v>0.57073496978817806</v>
      </c>
      <c r="O237" s="27">
        <f t="shared" si="215"/>
        <v>0</v>
      </c>
      <c r="P237" s="26">
        <f t="shared" si="216"/>
        <v>0.57073496978817806</v>
      </c>
      <c r="Q237" s="26">
        <f>IF(N$320=0,0,SUM(N$17:N237)/N$320)</f>
        <v>0.81515152015046644</v>
      </c>
      <c r="R237" s="26">
        <f>IF(O$320=0,0,SUM(O$17:O237)/O$320)</f>
        <v>0</v>
      </c>
      <c r="S237" s="26">
        <f>SUM(P$17:P237)/P$320</f>
        <v>0.81515152015046644</v>
      </c>
    </row>
    <row r="238" spans="1:19" x14ac:dyDescent="0.4">
      <c r="A238" s="6">
        <f t="shared" si="210"/>
        <v>110.74749938020311</v>
      </c>
      <c r="B238" s="25">
        <f t="shared" ref="B238:C238" si="244">C$4*EXP(-0.5*(LN($A238)-LN(C$5))^2/(LN(C$6))^2)/($A238*SQRT(2*PI())*LN(C$6))</f>
        <v>0.14536759948227493</v>
      </c>
      <c r="C238" s="25">
        <f t="shared" si="244"/>
        <v>0</v>
      </c>
      <c r="D238" s="27">
        <f t="shared" si="212"/>
        <v>0.14536759948227493</v>
      </c>
      <c r="E238" s="27"/>
      <c r="F238" s="26">
        <f t="shared" si="213"/>
        <v>0.56475401317102836</v>
      </c>
      <c r="G238" s="26">
        <f t="shared" si="213"/>
        <v>0</v>
      </c>
      <c r="H238" s="26">
        <f t="shared" si="213"/>
        <v>0.56475401317102836</v>
      </c>
      <c r="I238" s="26">
        <f>IF(F$320=0,0,SUM(F$17:F238)/F$320)</f>
        <v>0.82340845932189566</v>
      </c>
      <c r="J238" s="26">
        <f>IF(G$320=0,0,SUM(G$17:G238)/G$320)</f>
        <v>0</v>
      </c>
      <c r="K238" s="26">
        <f>SUM(H$17:H238)/H$320</f>
        <v>0.82340845932189566</v>
      </c>
      <c r="L238" s="26"/>
      <c r="M238" s="26"/>
      <c r="N238" s="27">
        <f t="shared" si="214"/>
        <v>0.56030598282075239</v>
      </c>
      <c r="O238" s="27">
        <f t="shared" si="215"/>
        <v>0</v>
      </c>
      <c r="P238" s="26">
        <f t="shared" si="216"/>
        <v>0.56030598282075239</v>
      </c>
      <c r="Q238" s="26">
        <f>IF(N$320=0,0,SUM(N$17:N238)/N$320)</f>
        <v>0.82078273605821261</v>
      </c>
      <c r="R238" s="26">
        <f>IF(O$320=0,0,SUM(O$17:O238)/O$320)</f>
        <v>0</v>
      </c>
      <c r="S238" s="26">
        <f>SUM(P$17:P238)/P$320</f>
        <v>0.82078273605821261</v>
      </c>
    </row>
    <row r="239" spans="1:19" x14ac:dyDescent="0.4">
      <c r="A239" s="6">
        <f t="shared" si="210"/>
        <v>114.63250549698837</v>
      </c>
      <c r="B239" s="25">
        <f t="shared" ref="B239:C239" si="245">C$4*EXP(-0.5*(LN($A239)-LN(C$5))^2/(LN(C$6))^2)/($A239*SQRT(2*PI())*LN(C$6))</f>
        <v>0.13778417310076432</v>
      </c>
      <c r="C239" s="25">
        <f t="shared" si="245"/>
        <v>0</v>
      </c>
      <c r="D239" s="27">
        <f t="shared" si="212"/>
        <v>0.13778417310076432</v>
      </c>
      <c r="E239" s="27"/>
      <c r="F239" s="26">
        <f t="shared" si="213"/>
        <v>0.5540703330006902</v>
      </c>
      <c r="G239" s="26">
        <f t="shared" si="213"/>
        <v>0</v>
      </c>
      <c r="H239" s="26">
        <f t="shared" si="213"/>
        <v>0.5540703330006902</v>
      </c>
      <c r="I239" s="26">
        <f>IF(F$320=0,0,SUM(F$17:F239)/F$320)</f>
        <v>0.82888117096085157</v>
      </c>
      <c r="J239" s="26">
        <f>IF(G$320=0,0,SUM(G$17:G239)/G$320)</f>
        <v>0</v>
      </c>
      <c r="K239" s="26">
        <f>SUM(H$17:H239)/H$320</f>
        <v>0.82888117096085157</v>
      </c>
      <c r="L239" s="26"/>
      <c r="M239" s="26"/>
      <c r="N239" s="27">
        <f t="shared" si="214"/>
        <v>0.54982704860820908</v>
      </c>
      <c r="O239" s="27">
        <f t="shared" si="215"/>
        <v>0</v>
      </c>
      <c r="P239" s="26">
        <f t="shared" si="216"/>
        <v>0.54982704860820908</v>
      </c>
      <c r="Q239" s="26">
        <f>IF(N$320=0,0,SUM(N$17:N239)/N$320)</f>
        <v>0.82630863604422478</v>
      </c>
      <c r="R239" s="26">
        <f>IF(O$320=0,0,SUM(O$17:O239)/O$320)</f>
        <v>0</v>
      </c>
      <c r="S239" s="26">
        <f>SUM(P$17:P239)/P$320</f>
        <v>0.82630863604422478</v>
      </c>
    </row>
    <row r="240" spans="1:19" x14ac:dyDescent="0.4">
      <c r="A240" s="6">
        <f t="shared" si="210"/>
        <v>118.65379706140838</v>
      </c>
      <c r="B240" s="25">
        <f t="shared" ref="B240:C240" si="246">C$4*EXP(-0.5*(LN($A240)-LN(C$5))^2/(LN(C$6))^2)/($A240*SQRT(2*PI())*LN(C$6))</f>
        <v>0.13053924825210331</v>
      </c>
      <c r="C240" s="25">
        <f t="shared" si="246"/>
        <v>0</v>
      </c>
      <c r="D240" s="27">
        <f t="shared" si="212"/>
        <v>0.13053924825210331</v>
      </c>
      <c r="E240" s="27"/>
      <c r="F240" s="26">
        <f t="shared" si="213"/>
        <v>0.54335106935151356</v>
      </c>
      <c r="G240" s="26">
        <f t="shared" si="213"/>
        <v>0</v>
      </c>
      <c r="H240" s="26">
        <f t="shared" si="213"/>
        <v>0.54335106935151356</v>
      </c>
      <c r="I240" s="26">
        <f>IF(F$320=0,0,SUM(F$17:F240)/F$320)</f>
        <v>0.83424800535744337</v>
      </c>
      <c r="J240" s="26">
        <f>IF(G$320=0,0,SUM(G$17:G240)/G$320)</f>
        <v>0</v>
      </c>
      <c r="K240" s="26">
        <f>SUM(H$17:H240)/H$320</f>
        <v>0.83424800535744337</v>
      </c>
      <c r="L240" s="26"/>
      <c r="M240" s="26"/>
      <c r="N240" s="27">
        <f t="shared" si="214"/>
        <v>0.53930817933706132</v>
      </c>
      <c r="O240" s="27">
        <f t="shared" si="215"/>
        <v>0</v>
      </c>
      <c r="P240" s="26">
        <f t="shared" si="216"/>
        <v>0.53930817933706132</v>
      </c>
      <c r="Q240" s="26">
        <f>IF(N$320=0,0,SUM(N$17:N240)/N$320)</f>
        <v>0.83172881875112981</v>
      </c>
      <c r="R240" s="26">
        <f>IF(O$320=0,0,SUM(O$17:O240)/O$320)</f>
        <v>0</v>
      </c>
      <c r="S240" s="26">
        <f>SUM(P$17:P240)/P$320</f>
        <v>0.83172881875112981</v>
      </c>
    </row>
    <row r="241" spans="1:19" x14ac:dyDescent="0.4">
      <c r="A241" s="6">
        <f t="shared" si="210"/>
        <v>122.81615494707791</v>
      </c>
      <c r="B241" s="25">
        <f t="shared" ref="B241:C241" si="247">C$4*EXP(-0.5*(LN($A241)-LN(C$5))^2/(LN(C$6))^2)/($A241*SQRT(2*PI())*LN(C$6))</f>
        <v>0.12362119524575728</v>
      </c>
      <c r="C241" s="25">
        <f t="shared" si="247"/>
        <v>0</v>
      </c>
      <c r="D241" s="27">
        <f t="shared" si="212"/>
        <v>0.12362119524575728</v>
      </c>
      <c r="E241" s="27"/>
      <c r="F241" s="26">
        <f t="shared" si="213"/>
        <v>0.53260619422044242</v>
      </c>
      <c r="G241" s="26">
        <f t="shared" si="213"/>
        <v>0</v>
      </c>
      <c r="H241" s="26">
        <f t="shared" si="213"/>
        <v>0.53260619422044242</v>
      </c>
      <c r="I241" s="26">
        <f>IF(F$320=0,0,SUM(F$17:F241)/F$320)</f>
        <v>0.83950870953971657</v>
      </c>
      <c r="J241" s="26">
        <f>IF(G$320=0,0,SUM(G$17:G241)/G$320)</f>
        <v>0</v>
      </c>
      <c r="K241" s="26">
        <f>SUM(H$17:H241)/H$320</f>
        <v>0.83950870953971657</v>
      </c>
      <c r="L241" s="26"/>
      <c r="M241" s="26"/>
      <c r="N241" s="27">
        <f t="shared" si="214"/>
        <v>0.5287592497020932</v>
      </c>
      <c r="O241" s="27">
        <f t="shared" si="215"/>
        <v>0</v>
      </c>
      <c r="P241" s="26">
        <f t="shared" si="216"/>
        <v>0.5287592497020932</v>
      </c>
      <c r="Q241" s="26">
        <f>IF(N$320=0,0,SUM(N$17:N241)/N$320)</f>
        <v>0.83704298206471872</v>
      </c>
      <c r="R241" s="26">
        <f>IF(O$320=0,0,SUM(O$17:O241)/O$320)</f>
        <v>0</v>
      </c>
      <c r="S241" s="26">
        <f>SUM(P$17:P241)/P$320</f>
        <v>0.83704298206471872</v>
      </c>
    </row>
    <row r="242" spans="1:19" x14ac:dyDescent="0.4">
      <c r="A242" s="6">
        <f t="shared" si="210"/>
        <v>127.12452773996046</v>
      </c>
      <c r="B242" s="25">
        <f t="shared" ref="B242:C242" si="248">C$4*EXP(-0.5*(LN($A242)-LN(C$5))^2/(LN(C$6))^2)/($A242*SQRT(2*PI())*LN(C$6))</f>
        <v>0.11701858089129905</v>
      </c>
      <c r="C242" s="25">
        <f t="shared" si="248"/>
        <v>0</v>
      </c>
      <c r="D242" s="27">
        <f t="shared" si="212"/>
        <v>0.11701858089129905</v>
      </c>
      <c r="E242" s="27"/>
      <c r="F242" s="26">
        <f t="shared" si="213"/>
        <v>0.52184551783106714</v>
      </c>
      <c r="G242" s="26">
        <f t="shared" si="213"/>
        <v>0</v>
      </c>
      <c r="H242" s="26">
        <f t="shared" si="213"/>
        <v>0.52184551783106714</v>
      </c>
      <c r="I242" s="26">
        <f>IF(F$320=0,0,SUM(F$17:F242)/F$320)</f>
        <v>0.84466312743410954</v>
      </c>
      <c r="J242" s="26">
        <f>IF(G$320=0,0,SUM(G$17:G242)/G$320)</f>
        <v>0</v>
      </c>
      <c r="K242" s="26">
        <f>SUM(H$17:H242)/H$320</f>
        <v>0.84466312743410954</v>
      </c>
      <c r="L242" s="26"/>
      <c r="M242" s="26"/>
      <c r="N242" s="27">
        <f t="shared" si="214"/>
        <v>0.51818998243329251</v>
      </c>
      <c r="O242" s="27">
        <f t="shared" si="215"/>
        <v>0</v>
      </c>
      <c r="P242" s="26">
        <f t="shared" si="216"/>
        <v>0.51818998243329251</v>
      </c>
      <c r="Q242" s="26">
        <f>IF(N$320=0,0,SUM(N$17:N242)/N$320)</f>
        <v>0.84225092158666137</v>
      </c>
      <c r="R242" s="26">
        <f>IF(O$320=0,0,SUM(O$17:O242)/O$320)</f>
        <v>0</v>
      </c>
      <c r="S242" s="26">
        <f>SUM(P$17:P242)/P$320</f>
        <v>0.84225092158666137</v>
      </c>
    </row>
    <row r="243" spans="1:19" x14ac:dyDescent="0.4">
      <c r="A243" s="6">
        <f t="shared" si="210"/>
        <v>131.584037621693</v>
      </c>
      <c r="B243" s="25">
        <f t="shared" ref="B243:C243" si="249">C$4*EXP(-0.5*(LN($A243)-LN(C$5))^2/(LN(C$6))^2)/($A243*SQRT(2*PI())*LN(C$6))</f>
        <v>0.11072017754664996</v>
      </c>
      <c r="C243" s="25">
        <f t="shared" si="249"/>
        <v>0</v>
      </c>
      <c r="D243" s="27">
        <f t="shared" si="212"/>
        <v>0.11072017754664996</v>
      </c>
      <c r="E243" s="27"/>
      <c r="F243" s="26">
        <f t="shared" si="213"/>
        <v>0.51107867484574954</v>
      </c>
      <c r="G243" s="26">
        <f t="shared" si="213"/>
        <v>0</v>
      </c>
      <c r="H243" s="26">
        <f t="shared" si="213"/>
        <v>0.51107867484574954</v>
      </c>
      <c r="I243" s="26">
        <f>IF(F$320=0,0,SUM(F$17:F243)/F$320)</f>
        <v>0.84971119813138496</v>
      </c>
      <c r="J243" s="26">
        <f>IF(G$320=0,0,SUM(G$17:G243)/G$320)</f>
        <v>0</v>
      </c>
      <c r="K243" s="26">
        <f>SUM(H$17:H243)/H$320</f>
        <v>0.84971119813138496</v>
      </c>
      <c r="L243" s="26"/>
      <c r="M243" s="26"/>
      <c r="N243" s="27">
        <f t="shared" si="214"/>
        <v>0.5076099344314855</v>
      </c>
      <c r="O243" s="27">
        <f t="shared" si="215"/>
        <v>0</v>
      </c>
      <c r="P243" s="26">
        <f t="shared" si="216"/>
        <v>0.5076099344314855</v>
      </c>
      <c r="Q243" s="26">
        <f>IF(N$320=0,0,SUM(N$17:N243)/N$320)</f>
        <v>0.84735252896788238</v>
      </c>
      <c r="R243" s="26">
        <f>IF(O$320=0,0,SUM(O$17:O243)/O$320)</f>
        <v>0</v>
      </c>
      <c r="S243" s="26">
        <f>SUM(P$17:P243)/P$320</f>
        <v>0.84735252896788238</v>
      </c>
    </row>
    <row r="244" spans="1:19" x14ac:dyDescent="0.4">
      <c r="A244" s="6">
        <f t="shared" si="210"/>
        <v>136.19998645929684</v>
      </c>
      <c r="B244" s="25">
        <f t="shared" ref="B244:C244" si="250">C$4*EXP(-0.5*(LN($A244)-LN(C$5))^2/(LN(C$6))^2)/($A244*SQRT(2*PI())*LN(C$6))</f>
        <v>0.10471497124776093</v>
      </c>
      <c r="C244" s="25">
        <f t="shared" si="250"/>
        <v>0</v>
      </c>
      <c r="D244" s="27">
        <f t="shared" si="212"/>
        <v>0.10471497124776093</v>
      </c>
      <c r="E244" s="27"/>
      <c r="F244" s="26">
        <f t="shared" si="213"/>
        <v>0.50031511123323436</v>
      </c>
      <c r="G244" s="26">
        <f t="shared" si="213"/>
        <v>0</v>
      </c>
      <c r="H244" s="26">
        <f t="shared" si="213"/>
        <v>0.50031511123323436</v>
      </c>
      <c r="I244" s="26">
        <f>IF(F$320=0,0,SUM(F$17:F244)/F$320)</f>
        <v>0.85465295402284902</v>
      </c>
      <c r="J244" s="26">
        <f>IF(G$320=0,0,SUM(G$17:G244)/G$320)</f>
        <v>0</v>
      </c>
      <c r="K244" s="26">
        <f>SUM(H$17:H244)/H$320</f>
        <v>0.85465295402284902</v>
      </c>
      <c r="L244" s="26"/>
      <c r="M244" s="26"/>
      <c r="N244" s="27">
        <f t="shared" si="214"/>
        <v>0.49702848353729845</v>
      </c>
      <c r="O244" s="27">
        <f t="shared" si="215"/>
        <v>0</v>
      </c>
      <c r="P244" s="26">
        <f t="shared" si="216"/>
        <v>0.49702848353729845</v>
      </c>
      <c r="Q244" s="26">
        <f>IF(N$320=0,0,SUM(N$17:N244)/N$320)</f>
        <v>0.85234779010896067</v>
      </c>
      <c r="R244" s="26">
        <f>IF(O$320=0,0,SUM(O$17:O244)/O$320)</f>
        <v>0</v>
      </c>
      <c r="S244" s="26">
        <f>SUM(P$17:P244)/P$320</f>
        <v>0.85234779010896067</v>
      </c>
    </row>
    <row r="245" spans="1:19" x14ac:dyDescent="0.4">
      <c r="A245" s="6">
        <f t="shared" si="210"/>
        <v>140.97786210851478</v>
      </c>
      <c r="B245" s="25">
        <f t="shared" ref="B245:C245" si="251">C$4*EXP(-0.5*(LN($A245)-LN(C$5))^2/(LN(C$6))^2)/($A245*SQRT(2*PI())*LN(C$6))</f>
        <v>9.8992168948033366E-2</v>
      </c>
      <c r="C245" s="25">
        <f t="shared" si="251"/>
        <v>0</v>
      </c>
      <c r="D245" s="27">
        <f t="shared" si="212"/>
        <v>9.8992168948033366E-2</v>
      </c>
      <c r="E245" s="27"/>
      <c r="F245" s="26">
        <f t="shared" si="213"/>
        <v>0.48956407181251738</v>
      </c>
      <c r="G245" s="26">
        <f t="shared" si="213"/>
        <v>0</v>
      </c>
      <c r="H245" s="26">
        <f t="shared" si="213"/>
        <v>0.48956407181251738</v>
      </c>
      <c r="I245" s="26">
        <f>IF(F$320=0,0,SUM(F$17:F245)/F$320)</f>
        <v>0.85948851881353727</v>
      </c>
      <c r="J245" s="26">
        <f>IF(G$320=0,0,SUM(G$17:G245)/G$320)</f>
        <v>0</v>
      </c>
      <c r="K245" s="26">
        <f>SUM(H$17:H245)/H$320</f>
        <v>0.85948851881353727</v>
      </c>
      <c r="L245" s="26"/>
      <c r="M245" s="26"/>
      <c r="N245" s="27">
        <f t="shared" si="214"/>
        <v>0.48645481595447349</v>
      </c>
      <c r="O245" s="27">
        <f t="shared" si="215"/>
        <v>0</v>
      </c>
      <c r="P245" s="26">
        <f t="shared" si="216"/>
        <v>0.48645481595447349</v>
      </c>
      <c r="Q245" s="26">
        <f>IF(N$320=0,0,SUM(N$17:N245)/N$320)</f>
        <v>0.85723678323413122</v>
      </c>
      <c r="R245" s="26">
        <f>IF(O$320=0,0,SUM(O$17:O245)/O$320)</f>
        <v>0</v>
      </c>
      <c r="S245" s="26">
        <f>SUM(P$17:P245)/P$320</f>
        <v>0.85723678323413122</v>
      </c>
    </row>
    <row r="246" spans="1:19" x14ac:dyDescent="0.4">
      <c r="A246" s="6">
        <f t="shared" si="210"/>
        <v>145.92334493826789</v>
      </c>
      <c r="B246" s="25">
        <f t="shared" ref="B246:C246" si="252">C$4*EXP(-0.5*(LN($A246)-LN(C$5))^2/(LN(C$6))^2)/($A246*SQRT(2*PI())*LN(C$6))</f>
        <v>9.3541204896916155E-2</v>
      </c>
      <c r="C246" s="25">
        <f t="shared" si="252"/>
        <v>0</v>
      </c>
      <c r="D246" s="27">
        <f t="shared" si="212"/>
        <v>9.3541204896916155E-2</v>
      </c>
      <c r="E246" s="27"/>
      <c r="F246" s="26">
        <f t="shared" si="213"/>
        <v>0.47883458849162808</v>
      </c>
      <c r="G246" s="26">
        <f t="shared" si="213"/>
        <v>0</v>
      </c>
      <c r="H246" s="26">
        <f t="shared" si="213"/>
        <v>0.47883458849162808</v>
      </c>
      <c r="I246" s="26">
        <f>IF(F$320=0,0,SUM(F$17:F246)/F$320)</f>
        <v>0.86421810541923172</v>
      </c>
      <c r="J246" s="26">
        <f>IF(G$320=0,0,SUM(G$17:G246)/G$320)</f>
        <v>0</v>
      </c>
      <c r="K246" s="26">
        <f>SUM(H$17:H246)/H$320</f>
        <v>0.86421810541923172</v>
      </c>
      <c r="L246" s="26"/>
      <c r="M246" s="26"/>
      <c r="N246" s="27">
        <f t="shared" si="214"/>
        <v>0.47589791434730078</v>
      </c>
      <c r="O246" s="27">
        <f t="shared" si="215"/>
        <v>0</v>
      </c>
      <c r="P246" s="26">
        <f t="shared" si="216"/>
        <v>0.47589791434730078</v>
      </c>
      <c r="Q246" s="26">
        <f>IF(N$320=0,0,SUM(N$17:N246)/N$320)</f>
        <v>0.86201967684566194</v>
      </c>
      <c r="R246" s="26">
        <f>IF(O$320=0,0,SUM(O$17:O246)/O$320)</f>
        <v>0</v>
      </c>
      <c r="S246" s="26">
        <f>SUM(P$17:P246)/P$320</f>
        <v>0.86201967684566194</v>
      </c>
    </row>
    <row r="247" spans="1:19" x14ac:dyDescent="0.4">
      <c r="A247" s="6">
        <f t="shared" si="210"/>
        <v>151.04231458399045</v>
      </c>
      <c r="B247" s="25">
        <f t="shared" ref="B247:C247" si="253">C$4*EXP(-0.5*(LN($A247)-LN(C$5))^2/(LN(C$6))^2)/($A247*SQRT(2*PI())*LN(C$6))</f>
        <v>8.8351746188082683E-2</v>
      </c>
      <c r="C247" s="25">
        <f t="shared" si="253"/>
        <v>0</v>
      </c>
      <c r="D247" s="27">
        <f t="shared" si="212"/>
        <v>8.8351746188082683E-2</v>
      </c>
      <c r="E247" s="27"/>
      <c r="F247" s="26">
        <f t="shared" si="213"/>
        <v>0.46813546921673488</v>
      </c>
      <c r="G247" s="26">
        <f t="shared" si="213"/>
        <v>0</v>
      </c>
      <c r="H247" s="26">
        <f t="shared" si="213"/>
        <v>0.46813546921673488</v>
      </c>
      <c r="I247" s="26">
        <f>IF(F$320=0,0,SUM(F$17:F247)/F$320)</f>
        <v>0.86884201375432624</v>
      </c>
      <c r="J247" s="26">
        <f>IF(G$320=0,0,SUM(G$17:G247)/G$320)</f>
        <v>0</v>
      </c>
      <c r="K247" s="26">
        <f>SUM(H$17:H247)/H$320</f>
        <v>0.86884201375432624</v>
      </c>
      <c r="L247" s="26"/>
      <c r="M247" s="26"/>
      <c r="N247" s="27">
        <f t="shared" si="214"/>
        <v>0.4653665466289536</v>
      </c>
      <c r="O247" s="27">
        <f t="shared" si="215"/>
        <v>0</v>
      </c>
      <c r="P247" s="26">
        <f t="shared" si="216"/>
        <v>0.4653665466289536</v>
      </c>
      <c r="Q247" s="26">
        <f>IF(N$320=0,0,SUM(N$17:N247)/N$320)</f>
        <v>0.86669672756555094</v>
      </c>
      <c r="R247" s="26">
        <f>IF(O$320=0,0,SUM(O$17:O247)/O$320)</f>
        <v>0</v>
      </c>
      <c r="S247" s="26">
        <f>SUM(P$17:P247)/P$320</f>
        <v>0.86669672756555094</v>
      </c>
    </row>
    <row r="248" spans="1:19" x14ac:dyDescent="0.4">
      <c r="A248" s="6">
        <f t="shared" si="210"/>
        <v>156.34085693786957</v>
      </c>
      <c r="B248" s="25">
        <f t="shared" ref="B248:C248" si="254">C$4*EXP(-0.5*(LN($A248)-LN(C$5))^2/(LN(C$6))^2)/($A248*SQRT(2*PI())*LN(C$6))</f>
        <v>8.3413697508413695E-2</v>
      </c>
      <c r="C248" s="25">
        <f t="shared" si="254"/>
        <v>0</v>
      </c>
      <c r="D248" s="27">
        <f t="shared" si="212"/>
        <v>8.3413697508413695E-2</v>
      </c>
      <c r="E248" s="27"/>
      <c r="F248" s="26">
        <f t="shared" si="213"/>
        <v>0.45747528764551687</v>
      </c>
      <c r="G248" s="26">
        <f t="shared" si="213"/>
        <v>0</v>
      </c>
      <c r="H248" s="26">
        <f t="shared" si="213"/>
        <v>0.45747528764551687</v>
      </c>
      <c r="I248" s="26">
        <f>IF(F$320=0,0,SUM(F$17:F248)/F$320)</f>
        <v>0.87336062841769102</v>
      </c>
      <c r="J248" s="26">
        <f>IF(G$320=0,0,SUM(G$17:G248)/G$320)</f>
        <v>0</v>
      </c>
      <c r="K248" s="26">
        <f>SUM(H$17:H248)/H$320</f>
        <v>0.87336062841769102</v>
      </c>
      <c r="L248" s="26"/>
      <c r="M248" s="26"/>
      <c r="N248" s="27">
        <f t="shared" si="214"/>
        <v>0.45486925545493717</v>
      </c>
      <c r="O248" s="27">
        <f t="shared" si="215"/>
        <v>0</v>
      </c>
      <c r="P248" s="26">
        <f t="shared" si="216"/>
        <v>0.45486925545493717</v>
      </c>
      <c r="Q248" s="26">
        <f>IF(N$320=0,0,SUM(N$17:N248)/N$320)</f>
        <v>0.87126827787163064</v>
      </c>
      <c r="R248" s="26">
        <f>IF(O$320=0,0,SUM(O$17:O248)/O$320)</f>
        <v>0</v>
      </c>
      <c r="S248" s="26">
        <f>SUM(P$17:P248)/P$320</f>
        <v>0.87126827787163064</v>
      </c>
    </row>
    <row r="249" spans="1:19" x14ac:dyDescent="0.4">
      <c r="A249" s="6">
        <f t="shared" si="210"/>
        <v>161.82527138430234</v>
      </c>
      <c r="B249" s="25">
        <f t="shared" ref="B249:C249" si="255">C$4*EXP(-0.5*(LN($A249)-LN(C$5))^2/(LN(C$6))^2)/($A249*SQRT(2*PI())*LN(C$6))</f>
        <v>7.8717205119671452E-2</v>
      </c>
      <c r="C249" s="25">
        <f t="shared" si="255"/>
        <v>0</v>
      </c>
      <c r="D249" s="27">
        <f t="shared" si="212"/>
        <v>7.8717205119671452E-2</v>
      </c>
      <c r="E249" s="27"/>
      <c r="F249" s="26">
        <f t="shared" si="213"/>
        <v>0.44686237355529418</v>
      </c>
      <c r="G249" s="26">
        <f t="shared" si="213"/>
        <v>0</v>
      </c>
      <c r="H249" s="26">
        <f t="shared" si="213"/>
        <v>0.44686237355529418</v>
      </c>
      <c r="I249" s="26">
        <f>IF(F$320=0,0,SUM(F$17:F249)/F$320)</f>
        <v>0.87777441628379649</v>
      </c>
      <c r="J249" s="26">
        <f>IF(G$320=0,0,SUM(G$17:G249)/G$320)</f>
        <v>0</v>
      </c>
      <c r="K249" s="26">
        <f>SUM(H$17:H249)/H$320</f>
        <v>0.87777441628379649</v>
      </c>
      <c r="L249" s="26"/>
      <c r="M249" s="26"/>
      <c r="N249" s="27">
        <f t="shared" si="214"/>
        <v>0.44441434843366379</v>
      </c>
      <c r="O249" s="27">
        <f t="shared" si="215"/>
        <v>0</v>
      </c>
      <c r="P249" s="26">
        <f t="shared" si="216"/>
        <v>0.44441434843366379</v>
      </c>
      <c r="Q249" s="26">
        <f>IF(N$320=0,0,SUM(N$17:N249)/N$320)</f>
        <v>0.87573475373528564</v>
      </c>
      <c r="R249" s="26">
        <f>IF(O$320=0,0,SUM(O$17:O249)/O$320)</f>
        <v>0</v>
      </c>
      <c r="S249" s="26">
        <f>SUM(P$17:P249)/P$320</f>
        <v>0.87573475373528564</v>
      </c>
    </row>
    <row r="250" spans="1:19" x14ac:dyDescent="0.4">
      <c r="A250" s="6">
        <f t="shared" si="210"/>
        <v>167.50207828917075</v>
      </c>
      <c r="B250" s="25">
        <f t="shared" ref="B250:C250" si="256">C$4*EXP(-0.5*(LN($A250)-LN(C$5))^2/(LN(C$6))^2)/($A250*SQRT(2*PI())*LN(C$6))</f>
        <v>7.4252660105275328E-2</v>
      </c>
      <c r="C250" s="25">
        <f t="shared" si="256"/>
        <v>0</v>
      </c>
      <c r="D250" s="27">
        <f t="shared" si="212"/>
        <v>7.4252660105275328E-2</v>
      </c>
      <c r="E250" s="27"/>
      <c r="F250" s="26">
        <f t="shared" si="213"/>
        <v>0.43630480399476612</v>
      </c>
      <c r="G250" s="26">
        <f t="shared" si="213"/>
        <v>0</v>
      </c>
      <c r="H250" s="26">
        <f t="shared" si="213"/>
        <v>0.43630480399476612</v>
      </c>
      <c r="I250" s="26">
        <f>IF(F$320=0,0,SUM(F$17:F250)/F$320)</f>
        <v>0.88208392400644076</v>
      </c>
      <c r="J250" s="26">
        <f>IF(G$320=0,0,SUM(G$17:G250)/G$320)</f>
        <v>0</v>
      </c>
      <c r="K250" s="26">
        <f>SUM(H$17:H250)/H$320</f>
        <v>0.88208392400644076</v>
      </c>
      <c r="L250" s="26"/>
      <c r="M250" s="26"/>
      <c r="N250" s="27">
        <f t="shared" si="214"/>
        <v>0.43400988906387994</v>
      </c>
      <c r="O250" s="27">
        <f t="shared" si="215"/>
        <v>0</v>
      </c>
      <c r="P250" s="26">
        <f t="shared" si="216"/>
        <v>0.43400988906387994</v>
      </c>
      <c r="Q250" s="26">
        <f>IF(N$320=0,0,SUM(N$17:N250)/N$320)</f>
        <v>0.88009666216808846</v>
      </c>
      <c r="R250" s="26">
        <f>IF(O$320=0,0,SUM(O$17:O250)/O$320)</f>
        <v>0</v>
      </c>
      <c r="S250" s="26">
        <f>SUM(P$17:P250)/P$320</f>
        <v>0.88009666216808846</v>
      </c>
    </row>
    <row r="251" spans="1:19" x14ac:dyDescent="0.4">
      <c r="A251" s="6">
        <f t="shared" si="210"/>
        <v>173.37802675184096</v>
      </c>
      <c r="B251" s="25">
        <f t="shared" ref="B251:C251" si="257">C$4*EXP(-0.5*(LN($A251)-LN(C$5))^2/(LN(C$6))^2)/($A251*SQRT(2*PI())*LN(C$6))</f>
        <v>7.0010700914966417E-2</v>
      </c>
      <c r="C251" s="25">
        <f t="shared" si="257"/>
        <v>0</v>
      </c>
      <c r="D251" s="27">
        <f t="shared" si="212"/>
        <v>7.0010700914966417E-2</v>
      </c>
      <c r="E251" s="27"/>
      <c r="F251" s="26">
        <f t="shared" si="213"/>
        <v>0.42581039518490399</v>
      </c>
      <c r="G251" s="26">
        <f t="shared" si="213"/>
        <v>0</v>
      </c>
      <c r="H251" s="26">
        <f t="shared" si="213"/>
        <v>0.42581039518490399</v>
      </c>
      <c r="I251" s="26">
        <f>IF(F$320=0,0,SUM(F$17:F251)/F$320)</f>
        <v>0.88628977544247856</v>
      </c>
      <c r="J251" s="26">
        <f>IF(G$320=0,0,SUM(G$17:G251)/G$320)</f>
        <v>0</v>
      </c>
      <c r="K251" s="26">
        <f>SUM(H$17:H251)/H$320</f>
        <v>0.88628977544247856</v>
      </c>
      <c r="L251" s="26"/>
      <c r="M251" s="26"/>
      <c r="N251" s="27">
        <f t="shared" si="214"/>
        <v>0.42366368840585089</v>
      </c>
      <c r="O251" s="27">
        <f t="shared" si="215"/>
        <v>0</v>
      </c>
      <c r="P251" s="26">
        <f t="shared" si="216"/>
        <v>0.42366368840585089</v>
      </c>
      <c r="Q251" s="26">
        <f>IF(N$320=0,0,SUM(N$17:N251)/N$320)</f>
        <v>0.88435458868473027</v>
      </c>
      <c r="R251" s="26">
        <f>IF(O$320=0,0,SUM(O$17:O251)/O$320)</f>
        <v>0</v>
      </c>
      <c r="S251" s="26">
        <f>SUM(P$17:P251)/P$320</f>
        <v>0.88435458868473027</v>
      </c>
    </row>
    <row r="252" spans="1:19" x14ac:dyDescent="0.4">
      <c r="A252" s="6">
        <f t="shared" si="210"/>
        <v>179.46010262909985</v>
      </c>
      <c r="B252" s="25">
        <f t="shared" ref="B252:C252" si="258">C$4*EXP(-0.5*(LN($A252)-LN(C$5))^2/(LN(C$6))^2)/($A252*SQRT(2*PI())*LN(C$6))</f>
        <v>6.5982215240401668E-2</v>
      </c>
      <c r="C252" s="25">
        <f t="shared" si="258"/>
        <v>0</v>
      </c>
      <c r="D252" s="27">
        <f t="shared" si="212"/>
        <v>6.5982215240401668E-2</v>
      </c>
      <c r="E252" s="27"/>
      <c r="F252" s="26">
        <f t="shared" si="213"/>
        <v>0.41538669517305032</v>
      </c>
      <c r="G252" s="26">
        <f t="shared" si="213"/>
        <v>0</v>
      </c>
      <c r="H252" s="26">
        <f t="shared" si="213"/>
        <v>0.41538669517305032</v>
      </c>
      <c r="I252" s="26">
        <f>IF(F$320=0,0,SUM(F$17:F252)/F$320)</f>
        <v>0.89039266900299363</v>
      </c>
      <c r="J252" s="26">
        <f>IF(G$320=0,0,SUM(G$17:G252)/G$320)</f>
        <v>0</v>
      </c>
      <c r="K252" s="26">
        <f>SUM(H$17:H252)/H$320</f>
        <v>0.89039266900299363</v>
      </c>
      <c r="L252" s="26"/>
      <c r="M252" s="26"/>
      <c r="N252" s="27">
        <f t="shared" si="214"/>
        <v>0.41338329749102121</v>
      </c>
      <c r="O252" s="27">
        <f t="shared" si="215"/>
        <v>0</v>
      </c>
      <c r="P252" s="26">
        <f t="shared" si="216"/>
        <v>0.41338329749102121</v>
      </c>
      <c r="Q252" s="26">
        <f>IF(N$320=0,0,SUM(N$17:N252)/N$320)</f>
        <v>0.88850919468966516</v>
      </c>
      <c r="R252" s="26">
        <f>IF(O$320=0,0,SUM(O$17:O252)/O$320)</f>
        <v>0</v>
      </c>
      <c r="S252" s="26">
        <f>SUM(P$17:P252)/P$320</f>
        <v>0.88850919468966516</v>
      </c>
    </row>
    <row r="253" spans="1:19" x14ac:dyDescent="0.4">
      <c r="A253" s="6">
        <f t="shared" si="210"/>
        <v>185.75553684057058</v>
      </c>
      <c r="B253" s="25">
        <f t="shared" ref="B253:C253" si="259">C$4*EXP(-0.5*(LN($A253)-LN(C$5))^2/(LN(C$6))^2)/($A253*SQRT(2*PI())*LN(C$6))</f>
        <v>6.2158341254836685E-2</v>
      </c>
      <c r="C253" s="25">
        <f t="shared" si="259"/>
        <v>0</v>
      </c>
      <c r="D253" s="27">
        <f t="shared" si="212"/>
        <v>6.2158341254836685E-2</v>
      </c>
      <c r="E253" s="27"/>
      <c r="F253" s="26">
        <f t="shared" si="213"/>
        <v>0.40504097724132337</v>
      </c>
      <c r="G253" s="26">
        <f t="shared" si="213"/>
        <v>0</v>
      </c>
      <c r="H253" s="26">
        <f t="shared" si="213"/>
        <v>0.40504097724132337</v>
      </c>
      <c r="I253" s="26">
        <f>IF(F$320=0,0,SUM(F$17:F253)/F$320)</f>
        <v>0.89439337493936422</v>
      </c>
      <c r="J253" s="26">
        <f>IF(G$320=0,0,SUM(G$17:G253)/G$320)</f>
        <v>0</v>
      </c>
      <c r="K253" s="26">
        <f>SUM(H$17:H253)/H$320</f>
        <v>0.89439337493936422</v>
      </c>
      <c r="L253" s="26"/>
      <c r="M253" s="26"/>
      <c r="N253" s="27">
        <f t="shared" si="214"/>
        <v>0.40317600047263813</v>
      </c>
      <c r="O253" s="27">
        <f t="shared" si="215"/>
        <v>0</v>
      </c>
      <c r="P253" s="26">
        <f t="shared" si="216"/>
        <v>0.40317600047263813</v>
      </c>
      <c r="Q253" s="26">
        <f>IF(N$320=0,0,SUM(N$17:N253)/N$320)</f>
        <v>0.89256121479491779</v>
      </c>
      <c r="R253" s="26">
        <f>IF(O$320=0,0,SUM(O$17:O253)/O$320)</f>
        <v>0</v>
      </c>
      <c r="S253" s="26">
        <f>SUM(P$17:P253)/P$320</f>
        <v>0.89256121479491779</v>
      </c>
    </row>
    <row r="254" spans="1:19" x14ac:dyDescent="0.4">
      <c r="A254" s="6">
        <f t="shared" si="210"/>
        <v>192.2718139654819</v>
      </c>
      <c r="B254" s="25">
        <f t="shared" ref="B254:C254" si="260">C$4*EXP(-0.5*(LN($A254)-LN(C$5))^2/(LN(C$6))^2)/($A254*SQRT(2*PI())*LN(C$6))</f>
        <v>5.8530468250059968E-2</v>
      </c>
      <c r="C254" s="25">
        <f t="shared" si="260"/>
        <v>0</v>
      </c>
      <c r="D254" s="27">
        <f t="shared" si="212"/>
        <v>5.8530468250059968E-2</v>
      </c>
      <c r="E254" s="27"/>
      <c r="F254" s="26">
        <f t="shared" si="213"/>
        <v>0.39478023406809082</v>
      </c>
      <c r="G254" s="26">
        <f t="shared" si="213"/>
        <v>0</v>
      </c>
      <c r="H254" s="26">
        <f t="shared" si="213"/>
        <v>0.39478023406809082</v>
      </c>
      <c r="I254" s="26">
        <f>IF(F$320=0,0,SUM(F$17:F254)/F$320)</f>
        <v>0.89829273257165865</v>
      </c>
      <c r="J254" s="26">
        <f>IF(G$320=0,0,SUM(G$17:G254)/G$320)</f>
        <v>0</v>
      </c>
      <c r="K254" s="26">
        <f>SUM(H$17:H254)/H$320</f>
        <v>0.89829273257165865</v>
      </c>
      <c r="L254" s="26"/>
      <c r="M254" s="26"/>
      <c r="N254" s="27">
        <f t="shared" si="214"/>
        <v>0.39304880851747104</v>
      </c>
      <c r="O254" s="27">
        <f t="shared" si="215"/>
        <v>0</v>
      </c>
      <c r="P254" s="26">
        <f t="shared" si="216"/>
        <v>0.39304880851747104</v>
      </c>
      <c r="Q254" s="26">
        <f>IF(N$320=0,0,SUM(N$17:N254)/N$320)</f>
        <v>0.89651145407650046</v>
      </c>
      <c r="R254" s="26">
        <f>IF(O$320=0,0,SUM(O$17:O254)/O$320)</f>
        <v>0</v>
      </c>
      <c r="S254" s="26">
        <f>SUM(P$17:P254)/P$320</f>
        <v>0.89651145407650046</v>
      </c>
    </row>
    <row r="255" spans="1:19" x14ac:dyDescent="0.4">
      <c r="A255" s="6">
        <f t="shared" si="210"/>
        <v>199.01668114100951</v>
      </c>
      <c r="B255" s="25">
        <f t="shared" ref="B255:C255" si="261">C$4*EXP(-0.5*(LN($A255)-LN(C$5))^2/(LN(C$6))^2)/($A255*SQRT(2*PI())*LN(C$6))</f>
        <v>5.5090236703633513E-2</v>
      </c>
      <c r="C255" s="25">
        <f t="shared" si="261"/>
        <v>0</v>
      </c>
      <c r="D255" s="27">
        <f t="shared" si="212"/>
        <v>5.5090236703633513E-2</v>
      </c>
      <c r="E255" s="27"/>
      <c r="F255" s="26">
        <f t="shared" si="213"/>
        <v>0.38461117263950068</v>
      </c>
      <c r="G255" s="26">
        <f t="shared" si="213"/>
        <v>0</v>
      </c>
      <c r="H255" s="26">
        <f t="shared" si="213"/>
        <v>0.38461117263950068</v>
      </c>
      <c r="I255" s="26">
        <f>IF(F$320=0,0,SUM(F$17:F255)/F$320)</f>
        <v>0.90209164746677173</v>
      </c>
      <c r="J255" s="26">
        <f>IF(G$320=0,0,SUM(G$17:G255)/G$320)</f>
        <v>0</v>
      </c>
      <c r="K255" s="26">
        <f>SUM(H$17:H255)/H$320</f>
        <v>0.90209164746677173</v>
      </c>
      <c r="L255" s="26"/>
      <c r="M255" s="26"/>
      <c r="N255" s="27">
        <f t="shared" si="214"/>
        <v>0.3830084544362955</v>
      </c>
      <c r="O255" s="27">
        <f t="shared" si="215"/>
        <v>0</v>
      </c>
      <c r="P255" s="26">
        <f t="shared" si="216"/>
        <v>0.3830084544362955</v>
      </c>
      <c r="Q255" s="26">
        <f>IF(N$320=0,0,SUM(N$17:N255)/N$320)</f>
        <v>0.90036078527686525</v>
      </c>
      <c r="R255" s="26">
        <f>IF(O$320=0,0,SUM(O$17:O255)/O$320)</f>
        <v>0</v>
      </c>
      <c r="S255" s="26">
        <f>SUM(P$17:P255)/P$320</f>
        <v>0.90036078527686525</v>
      </c>
    </row>
    <row r="256" spans="1:19" x14ac:dyDescent="0.4">
      <c r="A256" s="6">
        <f t="shared" si="210"/>
        <v>205.99815727277087</v>
      </c>
      <c r="B256" s="25">
        <f t="shared" ref="B256:C256" si="262">C$4*EXP(-0.5*(LN($A256)-LN(C$5))^2/(LN(C$6))^2)/($A256*SQRT(2*PI())*LN(C$6))</f>
        <v>5.1829537809275593E-2</v>
      </c>
      <c r="C256" s="25">
        <f t="shared" si="262"/>
        <v>0</v>
      </c>
      <c r="D256" s="27">
        <f t="shared" si="212"/>
        <v>5.1829537809275593E-2</v>
      </c>
      <c r="E256" s="27"/>
      <c r="F256" s="26">
        <f t="shared" si="213"/>
        <v>0.37454020990533221</v>
      </c>
      <c r="G256" s="26">
        <f t="shared" si="213"/>
        <v>0</v>
      </c>
      <c r="H256" s="26">
        <f t="shared" si="213"/>
        <v>0.37454020990533221</v>
      </c>
      <c r="I256" s="26">
        <f>IF(F$320=0,0,SUM(F$17:F256)/F$320)</f>
        <v>0.90579108857365254</v>
      </c>
      <c r="J256" s="26">
        <f>IF(G$320=0,0,SUM(G$17:G256)/G$320)</f>
        <v>0</v>
      </c>
      <c r="K256" s="26">
        <f>SUM(H$17:H256)/H$320</f>
        <v>0.90579108857365254</v>
      </c>
      <c r="L256" s="26"/>
      <c r="M256" s="26"/>
      <c r="N256" s="27">
        <f t="shared" si="214"/>
        <v>0.37306138804895639</v>
      </c>
      <c r="O256" s="27">
        <f t="shared" si="215"/>
        <v>0</v>
      </c>
      <c r="P256" s="26">
        <f t="shared" si="216"/>
        <v>0.37306138804895639</v>
      </c>
      <c r="Q256" s="26">
        <f>IF(N$320=0,0,SUM(N$17:N256)/N$320)</f>
        <v>0.90411014596077433</v>
      </c>
      <c r="R256" s="26">
        <f>IF(O$320=0,0,SUM(O$17:O256)/O$320)</f>
        <v>0</v>
      </c>
      <c r="S256" s="26">
        <f>SUM(P$17:P256)/P$320</f>
        <v>0.90411014596077433</v>
      </c>
    </row>
    <row r="257" spans="1:19" x14ac:dyDescent="0.4">
      <c r="A257" s="6">
        <f t="shared" si="210"/>
        <v>213.22454256842178</v>
      </c>
      <c r="B257" s="25">
        <f t="shared" ref="B257:C257" si="263">C$4*EXP(-0.5*(LN($A257)-LN(C$5))^2/(LN(C$6))^2)/($A257*SQRT(2*PI())*LN(C$6))</f>
        <v>4.8740512502909367E-2</v>
      </c>
      <c r="C257" s="25">
        <f t="shared" si="263"/>
        <v>0</v>
      </c>
      <c r="D257" s="27">
        <f t="shared" si="212"/>
        <v>4.8740512502909367E-2</v>
      </c>
      <c r="E257" s="27"/>
      <c r="F257" s="26">
        <f t="shared" si="213"/>
        <v>0.3645734691718065</v>
      </c>
      <c r="G257" s="26">
        <f t="shared" si="213"/>
        <v>0</v>
      </c>
      <c r="H257" s="26">
        <f t="shared" si="213"/>
        <v>0.3645734691718065</v>
      </c>
      <c r="I257" s="26">
        <f>IF(F$320=0,0,SUM(F$17:F257)/F$320)</f>
        <v>0.90939208532290206</v>
      </c>
      <c r="J257" s="26">
        <f>IF(G$320=0,0,SUM(G$17:G257)/G$320)</f>
        <v>0</v>
      </c>
      <c r="K257" s="26">
        <f>SUM(H$17:H257)/H$320</f>
        <v>0.90939208532290206</v>
      </c>
      <c r="L257" s="26"/>
      <c r="M257" s="26"/>
      <c r="N257" s="27">
        <f t="shared" si="214"/>
        <v>0.36321377227757079</v>
      </c>
      <c r="O257" s="27">
        <f t="shared" si="215"/>
        <v>0</v>
      </c>
      <c r="P257" s="26">
        <f t="shared" si="216"/>
        <v>0.36321377227757079</v>
      </c>
      <c r="Q257" s="26">
        <f>IF(N$320=0,0,SUM(N$17:N257)/N$320)</f>
        <v>0.90776053563190573</v>
      </c>
      <c r="R257" s="26">
        <f>IF(O$320=0,0,SUM(O$17:O257)/O$320)</f>
        <v>0</v>
      </c>
      <c r="S257" s="26">
        <f>SUM(P$17:P257)/P$320</f>
        <v>0.90776053563190573</v>
      </c>
    </row>
    <row r="258" spans="1:19" x14ac:dyDescent="0.4">
      <c r="A258" s="6">
        <f t="shared" si="210"/>
        <v>220.70442840569206</v>
      </c>
      <c r="B258" s="25">
        <f t="shared" ref="B258:C258" si="264">C$4*EXP(-0.5*(LN($A258)-LN(C$5))^2/(LN(C$6))^2)/($A258*SQRT(2*PI())*LN(C$6))</f>
        <v>4.5815550016491589E-2</v>
      </c>
      <c r="C258" s="25">
        <f t="shared" si="264"/>
        <v>0</v>
      </c>
      <c r="D258" s="27">
        <f t="shared" si="212"/>
        <v>4.5815550016491589E-2</v>
      </c>
      <c r="E258" s="27"/>
      <c r="F258" s="26">
        <f t="shared" si="213"/>
        <v>0.35471677722134798</v>
      </c>
      <c r="G258" s="26">
        <f t="shared" si="213"/>
        <v>0</v>
      </c>
      <c r="H258" s="26">
        <f t="shared" si="213"/>
        <v>0.35471677722134798</v>
      </c>
      <c r="I258" s="26">
        <f>IF(F$320=0,0,SUM(F$17:F258)/F$320)</f>
        <v>0.91289572469792291</v>
      </c>
      <c r="J258" s="26">
        <f>IF(G$320=0,0,SUM(G$17:G258)/G$320)</f>
        <v>0</v>
      </c>
      <c r="K258" s="26">
        <f>SUM(H$17:H258)/H$320</f>
        <v>0.91289572469792291</v>
      </c>
      <c r="L258" s="26"/>
      <c r="M258" s="26"/>
      <c r="N258" s="27">
        <f t="shared" si="214"/>
        <v>0.35347147995923311</v>
      </c>
      <c r="O258" s="27">
        <f t="shared" si="215"/>
        <v>0</v>
      </c>
      <c r="P258" s="26">
        <f t="shared" si="216"/>
        <v>0.35347147995923311</v>
      </c>
      <c r="Q258" s="26">
        <f>IF(N$320=0,0,SUM(N$17:N258)/N$320)</f>
        <v>0.91131301281742572</v>
      </c>
      <c r="R258" s="26">
        <f>IF(O$320=0,0,SUM(O$17:O258)/O$320)</f>
        <v>0</v>
      </c>
      <c r="S258" s="26">
        <f>SUM(P$17:P258)/P$320</f>
        <v>0.91131301281742572</v>
      </c>
    </row>
    <row r="259" spans="1:19" x14ac:dyDescent="0.4">
      <c r="A259" s="6">
        <f t="shared" si="210"/>
        <v>228.44670754658779</v>
      </c>
      <c r="B259" s="25">
        <f t="shared" ref="B259:C259" si="265">C$4*EXP(-0.5*(LN($A259)-LN(C$5))^2/(LN(C$6))^2)/($A259*SQRT(2*PI())*LN(C$6))</f>
        <v>4.3047285991246978E-2</v>
      </c>
      <c r="C259" s="25">
        <f t="shared" si="265"/>
        <v>0</v>
      </c>
      <c r="D259" s="27">
        <f t="shared" si="212"/>
        <v>4.3047285991246978E-2</v>
      </c>
      <c r="E259" s="27"/>
      <c r="F259" s="26">
        <f t="shared" si="213"/>
        <v>0.34497566214821496</v>
      </c>
      <c r="G259" s="26">
        <f t="shared" si="213"/>
        <v>0</v>
      </c>
      <c r="H259" s="26">
        <f t="shared" si="213"/>
        <v>0.34497566214821496</v>
      </c>
      <c r="I259" s="26">
        <f>IF(F$320=0,0,SUM(F$17:F259)/F$320)</f>
        <v>0.91630314828469106</v>
      </c>
      <c r="J259" s="26">
        <f>IF(G$320=0,0,SUM(G$17:G259)/G$320)</f>
        <v>0</v>
      </c>
      <c r="K259" s="26">
        <f>SUM(H$17:H259)/H$320</f>
        <v>0.91630314828469106</v>
      </c>
      <c r="L259" s="26"/>
      <c r="M259" s="26"/>
      <c r="N259" s="27">
        <f t="shared" si="214"/>
        <v>0.34384009136801952</v>
      </c>
      <c r="O259" s="27">
        <f t="shared" si="215"/>
        <v>0</v>
      </c>
      <c r="P259" s="26">
        <f t="shared" si="216"/>
        <v>0.34384009136801952</v>
      </c>
      <c r="Q259" s="26">
        <f>IF(N$320=0,0,SUM(N$17:N259)/N$320)</f>
        <v>0.9147686921276571</v>
      </c>
      <c r="R259" s="26">
        <f>IF(O$320=0,0,SUM(O$17:O259)/O$320)</f>
        <v>0</v>
      </c>
      <c r="S259" s="26">
        <f>SUM(P$17:P259)/P$320</f>
        <v>0.9147686921276571</v>
      </c>
    </row>
    <row r="260" spans="1:19" x14ac:dyDescent="0.4">
      <c r="A260" s="6">
        <f t="shared" si="210"/>
        <v>236.46058470990909</v>
      </c>
      <c r="B260" s="25">
        <f t="shared" ref="B260:C260" si="266">C$4*EXP(-0.5*(LN($A260)-LN(C$5))^2/(LN(C$6))^2)/($A260*SQRT(2*PI())*LN(C$6))</f>
        <v>4.0428600181359998E-2</v>
      </c>
      <c r="C260" s="25">
        <f t="shared" si="266"/>
        <v>0</v>
      </c>
      <c r="D260" s="27">
        <f t="shared" si="212"/>
        <v>4.0428600181359998E-2</v>
      </c>
      <c r="E260" s="27"/>
      <c r="F260" s="26">
        <f t="shared" si="213"/>
        <v>0.33535535189606197</v>
      </c>
      <c r="G260" s="26">
        <f t="shared" si="213"/>
        <v>0</v>
      </c>
      <c r="H260" s="26">
        <f t="shared" si="213"/>
        <v>0.33535535189606197</v>
      </c>
      <c r="I260" s="26">
        <f>IF(F$320=0,0,SUM(F$17:F260)/F$320)</f>
        <v>0.91961554930708145</v>
      </c>
      <c r="J260" s="26">
        <f>IF(G$320=0,0,SUM(G$17:G260)/G$320)</f>
        <v>0</v>
      </c>
      <c r="K260" s="26">
        <f>SUM(H$17:H260)/H$320</f>
        <v>0.91961554930708145</v>
      </c>
      <c r="L260" s="26"/>
      <c r="M260" s="26"/>
      <c r="N260" s="27">
        <f t="shared" si="214"/>
        <v>0.33432489243382379</v>
      </c>
      <c r="O260" s="27">
        <f t="shared" si="215"/>
        <v>0</v>
      </c>
      <c r="P260" s="26">
        <f t="shared" si="216"/>
        <v>0.33432489243382379</v>
      </c>
      <c r="Q260" s="26">
        <f>IF(N$320=0,0,SUM(N$17:N260)/N$320)</f>
        <v>0.91812874129784627</v>
      </c>
      <c r="R260" s="26">
        <f>IF(O$320=0,0,SUM(O$17:O260)/O$320)</f>
        <v>0</v>
      </c>
      <c r="S260" s="26">
        <f>SUM(P$17:P260)/P$320</f>
        <v>0.91812874129784627</v>
      </c>
    </row>
    <row r="261" spans="1:19" x14ac:dyDescent="0.4">
      <c r="A261" s="6">
        <f t="shared" si="210"/>
        <v>244.75558751464831</v>
      </c>
      <c r="B261" s="25">
        <f t="shared" ref="B261:C261" si="267">C$4*EXP(-0.5*(LN($A261)-LN(C$5))^2/(LN(C$6))^2)/($A261*SQRT(2*PI())*LN(C$6))</f>
        <v>3.7952613778537654E-2</v>
      </c>
      <c r="C261" s="25">
        <f t="shared" si="267"/>
        <v>0</v>
      </c>
      <c r="D261" s="27">
        <f t="shared" si="212"/>
        <v>3.7952613778537654E-2</v>
      </c>
      <c r="E261" s="27"/>
      <c r="F261" s="26">
        <f t="shared" si="213"/>
        <v>0.32586077348256509</v>
      </c>
      <c r="G261" s="26">
        <f t="shared" si="213"/>
        <v>0</v>
      </c>
      <c r="H261" s="26">
        <f t="shared" si="213"/>
        <v>0.32586077348256509</v>
      </c>
      <c r="I261" s="26">
        <f>IF(F$320=0,0,SUM(F$17:F261)/F$320)</f>
        <v>0.92283416965453646</v>
      </c>
      <c r="J261" s="26">
        <f>IF(G$320=0,0,SUM(G$17:G261)/G$320)</f>
        <v>0</v>
      </c>
      <c r="K261" s="26">
        <f>SUM(H$17:H261)/H$320</f>
        <v>0.92283416965453646</v>
      </c>
      <c r="L261" s="26"/>
      <c r="M261" s="26"/>
      <c r="N261" s="27">
        <f t="shared" si="214"/>
        <v>0.32493087364398043</v>
      </c>
      <c r="O261" s="27">
        <f t="shared" si="215"/>
        <v>0</v>
      </c>
      <c r="P261" s="26">
        <f t="shared" si="216"/>
        <v>0.32493087364398043</v>
      </c>
      <c r="Q261" s="26">
        <f>IF(N$320=0,0,SUM(N$17:N261)/N$320)</f>
        <v>0.92139437821889136</v>
      </c>
      <c r="R261" s="26">
        <f>IF(O$320=0,0,SUM(O$17:O261)/O$320)</f>
        <v>0</v>
      </c>
      <c r="S261" s="26">
        <f>SUM(P$17:P261)/P$320</f>
        <v>0.92139437821889136</v>
      </c>
    </row>
    <row r="262" spans="1:19" x14ac:dyDescent="0.4">
      <c r="A262" s="6">
        <f t="shared" si="210"/>
        <v>253.34157780728108</v>
      </c>
      <c r="B262" s="25">
        <f t="shared" ref="B262:C262" si="268">C$4*EXP(-0.5*(LN($A262)-LN(C$5))^2/(LN(C$6))^2)/($A262*SQRT(2*PI())*LN(C$6))</f>
        <v>3.5612686387149081E-2</v>
      </c>
      <c r="C262" s="25">
        <f t="shared" si="268"/>
        <v>0</v>
      </c>
      <c r="D262" s="27">
        <f t="shared" si="212"/>
        <v>3.5612686387149081E-2</v>
      </c>
      <c r="E262" s="27"/>
      <c r="F262" s="26">
        <f t="shared" si="213"/>
        <v>0.31649655289422912</v>
      </c>
      <c r="G262" s="26">
        <f t="shared" si="213"/>
        <v>0</v>
      </c>
      <c r="H262" s="26">
        <f t="shared" si="213"/>
        <v>0.31649655289422912</v>
      </c>
      <c r="I262" s="26">
        <f>IF(F$320=0,0,SUM(F$17:F262)/F$320)</f>
        <v>0.92596029690869408</v>
      </c>
      <c r="J262" s="26">
        <f>IF(G$320=0,0,SUM(G$17:G262)/G$320)</f>
        <v>0</v>
      </c>
      <c r="K262" s="26">
        <f>SUM(H$17:H262)/H$320</f>
        <v>0.92596029690869408</v>
      </c>
      <c r="L262" s="26"/>
      <c r="M262" s="26"/>
      <c r="N262" s="27">
        <f t="shared" si="214"/>
        <v>0.31566272961184305</v>
      </c>
      <c r="O262" s="27">
        <f t="shared" si="215"/>
        <v>0</v>
      </c>
      <c r="P262" s="26">
        <f t="shared" si="216"/>
        <v>0.31566272961184305</v>
      </c>
      <c r="Q262" s="26">
        <f>IF(N$320=0,0,SUM(N$17:N262)/N$320)</f>
        <v>0.924566867963734</v>
      </c>
      <c r="R262" s="26">
        <f>IF(O$320=0,0,SUM(O$17:O262)/O$320)</f>
        <v>0</v>
      </c>
      <c r="S262" s="26">
        <f>SUM(P$17:P262)/P$320</f>
        <v>0.924566867963734</v>
      </c>
    </row>
    <row r="263" spans="1:19" x14ac:dyDescent="0.4">
      <c r="A263" s="6">
        <f t="shared" si="210"/>
        <v>262.2287633864189</v>
      </c>
      <c r="B263" s="25">
        <f t="shared" ref="B263:C263" si="269">C$4*EXP(-0.5*(LN($A263)-LN(C$5))^2/(LN(C$6))^2)/($A263*SQRT(2*PI())*LN(C$6))</f>
        <v>3.3402412678883081E-2</v>
      </c>
      <c r="C263" s="25">
        <f t="shared" si="269"/>
        <v>0</v>
      </c>
      <c r="D263" s="27">
        <f t="shared" si="212"/>
        <v>3.3402412678883081E-2</v>
      </c>
      <c r="E263" s="27"/>
      <c r="F263" s="26">
        <f t="shared" si="213"/>
        <v>0.30726701563272507</v>
      </c>
      <c r="G263" s="26">
        <f t="shared" si="213"/>
        <v>0</v>
      </c>
      <c r="H263" s="26">
        <f t="shared" si="213"/>
        <v>0.30726701563272507</v>
      </c>
      <c r="I263" s="26">
        <f>IF(F$320=0,0,SUM(F$17:F263)/F$320)</f>
        <v>0.92899526137541355</v>
      </c>
      <c r="J263" s="26">
        <f>IF(G$320=0,0,SUM(G$17:G263)/G$320)</f>
        <v>0</v>
      </c>
      <c r="K263" s="26">
        <f>SUM(H$17:H263)/H$320</f>
        <v>0.92899526137541355</v>
      </c>
      <c r="L263" s="26"/>
      <c r="M263" s="26"/>
      <c r="N263" s="27">
        <f t="shared" si="214"/>
        <v>0.3065248592953207</v>
      </c>
      <c r="O263" s="27">
        <f t="shared" si="215"/>
        <v>0</v>
      </c>
      <c r="P263" s="26">
        <f t="shared" si="216"/>
        <v>0.3065248592953207</v>
      </c>
      <c r="Q263" s="26">
        <f>IF(N$320=0,0,SUM(N$17:N263)/N$320)</f>
        <v>0.92764751981594828</v>
      </c>
      <c r="R263" s="26">
        <f>IF(O$320=0,0,SUM(O$17:O263)/O$320)</f>
        <v>0</v>
      </c>
      <c r="S263" s="26">
        <f>SUM(P$17:P263)/P$320</f>
        <v>0.92764751981594828</v>
      </c>
    </row>
    <row r="264" spans="1:19" x14ac:dyDescent="0.4">
      <c r="A264" s="6">
        <f t="shared" si="210"/>
        <v>271.4277101387587</v>
      </c>
      <c r="B264" s="25">
        <f t="shared" ref="B264:C264" si="270">C$4*EXP(-0.5*(LN($A264)-LN(C$5))^2/(LN(C$6))^2)/($A264*SQRT(2*PI())*LN(C$6))</f>
        <v>3.1315618755051455E-2</v>
      </c>
      <c r="C264" s="25">
        <f t="shared" si="270"/>
        <v>0</v>
      </c>
      <c r="D264" s="27">
        <f t="shared" si="212"/>
        <v>3.1315618755051455E-2</v>
      </c>
      <c r="E264" s="27"/>
      <c r="F264" s="26">
        <f t="shared" si="213"/>
        <v>0.29817618789321504</v>
      </c>
      <c r="G264" s="26">
        <f t="shared" si="213"/>
        <v>0</v>
      </c>
      <c r="H264" s="26">
        <f t="shared" si="213"/>
        <v>0.29817618789321504</v>
      </c>
      <c r="I264" s="26">
        <f>IF(F$320=0,0,SUM(F$17:F264)/F$320)</f>
        <v>0.93194043312843844</v>
      </c>
      <c r="J264" s="26">
        <f>IF(G$320=0,0,SUM(G$17:G264)/G$320)</f>
        <v>0</v>
      </c>
      <c r="K264" s="26">
        <f>SUM(H$17:H264)/H$320</f>
        <v>0.93194043312843844</v>
      </c>
      <c r="L264" s="26"/>
      <c r="M264" s="26"/>
      <c r="N264" s="27">
        <f t="shared" si="214"/>
        <v>0.29752136684599861</v>
      </c>
      <c r="O264" s="27">
        <f t="shared" si="215"/>
        <v>0</v>
      </c>
      <c r="P264" s="26">
        <f t="shared" si="216"/>
        <v>0.29752136684599861</v>
      </c>
      <c r="Q264" s="26">
        <f>IF(N$320=0,0,SUM(N$17:N264)/N$320)</f>
        <v>0.93063768430686278</v>
      </c>
      <c r="R264" s="26">
        <f>IF(O$320=0,0,SUM(O$17:O264)/O$320)</f>
        <v>0</v>
      </c>
      <c r="S264" s="26">
        <f>SUM(P$17:P264)/P$320</f>
        <v>0.93063768430686278</v>
      </c>
    </row>
    <row r="265" spans="1:19" x14ac:dyDescent="0.4">
      <c r="A265" s="6">
        <f t="shared" si="210"/>
        <v>280.94935460076113</v>
      </c>
      <c r="B265" s="25">
        <f t="shared" ref="B265:C265" si="271">C$4*EXP(-0.5*(LN($A265)-LN(C$5))^2/(LN(C$6))^2)/($A265*SQRT(2*PI())*LN(C$6))</f>
        <v>2.9346358243801881E-2</v>
      </c>
      <c r="C265" s="25">
        <f t="shared" si="271"/>
        <v>0</v>
      </c>
      <c r="D265" s="27">
        <f t="shared" si="212"/>
        <v>2.9346358243801881E-2</v>
      </c>
      <c r="E265" s="27"/>
      <c r="F265" s="26">
        <f t="shared" si="213"/>
        <v>0.28922779835320805</v>
      </c>
      <c r="G265" s="26">
        <f t="shared" si="213"/>
        <v>0</v>
      </c>
      <c r="H265" s="26">
        <f t="shared" si="213"/>
        <v>0.28922779835320805</v>
      </c>
      <c r="I265" s="26">
        <f>IF(F$320=0,0,SUM(F$17:F265)/F$320)</f>
        <v>0.93479721907072999</v>
      </c>
      <c r="J265" s="26">
        <f>IF(G$320=0,0,SUM(G$17:G265)/G$320)</f>
        <v>0</v>
      </c>
      <c r="K265" s="26">
        <f>SUM(H$17:H265)/H$320</f>
        <v>0.93479721907072999</v>
      </c>
      <c r="L265" s="26"/>
      <c r="M265" s="26"/>
      <c r="N265" s="27">
        <f t="shared" si="214"/>
        <v>0.28865606306912595</v>
      </c>
      <c r="O265" s="27">
        <f t="shared" si="215"/>
        <v>0</v>
      </c>
      <c r="P265" s="26">
        <f t="shared" si="216"/>
        <v>0.28865606306912595</v>
      </c>
      <c r="Q265" s="26">
        <f>IF(N$320=0,0,SUM(N$17:N265)/N$320)</f>
        <v>0.93353875026735655</v>
      </c>
      <c r="R265" s="26">
        <f>IF(O$320=0,0,SUM(O$17:O265)/O$320)</f>
        <v>0</v>
      </c>
      <c r="S265" s="26">
        <f>SUM(P$17:P265)/P$320</f>
        <v>0.93353875026735655</v>
      </c>
    </row>
    <row r="266" spans="1:19" x14ac:dyDescent="0.4">
      <c r="A266" s="6">
        <f t="shared" si="210"/>
        <v>290.80501696098924</v>
      </c>
      <c r="B266" s="25">
        <f t="shared" ref="B266:C266" si="272">C$4*EXP(-0.5*(LN($A266)-LN(C$5))^2/(LN(C$6))^2)/($A266*SQRT(2*PI())*LN(C$6))</f>
        <v>2.7488908158606124E-2</v>
      </c>
      <c r="C266" s="25">
        <f t="shared" si="272"/>
        <v>0</v>
      </c>
      <c r="D266" s="27">
        <f t="shared" si="212"/>
        <v>2.7488908158606124E-2</v>
      </c>
      <c r="E266" s="27"/>
      <c r="F266" s="26">
        <f t="shared" si="213"/>
        <v>0.28042528054974336</v>
      </c>
      <c r="G266" s="26">
        <f t="shared" si="213"/>
        <v>0</v>
      </c>
      <c r="H266" s="26">
        <f t="shared" si="213"/>
        <v>0.28042528054974336</v>
      </c>
      <c r="I266" s="26">
        <f>IF(F$320=0,0,SUM(F$17:F266)/F$320)</f>
        <v>0.93756706001928003</v>
      </c>
      <c r="J266" s="26">
        <f>IF(G$320=0,0,SUM(G$17:G266)/G$320)</f>
        <v>0</v>
      </c>
      <c r="K266" s="26">
        <f>SUM(H$17:H266)/H$320</f>
        <v>0.93756706001928003</v>
      </c>
      <c r="L266" s="26"/>
      <c r="M266" s="26"/>
      <c r="N266" s="27">
        <f t="shared" si="214"/>
        <v>0.27993246747280986</v>
      </c>
      <c r="O266" s="27">
        <f t="shared" si="215"/>
        <v>0</v>
      </c>
      <c r="P266" s="26">
        <f t="shared" si="216"/>
        <v>0.27993246747280986</v>
      </c>
      <c r="Q266" s="26">
        <f>IF(N$320=0,0,SUM(N$17:N266)/N$320)</f>
        <v>0.93635214190024907</v>
      </c>
      <c r="R266" s="26">
        <f>IF(O$320=0,0,SUM(O$17:O266)/O$320)</f>
        <v>0</v>
      </c>
      <c r="S266" s="26">
        <f>SUM(P$17:P266)/P$320</f>
        <v>0.93635214190024907</v>
      </c>
    </row>
    <row r="267" spans="1:19" x14ac:dyDescent="0.4">
      <c r="A267" s="6">
        <f t="shared" si="210"/>
        <v>301.00641451856916</v>
      </c>
      <c r="B267" s="25">
        <f t="shared" ref="B267:C267" si="273">C$4*EXP(-0.5*(LN($A267)-LN(C$5))^2/(LN(C$6))^2)/($A267*SQRT(2*PI())*LN(C$6))</f>
        <v>2.5737764543453598E-2</v>
      </c>
      <c r="C267" s="25">
        <f t="shared" si="273"/>
        <v>0</v>
      </c>
      <c r="D267" s="27">
        <f t="shared" si="212"/>
        <v>2.5737764543453598E-2</v>
      </c>
      <c r="E267" s="27"/>
      <c r="F267" s="26">
        <f t="shared" si="213"/>
        <v>0.27177177582115547</v>
      </c>
      <c r="G267" s="26">
        <f t="shared" si="213"/>
        <v>0</v>
      </c>
      <c r="H267" s="26">
        <f t="shared" si="213"/>
        <v>0.27177177582115547</v>
      </c>
      <c r="I267" s="26">
        <f>IF(F$320=0,0,SUM(F$17:F267)/F$320)</f>
        <v>0.94025142781898008</v>
      </c>
      <c r="J267" s="26">
        <f>IF(G$320=0,0,SUM(G$17:G267)/G$320)</f>
        <v>0</v>
      </c>
      <c r="K267" s="26">
        <f>SUM(H$17:H267)/H$320</f>
        <v>0.94025142781898008</v>
      </c>
      <c r="L267" s="26"/>
      <c r="M267" s="26"/>
      <c r="N267" s="27">
        <f t="shared" si="214"/>
        <v>0.27135381088384536</v>
      </c>
      <c r="O267" s="27">
        <f t="shared" si="215"/>
        <v>0</v>
      </c>
      <c r="P267" s="26">
        <f t="shared" si="216"/>
        <v>0.27135381088384536</v>
      </c>
      <c r="Q267" s="26">
        <f>IF(N$320=0,0,SUM(N$17:N267)/N$320)</f>
        <v>0.93907931587898119</v>
      </c>
      <c r="R267" s="26">
        <f>IF(O$320=0,0,SUM(O$17:O267)/O$320)</f>
        <v>0</v>
      </c>
      <c r="S267" s="26">
        <f>SUM(P$17:P267)/P$320</f>
        <v>0.93907931587898119</v>
      </c>
    </row>
    <row r="268" spans="1:19" x14ac:dyDescent="0.4">
      <c r="A268" s="6">
        <f t="shared" si="210"/>
        <v>311.56567561377102</v>
      </c>
      <c r="B268" s="25">
        <f t="shared" ref="B268:C268" si="274">C$4*EXP(-0.5*(LN($A268)-LN(C$5))^2/(LN(C$6))^2)/($A268*SQRT(2*PI())*LN(C$6))</f>
        <v>2.4087637929220272E-2</v>
      </c>
      <c r="C268" s="25">
        <f t="shared" si="274"/>
        <v>0</v>
      </c>
      <c r="D268" s="27">
        <f t="shared" si="212"/>
        <v>2.4087637929220272E-2</v>
      </c>
      <c r="E268" s="27"/>
      <c r="F268" s="26">
        <f t="shared" si="213"/>
        <v>0.26327013678894962</v>
      </c>
      <c r="G268" s="26">
        <f t="shared" si="213"/>
        <v>0</v>
      </c>
      <c r="H268" s="26">
        <f t="shared" si="213"/>
        <v>0.26327013678894962</v>
      </c>
      <c r="I268" s="26">
        <f>IF(F$320=0,0,SUM(F$17:F268)/F$320)</f>
        <v>0.94285182249088284</v>
      </c>
      <c r="J268" s="26">
        <f>IF(G$320=0,0,SUM(G$17:G268)/G$320)</f>
        <v>0</v>
      </c>
      <c r="K268" s="26">
        <f>SUM(H$17:H268)/H$320</f>
        <v>0.94285182249088284</v>
      </c>
      <c r="L268" s="26"/>
      <c r="M268" s="26"/>
      <c r="N268" s="27">
        <f t="shared" si="214"/>
        <v>0.26292303860659949</v>
      </c>
      <c r="O268" s="27">
        <f t="shared" si="215"/>
        <v>0</v>
      </c>
      <c r="P268" s="26">
        <f t="shared" si="216"/>
        <v>0.26292303860659949</v>
      </c>
      <c r="Q268" s="26">
        <f>IF(N$320=0,0,SUM(N$17:N268)/N$320)</f>
        <v>0.94172175847804251</v>
      </c>
      <c r="R268" s="26">
        <f>IF(O$320=0,0,SUM(O$17:O268)/O$320)</f>
        <v>0</v>
      </c>
      <c r="S268" s="26">
        <f>SUM(P$17:P268)/P$320</f>
        <v>0.94172175847804251</v>
      </c>
    </row>
    <row r="269" spans="1:19" x14ac:dyDescent="0.4">
      <c r="A269" s="6">
        <f t="shared" si="210"/>
        <v>322.49535404727078</v>
      </c>
      <c r="B269" s="25">
        <f t="shared" ref="B269:C269" si="275">C$4*EXP(-0.5*(LN($A269)-LN(C$5))^2/(LN(C$6))^2)/($A269*SQRT(2*PI())*LN(C$6))</f>
        <v>2.2533448624698332E-2</v>
      </c>
      <c r="C269" s="25">
        <f t="shared" si="275"/>
        <v>0</v>
      </c>
      <c r="D269" s="27">
        <f t="shared" si="212"/>
        <v>2.2533448624698332E-2</v>
      </c>
      <c r="E269" s="27"/>
      <c r="F269" s="26">
        <f t="shared" si="213"/>
        <v>0.25492293135451066</v>
      </c>
      <c r="G269" s="26">
        <f t="shared" si="213"/>
        <v>0</v>
      </c>
      <c r="H269" s="26">
        <f t="shared" si="213"/>
        <v>0.25492293135451066</v>
      </c>
      <c r="I269" s="26">
        <f>IF(F$320=0,0,SUM(F$17:F269)/F$320)</f>
        <v>0.94536976941993967</v>
      </c>
      <c r="J269" s="26">
        <f>IF(G$320=0,0,SUM(G$17:G269)/G$320)</f>
        <v>0</v>
      </c>
      <c r="K269" s="26">
        <f>SUM(H$17:H269)/H$320</f>
        <v>0.94536976941993967</v>
      </c>
      <c r="L269" s="26"/>
      <c r="M269" s="26"/>
      <c r="N269" s="27">
        <f t="shared" si="214"/>
        <v>0.254642814100281</v>
      </c>
      <c r="O269" s="27">
        <f t="shared" si="215"/>
        <v>0</v>
      </c>
      <c r="P269" s="26">
        <f t="shared" si="216"/>
        <v>0.254642814100281</v>
      </c>
      <c r="Q269" s="26">
        <f>IF(N$320=0,0,SUM(N$17:N269)/N$320)</f>
        <v>0.94428098274035688</v>
      </c>
      <c r="R269" s="26">
        <f>IF(O$320=0,0,SUM(O$17:O269)/O$320)</f>
        <v>0</v>
      </c>
      <c r="S269" s="26">
        <f>SUM(P$17:P269)/P$320</f>
        <v>0.94428098274035688</v>
      </c>
    </row>
    <row r="270" spans="1:19" x14ac:dyDescent="0.4">
      <c r="A270" s="6">
        <f t="shared" si="210"/>
        <v>333.80844400524091</v>
      </c>
      <c r="B270" s="25">
        <f t="shared" ref="B270:C270" si="276">C$4*EXP(-0.5*(LN($A270)-LN(C$5))^2/(LN(C$6))^2)/($A270*SQRT(2*PI())*LN(C$6))</f>
        <v>2.107032186476971E-2</v>
      </c>
      <c r="C270" s="25">
        <f t="shared" si="276"/>
        <v>0</v>
      </c>
      <c r="D270" s="27">
        <f t="shared" si="212"/>
        <v>2.107032186476971E-2</v>
      </c>
      <c r="E270" s="27"/>
      <c r="F270" s="26">
        <f t="shared" si="213"/>
        <v>0.24673244718415668</v>
      </c>
      <c r="G270" s="26">
        <f t="shared" si="213"/>
        <v>0</v>
      </c>
      <c r="H270" s="26">
        <f t="shared" si="213"/>
        <v>0.24673244718415668</v>
      </c>
      <c r="I270" s="26">
        <f>IF(F$320=0,0,SUM(F$17:F270)/F$320)</f>
        <v>0.94780681658703836</v>
      </c>
      <c r="J270" s="26">
        <f>IF(G$320=0,0,SUM(G$17:G270)/G$320)</f>
        <v>0</v>
      </c>
      <c r="K270" s="26">
        <f>SUM(H$17:H270)/H$320</f>
        <v>0.94780681658703836</v>
      </c>
      <c r="L270" s="26"/>
      <c r="M270" s="26"/>
      <c r="N270" s="27">
        <f t="shared" si="214"/>
        <v>0.24651552314930436</v>
      </c>
      <c r="O270" s="27">
        <f t="shared" si="215"/>
        <v>0</v>
      </c>
      <c r="P270" s="26">
        <f t="shared" si="216"/>
        <v>0.24651552314930436</v>
      </c>
      <c r="Q270" s="26">
        <f>IF(N$320=0,0,SUM(N$17:N270)/N$320)</f>
        <v>0.94675852568658103</v>
      </c>
      <c r="R270" s="26">
        <f>IF(O$320=0,0,SUM(O$17:O270)/O$320)</f>
        <v>0</v>
      </c>
      <c r="S270" s="26">
        <f>SUM(P$17:P270)/P$320</f>
        <v>0.94675852568658103</v>
      </c>
    </row>
    <row r="271" spans="1:19" x14ac:dyDescent="0.4">
      <c r="A271" s="6">
        <f t="shared" si="210"/>
        <v>345.5183955080085</v>
      </c>
      <c r="B271" s="25">
        <f t="shared" ref="B271:C271" si="277">C$4*EXP(-0.5*(LN($A271)-LN(C$5))^2/(LN(C$6))^2)/($A271*SQRT(2*PI())*LN(C$6))</f>
        <v>1.9693582837195078E-2</v>
      </c>
      <c r="C271" s="25">
        <f t="shared" si="277"/>
        <v>0</v>
      </c>
      <c r="D271" s="27">
        <f t="shared" si="212"/>
        <v>1.9693582837195078E-2</v>
      </c>
      <c r="E271" s="27"/>
      <c r="F271" s="26">
        <f t="shared" si="213"/>
        <v>0.23870069665592081</v>
      </c>
      <c r="G271" s="26">
        <f t="shared" si="213"/>
        <v>0</v>
      </c>
      <c r="H271" s="26">
        <f t="shared" si="213"/>
        <v>0.23870069665592081</v>
      </c>
      <c r="I271" s="26">
        <f>IF(F$320=0,0,SUM(F$17:F271)/F$320)</f>
        <v>0.95016453184990224</v>
      </c>
      <c r="J271" s="26">
        <f>IF(G$320=0,0,SUM(G$17:G271)/G$320)</f>
        <v>0</v>
      </c>
      <c r="K271" s="26">
        <f>SUM(H$17:H271)/H$320</f>
        <v>0.95016453184990224</v>
      </c>
      <c r="L271" s="26"/>
      <c r="M271" s="26"/>
      <c r="N271" s="27">
        <f t="shared" si="214"/>
        <v>0.23854327850061363</v>
      </c>
      <c r="O271" s="27">
        <f t="shared" si="215"/>
        <v>0</v>
      </c>
      <c r="P271" s="26">
        <f t="shared" si="216"/>
        <v>0.23854327850061363</v>
      </c>
      <c r="Q271" s="26">
        <f>IF(N$320=0,0,SUM(N$17:N271)/N$320)</f>
        <v>0.94915594557100924</v>
      </c>
      <c r="R271" s="26">
        <f>IF(O$320=0,0,SUM(O$17:O271)/O$320)</f>
        <v>0</v>
      </c>
      <c r="S271" s="26">
        <f>SUM(P$17:P271)/P$320</f>
        <v>0.94915594557100924</v>
      </c>
    </row>
    <row r="272" spans="1:19" x14ac:dyDescent="0.4">
      <c r="A272" s="6">
        <f t="shared" si="210"/>
        <v>357.63913040065023</v>
      </c>
      <c r="B272" s="25">
        <f t="shared" ref="B272:C272" si="278">C$4*EXP(-0.5*(LN($A272)-LN(C$5))^2/(LN(C$6))^2)/($A272*SQRT(2*PI())*LN(C$6))</f>
        <v>1.8398751608466976E-2</v>
      </c>
      <c r="C272" s="25">
        <f t="shared" si="278"/>
        <v>0</v>
      </c>
      <c r="D272" s="27">
        <f t="shared" si="212"/>
        <v>1.8398751608466976E-2</v>
      </c>
      <c r="E272" s="27"/>
      <c r="F272" s="26">
        <f t="shared" si="213"/>
        <v>0.23082942224060077</v>
      </c>
      <c r="G272" s="26">
        <f t="shared" si="213"/>
        <v>0</v>
      </c>
      <c r="H272" s="26">
        <f t="shared" si="213"/>
        <v>0.23082942224060077</v>
      </c>
      <c r="I272" s="26">
        <f>IF(F$320=0,0,SUM(F$17:F272)/F$320)</f>
        <v>0.95244450027713801</v>
      </c>
      <c r="J272" s="26">
        <f>IF(G$320=0,0,SUM(G$17:G272)/G$320)</f>
        <v>0</v>
      </c>
      <c r="K272" s="26">
        <f>SUM(H$17:H272)/H$320</f>
        <v>0.95244450027713801</v>
      </c>
      <c r="L272" s="26"/>
      <c r="M272" s="26"/>
      <c r="N272" s="27">
        <f t="shared" si="214"/>
        <v>0.23072792494133187</v>
      </c>
      <c r="O272" s="27">
        <f t="shared" si="215"/>
        <v>0</v>
      </c>
      <c r="P272" s="26">
        <f t="shared" si="216"/>
        <v>0.23072792494133187</v>
      </c>
      <c r="Q272" s="26">
        <f>IF(N$320=0,0,SUM(N$17:N272)/N$320)</f>
        <v>0.95147481918851018</v>
      </c>
      <c r="R272" s="26">
        <f>IF(O$320=0,0,SUM(O$17:O272)/O$320)</f>
        <v>0</v>
      </c>
      <c r="S272" s="26">
        <f>SUM(P$17:P272)/P$320</f>
        <v>0.95147481918851018</v>
      </c>
    </row>
    <row r="273" spans="1:19" x14ac:dyDescent="0.4">
      <c r="A273" s="6">
        <f t="shared" si="210"/>
        <v>370.18505890453713</v>
      </c>
      <c r="B273" s="25">
        <f t="shared" ref="B273:C273" si="279">C$4*EXP(-0.5*(LN($A273)-LN(C$5))^2/(LN(C$6))^2)/($A273*SQRT(2*PI())*LN(C$6))</f>
        <v>1.718153796815159E-2</v>
      </c>
      <c r="C273" s="25">
        <f t="shared" si="279"/>
        <v>0</v>
      </c>
      <c r="D273" s="27">
        <f t="shared" si="212"/>
        <v>1.718153796815159E-2</v>
      </c>
      <c r="E273" s="27"/>
      <c r="F273" s="26">
        <f t="shared" si="213"/>
        <v>0.22312010228913298</v>
      </c>
      <c r="G273" s="26">
        <f t="shared" si="213"/>
        <v>0</v>
      </c>
      <c r="H273" s="26">
        <f t="shared" si="213"/>
        <v>0.22312010228913298</v>
      </c>
      <c r="I273" s="26">
        <f>IF(F$320=0,0,SUM(F$17:F273)/F$320)</f>
        <v>0.95464832153944923</v>
      </c>
      <c r="J273" s="26">
        <f>IF(G$320=0,0,SUM(G$17:G273)/G$320)</f>
        <v>0</v>
      </c>
      <c r="K273" s="26">
        <f>SUM(H$17:H273)/H$320</f>
        <v>0.95464832153944923</v>
      </c>
      <c r="L273" s="26"/>
      <c r="M273" s="26"/>
      <c r="N273" s="27">
        <f t="shared" si="214"/>
        <v>0.22307104478962447</v>
      </c>
      <c r="O273" s="27">
        <f t="shared" si="215"/>
        <v>0</v>
      </c>
      <c r="P273" s="26">
        <f t="shared" si="216"/>
        <v>0.22307104478962447</v>
      </c>
      <c r="Q273" s="26">
        <f>IF(N$320=0,0,SUM(N$17:N273)/N$320)</f>
        <v>0.95371673923664702</v>
      </c>
      <c r="R273" s="26">
        <f>IF(O$320=0,0,SUM(O$17:O273)/O$320)</f>
        <v>0</v>
      </c>
      <c r="S273" s="26">
        <f>SUM(P$17:P273)/P$320</f>
        <v>0.95371673923664702</v>
      </c>
    </row>
    <row r="274" spans="1:19" x14ac:dyDescent="0.4">
      <c r="A274" s="6">
        <f t="shared" ref="A274:A317" si="280">10^((LOG(A$318)-LOG(A$17))/301+LOG(A273))</f>
        <v>383.17109674950291</v>
      </c>
      <c r="B274" s="25">
        <f t="shared" ref="B274:C274" si="281">C$4*EXP(-0.5*(LN($A274)-LN(C$5))^2/(LN(C$6))^2)/($A274*SQRT(2*PI())*LN(C$6))</f>
        <v>1.6037836210120674E-2</v>
      </c>
      <c r="C274" s="25">
        <f t="shared" si="281"/>
        <v>0</v>
      </c>
      <c r="D274" s="27">
        <f t="shared" ref="D274:D318" si="282">B274+C274</f>
        <v>1.6037836210120674E-2</v>
      </c>
      <c r="E274" s="27"/>
      <c r="F274" s="26">
        <f t="shared" ref="F274:H317" si="283">B274*($A275-$A274)</f>
        <v>0.21557395719828254</v>
      </c>
      <c r="G274" s="26">
        <f t="shared" si="283"/>
        <v>0</v>
      </c>
      <c r="H274" s="26">
        <f t="shared" si="283"/>
        <v>0.21557395719828254</v>
      </c>
      <c r="I274" s="26">
        <f>IF(F$320=0,0,SUM(F$17:F274)/F$320)</f>
        <v>0.95677760736174811</v>
      </c>
      <c r="J274" s="26">
        <f>IF(G$320=0,0,SUM(G$17:G274)/G$320)</f>
        <v>0</v>
      </c>
      <c r="K274" s="26">
        <f>SUM(H$17:H274)/H$320</f>
        <v>0.95677760736174811</v>
      </c>
      <c r="L274" s="26"/>
      <c r="M274" s="26"/>
      <c r="N274" s="27">
        <f t="shared" ref="N274:N318" si="284">C$4*((NORMDIST(LN($A274),LN(C$5),LN(C$6),TRUE))-(NORMDIST(LN($A273),LN(C$5),LN(C$6),TRUE)))</f>
        <v>0.21557396377098748</v>
      </c>
      <c r="O274" s="27">
        <f t="shared" ref="O274:O318" si="285">D$4*((NORMDIST(LN($A274),LN(D$5),LN(D$6),TRUE))-(NORMDIST(LN($A273),LN(D$5),LN(D$6),TRUE)))</f>
        <v>0</v>
      </c>
      <c r="P274" s="26">
        <f t="shared" ref="P274:P318" si="286">N274+O274</f>
        <v>0.21557396377098748</v>
      </c>
      <c r="Q274" s="26">
        <f>IF(N$320=0,0,SUM(N$17:N274)/N$320)</f>
        <v>0.95588331173685803</v>
      </c>
      <c r="R274" s="26">
        <f>IF(O$320=0,0,SUM(O$17:O274)/O$320)</f>
        <v>0</v>
      </c>
      <c r="S274" s="26">
        <f>SUM(P$17:P274)/P$320</f>
        <v>0.95588331173685803</v>
      </c>
    </row>
    <row r="275" spans="1:19" x14ac:dyDescent="0.4">
      <c r="A275" s="6">
        <f t="shared" si="280"/>
        <v>396.61268290700741</v>
      </c>
      <c r="B275" s="25">
        <f t="shared" ref="B275:C275" si="287">C$4*EXP(-0.5*(LN($A275)-LN(C$5))^2/(LN(C$6))^2)/($A275*SQRT(2*PI())*LN(C$6))</f>
        <v>1.4963719868055071E-2</v>
      </c>
      <c r="C275" s="25">
        <f t="shared" si="287"/>
        <v>0</v>
      </c>
      <c r="D275" s="27">
        <f t="shared" si="282"/>
        <v>1.4963719868055071E-2</v>
      </c>
      <c r="E275" s="27"/>
      <c r="F275" s="26">
        <f t="shared" si="283"/>
        <v>0.20819195592616055</v>
      </c>
      <c r="G275" s="26">
        <f t="shared" si="283"/>
        <v>0</v>
      </c>
      <c r="H275" s="26">
        <f t="shared" si="283"/>
        <v>0.20819195592616055</v>
      </c>
      <c r="I275" s="26">
        <f>IF(F$320=0,0,SUM(F$17:F275)/F$320)</f>
        <v>0.95883397903962431</v>
      </c>
      <c r="J275" s="26">
        <f>IF(G$320=0,0,SUM(G$17:G275)/G$320)</f>
        <v>0</v>
      </c>
      <c r="K275" s="26">
        <f>SUM(H$17:H275)/H$320</f>
        <v>0.95883397903962431</v>
      </c>
      <c r="L275" s="26"/>
      <c r="M275" s="26"/>
      <c r="N275" s="27">
        <f t="shared" si="284"/>
        <v>0.20823775725260507</v>
      </c>
      <c r="O275" s="27">
        <f t="shared" si="285"/>
        <v>0</v>
      </c>
      <c r="P275" s="26">
        <f t="shared" si="286"/>
        <v>0.20823775725260507</v>
      </c>
      <c r="Q275" s="26">
        <f>IF(N$320=0,0,SUM(N$17:N275)/N$320)</f>
        <v>0.95797615351829124</v>
      </c>
      <c r="R275" s="26">
        <f>IF(O$320=0,0,SUM(O$17:O275)/O$320)</f>
        <v>0</v>
      </c>
      <c r="S275" s="26">
        <f>SUM(P$17:P275)/P$320</f>
        <v>0.95797615351829124</v>
      </c>
    </row>
    <row r="276" spans="1:19" x14ac:dyDescent="0.4">
      <c r="A276" s="6">
        <f t="shared" si="280"/>
        <v>410.52579794537525</v>
      </c>
      <c r="B276" s="25">
        <f t="shared" ref="B276:C276" si="288">C$4*EXP(-0.5*(LN($A276)-LN(C$5))^2/(LN(C$6))^2)/($A276*SQRT(2*PI())*LN(C$6))</f>
        <v>1.3955436421591185E-2</v>
      </c>
      <c r="C276" s="25">
        <f t="shared" si="288"/>
        <v>0</v>
      </c>
      <c r="D276" s="27">
        <f t="shared" si="282"/>
        <v>1.3955436421591185E-2</v>
      </c>
      <c r="E276" s="27"/>
      <c r="F276" s="26">
        <f t="shared" si="283"/>
        <v>0.20097482282921741</v>
      </c>
      <c r="G276" s="26">
        <f t="shared" si="283"/>
        <v>0</v>
      </c>
      <c r="H276" s="26">
        <f t="shared" si="283"/>
        <v>0.20097482282921741</v>
      </c>
      <c r="I276" s="26">
        <f>IF(F$320=0,0,SUM(F$17:F276)/F$320)</f>
        <v>0.96081906502334402</v>
      </c>
      <c r="J276" s="26">
        <f>IF(G$320=0,0,SUM(G$17:G276)/G$320)</f>
        <v>0</v>
      </c>
      <c r="K276" s="26">
        <f>SUM(H$17:H276)/H$320</f>
        <v>0.96081906502334402</v>
      </c>
      <c r="L276" s="26"/>
      <c r="M276" s="26"/>
      <c r="N276" s="27">
        <f t="shared" si="284"/>
        <v>0.2010632568074544</v>
      </c>
      <c r="O276" s="27">
        <f t="shared" si="285"/>
        <v>0</v>
      </c>
      <c r="P276" s="26">
        <f t="shared" si="286"/>
        <v>0.2010632568074544</v>
      </c>
      <c r="Q276" s="26">
        <f>IF(N$320=0,0,SUM(N$17:N276)/N$320)</f>
        <v>0.95999688976761244</v>
      </c>
      <c r="R276" s="26">
        <f>IF(O$320=0,0,SUM(O$17:O276)/O$320)</f>
        <v>0</v>
      </c>
      <c r="S276" s="26">
        <f>SUM(P$17:P276)/P$320</f>
        <v>0.95999688976761244</v>
      </c>
    </row>
    <row r="277" spans="1:19" x14ac:dyDescent="0.4">
      <c r="A277" s="6">
        <f t="shared" si="280"/>
        <v>424.92698302893729</v>
      </c>
      <c r="B277" s="25">
        <f t="shared" ref="B277:C277" si="289">C$4*EXP(-0.5*(LN($A277)-LN(C$5))^2/(LN(C$6))^2)/($A277*SQRT(2*PI())*LN(C$6))</f>
        <v>1.3009401988481615E-2</v>
      </c>
      <c r="C277" s="25">
        <f t="shared" si="289"/>
        <v>0</v>
      </c>
      <c r="D277" s="27">
        <f t="shared" si="282"/>
        <v>1.3009401988481615E-2</v>
      </c>
      <c r="E277" s="27"/>
      <c r="F277" s="26">
        <f t="shared" si="283"/>
        <v>0.19392304479198347</v>
      </c>
      <c r="G277" s="26">
        <f t="shared" si="283"/>
        <v>0</v>
      </c>
      <c r="H277" s="26">
        <f t="shared" si="283"/>
        <v>0.19392304479198347</v>
      </c>
      <c r="I277" s="26">
        <f>IF(F$320=0,0,SUM(F$17:F277)/F$320)</f>
        <v>0.96273449857227145</v>
      </c>
      <c r="J277" s="26">
        <f>IF(G$320=0,0,SUM(G$17:G277)/G$320)</f>
        <v>0</v>
      </c>
      <c r="K277" s="26">
        <f>SUM(H$17:H277)/H$320</f>
        <v>0.96273449857227145</v>
      </c>
      <c r="L277" s="26"/>
      <c r="M277" s="26"/>
      <c r="N277" s="27">
        <f t="shared" si="284"/>
        <v>0.19405105708032444</v>
      </c>
      <c r="O277" s="27">
        <f t="shared" si="285"/>
        <v>0</v>
      </c>
      <c r="P277" s="26">
        <f t="shared" si="286"/>
        <v>0.19405105708032444</v>
      </c>
      <c r="Q277" s="26">
        <f>IF(N$320=0,0,SUM(N$17:N277)/N$320)</f>
        <v>0.96194715164781674</v>
      </c>
      <c r="R277" s="26">
        <f>IF(O$320=0,0,SUM(O$17:O277)/O$320)</f>
        <v>0</v>
      </c>
      <c r="S277" s="26">
        <f>SUM(P$17:P277)/P$320</f>
        <v>0.96194715164781674</v>
      </c>
    </row>
    <row r="278" spans="1:19" x14ac:dyDescent="0.4">
      <c r="A278" s="6">
        <f t="shared" si="280"/>
        <v>439.8333595836537</v>
      </c>
      <c r="B278" s="25">
        <f t="shared" ref="B278:C278" si="290">C$4*EXP(-0.5*(LN($A278)-LN(C$5))^2/(LN(C$6))^2)/($A278*SQRT(2*PI())*LN(C$6))</f>
        <v>1.2122196017157636E-2</v>
      </c>
      <c r="C278" s="25">
        <f t="shared" si="290"/>
        <v>0</v>
      </c>
      <c r="D278" s="27">
        <f t="shared" si="282"/>
        <v>1.2122196017157636E-2</v>
      </c>
      <c r="E278" s="27"/>
      <c r="F278" s="26">
        <f t="shared" si="283"/>
        <v>0.18703687862147647</v>
      </c>
      <c r="G278" s="26">
        <f t="shared" si="283"/>
        <v>0</v>
      </c>
      <c r="H278" s="26">
        <f t="shared" si="283"/>
        <v>0.18703687862147647</v>
      </c>
      <c r="I278" s="26">
        <f>IF(F$320=0,0,SUM(F$17:F278)/F$320)</f>
        <v>0.96458191548232719</v>
      </c>
      <c r="J278" s="26">
        <f>IF(G$320=0,0,SUM(G$17:G278)/G$320)</f>
        <v>0</v>
      </c>
      <c r="K278" s="26">
        <f>SUM(H$17:H278)/H$320</f>
        <v>0.96458191548232719</v>
      </c>
      <c r="L278" s="26"/>
      <c r="M278" s="26"/>
      <c r="N278" s="27">
        <f t="shared" si="284"/>
        <v>0.18720152292773795</v>
      </c>
      <c r="O278" s="27">
        <f t="shared" si="285"/>
        <v>0</v>
      </c>
      <c r="P278" s="26">
        <f t="shared" si="286"/>
        <v>0.18720152292773795</v>
      </c>
      <c r="Q278" s="26">
        <f>IF(N$320=0,0,SUM(N$17:N278)/N$320)</f>
        <v>0.96382857398879895</v>
      </c>
      <c r="R278" s="26">
        <f>IF(O$320=0,0,SUM(O$17:O278)/O$320)</f>
        <v>0</v>
      </c>
      <c r="S278" s="26">
        <f>SUM(P$17:P278)/P$320</f>
        <v>0.96382857398879895</v>
      </c>
    </row>
    <row r="279" spans="1:19" x14ac:dyDescent="0.4">
      <c r="A279" s="6">
        <f t="shared" si="280"/>
        <v>455.26264965261038</v>
      </c>
      <c r="B279" s="25">
        <f t="shared" ref="B279:C279" si="291">C$4*EXP(-0.5*(LN($A279)-LN(C$5))^2/(LN(C$6))^2)/($A279*SQRT(2*PI())*LN(C$6))</f>
        <v>1.1290555993112185E-2</v>
      </c>
      <c r="C279" s="25">
        <f t="shared" si="291"/>
        <v>0</v>
      </c>
      <c r="D279" s="27">
        <f t="shared" si="282"/>
        <v>1.1290555993112185E-2</v>
      </c>
      <c r="E279" s="27"/>
      <c r="F279" s="26">
        <f t="shared" si="283"/>
        <v>0.18031635867769516</v>
      </c>
      <c r="G279" s="26">
        <f t="shared" si="283"/>
        <v>0</v>
      </c>
      <c r="H279" s="26">
        <f t="shared" si="283"/>
        <v>0.18031635867769516</v>
      </c>
      <c r="I279" s="26">
        <f>IF(F$320=0,0,SUM(F$17:F279)/F$320)</f>
        <v>0.96636295188881594</v>
      </c>
      <c r="J279" s="26">
        <f>IF(G$320=0,0,SUM(G$17:G279)/G$320)</f>
        <v>0</v>
      </c>
      <c r="K279" s="26">
        <f>SUM(H$17:H279)/H$320</f>
        <v>0.96636295188881594</v>
      </c>
      <c r="L279" s="26"/>
      <c r="M279" s="26"/>
      <c r="N279" s="27">
        <f t="shared" si="284"/>
        <v>0.18051479680396554</v>
      </c>
      <c r="O279" s="27">
        <f t="shared" si="285"/>
        <v>0</v>
      </c>
      <c r="P279" s="26">
        <f t="shared" si="286"/>
        <v>0.18051479680396554</v>
      </c>
      <c r="Q279" s="26">
        <f>IF(N$320=0,0,SUM(N$17:N279)/N$320)</f>
        <v>0.96564279305215539</v>
      </c>
      <c r="R279" s="26">
        <f>IF(O$320=0,0,SUM(O$17:O279)/O$320)</f>
        <v>0</v>
      </c>
      <c r="S279" s="26">
        <f>SUM(P$17:P279)/P$320</f>
        <v>0.96564279305215539</v>
      </c>
    </row>
    <row r="280" spans="1:19" x14ac:dyDescent="0.4">
      <c r="A280" s="6">
        <f t="shared" si="280"/>
        <v>471.23319696557684</v>
      </c>
      <c r="B280" s="25">
        <f t="shared" ref="B280:C280" si="292">C$4*EXP(-0.5*(LN($A280)-LN(C$5))^2/(LN(C$6))^2)/($A280*SQRT(2*PI())*LN(C$6))</f>
        <v>1.0511372171576121E-2</v>
      </c>
      <c r="C280" s="25">
        <f t="shared" si="292"/>
        <v>0</v>
      </c>
      <c r="D280" s="27">
        <f t="shared" si="282"/>
        <v>1.0511372171576121E-2</v>
      </c>
      <c r="E280" s="27"/>
      <c r="F280" s="26">
        <f t="shared" si="283"/>
        <v>0.17376130471259432</v>
      </c>
      <c r="G280" s="26">
        <f t="shared" si="283"/>
        <v>0</v>
      </c>
      <c r="H280" s="26">
        <f t="shared" si="283"/>
        <v>0.17376130471259432</v>
      </c>
      <c r="I280" s="26">
        <f>IF(F$320=0,0,SUM(F$17:F280)/F$320)</f>
        <v>0.9680792421466804</v>
      </c>
      <c r="J280" s="26">
        <f>IF(G$320=0,0,SUM(G$17:G280)/G$320)</f>
        <v>0</v>
      </c>
      <c r="K280" s="26">
        <f>SUM(H$17:H280)/H$320</f>
        <v>0.9680792421466804</v>
      </c>
      <c r="L280" s="26"/>
      <c r="M280" s="26"/>
      <c r="N280" s="27">
        <f t="shared" si="284"/>
        <v>0.17399080636536501</v>
      </c>
      <c r="O280" s="27">
        <f t="shared" si="285"/>
        <v>0</v>
      </c>
      <c r="P280" s="26">
        <f t="shared" si="286"/>
        <v>0.17399080636536501</v>
      </c>
      <c r="Q280" s="26">
        <f>IF(N$320=0,0,SUM(N$17:N280)/N$320)</f>
        <v>0.96739144437241031</v>
      </c>
      <c r="R280" s="26">
        <f>IF(O$320=0,0,SUM(O$17:O280)/O$320)</f>
        <v>0</v>
      </c>
      <c r="S280" s="26">
        <f>SUM(P$17:P280)/P$320</f>
        <v>0.96739144437241031</v>
      </c>
    </row>
    <row r="281" spans="1:19" x14ac:dyDescent="0.4">
      <c r="A281" s="6">
        <f t="shared" si="280"/>
        <v>487.76398874768722</v>
      </c>
      <c r="B281" s="25">
        <f t="shared" ref="B281:C281" si="293">C$4*EXP(-0.5*(LN($A281)-LN(C$5))^2/(LN(C$6))^2)/($A281*SQRT(2*PI())*LN(C$6))</f>
        <v>9.7816823480333607E-3</v>
      </c>
      <c r="C281" s="25">
        <f t="shared" si="293"/>
        <v>0</v>
      </c>
      <c r="D281" s="27">
        <f t="shared" si="282"/>
        <v>9.7816823480333607E-3</v>
      </c>
      <c r="E281" s="27"/>
      <c r="F281" s="26">
        <f t="shared" si="283"/>
        <v>0.16737132988965231</v>
      </c>
      <c r="G281" s="26">
        <f t="shared" si="283"/>
        <v>0</v>
      </c>
      <c r="H281" s="26">
        <f t="shared" si="283"/>
        <v>0.16737132988965231</v>
      </c>
      <c r="I281" s="26">
        <f>IF(F$320=0,0,SUM(F$17:F281)/F$320)</f>
        <v>0.9697324167899678</v>
      </c>
      <c r="J281" s="26">
        <f>IF(G$320=0,0,SUM(G$17:G281)/G$320)</f>
        <v>0</v>
      </c>
      <c r="K281" s="26">
        <f>SUM(H$17:H281)/H$320</f>
        <v>0.9697324167899678</v>
      </c>
      <c r="L281" s="26"/>
      <c r="M281" s="26"/>
      <c r="N281" s="27">
        <f t="shared" si="284"/>
        <v>0.16762927226612323</v>
      </c>
      <c r="O281" s="27">
        <f t="shared" si="285"/>
        <v>0</v>
      </c>
      <c r="P281" s="26">
        <f t="shared" si="286"/>
        <v>0.16762927226612323</v>
      </c>
      <c r="Q281" s="26">
        <f>IF(N$320=0,0,SUM(N$17:N281)/N$320)</f>
        <v>0.96907616067659252</v>
      </c>
      <c r="R281" s="26">
        <f>IF(O$320=0,0,SUM(O$17:O281)/O$320)</f>
        <v>0</v>
      </c>
      <c r="S281" s="26">
        <f>SUM(P$17:P281)/P$320</f>
        <v>0.96907616067659252</v>
      </c>
    </row>
    <row r="282" spans="1:19" x14ac:dyDescent="0.4">
      <c r="A282" s="6">
        <f t="shared" si="280"/>
        <v>504.87467829316228</v>
      </c>
      <c r="B282" s="25">
        <f t="shared" ref="B282:C282" si="294">C$4*EXP(-0.5*(LN($A282)-LN(C$5))^2/(LN(C$6))^2)/($A282*SQRT(2*PI())*LN(C$6))</f>
        <v>9.0986666772206841E-3</v>
      </c>
      <c r="C282" s="25">
        <f t="shared" si="294"/>
        <v>0</v>
      </c>
      <c r="D282" s="27">
        <f t="shared" si="282"/>
        <v>9.0986666772206841E-3</v>
      </c>
      <c r="E282" s="27"/>
      <c r="F282" s="26">
        <f t="shared" si="283"/>
        <v>0.16114584895709863</v>
      </c>
      <c r="G282" s="26">
        <f t="shared" si="283"/>
        <v>0</v>
      </c>
      <c r="H282" s="26">
        <f t="shared" si="283"/>
        <v>0.16114584895709863</v>
      </c>
      <c r="I282" s="26">
        <f>IF(F$320=0,0,SUM(F$17:F282)/F$320)</f>
        <v>0.97132410057202634</v>
      </c>
      <c r="J282" s="26">
        <f>IF(G$320=0,0,SUM(G$17:G282)/G$320)</f>
        <v>0</v>
      </c>
      <c r="K282" s="26">
        <f>SUM(H$17:H282)/H$320</f>
        <v>0.97132410057202634</v>
      </c>
      <c r="L282" s="26"/>
      <c r="M282" s="26"/>
      <c r="N282" s="27">
        <f t="shared" si="284"/>
        <v>0.16142971611794454</v>
      </c>
      <c r="O282" s="27">
        <f t="shared" si="285"/>
        <v>0</v>
      </c>
      <c r="P282" s="26">
        <f t="shared" si="286"/>
        <v>0.16142971611794454</v>
      </c>
      <c r="Q282" s="26">
        <f>IF(N$320=0,0,SUM(N$17:N282)/N$320)</f>
        <v>0.97069856988380809</v>
      </c>
      <c r="R282" s="26">
        <f>IF(O$320=0,0,SUM(O$17:O282)/O$320)</f>
        <v>0</v>
      </c>
      <c r="S282" s="26">
        <f>SUM(P$17:P282)/P$320</f>
        <v>0.97069856988380809</v>
      </c>
    </row>
    <row r="283" spans="1:19" x14ac:dyDescent="0.4">
      <c r="A283" s="6">
        <f t="shared" si="280"/>
        <v>522.58560833091622</v>
      </c>
      <c r="B283" s="25">
        <f t="shared" ref="B283:C283" si="295">C$4*EXP(-0.5*(LN($A283)-LN(C$5))^2/(LN(C$6))^2)/($A283*SQRT(2*PI())*LN(C$6))</f>
        <v>8.4596425503812873E-3</v>
      </c>
      <c r="C283" s="25">
        <f t="shared" si="295"/>
        <v>0</v>
      </c>
      <c r="D283" s="27">
        <f t="shared" si="282"/>
        <v>8.4596425503812873E-3</v>
      </c>
      <c r="E283" s="27"/>
      <c r="F283" s="26">
        <f t="shared" si="283"/>
        <v>0.1550840865480502</v>
      </c>
      <c r="G283" s="26">
        <f t="shared" si="283"/>
        <v>0</v>
      </c>
      <c r="H283" s="26">
        <f t="shared" si="283"/>
        <v>0.1550840865480502</v>
      </c>
      <c r="I283" s="26">
        <f>IF(F$320=0,0,SUM(F$17:F283)/F$320)</f>
        <v>0.97285591058768239</v>
      </c>
      <c r="J283" s="26">
        <f>IF(G$320=0,0,SUM(G$17:G283)/G$320)</f>
        <v>0</v>
      </c>
      <c r="K283" s="26">
        <f>SUM(H$17:H283)/H$320</f>
        <v>0.97285591058768239</v>
      </c>
      <c r="L283" s="26"/>
      <c r="M283" s="26"/>
      <c r="N283" s="27">
        <f t="shared" si="284"/>
        <v>0.15539146858786212</v>
      </c>
      <c r="O283" s="27">
        <f t="shared" si="285"/>
        <v>0</v>
      </c>
      <c r="P283" s="26">
        <f t="shared" si="286"/>
        <v>0.15539146858786212</v>
      </c>
      <c r="Q283" s="26">
        <f>IF(N$320=0,0,SUM(N$17:N283)/N$320)</f>
        <v>0.97226029318619867</v>
      </c>
      <c r="R283" s="26">
        <f>IF(O$320=0,0,SUM(O$17:O283)/O$320)</f>
        <v>0</v>
      </c>
      <c r="S283" s="26">
        <f>SUM(P$17:P283)/P$320</f>
        <v>0.97226029318619867</v>
      </c>
    </row>
    <row r="284" spans="1:19" x14ac:dyDescent="0.4">
      <c r="A284" s="6">
        <f t="shared" si="280"/>
        <v>540.91783520982381</v>
      </c>
      <c r="B284" s="25">
        <f t="shared" ref="B284:C284" si="296">C$4*EXP(-0.5*(LN($A284)-LN(C$5))^2/(LN(C$6))^2)/($A284*SQRT(2*PI())*LN(C$6))</f>
        <v>7.8620595396939226E-3</v>
      </c>
      <c r="C284" s="25">
        <f t="shared" si="296"/>
        <v>0</v>
      </c>
      <c r="D284" s="27">
        <f t="shared" si="282"/>
        <v>7.8620595396939226E-3</v>
      </c>
      <c r="E284" s="27"/>
      <c r="F284" s="26">
        <f t="shared" si="283"/>
        <v>0.1491850855816198</v>
      </c>
      <c r="G284" s="26">
        <f t="shared" si="283"/>
        <v>0</v>
      </c>
      <c r="H284" s="26">
        <f t="shared" si="283"/>
        <v>0.1491850855816198</v>
      </c>
      <c r="I284" s="26">
        <f>IF(F$320=0,0,SUM(F$17:F284)/F$320)</f>
        <v>0.97432945447840025</v>
      </c>
      <c r="J284" s="26">
        <f>IF(G$320=0,0,SUM(G$17:G284)/G$320)</f>
        <v>0</v>
      </c>
      <c r="K284" s="26">
        <f>SUM(H$17:H284)/H$320</f>
        <v>0.97432945447840025</v>
      </c>
      <c r="L284" s="26"/>
      <c r="M284" s="26"/>
      <c r="N284" s="27">
        <f t="shared" si="284"/>
        <v>0.14951367760765999</v>
      </c>
      <c r="O284" s="27">
        <f t="shared" si="285"/>
        <v>0</v>
      </c>
      <c r="P284" s="26">
        <f t="shared" si="286"/>
        <v>0.14951367760765999</v>
      </c>
      <c r="Q284" s="26">
        <f>IF(N$320=0,0,SUM(N$17:N284)/N$320)</f>
        <v>0.97376294321240631</v>
      </c>
      <c r="R284" s="26">
        <f>IF(O$320=0,0,SUM(O$17:O284)/O$320)</f>
        <v>0</v>
      </c>
      <c r="S284" s="26">
        <f>SUM(P$17:P284)/P$320</f>
        <v>0.97376294321240631</v>
      </c>
    </row>
    <row r="285" spans="1:19" x14ac:dyDescent="0.4">
      <c r="A285" s="6">
        <f t="shared" si="280"/>
        <v>559.89315393240724</v>
      </c>
      <c r="B285" s="25">
        <f t="shared" ref="B285:C285" si="297">C$4*EXP(-0.5*(LN($A285)-LN(C$5))^2/(LN(C$6))^2)/($A285*SQRT(2*PI())*LN(C$6))</f>
        <v>7.3034944179795639E-3</v>
      </c>
      <c r="C285" s="25">
        <f t="shared" si="297"/>
        <v>0</v>
      </c>
      <c r="D285" s="27">
        <f t="shared" si="282"/>
        <v>7.3034944179795639E-3</v>
      </c>
      <c r="E285" s="27"/>
      <c r="F285" s="26">
        <f t="shared" si="283"/>
        <v>0.14344771573947207</v>
      </c>
      <c r="G285" s="26">
        <f t="shared" si="283"/>
        <v>0</v>
      </c>
      <c r="H285" s="26">
        <f t="shared" si="283"/>
        <v>0.14344771573947207</v>
      </c>
      <c r="I285" s="26">
        <f>IF(F$320=0,0,SUM(F$17:F285)/F$320)</f>
        <v>0.9757463287211654</v>
      </c>
      <c r="J285" s="26">
        <f>IF(G$320=0,0,SUM(G$17:G285)/G$320)</f>
        <v>0</v>
      </c>
      <c r="K285" s="26">
        <f>SUM(H$17:H285)/H$320</f>
        <v>0.9757463287211654</v>
      </c>
      <c r="L285" s="26"/>
      <c r="M285" s="26"/>
      <c r="N285" s="27">
        <f t="shared" si="284"/>
        <v>0.143795316670281</v>
      </c>
      <c r="O285" s="27">
        <f t="shared" si="285"/>
        <v>0</v>
      </c>
      <c r="P285" s="26">
        <f t="shared" si="286"/>
        <v>0.143795316670281</v>
      </c>
      <c r="Q285" s="26">
        <f>IF(N$320=0,0,SUM(N$17:N285)/N$320)</f>
        <v>0.97520812227441911</v>
      </c>
      <c r="R285" s="26">
        <f>IF(O$320=0,0,SUM(O$17:O285)/O$320)</f>
        <v>0</v>
      </c>
      <c r="S285" s="26">
        <f>SUM(P$17:P285)/P$320</f>
        <v>0.97520812227441911</v>
      </c>
    </row>
    <row r="286" spans="1:19" x14ac:dyDescent="0.4">
      <c r="A286" s="6">
        <f t="shared" si="280"/>
        <v>579.53412406669474</v>
      </c>
      <c r="B286" s="25">
        <f t="shared" ref="B286:C286" si="298">C$4*EXP(-0.5*(LN($A286)-LN(C$5))^2/(LN(C$6))^2)/($A286*SQRT(2*PI())*LN(C$6))</f>
        <v>6.7816462609988229E-3</v>
      </c>
      <c r="C286" s="25">
        <f t="shared" si="298"/>
        <v>0</v>
      </c>
      <c r="D286" s="27">
        <f t="shared" si="282"/>
        <v>6.7816462609988229E-3</v>
      </c>
      <c r="E286" s="27"/>
      <c r="F286" s="26">
        <f t="shared" si="283"/>
        <v>0.13787068199338159</v>
      </c>
      <c r="G286" s="26">
        <f t="shared" si="283"/>
        <v>0</v>
      </c>
      <c r="H286" s="26">
        <f t="shared" si="283"/>
        <v>0.13787068199338159</v>
      </c>
      <c r="I286" s="26">
        <f>IF(F$320=0,0,SUM(F$17:F286)/F$320)</f>
        <v>0.97710811700159839</v>
      </c>
      <c r="J286" s="26">
        <f>IF(G$320=0,0,SUM(G$17:G286)/G$320)</f>
        <v>0</v>
      </c>
      <c r="K286" s="26">
        <f>SUM(H$17:H286)/H$320</f>
        <v>0.97710811700159839</v>
      </c>
      <c r="L286" s="26"/>
      <c r="M286" s="26"/>
      <c r="N286" s="27">
        <f t="shared" si="284"/>
        <v>0.1382351931880188</v>
      </c>
      <c r="O286" s="27">
        <f t="shared" si="285"/>
        <v>0</v>
      </c>
      <c r="P286" s="26">
        <f t="shared" si="286"/>
        <v>0.1382351931880188</v>
      </c>
      <c r="Q286" s="26">
        <f>IF(N$320=0,0,SUM(N$17:N286)/N$320)</f>
        <v>0.97659742069841937</v>
      </c>
      <c r="R286" s="26">
        <f>IF(O$320=0,0,SUM(O$17:O286)/O$320)</f>
        <v>0</v>
      </c>
      <c r="S286" s="26">
        <f>SUM(P$17:P286)/P$320</f>
        <v>0.97659742069841937</v>
      </c>
    </row>
    <row r="287" spans="1:19" x14ac:dyDescent="0.4">
      <c r="A287" s="6">
        <f t="shared" si="280"/>
        <v>599.86409656707042</v>
      </c>
      <c r="B287" s="25">
        <f t="shared" ref="B287:C287" si="299">C$4*EXP(-0.5*(LN($A287)-LN(C$5))^2/(LN(C$6))^2)/($A287*SQRT(2*PI())*LN(C$6))</f>
        <v>6.2943316388937975E-3</v>
      </c>
      <c r="C287" s="25">
        <f t="shared" si="299"/>
        <v>0</v>
      </c>
      <c r="D287" s="27">
        <f t="shared" si="282"/>
        <v>6.2943316388937975E-3</v>
      </c>
      <c r="E287" s="27"/>
      <c r="F287" s="26">
        <f t="shared" si="283"/>
        <v>0.13245253315970229</v>
      </c>
      <c r="G287" s="26">
        <f t="shared" si="283"/>
        <v>0</v>
      </c>
      <c r="H287" s="26">
        <f t="shared" si="283"/>
        <v>0.13245253315970229</v>
      </c>
      <c r="I287" s="26">
        <f>IF(F$320=0,0,SUM(F$17:F287)/F$320)</f>
        <v>0.97841638867156244</v>
      </c>
      <c r="J287" s="26">
        <f>IF(G$320=0,0,SUM(G$17:G287)/G$320)</f>
        <v>0</v>
      </c>
      <c r="K287" s="26">
        <f>SUM(H$17:H287)/H$320</f>
        <v>0.97841638867156244</v>
      </c>
      <c r="L287" s="26"/>
      <c r="M287" s="26"/>
      <c r="N287" s="27">
        <f t="shared" si="284"/>
        <v>0.13283195688912341</v>
      </c>
      <c r="O287" s="27">
        <f t="shared" si="285"/>
        <v>0</v>
      </c>
      <c r="P287" s="26">
        <f t="shared" si="286"/>
        <v>0.13283195688912341</v>
      </c>
      <c r="Q287" s="26">
        <f>IF(N$320=0,0,SUM(N$17:N287)/N$320)</f>
        <v>0.97793241524001862</v>
      </c>
      <c r="R287" s="26">
        <f>IF(O$320=0,0,SUM(O$17:O287)/O$320)</f>
        <v>0</v>
      </c>
      <c r="S287" s="26">
        <f>SUM(P$17:P287)/P$320</f>
        <v>0.97793241524001862</v>
      </c>
    </row>
    <row r="288" spans="1:19" x14ac:dyDescent="0.4">
      <c r="A288" s="6">
        <f t="shared" si="280"/>
        <v>620.90724153599047</v>
      </c>
      <c r="B288" s="25">
        <f t="shared" ref="B288:C288" si="300">C$4*EXP(-0.5*(LN($A288)-LN(C$5))^2/(LN(C$6))^2)/($A288*SQRT(2*PI())*LN(C$6))</f>
        <v>5.8394799026016981E-3</v>
      </c>
      <c r="C288" s="25">
        <f t="shared" si="300"/>
        <v>0</v>
      </c>
      <c r="D288" s="27">
        <f t="shared" si="282"/>
        <v>5.8394799026016981E-3</v>
      </c>
      <c r="E288" s="27"/>
      <c r="F288" s="26">
        <f t="shared" si="283"/>
        <v>0.12719167045785706</v>
      </c>
      <c r="G288" s="26">
        <f t="shared" si="283"/>
        <v>0</v>
      </c>
      <c r="H288" s="26">
        <f t="shared" si="283"/>
        <v>0.12719167045785706</v>
      </c>
      <c r="I288" s="26">
        <f>IF(F$320=0,0,SUM(F$17:F288)/F$320)</f>
        <v>0.97967269729130602</v>
      </c>
      <c r="J288" s="26">
        <f>IF(G$320=0,0,SUM(G$17:G288)/G$320)</f>
        <v>0</v>
      </c>
      <c r="K288" s="26">
        <f>SUM(H$17:H288)/H$320</f>
        <v>0.97967269729130602</v>
      </c>
      <c r="L288" s="26"/>
      <c r="M288" s="26"/>
      <c r="N288" s="27">
        <f t="shared" si="284"/>
        <v>0.12758410822948374</v>
      </c>
      <c r="O288" s="27">
        <f t="shared" si="285"/>
        <v>0</v>
      </c>
      <c r="P288" s="26">
        <f t="shared" si="286"/>
        <v>0.12758410822948374</v>
      </c>
      <c r="Q288" s="26">
        <f>IF(N$320=0,0,SUM(N$17:N288)/N$320)</f>
        <v>0.97921466758403353</v>
      </c>
      <c r="R288" s="26">
        <f>IF(O$320=0,0,SUM(O$17:O288)/O$320)</f>
        <v>0</v>
      </c>
      <c r="S288" s="26">
        <f>SUM(P$17:P288)/P$320</f>
        <v>0.97921466758403353</v>
      </c>
    </row>
    <row r="289" spans="1:19" x14ac:dyDescent="0.4">
      <c r="A289" s="6">
        <f t="shared" si="280"/>
        <v>642.68857695957649</v>
      </c>
      <c r="B289" s="25">
        <f t="shared" ref="B289:C289" si="301">C$4*EXP(-0.5*(LN($A289)-LN(C$5))^2/(LN(C$6))^2)/($A289*SQRT(2*PI())*LN(C$6))</f>
        <v>5.4151285703718305E-3</v>
      </c>
      <c r="C289" s="25">
        <f t="shared" si="301"/>
        <v>0</v>
      </c>
      <c r="D289" s="27">
        <f t="shared" si="282"/>
        <v>5.4151285703718305E-3</v>
      </c>
      <c r="E289" s="27"/>
      <c r="F289" s="26">
        <f t="shared" si="283"/>
        <v>0.12208635605066116</v>
      </c>
      <c r="G289" s="26">
        <f t="shared" si="283"/>
        <v>0</v>
      </c>
      <c r="H289" s="26">
        <f t="shared" si="283"/>
        <v>0.12208635605066116</v>
      </c>
      <c r="I289" s="26">
        <f>IF(F$320=0,0,SUM(F$17:F289)/F$320)</f>
        <v>0.98087857925596145</v>
      </c>
      <c r="J289" s="26">
        <f>IF(G$320=0,0,SUM(G$17:G289)/G$320)</f>
        <v>0</v>
      </c>
      <c r="K289" s="26">
        <f>SUM(H$17:H289)/H$320</f>
        <v>0.98087857925596145</v>
      </c>
      <c r="L289" s="26"/>
      <c r="M289" s="26"/>
      <c r="N289" s="27">
        <f t="shared" si="284"/>
        <v>0.12249000679718236</v>
      </c>
      <c r="O289" s="27">
        <f t="shared" si="285"/>
        <v>0</v>
      </c>
      <c r="P289" s="26">
        <f t="shared" si="286"/>
        <v>0.12249000679718236</v>
      </c>
      <c r="Q289" s="26">
        <f>IF(N$320=0,0,SUM(N$17:N289)/N$320)</f>
        <v>0.98044572292872878</v>
      </c>
      <c r="R289" s="26">
        <f>IF(O$320=0,0,SUM(O$17:O289)/O$320)</f>
        <v>0</v>
      </c>
      <c r="S289" s="26">
        <f>SUM(P$17:P289)/P$320</f>
        <v>0.98044572292872878</v>
      </c>
    </row>
    <row r="290" spans="1:19" x14ac:dyDescent="0.4">
      <c r="A290" s="6">
        <f t="shared" si="280"/>
        <v>665.23399845125459</v>
      </c>
      <c r="B290" s="25">
        <f t="shared" ref="B290:C290" si="302">C$4*EXP(-0.5*(LN($A290)-LN(C$5))^2/(LN(C$6))^2)/($A290*SQRT(2*PI())*LN(C$6))</f>
        <v>5.0194188188548323E-3</v>
      </c>
      <c r="C290" s="25">
        <f t="shared" si="302"/>
        <v>0</v>
      </c>
      <c r="D290" s="27">
        <f t="shared" si="282"/>
        <v>5.0194188188548323E-3</v>
      </c>
      <c r="E290" s="27"/>
      <c r="F290" s="26">
        <f t="shared" si="283"/>
        <v>0.11713472154512795</v>
      </c>
      <c r="G290" s="26">
        <f t="shared" si="283"/>
        <v>0</v>
      </c>
      <c r="H290" s="26">
        <f t="shared" si="283"/>
        <v>0.11713472154512795</v>
      </c>
      <c r="I290" s="26">
        <f>IF(F$320=0,0,SUM(F$17:F290)/F$320)</f>
        <v>0.98203555250600738</v>
      </c>
      <c r="J290" s="26">
        <f>IF(G$320=0,0,SUM(G$17:G290)/G$320)</f>
        <v>0</v>
      </c>
      <c r="K290" s="26">
        <f>SUM(H$17:H290)/H$320</f>
        <v>0.98203555250600738</v>
      </c>
      <c r="L290" s="26"/>
      <c r="M290" s="26"/>
      <c r="N290" s="27">
        <f t="shared" si="284"/>
        <v>0.11754787968885072</v>
      </c>
      <c r="O290" s="27">
        <f t="shared" si="285"/>
        <v>0</v>
      </c>
      <c r="P290" s="26">
        <f t="shared" si="286"/>
        <v>0.11754787968885072</v>
      </c>
      <c r="Q290" s="26">
        <f>IF(N$320=0,0,SUM(N$17:N290)/N$320)</f>
        <v>0.98162710865424496</v>
      </c>
      <c r="R290" s="26">
        <f>IF(O$320=0,0,SUM(O$17:O290)/O$320)</f>
        <v>0</v>
      </c>
      <c r="S290" s="26">
        <f>SUM(P$17:P290)/P$320</f>
        <v>0.98162710865424496</v>
      </c>
    </row>
    <row r="291" spans="1:19" x14ac:dyDescent="0.4">
      <c r="A291" s="6">
        <f t="shared" si="280"/>
        <v>688.57031003878853</v>
      </c>
      <c r="B291" s="25">
        <f t="shared" ref="B291:C291" si="303">C$4*EXP(-0.5*(LN($A291)-LN(C$5))^2/(LN(C$6))^2)/($A291*SQRT(2*PI())*LN(C$6))</f>
        <v>4.6505910826031014E-3</v>
      </c>
      <c r="C291" s="25">
        <f t="shared" si="303"/>
        <v>0</v>
      </c>
      <c r="D291" s="27">
        <f t="shared" si="282"/>
        <v>4.6505910826031014E-3</v>
      </c>
      <c r="E291" s="27"/>
      <c r="F291" s="26">
        <f t="shared" si="283"/>
        <v>0.1123347764336559</v>
      </c>
      <c r="G291" s="26">
        <f t="shared" si="283"/>
        <v>0</v>
      </c>
      <c r="H291" s="26">
        <f t="shared" si="283"/>
        <v>0.1123347764336559</v>
      </c>
      <c r="I291" s="26">
        <f>IF(F$320=0,0,SUM(F$17:F291)/F$320)</f>
        <v>0.98314511532110804</v>
      </c>
      <c r="J291" s="26">
        <f>IF(G$320=0,0,SUM(G$17:G291)/G$320)</f>
        <v>0</v>
      </c>
      <c r="K291" s="26">
        <f>SUM(H$17:H291)/H$320</f>
        <v>0.98314511532110804</v>
      </c>
      <c r="L291" s="26"/>
      <c r="M291" s="26"/>
      <c r="N291" s="27">
        <f t="shared" si="284"/>
        <v>0.11275582983698573</v>
      </c>
      <c r="O291" s="27">
        <f t="shared" si="285"/>
        <v>0</v>
      </c>
      <c r="P291" s="26">
        <f t="shared" si="286"/>
        <v>0.11275582983698573</v>
      </c>
      <c r="Q291" s="26">
        <f>IF(N$320=0,0,SUM(N$17:N291)/N$320)</f>
        <v>0.98276033307471711</v>
      </c>
      <c r="R291" s="26">
        <f>IF(O$320=0,0,SUM(O$17:O291)/O$320)</f>
        <v>0</v>
      </c>
      <c r="S291" s="26">
        <f>SUM(P$17:P291)/P$320</f>
        <v>0.98276033307471711</v>
      </c>
    </row>
    <row r="292" spans="1:19" x14ac:dyDescent="0.4">
      <c r="A292" s="6">
        <f t="shared" si="280"/>
        <v>712.72525603132635</v>
      </c>
      <c r="B292" s="25">
        <f t="shared" ref="B292:C292" si="304">C$4*EXP(-0.5*(LN($A292)-LN(C$5))^2/(LN(C$6))^2)/($A292*SQRT(2*PI())*LN(C$6))</f>
        <v>4.3069807652231394E-3</v>
      </c>
      <c r="C292" s="25">
        <f t="shared" si="304"/>
        <v>0</v>
      </c>
      <c r="D292" s="27">
        <f t="shared" si="282"/>
        <v>4.3069807652231394E-3</v>
      </c>
      <c r="E292" s="27"/>
      <c r="F292" s="26">
        <f t="shared" si="283"/>
        <v>0.10768441645611369</v>
      </c>
      <c r="G292" s="26">
        <f t="shared" si="283"/>
        <v>0</v>
      </c>
      <c r="H292" s="26">
        <f t="shared" si="283"/>
        <v>0.10768441645611369</v>
      </c>
      <c r="I292" s="26">
        <f>IF(F$320=0,0,SUM(F$17:F292)/F$320)</f>
        <v>0.98420874519654622</v>
      </c>
      <c r="J292" s="26">
        <f>IF(G$320=0,0,SUM(G$17:G292)/G$320)</f>
        <v>0</v>
      </c>
      <c r="K292" s="26">
        <f>SUM(H$17:H292)/H$320</f>
        <v>0.98420874519654622</v>
      </c>
      <c r="L292" s="26"/>
      <c r="M292" s="26"/>
      <c r="N292" s="27">
        <f t="shared" si="284"/>
        <v>0.10811184426915421</v>
      </c>
      <c r="O292" s="27">
        <f t="shared" si="285"/>
        <v>0</v>
      </c>
      <c r="P292" s="26">
        <f t="shared" si="286"/>
        <v>0.10811184426915421</v>
      </c>
      <c r="Q292" s="26">
        <f>IF(N$320=0,0,SUM(N$17:N292)/N$320)</f>
        <v>0.98384688427340217</v>
      </c>
      <c r="R292" s="26">
        <f>IF(O$320=0,0,SUM(O$17:O292)/O$320)</f>
        <v>0</v>
      </c>
      <c r="S292" s="26">
        <f>SUM(P$17:P292)/P$320</f>
        <v>0.98384688427340217</v>
      </c>
    </row>
    <row r="293" spans="1:19" x14ac:dyDescent="0.4">
      <c r="A293" s="6">
        <f t="shared" si="280"/>
        <v>737.72755400433221</v>
      </c>
      <c r="B293" s="25">
        <f t="shared" ref="B293:C293" si="305">C$4*EXP(-0.5*(LN($A293)-LN(C$5))^2/(LN(C$6))^2)/($A293*SQRT(2*PI())*LN(C$6))</f>
        <v>3.9870140648559614E-3</v>
      </c>
      <c r="C293" s="25">
        <f t="shared" si="305"/>
        <v>0</v>
      </c>
      <c r="D293" s="27">
        <f t="shared" si="282"/>
        <v>3.9870140648559614E-3</v>
      </c>
      <c r="E293" s="27"/>
      <c r="F293" s="26">
        <f t="shared" si="283"/>
        <v>0.10318143186466644</v>
      </c>
      <c r="G293" s="26">
        <f t="shared" si="283"/>
        <v>0</v>
      </c>
      <c r="H293" s="26">
        <f t="shared" si="283"/>
        <v>0.10318143186466644</v>
      </c>
      <c r="I293" s="26">
        <f>IF(F$320=0,0,SUM(F$17:F293)/F$320)</f>
        <v>0.98522789780129183</v>
      </c>
      <c r="J293" s="26">
        <f>IF(G$320=0,0,SUM(G$17:G293)/G$320)</f>
        <v>0</v>
      </c>
      <c r="K293" s="26">
        <f>SUM(H$17:H293)/H$320</f>
        <v>0.98522789780129183</v>
      </c>
      <c r="L293" s="26"/>
      <c r="M293" s="26"/>
      <c r="N293" s="27">
        <f t="shared" si="284"/>
        <v>0.10361380228042227</v>
      </c>
      <c r="O293" s="27">
        <f t="shared" si="285"/>
        <v>0</v>
      </c>
      <c r="P293" s="26">
        <f t="shared" si="286"/>
        <v>0.10361380228042227</v>
      </c>
      <c r="Q293" s="26">
        <f>IF(N$320=0,0,SUM(N$17:N293)/N$320)</f>
        <v>0.984888229019939</v>
      </c>
      <c r="R293" s="26">
        <f>IF(O$320=0,0,SUM(O$17:O293)/O$320)</f>
        <v>0</v>
      </c>
      <c r="S293" s="26">
        <f>SUM(P$17:P293)/P$320</f>
        <v>0.984888229019939</v>
      </c>
    </row>
    <row r="294" spans="1:19" x14ac:dyDescent="0.4">
      <c r="A294" s="6">
        <f t="shared" si="280"/>
        <v>763.6069289416248</v>
      </c>
      <c r="B294" s="25">
        <f t="shared" ref="B294:C294" si="306">C$4*EXP(-0.5*(LN($A294)-LN(C$5))^2/(LN(C$6))^2)/($A294*SQRT(2*PI())*LN(C$6))</f>
        <v>3.6892039161284173E-3</v>
      </c>
      <c r="C294" s="25">
        <f t="shared" si="306"/>
        <v>0</v>
      </c>
      <c r="D294" s="27">
        <f t="shared" si="282"/>
        <v>3.6892039161284173E-3</v>
      </c>
      <c r="E294" s="27"/>
      <c r="F294" s="26">
        <f t="shared" si="283"/>
        <v>9.8823515574080728E-2</v>
      </c>
      <c r="G294" s="26">
        <f t="shared" si="283"/>
        <v>0</v>
      </c>
      <c r="H294" s="26">
        <f t="shared" si="283"/>
        <v>9.8823515574080728E-2</v>
      </c>
      <c r="I294" s="26">
        <f>IF(F$320=0,0,SUM(F$17:F294)/F$320)</f>
        <v>0.98620400601657165</v>
      </c>
      <c r="J294" s="26">
        <f>IF(G$320=0,0,SUM(G$17:G294)/G$320)</f>
        <v>0</v>
      </c>
      <c r="K294" s="26">
        <f>SUM(H$17:H294)/H$320</f>
        <v>0.98620400601657165</v>
      </c>
      <c r="L294" s="26"/>
      <c r="M294" s="26"/>
      <c r="N294" s="27">
        <f t="shared" si="284"/>
        <v>9.9259483501590307E-2</v>
      </c>
      <c r="O294" s="27">
        <f t="shared" si="285"/>
        <v>0</v>
      </c>
      <c r="P294" s="26">
        <f t="shared" si="286"/>
        <v>9.9259483501590307E-2</v>
      </c>
      <c r="Q294" s="26">
        <f>IF(N$320=0,0,SUM(N$17:N294)/N$320)</f>
        <v>0.98588581176869872</v>
      </c>
      <c r="R294" s="26">
        <f>IF(O$320=0,0,SUM(O$17:O294)/O$320)</f>
        <v>0</v>
      </c>
      <c r="S294" s="26">
        <f>SUM(P$17:P294)/P$320</f>
        <v>0.98588581176869872</v>
      </c>
    </row>
    <row r="295" spans="1:19" x14ac:dyDescent="0.4">
      <c r="A295" s="6">
        <f t="shared" si="280"/>
        <v>790.39414857511952</v>
      </c>
      <c r="B295" s="25">
        <f t="shared" ref="B295:C295" si="307">C$4*EXP(-0.5*(LN($A295)-LN(C$5))^2/(LN(C$6))^2)/($A295*SQRT(2*PI())*LN(C$6))</f>
        <v>3.4121460502174301E-3</v>
      </c>
      <c r="C295" s="25">
        <f t="shared" si="307"/>
        <v>0</v>
      </c>
      <c r="D295" s="27">
        <f t="shared" si="282"/>
        <v>3.4121460502174301E-3</v>
      </c>
      <c r="E295" s="27"/>
      <c r="F295" s="26">
        <f t="shared" si="283"/>
        <v>9.4608271181241349E-2</v>
      </c>
      <c r="G295" s="26">
        <f t="shared" si="283"/>
        <v>0</v>
      </c>
      <c r="H295" s="26">
        <f t="shared" si="283"/>
        <v>9.4608271181241349E-2</v>
      </c>
      <c r="I295" s="26">
        <f>IF(F$320=0,0,SUM(F$17:F295)/F$320)</f>
        <v>0.98713847905365171</v>
      </c>
      <c r="J295" s="26">
        <f>IF(G$320=0,0,SUM(G$17:G295)/G$320)</f>
        <v>0</v>
      </c>
      <c r="K295" s="26">
        <f>SUM(H$17:H295)/H$320</f>
        <v>0.98713847905365171</v>
      </c>
      <c r="L295" s="26"/>
      <c r="M295" s="26"/>
      <c r="N295" s="27">
        <f t="shared" si="284"/>
        <v>9.5046575846846615E-2</v>
      </c>
      <c r="O295" s="27">
        <f t="shared" si="285"/>
        <v>0</v>
      </c>
      <c r="P295" s="26">
        <f t="shared" si="286"/>
        <v>9.5046575846846615E-2</v>
      </c>
      <c r="Q295" s="26">
        <f>IF(N$320=0,0,SUM(N$17:N295)/N$320)</f>
        <v>0.9868410537370087</v>
      </c>
      <c r="R295" s="26">
        <f>IF(O$320=0,0,SUM(O$17:O295)/O$320)</f>
        <v>0</v>
      </c>
      <c r="S295" s="26">
        <f>SUM(P$17:P295)/P$320</f>
        <v>0.9868410537370087</v>
      </c>
    </row>
    <row r="296" spans="1:19" x14ac:dyDescent="0.4">
      <c r="A296" s="6">
        <f t="shared" si="280"/>
        <v>818.1210599642767</v>
      </c>
      <c r="B296" s="25">
        <f t="shared" ref="B296:C296" si="308">C$4*EXP(-0.5*(LN($A296)-LN(C$5))^2/(LN(C$6))^2)/($A296*SQRT(2*PI())*LN(C$6))</f>
        <v>3.1545151741998647E-3</v>
      </c>
      <c r="C296" s="25">
        <f t="shared" si="308"/>
        <v>0</v>
      </c>
      <c r="D296" s="27">
        <f t="shared" si="282"/>
        <v>3.1545151741998647E-3</v>
      </c>
      <c r="E296" s="27"/>
      <c r="F296" s="26">
        <f t="shared" si="283"/>
        <v>9.0533220838854969E-2</v>
      </c>
      <c r="G296" s="26">
        <f t="shared" si="283"/>
        <v>0</v>
      </c>
      <c r="H296" s="26">
        <f t="shared" si="283"/>
        <v>9.0533220838854969E-2</v>
      </c>
      <c r="I296" s="26">
        <f>IF(F$320=0,0,SUM(F$17:F296)/F$320)</f>
        <v>0.98803270164938906</v>
      </c>
      <c r="J296" s="26">
        <f>IF(G$320=0,0,SUM(G$17:G296)/G$320)</f>
        <v>0</v>
      </c>
      <c r="K296" s="26">
        <f>SUM(H$17:H296)/H$320</f>
        <v>0.98803270164938906</v>
      </c>
      <c r="L296" s="26"/>
      <c r="M296" s="26"/>
      <c r="N296" s="27">
        <f t="shared" si="284"/>
        <v>9.0972683325285519E-2</v>
      </c>
      <c r="O296" s="27">
        <f t="shared" si="285"/>
        <v>0</v>
      </c>
      <c r="P296" s="26">
        <f t="shared" si="286"/>
        <v>9.0972683325285519E-2</v>
      </c>
      <c r="Q296" s="26">
        <f>IF(N$320=0,0,SUM(N$17:N296)/N$320)</f>
        <v>0.98775535206188603</v>
      </c>
      <c r="R296" s="26">
        <f>IF(O$320=0,0,SUM(O$17:O296)/O$320)</f>
        <v>0</v>
      </c>
      <c r="S296" s="26">
        <f>SUM(P$17:P296)/P$320</f>
        <v>0.98775535206188603</v>
      </c>
    </row>
    <row r="297" spans="1:19" x14ac:dyDescent="0.4">
      <c r="A297" s="6">
        <f t="shared" si="280"/>
        <v>846.82062735875547</v>
      </c>
      <c r="B297" s="25">
        <f t="shared" ref="B297:C297" si="309">C$4*EXP(-0.5*(LN($A297)-LN(C$5))^2/(LN(C$6))^2)/($A297*SQRT(2*PI())*LN(C$6))</f>
        <v>2.9150612704219236E-3</v>
      </c>
      <c r="C297" s="25">
        <f t="shared" si="309"/>
        <v>0</v>
      </c>
      <c r="D297" s="27">
        <f t="shared" si="282"/>
        <v>2.9150612704219236E-3</v>
      </c>
      <c r="E297" s="27"/>
      <c r="F297" s="26">
        <f t="shared" si="283"/>
        <v>8.6595812969213856E-2</v>
      </c>
      <c r="G297" s="26">
        <f t="shared" si="283"/>
        <v>0</v>
      </c>
      <c r="H297" s="26">
        <f t="shared" si="283"/>
        <v>8.6595812969213856E-2</v>
      </c>
      <c r="I297" s="26">
        <f>IF(F$320=0,0,SUM(F$17:F297)/F$320)</f>
        <v>0.98888803333797604</v>
      </c>
      <c r="J297" s="26">
        <f>IF(G$320=0,0,SUM(G$17:G297)/G$320)</f>
        <v>0</v>
      </c>
      <c r="K297" s="26">
        <f>SUM(H$17:H297)/H$320</f>
        <v>0.98888803333797604</v>
      </c>
      <c r="L297" s="26"/>
      <c r="M297" s="26"/>
      <c r="N297" s="27">
        <f t="shared" si="284"/>
        <v>8.7035333702278894E-2</v>
      </c>
      <c r="O297" s="27">
        <f t="shared" si="285"/>
        <v>0</v>
      </c>
      <c r="P297" s="26">
        <f t="shared" si="286"/>
        <v>8.7035333702278894E-2</v>
      </c>
      <c r="Q297" s="26">
        <f>IF(N$320=0,0,SUM(N$17:N297)/N$320)</f>
        <v>0.98863007903376821</v>
      </c>
      <c r="R297" s="26">
        <f>IF(O$320=0,0,SUM(O$17:O297)/O$320)</f>
        <v>0</v>
      </c>
      <c r="S297" s="26">
        <f>SUM(P$17:P297)/P$320</f>
        <v>0.98863007903376821</v>
      </c>
    </row>
    <row r="298" spans="1:19" x14ac:dyDescent="0.4">
      <c r="A298" s="6">
        <f t="shared" si="280"/>
        <v>876.52697138928079</v>
      </c>
      <c r="B298" s="25">
        <f t="shared" ref="B298:C298" si="310">C$4*EXP(-0.5*(LN($A298)-LN(C$5))^2/(LN(C$6))^2)/($A298*SQRT(2*PI())*LN(C$6))</f>
        <v>2.692606016213846E-3</v>
      </c>
      <c r="C298" s="25">
        <f t="shared" si="310"/>
        <v>0</v>
      </c>
      <c r="D298" s="27">
        <f t="shared" si="282"/>
        <v>2.692606016213846E-3</v>
      </c>
      <c r="E298" s="27"/>
      <c r="F298" s="26">
        <f t="shared" si="283"/>
        <v>8.2793429805098281E-2</v>
      </c>
      <c r="G298" s="26">
        <f t="shared" si="283"/>
        <v>0</v>
      </c>
      <c r="H298" s="26">
        <f t="shared" si="283"/>
        <v>8.2793429805098281E-2</v>
      </c>
      <c r="I298" s="26">
        <f>IF(F$320=0,0,SUM(F$17:F298)/F$320)</f>
        <v>0.98970580779716699</v>
      </c>
      <c r="J298" s="26">
        <f>IF(G$320=0,0,SUM(G$17:G298)/G$320)</f>
        <v>0</v>
      </c>
      <c r="K298" s="26">
        <f>SUM(H$17:H298)/H$320</f>
        <v>0.98970580779716699</v>
      </c>
      <c r="L298" s="26"/>
      <c r="M298" s="26"/>
      <c r="N298" s="27">
        <f t="shared" si="284"/>
        <v>8.3231985996956581E-2</v>
      </c>
      <c r="O298" s="27">
        <f t="shared" si="285"/>
        <v>0</v>
      </c>
      <c r="P298" s="26">
        <f t="shared" si="286"/>
        <v>8.3231985996956581E-2</v>
      </c>
      <c r="Q298" s="26">
        <f>IF(N$320=0,0,SUM(N$17:N298)/N$320)</f>
        <v>0.98946658140559696</v>
      </c>
      <c r="R298" s="26">
        <f>IF(O$320=0,0,SUM(O$17:O298)/O$320)</f>
        <v>0</v>
      </c>
      <c r="S298" s="26">
        <f>SUM(P$17:P298)/P$320</f>
        <v>0.98946658140559696</v>
      </c>
    </row>
    <row r="299" spans="1:19" x14ac:dyDescent="0.4">
      <c r="A299" s="6">
        <f t="shared" si="280"/>
        <v>907.27540963332683</v>
      </c>
      <c r="B299" s="25">
        <f t="shared" ref="B299:C299" si="311">C$4*EXP(-0.5*(LN($A299)-LN(C$5))^2/(LN(C$6))^2)/($A299*SQRT(2*PI())*LN(C$6))</f>
        <v>2.486039323896906E-3</v>
      </c>
      <c r="C299" s="25">
        <f t="shared" si="311"/>
        <v>0</v>
      </c>
      <c r="D299" s="27">
        <f t="shared" si="282"/>
        <v>2.486039323896906E-3</v>
      </c>
      <c r="E299" s="27"/>
      <c r="F299" s="26">
        <f t="shared" si="283"/>
        <v>7.9123394745833228E-2</v>
      </c>
      <c r="G299" s="26">
        <f t="shared" si="283"/>
        <v>0</v>
      </c>
      <c r="H299" s="26">
        <f t="shared" si="283"/>
        <v>7.9123394745833228E-2</v>
      </c>
      <c r="I299" s="26">
        <f>IF(F$320=0,0,SUM(F$17:F299)/F$320)</f>
        <v>0.99048733226716357</v>
      </c>
      <c r="J299" s="26">
        <f>IF(G$320=0,0,SUM(G$17:G299)/G$320)</f>
        <v>0</v>
      </c>
      <c r="K299" s="26">
        <f>SUM(H$17:H299)/H$320</f>
        <v>0.99048733226716357</v>
      </c>
      <c r="L299" s="26"/>
      <c r="M299" s="26"/>
      <c r="N299" s="27">
        <f t="shared" si="284"/>
        <v>7.956003780409393E-2</v>
      </c>
      <c r="O299" s="27">
        <f t="shared" si="285"/>
        <v>0</v>
      </c>
      <c r="P299" s="26">
        <f t="shared" si="286"/>
        <v>7.956003780409393E-2</v>
      </c>
      <c r="Q299" s="26">
        <f>IF(N$320=0,0,SUM(N$17:N299)/N$320)</f>
        <v>0.99026617977548737</v>
      </c>
      <c r="R299" s="26">
        <f>IF(O$320=0,0,SUM(O$17:O299)/O$320)</f>
        <v>0</v>
      </c>
      <c r="S299" s="26">
        <f>SUM(P$17:P299)/P$320</f>
        <v>0.99026617977548737</v>
      </c>
    </row>
    <row r="300" spans="1:19" x14ac:dyDescent="0.4">
      <c r="A300" s="6">
        <f t="shared" si="280"/>
        <v>939.10249860382874</v>
      </c>
      <c r="B300" s="25">
        <f t="shared" ref="B300:C300" si="312">C$4*EXP(-0.5*(LN($A300)-LN(C$5))^2/(LN(C$6))^2)/($A300*SQRT(2*PI())*LN(C$6))</f>
        <v>2.2943160006798566E-3</v>
      </c>
      <c r="C300" s="25">
        <f t="shared" si="312"/>
        <v>0</v>
      </c>
      <c r="D300" s="27">
        <f t="shared" si="282"/>
        <v>2.2943160006798566E-3</v>
      </c>
      <c r="E300" s="27"/>
      <c r="F300" s="26">
        <f t="shared" si="283"/>
        <v>7.5582979517773374E-2</v>
      </c>
      <c r="G300" s="26">
        <f t="shared" si="283"/>
        <v>0</v>
      </c>
      <c r="H300" s="26">
        <f t="shared" si="283"/>
        <v>7.5582979517773374E-2</v>
      </c>
      <c r="I300" s="26">
        <f>IF(F$320=0,0,SUM(F$17:F300)/F$320)</f>
        <v>0.99123388704022597</v>
      </c>
      <c r="J300" s="26">
        <f>IF(G$320=0,0,SUM(G$17:G300)/G$320)</f>
        <v>0</v>
      </c>
      <c r="K300" s="26">
        <f>SUM(H$17:H300)/H$320</f>
        <v>0.99123388704022597</v>
      </c>
      <c r="L300" s="26"/>
      <c r="M300" s="26"/>
      <c r="N300" s="27">
        <f t="shared" si="284"/>
        <v>7.6016832428693615E-2</v>
      </c>
      <c r="O300" s="27">
        <f t="shared" si="285"/>
        <v>0</v>
      </c>
      <c r="P300" s="26">
        <f t="shared" si="286"/>
        <v>7.6016832428693615E-2</v>
      </c>
      <c r="Q300" s="26">
        <f>IF(N$320=0,0,SUM(N$17:N300)/N$320)</f>
        <v>0.99103016804110233</v>
      </c>
      <c r="R300" s="26">
        <f>IF(O$320=0,0,SUM(O$17:O300)/O$320)</f>
        <v>0</v>
      </c>
      <c r="S300" s="26">
        <f>SUM(P$17:P300)/P$320</f>
        <v>0.99103016804110233</v>
      </c>
    </row>
    <row r="301" spans="1:19" x14ac:dyDescent="0.4">
      <c r="A301" s="6">
        <f t="shared" si="280"/>
        <v>972.04607721086302</v>
      </c>
      <c r="B301" s="25">
        <f t="shared" ref="B301:C301" si="313">C$4*EXP(-0.5*(LN($A301)-LN(C$5))^2/(LN(C$6))^2)/($A301*SQRT(2*PI())*LN(C$6))</f>
        <v>2.1164525277197204E-3</v>
      </c>
      <c r="C301" s="25">
        <f t="shared" si="313"/>
        <v>0</v>
      </c>
      <c r="D301" s="27">
        <f t="shared" si="282"/>
        <v>2.1164525277197204E-3</v>
      </c>
      <c r="E301" s="27"/>
      <c r="F301" s="26">
        <f t="shared" si="283"/>
        <v>7.2169411129325123E-2</v>
      </c>
      <c r="G301" s="26">
        <f t="shared" si="283"/>
        <v>0</v>
      </c>
      <c r="H301" s="26">
        <f t="shared" si="283"/>
        <v>7.2169411129325123E-2</v>
      </c>
      <c r="I301" s="26">
        <f>IF(F$320=0,0,SUM(F$17:F301)/F$320)</f>
        <v>0.9919467250189804</v>
      </c>
      <c r="J301" s="26">
        <f>IF(G$320=0,0,SUM(G$17:G301)/G$320)</f>
        <v>0</v>
      </c>
      <c r="K301" s="26">
        <f>SUM(H$17:H301)/H$320</f>
        <v>0.9919467250189804</v>
      </c>
      <c r="L301" s="26"/>
      <c r="M301" s="26"/>
      <c r="N301" s="27">
        <f t="shared" si="284"/>
        <v>7.2599665823602777E-2</v>
      </c>
      <c r="O301" s="27">
        <f t="shared" si="285"/>
        <v>0</v>
      </c>
      <c r="P301" s="26">
        <f t="shared" si="286"/>
        <v>7.2599665823602777E-2</v>
      </c>
      <c r="Q301" s="26">
        <f>IF(N$320=0,0,SUM(N$17:N301)/N$320)</f>
        <v>0.9917598129237517</v>
      </c>
      <c r="R301" s="26">
        <f>IF(O$320=0,0,SUM(O$17:O301)/O$320)</f>
        <v>0</v>
      </c>
      <c r="S301" s="26">
        <f>SUM(P$17:P301)/P$320</f>
        <v>0.9917598129237517</v>
      </c>
    </row>
    <row r="302" spans="1:19" x14ac:dyDescent="0.4">
      <c r="A302" s="6">
        <f t="shared" si="280"/>
        <v>1006.1453117479499</v>
      </c>
      <c r="B302" s="25">
        <f t="shared" ref="B302:C302" si="314">C$4*EXP(-0.5*(LN($A302)-LN(C$5))^2/(LN(C$6))^2)/($A302*SQRT(2*PI())*LN(C$6))</f>
        <v>1.9515239573270466E-3</v>
      </c>
      <c r="C302" s="25">
        <f t="shared" si="314"/>
        <v>0</v>
      </c>
      <c r="D302" s="27">
        <f t="shared" si="282"/>
        <v>1.9515239573270466E-3</v>
      </c>
      <c r="E302" s="27"/>
      <c r="F302" s="26">
        <f t="shared" si="283"/>
        <v>6.8879878611851353E-2</v>
      </c>
      <c r="G302" s="26">
        <f t="shared" si="283"/>
        <v>0</v>
      </c>
      <c r="H302" s="26">
        <f t="shared" si="283"/>
        <v>6.8879878611851353E-2</v>
      </c>
      <c r="I302" s="26">
        <f>IF(F$320=0,0,SUM(F$17:F302)/F$320)</f>
        <v>0.99262707134131001</v>
      </c>
      <c r="J302" s="26">
        <f>IF(G$320=0,0,SUM(G$17:G302)/G$320)</f>
        <v>0</v>
      </c>
      <c r="K302" s="26">
        <f>SUM(H$17:H302)/H$320</f>
        <v>0.99262707134131001</v>
      </c>
      <c r="L302" s="26"/>
      <c r="M302" s="26"/>
      <c r="N302" s="27">
        <f t="shared" si="284"/>
        <v>6.9305793320728615E-2</v>
      </c>
      <c r="O302" s="27">
        <f t="shared" si="285"/>
        <v>0</v>
      </c>
      <c r="P302" s="26">
        <f t="shared" si="286"/>
        <v>6.9305793320728615E-2</v>
      </c>
      <c r="Q302" s="26">
        <f>IF(N$320=0,0,SUM(N$17:N302)/N$320)</f>
        <v>0.99245635356014084</v>
      </c>
      <c r="R302" s="26">
        <f>IF(O$320=0,0,SUM(O$17:O302)/O$320)</f>
        <v>0</v>
      </c>
      <c r="S302" s="26">
        <f>SUM(P$17:P302)/P$320</f>
        <v>0.99245635356014084</v>
      </c>
    </row>
    <row r="303" spans="1:19" x14ac:dyDescent="0.4">
      <c r="A303" s="6">
        <f t="shared" si="280"/>
        <v>1041.4407424564688</v>
      </c>
      <c r="B303" s="25">
        <f t="shared" ref="B303:C303" si="315">C$4*EXP(-0.5*(LN($A303)-LN(C$5))^2/(LN(C$6))^2)/($A303*SQRT(2*PI())*LN(C$6))</f>
        <v>1.7986609270265769E-3</v>
      </c>
      <c r="C303" s="25">
        <f t="shared" si="315"/>
        <v>0</v>
      </c>
      <c r="D303" s="27">
        <f t="shared" si="282"/>
        <v>1.7986609270265769E-3</v>
      </c>
      <c r="E303" s="27"/>
      <c r="F303" s="26">
        <f t="shared" si="283"/>
        <v>6.5711539538738109E-2</v>
      </c>
      <c r="G303" s="26">
        <f t="shared" si="283"/>
        <v>0</v>
      </c>
      <c r="H303" s="26">
        <f t="shared" si="283"/>
        <v>6.5711539538738109E-2</v>
      </c>
      <c r="I303" s="26">
        <f>IF(F$320=0,0,SUM(F$17:F303)/F$320)</f>
        <v>0.99327612306963442</v>
      </c>
      <c r="J303" s="26">
        <f>IF(G$320=0,0,SUM(G$17:G303)/G$320)</f>
        <v>0</v>
      </c>
      <c r="K303" s="26">
        <f>SUM(H$17:H303)/H$320</f>
        <v>0.99327612306963442</v>
      </c>
      <c r="L303" s="26"/>
      <c r="M303" s="26"/>
      <c r="N303" s="27">
        <f t="shared" si="284"/>
        <v>6.6132436148036433E-2</v>
      </c>
      <c r="O303" s="27">
        <f t="shared" si="285"/>
        <v>0</v>
      </c>
      <c r="P303" s="26">
        <f t="shared" si="286"/>
        <v>6.6132436148036433E-2</v>
      </c>
      <c r="Q303" s="26">
        <f>IF(N$320=0,0,SUM(N$17:N303)/N$320)</f>
        <v>0.99312100115961865</v>
      </c>
      <c r="R303" s="26">
        <f>IF(O$320=0,0,SUM(O$17:O303)/O$320)</f>
        <v>0</v>
      </c>
      <c r="S303" s="26">
        <f>SUM(P$17:P303)/P$320</f>
        <v>0.99312100115961865</v>
      </c>
    </row>
    <row r="304" spans="1:19" x14ac:dyDescent="0.4">
      <c r="A304" s="6">
        <f t="shared" si="280"/>
        <v>1077.9743317235509</v>
      </c>
      <c r="B304" s="25">
        <f t="shared" ref="B304:C304" si="316">C$4*EXP(-0.5*(LN($A304)-LN(C$5))^2/(LN(C$6))^2)/($A304*SQRT(2*PI())*LN(C$6))</f>
        <v>1.657046788940417E-3</v>
      </c>
      <c r="C304" s="25">
        <f t="shared" si="316"/>
        <v>0</v>
      </c>
      <c r="D304" s="27">
        <f t="shared" si="282"/>
        <v>1.657046788940417E-3</v>
      </c>
      <c r="E304" s="27"/>
      <c r="F304" s="26">
        <f t="shared" si="283"/>
        <v>6.2661526315911181E-2</v>
      </c>
      <c r="G304" s="26">
        <f t="shared" si="283"/>
        <v>0</v>
      </c>
      <c r="H304" s="26">
        <f t="shared" si="283"/>
        <v>6.2661526315911181E-2</v>
      </c>
      <c r="I304" s="26">
        <f>IF(F$320=0,0,SUM(F$17:F304)/F$320)</f>
        <v>0.99389504894232383</v>
      </c>
      <c r="J304" s="26">
        <f>IF(G$320=0,0,SUM(G$17:G304)/G$320)</f>
        <v>0</v>
      </c>
      <c r="K304" s="26">
        <f>SUM(H$17:H304)/H$320</f>
        <v>0.99389504894232383</v>
      </c>
      <c r="L304" s="26"/>
      <c r="M304" s="26"/>
      <c r="N304" s="27">
        <f t="shared" si="284"/>
        <v>6.3076787724947181E-2</v>
      </c>
      <c r="O304" s="27">
        <f t="shared" si="285"/>
        <v>0</v>
      </c>
      <c r="P304" s="26">
        <f t="shared" si="286"/>
        <v>6.3076787724947181E-2</v>
      </c>
      <c r="Q304" s="26">
        <f>IF(N$320=0,0,SUM(N$17:N304)/N$320)</f>
        <v>0.99375493872469345</v>
      </c>
      <c r="R304" s="26">
        <f>IF(O$320=0,0,SUM(O$17:O304)/O$320)</f>
        <v>0</v>
      </c>
      <c r="S304" s="26">
        <f>SUM(P$17:P304)/P$320</f>
        <v>0.99375493872469345</v>
      </c>
    </row>
    <row r="305" spans="1:19" x14ac:dyDescent="0.4">
      <c r="A305" s="6">
        <f t="shared" si="280"/>
        <v>1115.7895139707459</v>
      </c>
      <c r="B305" s="25">
        <f t="shared" ref="B305:C305" si="317">C$4*EXP(-0.5*(LN($A305)-LN(C$5))^2/(LN(C$6))^2)/($A305*SQRT(2*PI())*LN(C$6))</f>
        <v>1.5259148527409915E-3</v>
      </c>
      <c r="C305" s="25">
        <f t="shared" si="317"/>
        <v>0</v>
      </c>
      <c r="D305" s="27">
        <f t="shared" si="282"/>
        <v>1.5259148527409915E-3</v>
      </c>
      <c r="E305" s="27"/>
      <c r="F305" s="26">
        <f t="shared" si="283"/>
        <v>5.9726952238107284E-2</v>
      </c>
      <c r="G305" s="26">
        <f t="shared" si="283"/>
        <v>0</v>
      </c>
      <c r="H305" s="26">
        <f t="shared" si="283"/>
        <v>5.9726952238107284E-2</v>
      </c>
      <c r="I305" s="26">
        <f>IF(F$320=0,0,SUM(F$17:F305)/F$320)</f>
        <v>0.99448498918493289</v>
      </c>
      <c r="J305" s="26">
        <f>IF(G$320=0,0,SUM(G$17:G305)/G$320)</f>
        <v>0</v>
      </c>
      <c r="K305" s="26">
        <f>SUM(H$17:H305)/H$320</f>
        <v>0.99448498918493289</v>
      </c>
      <c r="L305" s="26"/>
      <c r="M305" s="26"/>
      <c r="N305" s="27">
        <f t="shared" si="284"/>
        <v>6.0136019730516743E-2</v>
      </c>
      <c r="O305" s="27">
        <f t="shared" si="285"/>
        <v>0</v>
      </c>
      <c r="P305" s="26">
        <f t="shared" si="286"/>
        <v>6.0136019730516743E-2</v>
      </c>
      <c r="Q305" s="26">
        <f>IF(N$320=0,0,SUM(N$17:N305)/N$320)</f>
        <v>0.99435932083253797</v>
      </c>
      <c r="R305" s="26">
        <f>IF(O$320=0,0,SUM(O$17:O305)/O$320)</f>
        <v>0</v>
      </c>
      <c r="S305" s="26">
        <f>SUM(P$17:P305)/P$320</f>
        <v>0.99435932083253797</v>
      </c>
    </row>
    <row r="306" spans="1:19" x14ac:dyDescent="0.4">
      <c r="A306" s="6">
        <f t="shared" si="280"/>
        <v>1154.9312472927725</v>
      </c>
      <c r="B306" s="25">
        <f t="shared" ref="B306:C306" si="318">C$4*EXP(-0.5*(LN($A306)-LN(C$5))^2/(LN(C$6))^2)/($A306*SQRT(2*PI())*LN(C$6))</f>
        <v>1.4045457402241815E-3</v>
      </c>
      <c r="C306" s="25">
        <f t="shared" si="318"/>
        <v>0</v>
      </c>
      <c r="D306" s="27">
        <f t="shared" si="282"/>
        <v>1.4045457402241815E-3</v>
      </c>
      <c r="E306" s="27"/>
      <c r="F306" s="26">
        <f t="shared" si="283"/>
        <v>5.6904917306170415E-2</v>
      </c>
      <c r="G306" s="26">
        <f t="shared" si="283"/>
        <v>0</v>
      </c>
      <c r="H306" s="26">
        <f t="shared" si="283"/>
        <v>5.6904917306170415E-2</v>
      </c>
      <c r="I306" s="26">
        <f>IF(F$320=0,0,SUM(F$17:F306)/F$320)</f>
        <v>0.99504705537889182</v>
      </c>
      <c r="J306" s="26">
        <f>IF(G$320=0,0,SUM(G$17:G306)/G$320)</f>
        <v>0</v>
      </c>
      <c r="K306" s="26">
        <f>SUM(H$17:H306)/H$320</f>
        <v>0.99504705537889182</v>
      </c>
      <c r="L306" s="26"/>
      <c r="M306" s="26"/>
      <c r="N306" s="27">
        <f t="shared" si="284"/>
        <v>5.7307287938657137E-2</v>
      </c>
      <c r="O306" s="27">
        <f t="shared" si="285"/>
        <v>0</v>
      </c>
      <c r="P306" s="26">
        <f t="shared" si="286"/>
        <v>5.7307287938657137E-2</v>
      </c>
      <c r="Q306" s="26">
        <f>IF(N$320=0,0,SUM(N$17:N306)/N$320)</f>
        <v>0.99493527347513744</v>
      </c>
      <c r="R306" s="26">
        <f>IF(O$320=0,0,SUM(O$17:O306)/O$320)</f>
        <v>0</v>
      </c>
      <c r="S306" s="26">
        <f>SUM(P$17:P306)/P$320</f>
        <v>0.99493527347513744</v>
      </c>
    </row>
    <row r="307" spans="1:19" x14ac:dyDescent="0.4">
      <c r="A307" s="6">
        <f t="shared" si="280"/>
        <v>1195.4460669077519</v>
      </c>
      <c r="B307" s="25">
        <f t="shared" ref="B307:C307" si="319">C$4*EXP(-0.5*(LN($A307)-LN(C$5))^2/(LN(C$6))^2)/($A307*SQRT(2*PI())*LN(C$6))</f>
        <v>1.2922648493781438E-3</v>
      </c>
      <c r="C307" s="25">
        <f t="shared" si="319"/>
        <v>0</v>
      </c>
      <c r="D307" s="27">
        <f t="shared" si="282"/>
        <v>1.2922648493781438E-3</v>
      </c>
      <c r="E307" s="27"/>
      <c r="F307" s="26">
        <f t="shared" si="283"/>
        <v>5.4192513801535148E-2</v>
      </c>
      <c r="G307" s="26">
        <f t="shared" si="283"/>
        <v>0</v>
      </c>
      <c r="H307" s="26">
        <f t="shared" si="283"/>
        <v>5.4192513801535148E-2</v>
      </c>
      <c r="I307" s="26">
        <f>IF(F$320=0,0,SUM(F$17:F307)/F$320)</f>
        <v>0.99558233038526112</v>
      </c>
      <c r="J307" s="26">
        <f>IF(G$320=0,0,SUM(G$17:G307)/G$320)</f>
        <v>0</v>
      </c>
      <c r="K307" s="26">
        <f>SUM(H$17:H307)/H$320</f>
        <v>0.99558233038526112</v>
      </c>
      <c r="L307" s="26"/>
      <c r="M307" s="26"/>
      <c r="N307" s="27">
        <f t="shared" si="284"/>
        <v>5.4587737816735871E-2</v>
      </c>
      <c r="O307" s="27">
        <f t="shared" si="285"/>
        <v>0</v>
      </c>
      <c r="P307" s="26">
        <f t="shared" si="286"/>
        <v>5.4587737816735871E-2</v>
      </c>
      <c r="Q307" s="26">
        <f>IF(N$320=0,0,SUM(N$17:N307)/N$320)</f>
        <v>0.99548389395570769</v>
      </c>
      <c r="R307" s="26">
        <f>IF(O$320=0,0,SUM(O$17:O307)/O$320)</f>
        <v>0</v>
      </c>
      <c r="S307" s="26">
        <f>SUM(P$17:P307)/P$320</f>
        <v>0.99548389395570769</v>
      </c>
    </row>
    <row r="308" spans="1:19" x14ac:dyDescent="0.4">
      <c r="A308" s="6">
        <f t="shared" si="280"/>
        <v>1237.3821404824632</v>
      </c>
      <c r="B308" s="25">
        <f t="shared" ref="B308:C308" si="320">C$4*EXP(-0.5*(LN($A308)-LN(C$5))^2/(LN(C$6))^2)/($A308*SQRT(2*PI())*LN(C$6))</f>
        <v>1.1884399256693746E-3</v>
      </c>
      <c r="C308" s="25">
        <f t="shared" si="320"/>
        <v>0</v>
      </c>
      <c r="D308" s="27">
        <f t="shared" si="282"/>
        <v>1.1884399256693746E-3</v>
      </c>
      <c r="E308" s="27"/>
      <c r="F308" s="26">
        <f t="shared" si="283"/>
        <v>5.1586831615024885E-2</v>
      </c>
      <c r="G308" s="26">
        <f t="shared" si="283"/>
        <v>0</v>
      </c>
      <c r="H308" s="26">
        <f t="shared" si="283"/>
        <v>5.1586831615024885E-2</v>
      </c>
      <c r="I308" s="26">
        <f>IF(F$320=0,0,SUM(F$17:F308)/F$320)</f>
        <v>0.9960918683211174</v>
      </c>
      <c r="J308" s="26">
        <f>IF(G$320=0,0,SUM(G$17:G308)/G$320)</f>
        <v>0</v>
      </c>
      <c r="K308" s="26">
        <f>SUM(H$17:H308)/H$320</f>
        <v>0.9960918683211174</v>
      </c>
      <c r="L308" s="26"/>
      <c r="M308" s="26"/>
      <c r="N308" s="27">
        <f t="shared" si="284"/>
        <v>5.1974509884022968E-2</v>
      </c>
      <c r="O308" s="27">
        <f t="shared" si="285"/>
        <v>0</v>
      </c>
      <c r="P308" s="26">
        <f t="shared" si="286"/>
        <v>5.1974509884022968E-2</v>
      </c>
      <c r="Q308" s="26">
        <f>IF(N$320=0,0,SUM(N$17:N308)/N$320)</f>
        <v>0.9960062508389641</v>
      </c>
      <c r="R308" s="26">
        <f>IF(O$320=0,0,SUM(O$17:O308)/O$320)</f>
        <v>0</v>
      </c>
      <c r="S308" s="26">
        <f>SUM(P$17:P308)/P$320</f>
        <v>0.9960062508389641</v>
      </c>
    </row>
    <row r="309" spans="1:19" x14ac:dyDescent="0.4">
      <c r="A309" s="6">
        <f t="shared" si="280"/>
        <v>1280.7893253984103</v>
      </c>
      <c r="B309" s="25">
        <f t="shared" ref="B309:C309" si="321">C$4*EXP(-0.5*(LN($A309)-LN(C$5))^2/(LN(C$6))^2)/($A309*SQRT(2*PI())*LN(C$6))</f>
        <v>1.0924787381333678E-3</v>
      </c>
      <c r="C309" s="25">
        <f t="shared" si="321"/>
        <v>0</v>
      </c>
      <c r="D309" s="27">
        <f t="shared" si="282"/>
        <v>1.0924787381333678E-3</v>
      </c>
      <c r="E309" s="27"/>
      <c r="F309" s="26">
        <f t="shared" si="283"/>
        <v>4.9084963327878081E-2</v>
      </c>
      <c r="G309" s="26">
        <f t="shared" si="283"/>
        <v>0</v>
      </c>
      <c r="H309" s="26">
        <f t="shared" si="283"/>
        <v>4.9084963327878081E-2</v>
      </c>
      <c r="I309" s="26">
        <f>IF(F$320=0,0,SUM(F$17:F309)/F$320)</f>
        <v>0.99657669458612852</v>
      </c>
      <c r="J309" s="26">
        <f>IF(G$320=0,0,SUM(G$17:G309)/G$320)</f>
        <v>0</v>
      </c>
      <c r="K309" s="26">
        <f>SUM(H$17:H309)/H$320</f>
        <v>0.99657669458612852</v>
      </c>
      <c r="L309" s="26"/>
      <c r="M309" s="26"/>
      <c r="N309" s="27">
        <f t="shared" si="284"/>
        <v>4.9464744827421026E-2</v>
      </c>
      <c r="O309" s="27">
        <f t="shared" si="285"/>
        <v>0</v>
      </c>
      <c r="P309" s="26">
        <f t="shared" si="286"/>
        <v>4.9464744827421026E-2</v>
      </c>
      <c r="Q309" s="26">
        <f>IF(N$320=0,0,SUM(N$17:N309)/N$320)</f>
        <v>0.99650338395280758</v>
      </c>
      <c r="R309" s="26">
        <f>IF(O$320=0,0,SUM(O$17:O309)/O$320)</f>
        <v>0</v>
      </c>
      <c r="S309" s="26">
        <f>SUM(P$17:P309)/P$320</f>
        <v>0.99650338395280758</v>
      </c>
    </row>
    <row r="310" spans="1:19" x14ac:dyDescent="0.4">
      <c r="A310" s="6">
        <f t="shared" si="280"/>
        <v>1325.7192280267632</v>
      </c>
      <c r="B310" s="25">
        <f t="shared" ref="B310:C310" si="322">C$4*EXP(-0.5*(LN($A310)-LN(C$5))^2/(LN(C$6))^2)/($A310*SQRT(2*PI())*LN(C$6))</f>
        <v>1.0038268577419031E-3</v>
      </c>
      <c r="C310" s="25">
        <f t="shared" si="322"/>
        <v>0</v>
      </c>
      <c r="D310" s="27">
        <f t="shared" si="282"/>
        <v>1.0038268577419031E-3</v>
      </c>
      <c r="E310" s="27"/>
      <c r="F310" s="26">
        <f t="shared" si="283"/>
        <v>4.6684009043852295E-2</v>
      </c>
      <c r="G310" s="26">
        <f t="shared" si="283"/>
        <v>0</v>
      </c>
      <c r="H310" s="26">
        <f t="shared" si="283"/>
        <v>4.6684009043852295E-2</v>
      </c>
      <c r="I310" s="26">
        <f>IF(F$320=0,0,SUM(F$17:F310)/F$320)</f>
        <v>0.99703780593685509</v>
      </c>
      <c r="J310" s="26">
        <f>IF(G$320=0,0,SUM(G$17:G310)/G$320)</f>
        <v>0</v>
      </c>
      <c r="K310" s="26">
        <f>SUM(H$17:H310)/H$320</f>
        <v>0.99703780593685509</v>
      </c>
      <c r="L310" s="26"/>
      <c r="M310" s="26"/>
      <c r="N310" s="27">
        <f t="shared" si="284"/>
        <v>4.7055588373223767E-2</v>
      </c>
      <c r="O310" s="27">
        <f t="shared" si="285"/>
        <v>0</v>
      </c>
      <c r="P310" s="26">
        <f t="shared" si="286"/>
        <v>4.7055588373223767E-2</v>
      </c>
      <c r="Q310" s="26">
        <f>IF(N$320=0,0,SUM(N$17:N310)/N$320)</f>
        <v>0.99697630443897056</v>
      </c>
      <c r="R310" s="26">
        <f>IF(O$320=0,0,SUM(O$17:O310)/O$320)</f>
        <v>0</v>
      </c>
      <c r="S310" s="26">
        <f>SUM(P$17:P310)/P$320</f>
        <v>0.99697630443897056</v>
      </c>
    </row>
    <row r="311" spans="1:19" x14ac:dyDescent="0.4">
      <c r="A311" s="6">
        <f t="shared" si="280"/>
        <v>1372.2252650826629</v>
      </c>
      <c r="B311" s="25">
        <f t="shared" ref="B311:C311" si="323">C$4*EXP(-0.5*(LN($A311)-LN(C$5))^2/(LN(C$6))^2)/($A311*SQRT(2*PI())*LN(C$6))</f>
        <v>9.21965535421234E-4</v>
      </c>
      <c r="C311" s="25">
        <f t="shared" si="323"/>
        <v>0</v>
      </c>
      <c r="D311" s="27">
        <f t="shared" si="282"/>
        <v>9.21965535421234E-4</v>
      </c>
      <c r="E311" s="27"/>
      <c r="F311" s="26">
        <f t="shared" si="283"/>
        <v>4.4381080971970334E-2</v>
      </c>
      <c r="G311" s="26">
        <f t="shared" si="283"/>
        <v>0</v>
      </c>
      <c r="H311" s="26">
        <f t="shared" si="283"/>
        <v>4.4381080971970334E-2</v>
      </c>
      <c r="I311" s="26">
        <f>IF(F$320=0,0,SUM(F$17:F311)/F$320)</f>
        <v>0.99747617060631744</v>
      </c>
      <c r="J311" s="26">
        <f>IF(G$320=0,0,SUM(G$17:G311)/G$320)</f>
        <v>0</v>
      </c>
      <c r="K311" s="26">
        <f>SUM(H$17:H311)/H$320</f>
        <v>0.99747617060631744</v>
      </c>
      <c r="L311" s="26"/>
      <c r="M311" s="26"/>
      <c r="N311" s="27">
        <f t="shared" si="284"/>
        <v>4.4744195913803964E-2</v>
      </c>
      <c r="O311" s="27">
        <f t="shared" si="285"/>
        <v>0</v>
      </c>
      <c r="P311" s="26">
        <f t="shared" si="286"/>
        <v>4.4744195913803964E-2</v>
      </c>
      <c r="Q311" s="26">
        <f>IF(N$320=0,0,SUM(N$17:N311)/N$320)</f>
        <v>0.9974259948501647</v>
      </c>
      <c r="R311" s="26">
        <f>IF(O$320=0,0,SUM(O$17:O311)/O$320)</f>
        <v>0</v>
      </c>
      <c r="S311" s="26">
        <f>SUM(P$17:P311)/P$320</f>
        <v>0.9974259948501647</v>
      </c>
    </row>
    <row r="312" spans="1:19" x14ac:dyDescent="0.4">
      <c r="A312" s="6">
        <f t="shared" si="280"/>
        <v>1420.3627271318198</v>
      </c>
      <c r="B312" s="25">
        <f t="shared" ref="B312:C312" si="324">C$4*EXP(-0.5*(LN($A312)-LN(C$5))^2/(LN(C$6))^2)/($A312*SQRT(2*PI())*LN(C$6))</f>
        <v>8.4640967701447346E-4</v>
      </c>
      <c r="C312" s="25">
        <f t="shared" si="324"/>
        <v>0</v>
      </c>
      <c r="D312" s="27">
        <f t="shared" si="282"/>
        <v>8.4640967701447346E-4</v>
      </c>
      <c r="E312" s="27"/>
      <c r="F312" s="26">
        <f t="shared" si="283"/>
        <v>4.2173307760298324E-2</v>
      </c>
      <c r="G312" s="26">
        <f t="shared" si="283"/>
        <v>0</v>
      </c>
      <c r="H312" s="26">
        <f t="shared" si="283"/>
        <v>4.2173307760298324E-2</v>
      </c>
      <c r="I312" s="26">
        <f>IF(F$320=0,0,SUM(F$17:F312)/F$320)</f>
        <v>0.99789272846636934</v>
      </c>
      <c r="J312" s="26">
        <f>IF(G$320=0,0,SUM(G$17:G312)/G$320)</f>
        <v>0</v>
      </c>
      <c r="K312" s="26">
        <f>SUM(H$17:H312)/H$320</f>
        <v>0.99789272846636934</v>
      </c>
      <c r="L312" s="26"/>
      <c r="M312" s="26"/>
      <c r="N312" s="27">
        <f t="shared" si="284"/>
        <v>4.252773688944167E-2</v>
      </c>
      <c r="O312" s="27">
        <f t="shared" si="285"/>
        <v>0</v>
      </c>
      <c r="P312" s="26">
        <f t="shared" si="286"/>
        <v>4.252773688944167E-2</v>
      </c>
      <c r="Q312" s="26">
        <f>IF(N$320=0,0,SUM(N$17:N312)/N$320)</f>
        <v>0.99785340929126454</v>
      </c>
      <c r="R312" s="26">
        <f>IF(O$320=0,0,SUM(O$17:O312)/O$320)</f>
        <v>0</v>
      </c>
      <c r="S312" s="26">
        <f>SUM(P$17:P312)/P$320</f>
        <v>0.99785340929126454</v>
      </c>
    </row>
    <row r="313" spans="1:19" x14ac:dyDescent="0.4">
      <c r="A313" s="6">
        <f t="shared" si="280"/>
        <v>1470.1888443249213</v>
      </c>
      <c r="B313" s="25">
        <f t="shared" ref="B313:C313" si="325">C$4*EXP(-0.5*(LN($A313)-LN(C$5))^2/(LN(C$6))^2)/($A313*SQRT(2*PI())*LN(C$6))</f>
        <v>7.7670591241600011E-4</v>
      </c>
      <c r="C313" s="25">
        <f t="shared" si="325"/>
        <v>0</v>
      </c>
      <c r="D313" s="27">
        <f t="shared" si="282"/>
        <v>7.7670591241600011E-4</v>
      </c>
      <c r="E313" s="27"/>
      <c r="F313" s="26">
        <f t="shared" si="283"/>
        <v>4.0057838581824767E-2</v>
      </c>
      <c r="G313" s="26">
        <f t="shared" si="283"/>
        <v>0</v>
      </c>
      <c r="H313" s="26">
        <f t="shared" si="283"/>
        <v>4.0057838581824767E-2</v>
      </c>
      <c r="I313" s="26">
        <f>IF(F$320=0,0,SUM(F$17:F313)/F$320)</f>
        <v>0.99828839123042845</v>
      </c>
      <c r="J313" s="26">
        <f>IF(G$320=0,0,SUM(G$17:G313)/G$320)</f>
        <v>0</v>
      </c>
      <c r="K313" s="26">
        <f>SUM(H$17:H313)/H$320</f>
        <v>0.99828839123042845</v>
      </c>
      <c r="L313" s="26"/>
      <c r="M313" s="26"/>
      <c r="N313" s="27">
        <f t="shared" si="284"/>
        <v>4.0403398925825673E-2</v>
      </c>
      <c r="O313" s="27">
        <f t="shared" si="285"/>
        <v>0</v>
      </c>
      <c r="P313" s="26">
        <f t="shared" si="286"/>
        <v>4.0403398925825673E-2</v>
      </c>
      <c r="Q313" s="26">
        <f>IF(N$320=0,0,SUM(N$17:N313)/N$320)</f>
        <v>0.9982594736020769</v>
      </c>
      <c r="R313" s="26">
        <f>IF(O$320=0,0,SUM(O$17:O313)/O$320)</f>
        <v>0</v>
      </c>
      <c r="S313" s="26">
        <f>SUM(P$17:P313)/P$320</f>
        <v>0.9982594736020769</v>
      </c>
    </row>
    <row r="314" spans="1:19" x14ac:dyDescent="0.4">
      <c r="A314" s="6">
        <f t="shared" si="280"/>
        <v>1521.7628544379922</v>
      </c>
      <c r="B314" s="25">
        <f t="shared" ref="B314:C314" si="326">C$4*EXP(-0.5*(LN($A314)-LN(C$5))^2/(LN(C$6))^2)/($A314*SQRT(2*PI())*LN(C$6))</f>
        <v>7.1243075605497037E-4</v>
      </c>
      <c r="C314" s="25">
        <f t="shared" si="326"/>
        <v>0</v>
      </c>
      <c r="D314" s="27">
        <f t="shared" si="282"/>
        <v>7.1243075605497037E-4</v>
      </c>
      <c r="E314" s="27"/>
      <c r="F314" s="26">
        <f t="shared" si="283"/>
        <v>3.8031846974217139E-2</v>
      </c>
      <c r="G314" s="26">
        <f t="shared" si="283"/>
        <v>0</v>
      </c>
      <c r="H314" s="26">
        <f t="shared" si="283"/>
        <v>3.8031846974217139E-2</v>
      </c>
      <c r="I314" s="26">
        <f>IF(F$320=0,0,SUM(F$17:F314)/F$320)</f>
        <v>0.99866404269413267</v>
      </c>
      <c r="J314" s="26">
        <f>IF(G$320=0,0,SUM(G$17:G314)/G$320)</f>
        <v>0</v>
      </c>
      <c r="K314" s="26">
        <f>SUM(H$17:H314)/H$320</f>
        <v>0.99866404269413267</v>
      </c>
      <c r="L314" s="26"/>
      <c r="M314" s="26"/>
      <c r="N314" s="27">
        <f t="shared" si="284"/>
        <v>3.8368391728826889E-2</v>
      </c>
      <c r="O314" s="27">
        <f t="shared" si="285"/>
        <v>0</v>
      </c>
      <c r="P314" s="26">
        <f t="shared" si="286"/>
        <v>3.8368391728826889E-2</v>
      </c>
      <c r="Q314" s="26">
        <f>IF(N$320=0,0,SUM(N$17:N314)/N$320)</f>
        <v>0.99864508557925102</v>
      </c>
      <c r="R314" s="26">
        <f>IF(O$320=0,0,SUM(O$17:O314)/O$320)</f>
        <v>0</v>
      </c>
      <c r="S314" s="26">
        <f>SUM(P$17:P314)/P$320</f>
        <v>0.99864508557925102</v>
      </c>
    </row>
    <row r="315" spans="1:19" x14ac:dyDescent="0.4">
      <c r="A315" s="6">
        <f t="shared" si="280"/>
        <v>1575.1460732995915</v>
      </c>
      <c r="B315" s="25">
        <f t="shared" ref="B315:C315" si="327">C$4*EXP(-0.5*(LN($A315)-LN(C$5))^2/(LN(C$6))^2)/($A315*SQRT(2*PI())*LN(C$6))</f>
        <v>6.5318885586775142E-4</v>
      </c>
      <c r="C315" s="25">
        <f t="shared" si="327"/>
        <v>0</v>
      </c>
      <c r="D315" s="27">
        <f t="shared" si="282"/>
        <v>6.5318885586775142E-4</v>
      </c>
      <c r="E315" s="27"/>
      <c r="F315" s="26">
        <f t="shared" si="283"/>
        <v>3.6092534435905183E-2</v>
      </c>
      <c r="G315" s="26">
        <f t="shared" si="283"/>
        <v>0</v>
      </c>
      <c r="H315" s="26">
        <f t="shared" si="283"/>
        <v>3.6092534435905183E-2</v>
      </c>
      <c r="I315" s="26">
        <f>IF(F$320=0,0,SUM(F$17:F315)/F$320)</f>
        <v>0.99902053901151733</v>
      </c>
      <c r="J315" s="26">
        <f>IF(G$320=0,0,SUM(G$17:G315)/G$320)</f>
        <v>0</v>
      </c>
      <c r="K315" s="26">
        <f>SUM(H$17:H315)/H$320</f>
        <v>0.99902053901151733</v>
      </c>
      <c r="L315" s="26"/>
      <c r="M315" s="26"/>
      <c r="N315" s="27">
        <f t="shared" si="284"/>
        <v>3.6419950738453277E-2</v>
      </c>
      <c r="O315" s="27">
        <f t="shared" si="285"/>
        <v>0</v>
      </c>
      <c r="P315" s="26">
        <f t="shared" si="286"/>
        <v>3.6419950738453277E-2</v>
      </c>
      <c r="Q315" s="26">
        <f>IF(N$320=0,0,SUM(N$17:N315)/N$320)</f>
        <v>0.99901111523491382</v>
      </c>
      <c r="R315" s="26">
        <f>IF(O$320=0,0,SUM(O$17:O315)/O$320)</f>
        <v>0</v>
      </c>
      <c r="S315" s="26">
        <f>SUM(P$17:P315)/P$320</f>
        <v>0.99901111523491382</v>
      </c>
    </row>
    <row r="316" spans="1:19" x14ac:dyDescent="0.4">
      <c r="A316" s="6">
        <f t="shared" si="280"/>
        <v>1630.4019676885991</v>
      </c>
      <c r="B316" s="25">
        <f t="shared" ref="B316:C316" si="328">C$4*EXP(-0.5*(LN($A316)-LN(C$5))^2/(LN(C$6))^2)/($A316*SQRT(2*PI())*LN(C$6))</f>
        <v>5.9861132787451853E-4</v>
      </c>
      <c r="C316" s="25">
        <f t="shared" si="328"/>
        <v>0</v>
      </c>
      <c r="D316" s="27">
        <f t="shared" si="282"/>
        <v>5.9861132787451853E-4</v>
      </c>
      <c r="E316" s="27"/>
      <c r="F316" s="26">
        <f t="shared" si="283"/>
        <v>3.4237133781476782E-2</v>
      </c>
      <c r="G316" s="26">
        <f t="shared" si="283"/>
        <v>0</v>
      </c>
      <c r="H316" s="26">
        <f t="shared" si="283"/>
        <v>3.4237133781476782E-2</v>
      </c>
      <c r="I316" s="26">
        <f>IF(F$320=0,0,SUM(F$17:F316)/F$320)</f>
        <v>0.99935870900433321</v>
      </c>
      <c r="J316" s="26">
        <f>IF(G$320=0,0,SUM(G$17:G316)/G$320)</f>
        <v>0</v>
      </c>
      <c r="K316" s="26">
        <f>SUM(H$17:H316)/H$320</f>
        <v>0.99935870900433321</v>
      </c>
      <c r="L316" s="26"/>
      <c r="M316" s="26"/>
      <c r="N316" s="27">
        <f t="shared" si="284"/>
        <v>3.4555340544706326E-2</v>
      </c>
      <c r="O316" s="27">
        <f t="shared" si="285"/>
        <v>0</v>
      </c>
      <c r="P316" s="26">
        <f t="shared" si="286"/>
        <v>3.4555340544706326E-2</v>
      </c>
      <c r="Q316" s="26">
        <f>IF(N$320=0,0,SUM(N$17:N316)/N$320)</f>
        <v>0.99935840508963447</v>
      </c>
      <c r="R316" s="26">
        <f>IF(O$320=0,0,SUM(O$17:O316)/O$320)</f>
        <v>0</v>
      </c>
      <c r="S316" s="26">
        <f>SUM(P$17:P316)/P$320</f>
        <v>0.99935840508963447</v>
      </c>
    </row>
    <row r="317" spans="1:19" x14ac:dyDescent="0.4">
      <c r="A317" s="6">
        <f t="shared" si="280"/>
        <v>1687.596230789236</v>
      </c>
      <c r="B317" s="25">
        <f t="shared" ref="B317:C317" si="329">C$4*EXP(-0.5*(LN($A317)-LN(C$5))^2/(LN(C$6))^2)/($A317*SQRT(2*PI())*LN(C$6))</f>
        <v>5.4835417346243195E-4</v>
      </c>
      <c r="C317" s="25">
        <f t="shared" si="329"/>
        <v>0</v>
      </c>
      <c r="D317" s="27">
        <f t="shared" si="282"/>
        <v>5.4835417346243195E-4</v>
      </c>
      <c r="E317" s="27"/>
      <c r="F317" s="26">
        <f t="shared" si="283"/>
        <v>3.2462912260002544E-2</v>
      </c>
      <c r="G317" s="26">
        <f t="shared" si="283"/>
        <v>0</v>
      </c>
      <c r="H317" s="26">
        <f t="shared" si="283"/>
        <v>3.2462912260002544E-2</v>
      </c>
      <c r="I317" s="26">
        <f>IF(F$320=0,0,SUM(F$17:F317)/F$320)</f>
        <v>0.99967935450216661</v>
      </c>
      <c r="J317" s="26">
        <f>IF(G$320=0,0,SUM(G$17:G317)/G$320)</f>
        <v>0</v>
      </c>
      <c r="K317" s="26">
        <f>SUM(H$17:H317)/H$320</f>
        <v>0.99967935450216661</v>
      </c>
      <c r="L317" s="26"/>
      <c r="M317" s="26"/>
      <c r="N317" s="27">
        <f t="shared" si="284"/>
        <v>3.2771858068691984E-2</v>
      </c>
      <c r="O317" s="27">
        <f t="shared" si="285"/>
        <v>0</v>
      </c>
      <c r="P317" s="26">
        <f t="shared" si="286"/>
        <v>3.2771858068691984E-2</v>
      </c>
      <c r="Q317" s="26">
        <f>IF(N$320=0,0,SUM(N$17:N317)/N$320)</f>
        <v>0.99968777049735991</v>
      </c>
      <c r="R317" s="26">
        <f>IF(O$320=0,0,SUM(O$17:O317)/O$320)</f>
        <v>0</v>
      </c>
      <c r="S317" s="26">
        <f>SUM(P$17:P317)/P$320</f>
        <v>0.99968777049735991</v>
      </c>
    </row>
    <row r="318" spans="1:19" x14ac:dyDescent="0.4">
      <c r="A318" s="19">
        <f>'Exposure Scenario'!D35</f>
        <v>1746.7968602930189</v>
      </c>
      <c r="B318" s="25">
        <f t="shared" ref="B318:C318" si="330">C$4*EXP(-0.5*(LN($A318)-LN(C$5))^2/(LN(C$6))^2)/($A318*SQRT(2*PI())*LN(C$6))</f>
        <v>5.0209677647564197E-4</v>
      </c>
      <c r="C318" s="25">
        <f t="shared" si="330"/>
        <v>0</v>
      </c>
      <c r="D318" s="27">
        <f t="shared" si="282"/>
        <v>5.0209677647564197E-4</v>
      </c>
      <c r="E318" s="27"/>
      <c r="F318" s="26">
        <f>F317</f>
        <v>3.2462912260002544E-2</v>
      </c>
      <c r="G318" s="26">
        <f>G317</f>
        <v>0</v>
      </c>
      <c r="H318" s="26">
        <f>H317</f>
        <v>3.2462912260002544E-2</v>
      </c>
      <c r="I318" s="26">
        <f>IF(F$320=0,0,SUM(F$17:F318)/F$320)</f>
        <v>1</v>
      </c>
      <c r="J318" s="26">
        <f>IF(G$320=0,0,SUM(G$17:G318)/G$320)</f>
        <v>0</v>
      </c>
      <c r="K318" s="26">
        <f>SUM(H$17:H318)/H$320</f>
        <v>1</v>
      </c>
      <c r="L318" s="26"/>
      <c r="M318" s="26"/>
      <c r="N318" s="27">
        <f t="shared" si="284"/>
        <v>3.1066835512683078E-2</v>
      </c>
      <c r="O318" s="27">
        <f t="shared" si="285"/>
        <v>0</v>
      </c>
      <c r="P318" s="26">
        <f t="shared" si="286"/>
        <v>3.1066835512683078E-2</v>
      </c>
      <c r="Q318" s="26">
        <f>IF(N$320=0,0,SUM(N$17:N318)/N$320)</f>
        <v>1</v>
      </c>
      <c r="R318" s="26">
        <f>IF(O$320=0,0,SUM(O$17:O318)/O$320)</f>
        <v>0</v>
      </c>
      <c r="S318" s="26">
        <f>SUM(P$17:P318)/P$320</f>
        <v>1</v>
      </c>
    </row>
    <row r="319" spans="1:19" x14ac:dyDescent="0.4">
      <c r="C319" s="19"/>
      <c r="H319" s="26"/>
      <c r="N319" s="26"/>
      <c r="O319" s="26"/>
    </row>
    <row r="320" spans="1:19" x14ac:dyDescent="0.4">
      <c r="C320" s="19"/>
      <c r="E320" s="26"/>
      <c r="F320" s="26">
        <f>SUM(F17:F318)</f>
        <v>101.24237664135386</v>
      </c>
      <c r="G320" s="26">
        <f>SUM(G17:G318)</f>
        <v>0</v>
      </c>
      <c r="H320" s="26">
        <f>SUM(H17:H318)</f>
        <v>101.24237664135386</v>
      </c>
      <c r="K320" s="25"/>
      <c r="N320" s="26">
        <f>SUM(N17:N318)</f>
        <v>99.500000000000085</v>
      </c>
      <c r="O320" s="26">
        <f>SUM(O17:O318)</f>
        <v>0</v>
      </c>
      <c r="P320" s="26">
        <f>SUM(P17:P318)</f>
        <v>99.500000000000085</v>
      </c>
      <c r="S320" s="25"/>
    </row>
    <row r="321" spans="3:3" x14ac:dyDescent="0.4">
      <c r="C321" s="19"/>
    </row>
    <row r="322" spans="3:3" x14ac:dyDescent="0.4">
      <c r="C322" s="19"/>
    </row>
    <row r="323" spans="3:3" x14ac:dyDescent="0.4">
      <c r="C323" s="19"/>
    </row>
    <row r="324" spans="3:3" x14ac:dyDescent="0.4">
      <c r="C324" s="19"/>
    </row>
    <row r="325" spans="3:3" x14ac:dyDescent="0.4">
      <c r="C325" s="19"/>
    </row>
    <row r="326" spans="3:3" x14ac:dyDescent="0.4">
      <c r="C326" s="19"/>
    </row>
    <row r="327" spans="3:3" x14ac:dyDescent="0.4">
      <c r="C327" s="19"/>
    </row>
    <row r="328" spans="3:3" x14ac:dyDescent="0.4">
      <c r="C328" s="19"/>
    </row>
    <row r="329" spans="3:3" x14ac:dyDescent="0.4">
      <c r="C329" s="19"/>
    </row>
    <row r="330" spans="3:3" x14ac:dyDescent="0.4">
      <c r="C330" s="19"/>
    </row>
    <row r="331" spans="3:3" x14ac:dyDescent="0.4">
      <c r="C331" s="19"/>
    </row>
    <row r="332" spans="3:3" x14ac:dyDescent="0.4">
      <c r="C332" s="19"/>
    </row>
    <row r="333" spans="3:3" x14ac:dyDescent="0.4">
      <c r="C333" s="19"/>
    </row>
    <row r="334" spans="3:3" x14ac:dyDescent="0.4">
      <c r="C334" s="19"/>
    </row>
    <row r="335" spans="3:3" x14ac:dyDescent="0.4">
      <c r="C335" s="19"/>
    </row>
    <row r="336" spans="3:3" x14ac:dyDescent="0.4">
      <c r="C336" s="19"/>
    </row>
    <row r="337" spans="3:3" x14ac:dyDescent="0.4">
      <c r="C337" s="19"/>
    </row>
    <row r="338" spans="3:3" x14ac:dyDescent="0.4">
      <c r="C338" s="19"/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U338"/>
  <sheetViews>
    <sheetView workbookViewId="0">
      <selection activeCell="J23" sqref="J23"/>
    </sheetView>
  </sheetViews>
  <sheetFormatPr defaultRowHeight="12.3" x14ac:dyDescent="0.4"/>
  <cols>
    <col min="1" max="1" width="12.44140625" customWidth="1"/>
    <col min="3" max="3" width="9.44140625" customWidth="1"/>
    <col min="4" max="4" width="10.33203125" bestFit="1" customWidth="1"/>
    <col min="8" max="8" width="11" customWidth="1"/>
  </cols>
  <sheetData>
    <row r="1" spans="1:19" ht="14.1" customHeight="1" x14ac:dyDescent="0.4">
      <c r="A1" s="12"/>
      <c r="B1" s="13"/>
      <c r="C1" s="18"/>
      <c r="D1" s="18"/>
      <c r="E1" s="18"/>
      <c r="F1" s="3"/>
      <c r="H1" s="7"/>
      <c r="N1" s="11" t="s">
        <v>8</v>
      </c>
      <c r="O1" s="11" t="s">
        <v>3</v>
      </c>
    </row>
    <row r="2" spans="1:19" ht="14.1" customHeight="1" x14ac:dyDescent="0.4">
      <c r="A2" s="14"/>
      <c r="B2" s="15" t="s">
        <v>9</v>
      </c>
      <c r="C2" s="32" t="s">
        <v>44</v>
      </c>
      <c r="D2" s="32" t="s">
        <v>45</v>
      </c>
      <c r="E2" s="32" t="s">
        <v>22</v>
      </c>
      <c r="F2" s="32" t="s">
        <v>20</v>
      </c>
      <c r="G2" s="32" t="s">
        <v>21</v>
      </c>
      <c r="N2" s="11" t="s">
        <v>5</v>
      </c>
      <c r="O2" s="12" t="s">
        <v>7</v>
      </c>
    </row>
    <row r="3" spans="1:19" s="7" customFormat="1" ht="14.1" customHeight="1" x14ac:dyDescent="0.4">
      <c r="A3" s="16"/>
      <c r="B3" s="17"/>
      <c r="C3" s="9"/>
      <c r="D3" s="9"/>
      <c r="E3" s="9"/>
      <c r="G3" s="4"/>
      <c r="N3" s="11" t="s">
        <v>1</v>
      </c>
      <c r="O3" s="12" t="s">
        <v>6</v>
      </c>
    </row>
    <row r="4" spans="1:19" ht="14.1" customHeight="1" x14ac:dyDescent="0.4">
      <c r="A4" s="12"/>
      <c r="B4" s="17" t="s">
        <v>14</v>
      </c>
      <c r="C4" s="43">
        <f>'Exposure Scenario'!C27</f>
        <v>100</v>
      </c>
      <c r="D4" s="43">
        <f>'Exposure Scenario'!D27</f>
        <v>0</v>
      </c>
      <c r="E4" s="29">
        <f>SUM(C4:D4)</f>
        <v>100</v>
      </c>
      <c r="F4" s="33"/>
      <c r="G4" s="29"/>
      <c r="H4" s="30"/>
      <c r="N4" s="34" t="s">
        <v>23</v>
      </c>
      <c r="O4" s="35" t="s">
        <v>24</v>
      </c>
    </row>
    <row r="5" spans="1:19" ht="14.1" customHeight="1" x14ac:dyDescent="0.5">
      <c r="A5" s="12"/>
      <c r="B5" s="17" t="s">
        <v>2</v>
      </c>
      <c r="C5" s="31">
        <f>'Exposure Scenario'!C28</f>
        <v>25</v>
      </c>
      <c r="D5" s="31">
        <f>'Exposure Scenario'!D28</f>
        <v>4</v>
      </c>
      <c r="E5" s="10"/>
      <c r="G5" s="5"/>
      <c r="N5" s="11" t="s">
        <v>0</v>
      </c>
      <c r="O5" s="12" t="s">
        <v>4</v>
      </c>
    </row>
    <row r="6" spans="1:19" ht="14.1" customHeight="1" x14ac:dyDescent="0.5">
      <c r="B6" s="17" t="s">
        <v>0</v>
      </c>
      <c r="C6" s="31">
        <f>'Exposure Scenario'!C29</f>
        <v>5.2</v>
      </c>
      <c r="D6" s="31">
        <f>'Exposure Scenario'!D29</f>
        <v>2</v>
      </c>
      <c r="E6" s="8"/>
      <c r="N6" s="24" t="s">
        <v>15</v>
      </c>
      <c r="O6" s="12" t="s">
        <v>16</v>
      </c>
    </row>
    <row r="7" spans="1:19" ht="14.1" customHeight="1" x14ac:dyDescent="0.4">
      <c r="A7" s="1"/>
      <c r="E7" s="4"/>
      <c r="F7" s="6"/>
      <c r="G7" s="4"/>
      <c r="I7" s="24"/>
      <c r="J7" s="31"/>
      <c r="K7" s="31"/>
    </row>
    <row r="8" spans="1:19" ht="14.1" customHeight="1" x14ac:dyDescent="0.4">
      <c r="A8" s="1"/>
      <c r="E8" s="4"/>
      <c r="F8" s="6"/>
      <c r="G8" s="4"/>
      <c r="I8" s="24"/>
      <c r="J8" s="31"/>
      <c r="K8" s="31"/>
    </row>
    <row r="9" spans="1:19" ht="14.1" customHeight="1" x14ac:dyDescent="0.4">
      <c r="A9" s="2"/>
      <c r="B9" s="2"/>
      <c r="C9" s="37"/>
      <c r="D9" s="37"/>
    </row>
    <row r="10" spans="1:19" ht="14.1" customHeight="1" x14ac:dyDescent="0.5">
      <c r="A10" s="1"/>
      <c r="B10" s="1"/>
      <c r="C10" s="31"/>
      <c r="D10" s="31"/>
      <c r="E10" s="20"/>
    </row>
    <row r="11" spans="1:19" ht="14.1" customHeight="1" x14ac:dyDescent="0.5">
      <c r="A11" s="1"/>
      <c r="B11" s="1"/>
      <c r="C11" s="31"/>
      <c r="D11" s="31"/>
      <c r="E11" s="20"/>
      <c r="F11" s="4"/>
    </row>
    <row r="12" spans="1:19" ht="14.1" customHeight="1" x14ac:dyDescent="0.4"/>
    <row r="13" spans="1:19" ht="14.1" customHeight="1" x14ac:dyDescent="0.4">
      <c r="A13" s="1"/>
      <c r="F13" s="4"/>
      <c r="G13" s="4"/>
    </row>
    <row r="14" spans="1:19" ht="14.1" customHeight="1" x14ac:dyDescent="0.4">
      <c r="A14" s="22"/>
      <c r="B14" s="28"/>
      <c r="C14" s="28"/>
      <c r="D14" s="22"/>
      <c r="E14" s="22"/>
      <c r="F14" s="22"/>
      <c r="G14" s="22"/>
      <c r="H14" s="22"/>
    </row>
    <row r="15" spans="1:19" ht="14.1" customHeight="1" x14ac:dyDescent="0.4">
      <c r="A15" s="16"/>
      <c r="B15" s="21" t="s">
        <v>13</v>
      </c>
      <c r="C15" s="23"/>
      <c r="D15" s="23"/>
      <c r="E15" s="23"/>
      <c r="F15" s="16" t="s">
        <v>26</v>
      </c>
      <c r="G15" s="22"/>
      <c r="H15" s="22"/>
      <c r="J15" s="36" t="s">
        <v>17</v>
      </c>
      <c r="N15" s="16" t="s">
        <v>25</v>
      </c>
      <c r="O15" s="12"/>
      <c r="R15" s="36" t="s">
        <v>17</v>
      </c>
    </row>
    <row r="16" spans="1:19" ht="14.1" customHeight="1" x14ac:dyDescent="0.4">
      <c r="A16" s="24" t="s">
        <v>5</v>
      </c>
      <c r="B16" s="24" t="s">
        <v>10</v>
      </c>
      <c r="C16" s="24" t="s">
        <v>11</v>
      </c>
      <c r="D16" s="24" t="s">
        <v>12</v>
      </c>
      <c r="E16" s="24"/>
      <c r="F16" s="24" t="s">
        <v>10</v>
      </c>
      <c r="G16" s="24" t="s">
        <v>11</v>
      </c>
      <c r="H16" s="24" t="s">
        <v>12</v>
      </c>
      <c r="I16" s="24" t="s">
        <v>10</v>
      </c>
      <c r="J16" s="24" t="s">
        <v>11</v>
      </c>
      <c r="K16" s="24" t="s">
        <v>12</v>
      </c>
      <c r="N16" s="24" t="s">
        <v>10</v>
      </c>
      <c r="O16" s="24" t="s">
        <v>11</v>
      </c>
      <c r="P16" s="24" t="s">
        <v>12</v>
      </c>
      <c r="Q16" s="24" t="s">
        <v>10</v>
      </c>
      <c r="R16" s="24" t="s">
        <v>11</v>
      </c>
      <c r="S16" s="24" t="s">
        <v>12</v>
      </c>
    </row>
    <row r="17" spans="1:21" ht="14.1" customHeight="1" x14ac:dyDescent="0.4">
      <c r="A17" s="19">
        <f>'Exposure Scenario'!C35</f>
        <v>5.4339016042139802E-2</v>
      </c>
      <c r="B17" s="25">
        <f>C$4*EXP(-0.5*(LN($A17)-LN(C$5))^2/(LN(C$6))^2)/($A17*SQRT(2*PI())*LN(C$6))</f>
        <v>0.44186124245927633</v>
      </c>
      <c r="C17" s="25">
        <f>D$4*EXP(-0.5*(LN($A17)-LN(D$5))^2/(LN(D$6))^2)/($A17*SQRT(2*PI())*LN(D$6))</f>
        <v>0</v>
      </c>
      <c r="D17" s="27">
        <f>B17+C17</f>
        <v>0.44186124245927633</v>
      </c>
      <c r="E17" s="27"/>
      <c r="F17" s="26">
        <f>B17*($A18-$A17)</f>
        <v>8.4227800055192885E-4</v>
      </c>
      <c r="G17" s="26">
        <f>C17*($A18-$A17)</f>
        <v>0</v>
      </c>
      <c r="H17" s="26">
        <f>D17*($A18-$A17)</f>
        <v>8.4227800055192885E-4</v>
      </c>
      <c r="I17" s="26">
        <f>IF(F320=0,0,F17/F$320)</f>
        <v>8.3194214566461356E-6</v>
      </c>
      <c r="J17" s="26">
        <f>IF(G320=0,0,G17/G$320)</f>
        <v>0</v>
      </c>
      <c r="K17" s="26">
        <f>H17/H$320</f>
        <v>8.3194214566461356E-6</v>
      </c>
      <c r="L17" s="26"/>
      <c r="M17" s="26"/>
      <c r="N17" s="27">
        <f>C4*(NORMDIST(LN($A17),LN(C$5),LN(C$6),TRUE))</f>
        <v>1.0000000000000044E-2</v>
      </c>
      <c r="O17" s="27">
        <f>D4*(NORMDIST(LN($A17),LN(D$5),LN(D$6),TRUE))</f>
        <v>0</v>
      </c>
      <c r="P17" s="26">
        <f>N17+O17</f>
        <v>1.0000000000000044E-2</v>
      </c>
      <c r="Q17" s="26">
        <f>IF(N320=0,0,N17/N$320)</f>
        <v>1.0050251256281442E-4</v>
      </c>
      <c r="R17" s="26">
        <f>IF(O320=0,0,O17/O$320)</f>
        <v>0</v>
      </c>
      <c r="S17" s="26">
        <f>P17/P$320</f>
        <v>1.0050251256281442E-4</v>
      </c>
    </row>
    <row r="18" spans="1:21" ht="14.1" customHeight="1" x14ac:dyDescent="0.4">
      <c r="A18" s="6">
        <f t="shared" ref="A18:A81" si="0">10^((LOG(A$318)-LOG(A$17))/301+LOG(A17))</f>
        <v>5.6245220795161463E-2</v>
      </c>
      <c r="B18" s="25">
        <f t="shared" ref="B18:C33" si="1">C$4*EXP(-0.5*(LN($A18)-LN(C$5))^2/(LN(C$6))^2)/($A18*SQRT(2*PI())*LN(C$6))</f>
        <v>0.46131210999061745</v>
      </c>
      <c r="C18" s="25">
        <f t="shared" si="1"/>
        <v>0</v>
      </c>
      <c r="D18" s="27">
        <f t="shared" ref="D18:D81" si="2">B18+C18</f>
        <v>0.46131210999061745</v>
      </c>
      <c r="E18" s="27"/>
      <c r="F18" s="26">
        <f t="shared" ref="F18:H81" si="3">B18*($A19-$A18)</f>
        <v>9.1020299357662867E-4</v>
      </c>
      <c r="G18" s="26">
        <f t="shared" si="3"/>
        <v>0</v>
      </c>
      <c r="H18" s="26">
        <f t="shared" si="3"/>
        <v>9.1020299357662867E-4</v>
      </c>
      <c r="I18" s="26">
        <f>IF(F$320=0,0,SUM(F$17:F18)/F$320)</f>
        <v>1.7309757556725829E-5</v>
      </c>
      <c r="J18" s="26">
        <f>IF(G$320=0,0,SUM(G$17:G18)/G$320)</f>
        <v>0</v>
      </c>
      <c r="K18" s="26">
        <f>SUM(H$17:H18)/H$320</f>
        <v>1.7309757556725829E-5</v>
      </c>
      <c r="L18" s="26"/>
      <c r="M18" s="26"/>
      <c r="N18" s="27">
        <f t="shared" ref="N18:N81" si="4">C$4*((NORMDIST(LN($A18),LN(C$5),LN(C$6),TRUE))-(NORMDIST(LN($A17),LN(C$5),LN(C$6),TRUE)))</f>
        <v>8.6082146709364057E-4</v>
      </c>
      <c r="O18" s="27">
        <f t="shared" ref="O18:O81" si="5">D$4*((NORMDIST(LN($A18),LN(D$5),LN(D$6),TRUE))-(NORMDIST(LN($A17),LN(D$5),LN(D$6),TRUE)))</f>
        <v>0</v>
      </c>
      <c r="P18" s="26">
        <f t="shared" ref="P18:P81" si="6">N18+O18</f>
        <v>8.6082146709364057E-4</v>
      </c>
      <c r="Q18" s="26">
        <f>IF(N$320=0,0,SUM(N$17:N18)/N$320)</f>
        <v>1.0915398459390629E-4</v>
      </c>
      <c r="R18" s="26">
        <f>IF(O$320=0,0,SUM(O$17:O18)/O$320)</f>
        <v>0</v>
      </c>
      <c r="S18" s="26">
        <f>SUM(P$17:P18)/P$320</f>
        <v>1.0915398459390629E-4</v>
      </c>
    </row>
    <row r="19" spans="1:21" ht="14.1" customHeight="1" x14ac:dyDescent="0.4">
      <c r="A19" s="6">
        <f t="shared" si="0"/>
        <v>5.8218294932745107E-2</v>
      </c>
      <c r="B19" s="25">
        <f t="shared" si="1"/>
        <v>0.48140861666230927</v>
      </c>
      <c r="C19" s="25">
        <f t="shared" si="1"/>
        <v>0</v>
      </c>
      <c r="D19" s="27">
        <f t="shared" si="2"/>
        <v>0.48140861666230927</v>
      </c>
      <c r="E19" s="27"/>
      <c r="F19" s="26">
        <f t="shared" si="3"/>
        <v>9.8317566211464347E-4</v>
      </c>
      <c r="G19" s="26">
        <f t="shared" si="3"/>
        <v>0</v>
      </c>
      <c r="H19" s="26">
        <f t="shared" si="3"/>
        <v>9.8317566211464347E-4</v>
      </c>
      <c r="I19" s="26">
        <f>IF(F$320=0,0,SUM(F$17:F19)/F$320)</f>
        <v>2.7020865639436043E-5</v>
      </c>
      <c r="J19" s="26">
        <f>IF(G$320=0,0,SUM(G$17:G19)/G$320)</f>
        <v>0</v>
      </c>
      <c r="K19" s="26">
        <f>SUM(H$17:H19)/H$320</f>
        <v>2.7020865639436043E-5</v>
      </c>
      <c r="L19" s="26"/>
      <c r="M19" s="26"/>
      <c r="N19" s="27">
        <f t="shared" si="4"/>
        <v>9.3003586320219425E-4</v>
      </c>
      <c r="O19" s="27">
        <f t="shared" si="5"/>
        <v>0</v>
      </c>
      <c r="P19" s="26">
        <f t="shared" si="6"/>
        <v>9.3003586320219425E-4</v>
      </c>
      <c r="Q19" s="26">
        <f>IF(N$320=0,0,SUM(N$17:N19)/N$320)</f>
        <v>1.1850107869644089E-4</v>
      </c>
      <c r="R19" s="26">
        <f>IF(O$320=0,0,SUM(O$17:O19)/O$320)</f>
        <v>0</v>
      </c>
      <c r="S19" s="26">
        <f>SUM(P$17:P19)/P$320</f>
        <v>1.1850107869644089E-4</v>
      </c>
      <c r="T19" s="7"/>
      <c r="U19" s="7"/>
    </row>
    <row r="20" spans="1:21" ht="14.1" customHeight="1" x14ac:dyDescent="0.4">
      <c r="A20" s="6">
        <f t="shared" si="0"/>
        <v>6.0260584223142885E-2</v>
      </c>
      <c r="B20" s="25">
        <f t="shared" si="1"/>
        <v>0.50216093125413552</v>
      </c>
      <c r="C20" s="25">
        <f t="shared" si="1"/>
        <v>0</v>
      </c>
      <c r="D20" s="27">
        <f t="shared" si="2"/>
        <v>0.50216093125413552</v>
      </c>
      <c r="E20" s="27"/>
      <c r="F20" s="26">
        <f t="shared" si="3"/>
        <v>1.0615343131458398E-3</v>
      </c>
      <c r="G20" s="26">
        <f t="shared" si="3"/>
        <v>0</v>
      </c>
      <c r="H20" s="26">
        <f t="shared" si="3"/>
        <v>1.0615343131458398E-3</v>
      </c>
      <c r="I20" s="26">
        <f>IF(F$320=0,0,SUM(F$17:F20)/F$320)</f>
        <v>3.750594459907241E-5</v>
      </c>
      <c r="J20" s="26">
        <f>IF(G$320=0,0,SUM(G$17:G20)/G$320)</f>
        <v>0</v>
      </c>
      <c r="K20" s="26">
        <f>SUM(H$17:H20)/H$320</f>
        <v>3.750594459907241E-5</v>
      </c>
      <c r="L20" s="26"/>
      <c r="M20" s="26"/>
      <c r="N20" s="27">
        <f t="shared" si="4"/>
        <v>1.004376094424857E-3</v>
      </c>
      <c r="O20" s="27">
        <f t="shared" si="5"/>
        <v>0</v>
      </c>
      <c r="P20" s="26">
        <f t="shared" si="6"/>
        <v>1.004376094424857E-3</v>
      </c>
      <c r="Q20" s="26">
        <f>IF(N$320=0,0,SUM(N$17:N20)/N$320)</f>
        <v>1.2859531080121331E-4</v>
      </c>
      <c r="R20" s="26">
        <f>IF(O$320=0,0,SUM(O$17:O20)/O$320)</f>
        <v>0</v>
      </c>
      <c r="S20" s="26">
        <f>SUM(P$17:P20)/P$320</f>
        <v>1.2859531080121331E-4</v>
      </c>
    </row>
    <row r="21" spans="1:21" ht="14.1" customHeight="1" x14ac:dyDescent="0.4">
      <c r="A21" s="6">
        <f t="shared" si="0"/>
        <v>6.2374516723814895E-2</v>
      </c>
      <c r="B21" s="25">
        <f t="shared" si="1"/>
        <v>0.52357878441183359</v>
      </c>
      <c r="C21" s="25">
        <f t="shared" si="1"/>
        <v>0</v>
      </c>
      <c r="D21" s="27">
        <f t="shared" si="2"/>
        <v>0.52357878441183359</v>
      </c>
      <c r="E21" s="27"/>
      <c r="F21" s="26">
        <f t="shared" si="3"/>
        <v>1.1456369496456046E-3</v>
      </c>
      <c r="G21" s="26">
        <f t="shared" si="3"/>
        <v>0</v>
      </c>
      <c r="H21" s="26">
        <f t="shared" si="3"/>
        <v>1.1456369496456046E-3</v>
      </c>
      <c r="I21" s="26">
        <f>IF(F$320=0,0,SUM(F$17:F21)/F$320)</f>
        <v>4.8821729428027656E-5</v>
      </c>
      <c r="J21" s="26">
        <f>IF(G$320=0,0,SUM(G$17:G21)/G$320)</f>
        <v>0</v>
      </c>
      <c r="K21" s="26">
        <f>SUM(H$17:H21)/H$320</f>
        <v>4.8821729428027656E-5</v>
      </c>
      <c r="L21" s="26"/>
      <c r="M21" s="26"/>
      <c r="N21" s="27">
        <f t="shared" si="4"/>
        <v>1.0841842741123753E-3</v>
      </c>
      <c r="O21" s="27">
        <f t="shared" si="5"/>
        <v>0</v>
      </c>
      <c r="P21" s="26">
        <f t="shared" si="6"/>
        <v>1.0841842741123753E-3</v>
      </c>
      <c r="Q21" s="26">
        <f>IF(N$320=0,0,SUM(N$17:N21)/N$320)</f>
        <v>1.3949163516415174E-4</v>
      </c>
      <c r="R21" s="26">
        <f>IF(O$320=0,0,SUM(O$17:O21)/O$320)</f>
        <v>0</v>
      </c>
      <c r="S21" s="26">
        <f>SUM(P$17:P21)/P$320</f>
        <v>1.3949163516415174E-4</v>
      </c>
    </row>
    <row r="22" spans="1:21" ht="14.1" customHeight="1" x14ac:dyDescent="0.4">
      <c r="A22" s="6">
        <f t="shared" si="0"/>
        <v>6.4562605668122608E-2</v>
      </c>
      <c r="B22" s="25">
        <f t="shared" si="1"/>
        <v>0.5456714323813735</v>
      </c>
      <c r="C22" s="25">
        <f t="shared" si="1"/>
        <v>0</v>
      </c>
      <c r="D22" s="27">
        <f t="shared" si="2"/>
        <v>0.5456714323813735</v>
      </c>
      <c r="E22" s="27"/>
      <c r="F22" s="26">
        <f t="shared" si="3"/>
        <v>1.2358621893850182E-3</v>
      </c>
      <c r="G22" s="26">
        <f t="shared" si="3"/>
        <v>0</v>
      </c>
      <c r="H22" s="26">
        <f t="shared" si="3"/>
        <v>1.2358621893850182E-3</v>
      </c>
      <c r="I22" s="26">
        <f>IF(F$320=0,0,SUM(F$17:F22)/F$320)</f>
        <v>6.1028694835042936E-5</v>
      </c>
      <c r="J22" s="26">
        <f>IF(G$320=0,0,SUM(G$17:G22)/G$320)</f>
        <v>0</v>
      </c>
      <c r="K22" s="26">
        <f>SUM(H$17:H22)/H$320</f>
        <v>6.1028694835042936E-5</v>
      </c>
      <c r="L22" s="26"/>
      <c r="M22" s="26"/>
      <c r="N22" s="27">
        <f t="shared" si="4"/>
        <v>1.1698223233822089E-3</v>
      </c>
      <c r="O22" s="27">
        <f t="shared" si="5"/>
        <v>0</v>
      </c>
      <c r="P22" s="26">
        <f t="shared" si="6"/>
        <v>1.1698223233822089E-3</v>
      </c>
      <c r="Q22" s="26">
        <f>IF(N$320=0,0,SUM(N$17:N22)/N$320)</f>
        <v>1.5124864343934983E-4</v>
      </c>
      <c r="R22" s="26">
        <f>IF(O$320=0,0,SUM(O$17:O22)/O$320)</f>
        <v>0</v>
      </c>
      <c r="S22" s="26">
        <f>SUM(P$17:P22)/P$320</f>
        <v>1.5124864343934983E-4</v>
      </c>
    </row>
    <row r="23" spans="1:21" ht="14.1" customHeight="1" x14ac:dyDescent="0.4">
      <c r="A23" s="6">
        <f t="shared" si="0"/>
        <v>6.6827452453287028E-2</v>
      </c>
      <c r="B23" s="25">
        <f t="shared" si="1"/>
        <v>0.56844762024753248</v>
      </c>
      <c r="C23" s="25">
        <f t="shared" si="1"/>
        <v>0</v>
      </c>
      <c r="D23" s="27">
        <f t="shared" si="2"/>
        <v>0.56844762024753248</v>
      </c>
      <c r="E23" s="27"/>
      <c r="F23" s="26">
        <f t="shared" si="3"/>
        <v>1.332610209898879E-3</v>
      </c>
      <c r="G23" s="26">
        <f t="shared" si="3"/>
        <v>0</v>
      </c>
      <c r="H23" s="26">
        <f t="shared" si="3"/>
        <v>1.332610209898879E-3</v>
      </c>
      <c r="I23" s="26">
        <f>IF(F$320=0,0,SUM(F$17:F23)/F$320)</f>
        <v>7.419126819717948E-5</v>
      </c>
      <c r="J23" s="26">
        <f>IF(G$320=0,0,SUM(G$17:G23)/G$320)</f>
        <v>0</v>
      </c>
      <c r="K23" s="26">
        <f>SUM(H$17:H23)/H$320</f>
        <v>7.419126819717948E-5</v>
      </c>
      <c r="L23" s="26"/>
      <c r="M23" s="26"/>
      <c r="N23" s="27">
        <f t="shared" si="4"/>
        <v>1.2616728870664278E-3</v>
      </c>
      <c r="O23" s="27">
        <f t="shared" si="5"/>
        <v>0</v>
      </c>
      <c r="P23" s="26">
        <f t="shared" si="6"/>
        <v>1.2616728870664278E-3</v>
      </c>
      <c r="Q23" s="26">
        <f>IF(N$320=0,0,SUM(N$17:N23)/N$320)</f>
        <v>1.6392877295760537E-4</v>
      </c>
      <c r="R23" s="26">
        <f>IF(O$320=0,0,SUM(O$17:O23)/O$320)</f>
        <v>0</v>
      </c>
      <c r="S23" s="26">
        <f>SUM(P$17:P23)/P$320</f>
        <v>1.6392877295760537E-4</v>
      </c>
    </row>
    <row r="24" spans="1:21" ht="14.1" customHeight="1" x14ac:dyDescent="0.4">
      <c r="A24" s="6">
        <f t="shared" si="0"/>
        <v>6.917174973316409E-2</v>
      </c>
      <c r="B24" s="25">
        <f t="shared" si="1"/>
        <v>0.59191554475411046</v>
      </c>
      <c r="C24" s="25">
        <f t="shared" si="1"/>
        <v>0</v>
      </c>
      <c r="D24" s="27">
        <f t="shared" si="2"/>
        <v>0.59191554475411046</v>
      </c>
      <c r="E24" s="27"/>
      <c r="F24" s="26">
        <f t="shared" si="3"/>
        <v>1.4363037191186981E-3</v>
      </c>
      <c r="G24" s="26">
        <f t="shared" si="3"/>
        <v>0</v>
      </c>
      <c r="H24" s="26">
        <f t="shared" si="3"/>
        <v>1.4363037191186981E-3</v>
      </c>
      <c r="I24" s="26">
        <f>IF(F$320=0,0,SUM(F$17:F24)/F$320)</f>
        <v>8.8378052099010747E-5</v>
      </c>
      <c r="J24" s="26">
        <f>IF(G$320=0,0,SUM(G$17:G24)/G$320)</f>
        <v>0</v>
      </c>
      <c r="K24" s="26">
        <f>SUM(H$17:H24)/H$320</f>
        <v>8.8378052099010747E-5</v>
      </c>
      <c r="L24" s="26"/>
      <c r="M24" s="26"/>
      <c r="N24" s="27">
        <f t="shared" si="4"/>
        <v>1.3601402751409527E-3</v>
      </c>
      <c r="O24" s="27">
        <f t="shared" si="5"/>
        <v>0</v>
      </c>
      <c r="P24" s="26">
        <f t="shared" si="6"/>
        <v>1.3601402751409527E-3</v>
      </c>
      <c r="Q24" s="26">
        <f>IF(N$320=0,0,SUM(N$17:N24)/N$320)</f>
        <v>1.7759852446655962E-4</v>
      </c>
      <c r="R24" s="26">
        <f>IF(O$320=0,0,SUM(O$17:O24)/O$320)</f>
        <v>0</v>
      </c>
      <c r="S24" s="26">
        <f>SUM(P$17:P24)/P$320</f>
        <v>1.7759852446655962E-4</v>
      </c>
    </row>
    <row r="25" spans="1:21" ht="14.1" customHeight="1" x14ac:dyDescent="0.4">
      <c r="A25" s="6">
        <f t="shared" si="0"/>
        <v>7.1598284619514063E-2</v>
      </c>
      <c r="B25" s="25">
        <f t="shared" si="1"/>
        <v>0.61608281678768284</v>
      </c>
      <c r="C25" s="25">
        <f t="shared" si="1"/>
        <v>0</v>
      </c>
      <c r="D25" s="27">
        <f t="shared" si="2"/>
        <v>0.61608281678768284</v>
      </c>
      <c r="E25" s="27"/>
      <c r="F25" s="26">
        <f t="shared" si="3"/>
        <v>1.5473889510467091E-3</v>
      </c>
      <c r="G25" s="26">
        <f t="shared" si="3"/>
        <v>0</v>
      </c>
      <c r="H25" s="26">
        <f t="shared" si="3"/>
        <v>1.5473889510467091E-3</v>
      </c>
      <c r="I25" s="26">
        <f>IF(F$320=0,0,SUM(F$17:F25)/F$320)</f>
        <v>1.0366205670637253E-4</v>
      </c>
      <c r="J25" s="26">
        <f>IF(G$320=0,0,SUM(G$17:G25)/G$320)</f>
        <v>0</v>
      </c>
      <c r="K25" s="26">
        <f>SUM(H$17:H25)/H$320</f>
        <v>1.0366205670637253E-4</v>
      </c>
      <c r="L25" s="26"/>
      <c r="M25" s="26"/>
      <c r="N25" s="27">
        <f t="shared" si="4"/>
        <v>1.4656514290845332E-3</v>
      </c>
      <c r="O25" s="27">
        <f t="shared" si="5"/>
        <v>0</v>
      </c>
      <c r="P25" s="26">
        <f t="shared" si="6"/>
        <v>1.4656514290845332E-3</v>
      </c>
      <c r="Q25" s="26">
        <f>IF(N$320=0,0,SUM(N$17:N25)/N$320)</f>
        <v>1.9232868958298709E-4</v>
      </c>
      <c r="R25" s="26">
        <f>IF(O$320=0,0,SUM(O$17:O25)/O$320)</f>
        <v>0</v>
      </c>
      <c r="S25" s="26">
        <f>SUM(P$17:P25)/P$320</f>
        <v>1.9232868958298709E-4</v>
      </c>
    </row>
    <row r="26" spans="1:21" ht="14.1" customHeight="1" x14ac:dyDescent="0.4">
      <c r="A26" s="6">
        <f t="shared" si="0"/>
        <v>7.4109941995570985E-2</v>
      </c>
      <c r="B26" s="25">
        <f t="shared" si="1"/>
        <v>0.640956423611309</v>
      </c>
      <c r="C26" s="25">
        <f t="shared" si="1"/>
        <v>0</v>
      </c>
      <c r="D26" s="27">
        <f t="shared" si="2"/>
        <v>0.640956423611309</v>
      </c>
      <c r="E26" s="27"/>
      <c r="F26" s="26">
        <f t="shared" si="3"/>
        <v>1.6663366857184393E-3</v>
      </c>
      <c r="G26" s="26">
        <f t="shared" si="3"/>
        <v>0</v>
      </c>
      <c r="H26" s="26">
        <f t="shared" si="3"/>
        <v>1.6663366857184393E-3</v>
      </c>
      <c r="I26" s="26">
        <f>IF(F$320=0,0,SUM(F$17:F26)/F$320)</f>
        <v>1.2012094221457583E-4</v>
      </c>
      <c r="J26" s="26">
        <f>IF(G$320=0,0,SUM(G$17:G26)/G$320)</f>
        <v>0</v>
      </c>
      <c r="K26" s="26">
        <f>SUM(H$17:H26)/H$320</f>
        <v>1.2012094221457583E-4</v>
      </c>
      <c r="L26" s="26"/>
      <c r="M26" s="26"/>
      <c r="N26" s="27">
        <f t="shared" si="4"/>
        <v>1.5786569124891421E-3</v>
      </c>
      <c r="O26" s="27">
        <f t="shared" si="5"/>
        <v>0</v>
      </c>
      <c r="P26" s="26">
        <f t="shared" si="6"/>
        <v>1.5786569124891421E-3</v>
      </c>
      <c r="Q26" s="26">
        <f>IF(N$320=0,0,SUM(N$17:N26)/N$320)</f>
        <v>2.0819458820096841E-4</v>
      </c>
      <c r="R26" s="26">
        <f>IF(O$320=0,0,SUM(O$17:O26)/O$320)</f>
        <v>0</v>
      </c>
      <c r="S26" s="26">
        <f>SUM(P$17:P26)/P$320</f>
        <v>2.0819458820096841E-4</v>
      </c>
    </row>
    <row r="27" spans="1:21" ht="14.1" customHeight="1" x14ac:dyDescent="0.4">
      <c r="A27" s="6">
        <f t="shared" si="0"/>
        <v>7.6709707945851788E-2</v>
      </c>
      <c r="B27" s="25">
        <f t="shared" si="1"/>
        <v>0.66654269093894958</v>
      </c>
      <c r="C27" s="25">
        <f t="shared" si="1"/>
        <v>0</v>
      </c>
      <c r="D27" s="27">
        <f t="shared" si="2"/>
        <v>0.66654269093894958</v>
      </c>
      <c r="E27" s="27"/>
      <c r="F27" s="26">
        <f t="shared" si="3"/>
        <v>1.7936432925649995E-3</v>
      </c>
      <c r="G27" s="26">
        <f t="shared" si="3"/>
        <v>0</v>
      </c>
      <c r="H27" s="26">
        <f t="shared" si="3"/>
        <v>1.7936432925649995E-3</v>
      </c>
      <c r="I27" s="26">
        <f>IF(F$320=0,0,SUM(F$17:F27)/F$320)</f>
        <v>1.3783727160220855E-4</v>
      </c>
      <c r="J27" s="26">
        <f>IF(G$320=0,0,SUM(G$17:G27)/G$320)</f>
        <v>0</v>
      </c>
      <c r="K27" s="26">
        <f>SUM(H$17:H27)/H$320</f>
        <v>1.3783727160220855E-4</v>
      </c>
      <c r="L27" s="26"/>
      <c r="M27" s="26"/>
      <c r="N27" s="27">
        <f t="shared" si="4"/>
        <v>1.6996319251185409E-3</v>
      </c>
      <c r="O27" s="27">
        <f t="shared" si="5"/>
        <v>0</v>
      </c>
      <c r="P27" s="26">
        <f t="shared" si="6"/>
        <v>1.6996319251185409E-3</v>
      </c>
      <c r="Q27" s="26">
        <f>IF(N$320=0,0,SUM(N$17:N27)/N$320)</f>
        <v>2.2527631609160699E-4</v>
      </c>
      <c r="R27" s="26">
        <f>IF(O$320=0,0,SUM(O$17:O27)/O$320)</f>
        <v>0</v>
      </c>
      <c r="S27" s="26">
        <f>SUM(P$17:P27)/P$320</f>
        <v>2.2527631609160699E-4</v>
      </c>
    </row>
    <row r="28" spans="1:21" x14ac:dyDescent="0.4">
      <c r="A28" s="6">
        <f t="shared" si="0"/>
        <v>7.9400673306282518E-2</v>
      </c>
      <c r="B28" s="25">
        <f t="shared" si="1"/>
        <v>0.69284724494557703</v>
      </c>
      <c r="C28" s="25">
        <f t="shared" si="1"/>
        <v>0</v>
      </c>
      <c r="D28" s="27">
        <f t="shared" si="2"/>
        <v>0.69284724494557703</v>
      </c>
      <c r="E28" s="27"/>
      <c r="F28" s="26">
        <f t="shared" si="3"/>
        <v>1.929831796143464E-3</v>
      </c>
      <c r="G28" s="26">
        <f t="shared" si="3"/>
        <v>0</v>
      </c>
      <c r="H28" s="26">
        <f t="shared" si="3"/>
        <v>1.929831796143464E-3</v>
      </c>
      <c r="I28" s="26">
        <f>IF(F$320=0,0,SUM(F$17:F28)/F$320)</f>
        <v>1.5689877391146192E-4</v>
      </c>
      <c r="J28" s="26">
        <f>IF(G$320=0,0,SUM(G$17:G28)/G$320)</f>
        <v>0</v>
      </c>
      <c r="K28" s="26">
        <f>SUM(H$17:H28)/H$320</f>
        <v>1.5689877391146192E-4</v>
      </c>
      <c r="L28" s="26"/>
      <c r="M28" s="26"/>
      <c r="N28" s="27">
        <f t="shared" si="4"/>
        <v>1.8290773394699048E-3</v>
      </c>
      <c r="O28" s="27">
        <f t="shared" si="5"/>
        <v>0</v>
      </c>
      <c r="P28" s="26">
        <f t="shared" si="6"/>
        <v>1.8290773394699048E-3</v>
      </c>
      <c r="Q28" s="26">
        <f>IF(N$320=0,0,SUM(N$17:N28)/N$320)</f>
        <v>2.4365900292045022E-4</v>
      </c>
      <c r="R28" s="26">
        <f>IF(O$320=0,0,SUM(O$17:O28)/O$320)</f>
        <v>0</v>
      </c>
      <c r="S28" s="26">
        <f>SUM(P$17:P28)/P$320</f>
        <v>2.4365900292045022E-4</v>
      </c>
    </row>
    <row r="29" spans="1:21" x14ac:dyDescent="0.4">
      <c r="A29" s="6">
        <f t="shared" si="0"/>
        <v>8.2186037338862386E-2</v>
      </c>
      <c r="B29" s="25">
        <f t="shared" si="1"/>
        <v>0.71987497431205472</v>
      </c>
      <c r="C29" s="25">
        <f t="shared" si="1"/>
        <v>0</v>
      </c>
      <c r="D29" s="27">
        <f t="shared" si="2"/>
        <v>0.71987497431205472</v>
      </c>
      <c r="E29" s="27"/>
      <c r="F29" s="26">
        <f t="shared" si="3"/>
        <v>2.0754529630532719E-3</v>
      </c>
      <c r="G29" s="26">
        <f t="shared" si="3"/>
        <v>0</v>
      </c>
      <c r="H29" s="26">
        <f t="shared" si="3"/>
        <v>2.0754529630532719E-3</v>
      </c>
      <c r="I29" s="26">
        <f>IF(F$320=0,0,SUM(F$17:F29)/F$320)</f>
        <v>1.7739861826424178E-4</v>
      </c>
      <c r="J29" s="26">
        <f>IF(G$320=0,0,SUM(G$17:G29)/G$320)</f>
        <v>0</v>
      </c>
      <c r="K29" s="26">
        <f>SUM(H$17:H29)/H$320</f>
        <v>1.7739861826424178E-4</v>
      </c>
      <c r="L29" s="26"/>
      <c r="M29" s="26"/>
      <c r="N29" s="27">
        <f t="shared" si="4"/>
        <v>1.9675207587516543E-3</v>
      </c>
      <c r="O29" s="27">
        <f t="shared" si="5"/>
        <v>0</v>
      </c>
      <c r="P29" s="26">
        <f t="shared" si="6"/>
        <v>1.9675207587516543E-3</v>
      </c>
      <c r="Q29" s="26">
        <f>IF(N$320=0,0,SUM(N$17:N29)/N$320)</f>
        <v>2.6343308089785377E-4</v>
      </c>
      <c r="R29" s="26">
        <f>IF(O$320=0,0,SUM(O$17:O29)/O$320)</f>
        <v>0</v>
      </c>
      <c r="S29" s="26">
        <f>SUM(P$17:P29)/P$320</f>
        <v>2.6343308089785377E-4</v>
      </c>
    </row>
    <row r="30" spans="1:21" x14ac:dyDescent="0.4">
      <c r="A30" s="6">
        <f t="shared" si="0"/>
        <v>8.5069111535234707E-2</v>
      </c>
      <c r="B30" s="25">
        <f t="shared" si="1"/>
        <v>0.74762999240766514</v>
      </c>
      <c r="C30" s="25">
        <f t="shared" si="1"/>
        <v>0</v>
      </c>
      <c r="D30" s="27">
        <f t="shared" si="2"/>
        <v>0.74762999240766514</v>
      </c>
      <c r="E30" s="27"/>
      <c r="F30" s="26">
        <f t="shared" si="3"/>
        <v>2.2310864086979377E-3</v>
      </c>
      <c r="G30" s="26">
        <f t="shared" si="3"/>
        <v>0</v>
      </c>
      <c r="H30" s="26">
        <f t="shared" si="3"/>
        <v>2.2310864086979377E-3</v>
      </c>
      <c r="I30" s="26">
        <f>IF(F$320=0,0,SUM(F$17:F30)/F$320)</f>
        <v>1.9943569881008329E-4</v>
      </c>
      <c r="J30" s="26">
        <f>IF(G$320=0,0,SUM(G$17:G30)/G$320)</f>
        <v>0</v>
      </c>
      <c r="K30" s="26">
        <f>SUM(H$17:H30)/H$320</f>
        <v>1.9943569881008329E-4</v>
      </c>
      <c r="L30" s="26"/>
      <c r="M30" s="26"/>
      <c r="N30" s="27">
        <f t="shared" si="4"/>
        <v>2.1155175950396637E-3</v>
      </c>
      <c r="O30" s="27">
        <f t="shared" si="5"/>
        <v>0</v>
      </c>
      <c r="P30" s="26">
        <f t="shared" si="6"/>
        <v>2.1155175950396637E-3</v>
      </c>
      <c r="Q30" s="26">
        <f>IF(N$320=0,0,SUM(N$17:N30)/N$320)</f>
        <v>2.8469456426508658E-4</v>
      </c>
      <c r="R30" s="26">
        <f>IF(O$320=0,0,SUM(O$17:O30)/O$320)</f>
        <v>0</v>
      </c>
      <c r="S30" s="26">
        <f>SUM(P$17:P30)/P$320</f>
        <v>2.8469456426508658E-4</v>
      </c>
    </row>
    <row r="31" spans="1:21" x14ac:dyDescent="0.4">
      <c r="A31" s="6">
        <f t="shared" si="0"/>
        <v>8.8053323553686447E-2</v>
      </c>
      <c r="B31" s="25">
        <f t="shared" si="1"/>
        <v>0.77611559971686572</v>
      </c>
      <c r="C31" s="25">
        <f t="shared" si="1"/>
        <v>0</v>
      </c>
      <c r="D31" s="27">
        <f t="shared" si="2"/>
        <v>0.77611559971686572</v>
      </c>
      <c r="E31" s="27"/>
      <c r="F31" s="26">
        <f t="shared" si="3"/>
        <v>2.3973417223869995E-3</v>
      </c>
      <c r="G31" s="26">
        <f t="shared" si="3"/>
        <v>0</v>
      </c>
      <c r="H31" s="26">
        <f t="shared" si="3"/>
        <v>2.3973417223869995E-3</v>
      </c>
      <c r="I31" s="26">
        <f>IF(F$320=0,0,SUM(F$17:F31)/F$320)</f>
        <v>2.2311493078701981E-4</v>
      </c>
      <c r="J31" s="26">
        <f>IF(G$320=0,0,SUM(G$17:G31)/G$320)</f>
        <v>0</v>
      </c>
      <c r="K31" s="26">
        <f>SUM(H$17:H31)/H$320</f>
        <v>2.2311493078701981E-4</v>
      </c>
      <c r="L31" s="26"/>
      <c r="M31" s="26"/>
      <c r="N31" s="27">
        <f t="shared" si="4"/>
        <v>2.2736521662108508E-3</v>
      </c>
      <c r="O31" s="27">
        <f t="shared" si="5"/>
        <v>0</v>
      </c>
      <c r="P31" s="26">
        <f t="shared" si="6"/>
        <v>2.2736521662108508E-3</v>
      </c>
      <c r="Q31" s="26">
        <f>IF(N$320=0,0,SUM(N$17:N31)/N$320)</f>
        <v>3.0754533980489413E-4</v>
      </c>
      <c r="R31" s="26">
        <f>IF(O$320=0,0,SUM(O$17:O31)/O$320)</f>
        <v>0</v>
      </c>
      <c r="S31" s="26">
        <f>SUM(P$17:P31)/P$320</f>
        <v>3.0754533980489413E-4</v>
      </c>
    </row>
    <row r="32" spans="1:21" x14ac:dyDescent="0.4">
      <c r="A32" s="6">
        <f t="shared" si="0"/>
        <v>9.1142221294257017E-2</v>
      </c>
      <c r="B32" s="25">
        <f t="shared" si="1"/>
        <v>0.80533424662027397</v>
      </c>
      <c r="C32" s="25">
        <f t="shared" si="1"/>
        <v>0</v>
      </c>
      <c r="D32" s="27">
        <f t="shared" si="2"/>
        <v>0.80533424662027397</v>
      </c>
      <c r="E32" s="27"/>
      <c r="F32" s="26">
        <f t="shared" si="3"/>
        <v>2.5748596091010817E-3</v>
      </c>
      <c r="G32" s="26">
        <f t="shared" si="3"/>
        <v>0</v>
      </c>
      <c r="H32" s="26">
        <f t="shared" si="3"/>
        <v>2.5748596091010817E-3</v>
      </c>
      <c r="I32" s="26">
        <f>IF(F$320=0,0,SUM(F$17:F32)/F$320)</f>
        <v>2.4854755785999334E-4</v>
      </c>
      <c r="J32" s="26">
        <f>IF(G$320=0,0,SUM(G$17:G32)/G$320)</f>
        <v>0</v>
      </c>
      <c r="K32" s="26">
        <f>SUM(H$17:H32)/H$320</f>
        <v>2.4854755785999334E-4</v>
      </c>
      <c r="L32" s="26"/>
      <c r="M32" s="26"/>
      <c r="N32" s="27">
        <f t="shared" si="4"/>
        <v>2.4425388100949934E-3</v>
      </c>
      <c r="O32" s="27">
        <f t="shared" si="5"/>
        <v>0</v>
      </c>
      <c r="P32" s="26">
        <f t="shared" si="6"/>
        <v>2.4425388100949934E-3</v>
      </c>
      <c r="Q32" s="26">
        <f>IF(N$320=0,0,SUM(N$17:N32)/N$320)</f>
        <v>3.3209346854956736E-4</v>
      </c>
      <c r="R32" s="26">
        <f>IF(O$320=0,0,SUM(O$17:O32)/O$320)</f>
        <v>0</v>
      </c>
      <c r="S32" s="26">
        <f>SUM(P$17:P32)/P$320</f>
        <v>3.3209346854956736E-4</v>
      </c>
    </row>
    <row r="33" spans="1:19" x14ac:dyDescent="0.4">
      <c r="A33" s="6">
        <f t="shared" si="0"/>
        <v>9.4339477116801421E-2</v>
      </c>
      <c r="B33" s="25">
        <f t="shared" si="1"/>
        <v>0.83528749664299695</v>
      </c>
      <c r="C33" s="25">
        <f t="shared" si="1"/>
        <v>0</v>
      </c>
      <c r="D33" s="27">
        <f t="shared" si="2"/>
        <v>0.83528749664299695</v>
      </c>
      <c r="E33" s="27"/>
      <c r="F33" s="26">
        <f t="shared" si="3"/>
        <v>2.7643130460633558E-3</v>
      </c>
      <c r="G33" s="26">
        <f t="shared" si="3"/>
        <v>0</v>
      </c>
      <c r="H33" s="26">
        <f t="shared" si="3"/>
        <v>2.7643130460633558E-3</v>
      </c>
      <c r="I33" s="26">
        <f>IF(F$320=0,0,SUM(F$17:F33)/F$320)</f>
        <v>2.7585147088305284E-4</v>
      </c>
      <c r="J33" s="26">
        <f>IF(G$320=0,0,SUM(G$17:G33)/G$320)</f>
        <v>0</v>
      </c>
      <c r="K33" s="26">
        <f>SUM(H$17:H33)/H$320</f>
        <v>2.7585147088305284E-4</v>
      </c>
      <c r="L33" s="26"/>
      <c r="M33" s="26"/>
      <c r="N33" s="27">
        <f t="shared" si="4"/>
        <v>2.6228230141051717E-3</v>
      </c>
      <c r="O33" s="27">
        <f t="shared" si="5"/>
        <v>0</v>
      </c>
      <c r="P33" s="26">
        <f t="shared" si="6"/>
        <v>2.6228230141051717E-3</v>
      </c>
      <c r="Q33" s="26">
        <f>IF(N$320=0,0,SUM(N$17:N33)/N$320)</f>
        <v>3.5845349884208163E-4</v>
      </c>
      <c r="R33" s="26">
        <f>IF(O$320=0,0,SUM(O$17:O33)/O$320)</f>
        <v>0</v>
      </c>
      <c r="S33" s="26">
        <f>SUM(P$17:P33)/P$320</f>
        <v>3.5845349884208163E-4</v>
      </c>
    </row>
    <row r="34" spans="1:19" x14ac:dyDescent="0.4">
      <c r="A34" s="6">
        <f t="shared" si="0"/>
        <v>9.7648892207022539E-2</v>
      </c>
      <c r="B34" s="25">
        <f t="shared" ref="B34:C49" si="7">C$4*EXP(-0.5*(LN($A34)-LN(C$5))^2/(LN(C$6))^2)/($A34*SQRT(2*PI())*LN(C$6))</f>
        <v>0.86597599028635586</v>
      </c>
      <c r="C34" s="25">
        <f t="shared" si="7"/>
        <v>0</v>
      </c>
      <c r="D34" s="27">
        <f t="shared" si="2"/>
        <v>0.86597599028635586</v>
      </c>
      <c r="E34" s="27"/>
      <c r="F34" s="26">
        <f t="shared" si="3"/>
        <v>2.9664084520751133E-3</v>
      </c>
      <c r="G34" s="26">
        <f t="shared" si="3"/>
        <v>0</v>
      </c>
      <c r="H34" s="26">
        <f t="shared" si="3"/>
        <v>2.9664084520751133E-3</v>
      </c>
      <c r="I34" s="26">
        <f>IF(F$320=0,0,SUM(F$17:F34)/F$320)</f>
        <v>3.0515153821141546E-4</v>
      </c>
      <c r="J34" s="26">
        <f>IF(G$320=0,0,SUM(G$17:G34)/G$320)</f>
        <v>0</v>
      </c>
      <c r="K34" s="26">
        <f>SUM(H$17:H34)/H$320</f>
        <v>3.0515153821141546E-4</v>
      </c>
      <c r="L34" s="26"/>
      <c r="M34" s="26"/>
      <c r="N34" s="27">
        <f t="shared" si="4"/>
        <v>2.8151825584326728E-3</v>
      </c>
      <c r="O34" s="27">
        <f t="shared" si="5"/>
        <v>0</v>
      </c>
      <c r="P34" s="26">
        <f t="shared" si="6"/>
        <v>2.8151825584326728E-3</v>
      </c>
      <c r="Q34" s="26">
        <f>IF(N$320=0,0,SUM(N$17:N34)/N$320)</f>
        <v>3.8674679088663113E-4</v>
      </c>
      <c r="R34" s="26">
        <f>IF(O$320=0,0,SUM(O$17:O34)/O$320)</f>
        <v>0</v>
      </c>
      <c r="S34" s="26">
        <f>SUM(P$17:P34)/P$320</f>
        <v>3.8674679088663113E-4</v>
      </c>
    </row>
    <row r="35" spans="1:19" x14ac:dyDescent="0.4">
      <c r="A35" s="6">
        <f t="shared" si="0"/>
        <v>0.10107440109566297</v>
      </c>
      <c r="B35" s="25">
        <f t="shared" si="7"/>
        <v>0.89739940956159492</v>
      </c>
      <c r="C35" s="25">
        <f t="shared" si="7"/>
        <v>0</v>
      </c>
      <c r="D35" s="27">
        <f t="shared" si="2"/>
        <v>0.89739940956159492</v>
      </c>
      <c r="E35" s="27"/>
      <c r="F35" s="26">
        <f t="shared" si="3"/>
        <v>3.1818868673816883E-3</v>
      </c>
      <c r="G35" s="26">
        <f t="shared" si="3"/>
        <v>0</v>
      </c>
      <c r="H35" s="26">
        <f t="shared" si="3"/>
        <v>3.1818868673816883E-3</v>
      </c>
      <c r="I35" s="26">
        <f>IF(F$320=0,0,SUM(F$17:F35)/F$320)</f>
        <v>3.3657994766740212E-4</v>
      </c>
      <c r="J35" s="26">
        <f>IF(G$320=0,0,SUM(G$17:G35)/G$320)</f>
        <v>0</v>
      </c>
      <c r="K35" s="26">
        <f>SUM(H$17:H35)/H$320</f>
        <v>3.3657994766740212E-4</v>
      </c>
      <c r="L35" s="26"/>
      <c r="M35" s="26"/>
      <c r="N35" s="27">
        <f t="shared" si="4"/>
        <v>3.0203286707065503E-3</v>
      </c>
      <c r="O35" s="27">
        <f t="shared" si="5"/>
        <v>0</v>
      </c>
      <c r="P35" s="26">
        <f t="shared" si="6"/>
        <v>3.0203286707065503E-3</v>
      </c>
      <c r="Q35" s="26">
        <f>IF(N$320=0,0,SUM(N$17:N35)/N$320)</f>
        <v>4.1710185290378234E-4</v>
      </c>
      <c r="R35" s="26">
        <f>IF(O$320=0,0,SUM(O$17:O35)/O$320)</f>
        <v>0</v>
      </c>
      <c r="S35" s="26">
        <f>SUM(P$17:P35)/P$320</f>
        <v>4.1710185290378234E-4</v>
      </c>
    </row>
    <row r="36" spans="1:19" x14ac:dyDescent="0.4">
      <c r="A36" s="6">
        <f t="shared" si="0"/>
        <v>0.10462007633622963</v>
      </c>
      <c r="B36" s="25">
        <f t="shared" si="7"/>
        <v>0.92955644334641507</v>
      </c>
      <c r="C36" s="25">
        <f t="shared" si="7"/>
        <v>0</v>
      </c>
      <c r="D36" s="27">
        <f t="shared" si="2"/>
        <v>0.92955644334641507</v>
      </c>
      <c r="E36" s="27"/>
      <c r="F36" s="26">
        <f t="shared" si="3"/>
        <v>3.4115251416356428E-3</v>
      </c>
      <c r="G36" s="26">
        <f t="shared" si="3"/>
        <v>0</v>
      </c>
      <c r="H36" s="26">
        <f t="shared" si="3"/>
        <v>3.4115251416356428E-3</v>
      </c>
      <c r="I36" s="26">
        <f>IF(F$320=0,0,SUM(F$17:F36)/F$320)</f>
        <v>3.7027656024022623E-4</v>
      </c>
      <c r="J36" s="26">
        <f>IF(G$320=0,0,SUM(G$17:G36)/G$320)</f>
        <v>0</v>
      </c>
      <c r="K36" s="26">
        <f>SUM(H$17:H36)/H$320</f>
        <v>3.7027656024022623E-4</v>
      </c>
      <c r="L36" s="26"/>
      <c r="M36" s="26"/>
      <c r="N36" s="27">
        <f t="shared" si="4"/>
        <v>3.2390071898229645E-3</v>
      </c>
      <c r="O36" s="27">
        <f t="shared" si="5"/>
        <v>0</v>
      </c>
      <c r="P36" s="26">
        <f t="shared" si="6"/>
        <v>3.2390071898229645E-3</v>
      </c>
      <c r="Q36" s="26">
        <f>IF(N$320=0,0,SUM(N$17:N36)/N$320)</f>
        <v>4.4965468898240505E-4</v>
      </c>
      <c r="R36" s="26">
        <f>IF(O$320=0,0,SUM(O$17:O36)/O$320)</f>
        <v>0</v>
      </c>
      <c r="S36" s="26">
        <f>SUM(P$17:P36)/P$320</f>
        <v>4.4965468898240505E-4</v>
      </c>
    </row>
    <row r="37" spans="1:19" x14ac:dyDescent="0.4">
      <c r="A37" s="6">
        <f t="shared" si="0"/>
        <v>0.10829013334681213</v>
      </c>
      <c r="B37" s="25">
        <f t="shared" si="7"/>
        <v>0.96244475368708815</v>
      </c>
      <c r="C37" s="25">
        <f t="shared" si="7"/>
        <v>0</v>
      </c>
      <c r="D37" s="27">
        <f t="shared" si="2"/>
        <v>0.96244475368708815</v>
      </c>
      <c r="E37" s="27"/>
      <c r="F37" s="26">
        <f t="shared" si="3"/>
        <v>3.6561371273209622E-3</v>
      </c>
      <c r="G37" s="26">
        <f t="shared" si="3"/>
        <v>0</v>
      </c>
      <c r="H37" s="26">
        <f t="shared" si="3"/>
        <v>3.6561371273209622E-3</v>
      </c>
      <c r="I37" s="26">
        <f>IF(F$320=0,0,SUM(F$17:F37)/F$320)</f>
        <v>4.0638927557357568E-4</v>
      </c>
      <c r="J37" s="26">
        <f>IF(G$320=0,0,SUM(G$17:G37)/G$320)</f>
        <v>0</v>
      </c>
      <c r="K37" s="26">
        <f>SUM(H$17:H37)/H$320</f>
        <v>4.0638927557357568E-4</v>
      </c>
      <c r="L37" s="26"/>
      <c r="M37" s="26"/>
      <c r="N37" s="27">
        <f t="shared" si="4"/>
        <v>3.4719997364535092E-3</v>
      </c>
      <c r="O37" s="27">
        <f t="shared" si="5"/>
        <v>0</v>
      </c>
      <c r="P37" s="26">
        <f t="shared" si="6"/>
        <v>3.4719997364535092E-3</v>
      </c>
      <c r="Q37" s="26">
        <f>IF(N$320=0,0,SUM(N$17:N37)/N$320)</f>
        <v>4.845491586955056E-4</v>
      </c>
      <c r="R37" s="26">
        <f>IF(O$320=0,0,SUM(O$17:O37)/O$320)</f>
        <v>0</v>
      </c>
      <c r="S37" s="26">
        <f>SUM(P$17:P37)/P$320</f>
        <v>4.845491586955056E-4</v>
      </c>
    </row>
    <row r="38" spans="1:19" x14ac:dyDescent="0.4">
      <c r="A38" s="6">
        <f t="shared" si="0"/>
        <v>0.11208893542175144</v>
      </c>
      <c r="B38" s="25">
        <f t="shared" si="7"/>
        <v>0.99606094317043981</v>
      </c>
      <c r="C38" s="25">
        <f t="shared" si="7"/>
        <v>0</v>
      </c>
      <c r="D38" s="27">
        <f t="shared" si="2"/>
        <v>0.99606094317043981</v>
      </c>
      <c r="E38" s="27"/>
      <c r="F38" s="26">
        <f t="shared" si="3"/>
        <v>3.9165748757923622E-3</v>
      </c>
      <c r="G38" s="26">
        <f t="shared" si="3"/>
        <v>0</v>
      </c>
      <c r="H38" s="26">
        <f t="shared" si="3"/>
        <v>3.9165748757923622E-3</v>
      </c>
      <c r="I38" s="26">
        <f>IF(F$320=0,0,SUM(F$17:F38)/F$320)</f>
        <v>4.4507440926681797E-4</v>
      </c>
      <c r="J38" s="26">
        <f>IF(G$320=0,0,SUM(G$17:G38)/G$320)</f>
        <v>0</v>
      </c>
      <c r="K38" s="26">
        <f>SUM(H$17:H38)/H$320</f>
        <v>4.4507440926681797E-4</v>
      </c>
      <c r="L38" s="26"/>
      <c r="M38" s="26"/>
      <c r="N38" s="27">
        <f t="shared" si="4"/>
        <v>3.7201248875428404E-3</v>
      </c>
      <c r="O38" s="27">
        <f t="shared" si="5"/>
        <v>0</v>
      </c>
      <c r="P38" s="26">
        <f t="shared" si="6"/>
        <v>3.7201248875428404E-3</v>
      </c>
      <c r="Q38" s="26">
        <f>IF(N$320=0,0,SUM(N$17:N38)/N$320)</f>
        <v>5.2193734852005677E-4</v>
      </c>
      <c r="R38" s="26">
        <f>IF(O$320=0,0,SUM(O$17:O38)/O$320)</f>
        <v>0</v>
      </c>
      <c r="S38" s="26">
        <f>SUM(P$17:P38)/P$320</f>
        <v>5.2193734852005677E-4</v>
      </c>
    </row>
    <row r="39" spans="1:19" x14ac:dyDescent="0.4">
      <c r="A39" s="6">
        <f t="shared" si="0"/>
        <v>0.11602099891911737</v>
      </c>
      <c r="B39" s="25">
        <f t="shared" si="7"/>
        <v>1.0304005234911267</v>
      </c>
      <c r="C39" s="25">
        <f t="shared" si="7"/>
        <v>0</v>
      </c>
      <c r="D39" s="27">
        <f t="shared" si="2"/>
        <v>1.0304005234911267</v>
      </c>
      <c r="E39" s="27"/>
      <c r="F39" s="26">
        <f t="shared" si="3"/>
        <v>4.1937298328688071E-3</v>
      </c>
      <c r="G39" s="26">
        <f t="shared" si="3"/>
        <v>0</v>
      </c>
      <c r="H39" s="26">
        <f t="shared" si="3"/>
        <v>4.1937298328688071E-3</v>
      </c>
      <c r="I39" s="26">
        <f>IF(F$320=0,0,SUM(F$17:F39)/F$320)</f>
        <v>4.8649708198542562E-4</v>
      </c>
      <c r="J39" s="26">
        <f>IF(G$320=0,0,SUM(G$17:G39)/G$320)</f>
        <v>0</v>
      </c>
      <c r="K39" s="26">
        <f>SUM(H$17:H39)/H$320</f>
        <v>4.8649708198542562E-4</v>
      </c>
      <c r="L39" s="26"/>
      <c r="M39" s="26"/>
      <c r="N39" s="27">
        <f t="shared" si="4"/>
        <v>3.9842393518858561E-3</v>
      </c>
      <c r="O39" s="27">
        <f t="shared" si="5"/>
        <v>0</v>
      </c>
      <c r="P39" s="26">
        <f t="shared" si="6"/>
        <v>3.9842393518858561E-3</v>
      </c>
      <c r="Q39" s="26">
        <f>IF(N$320=0,0,SUM(N$17:N39)/N$320)</f>
        <v>5.6197995507167333E-4</v>
      </c>
      <c r="R39" s="26">
        <f>IF(O$320=0,0,SUM(O$17:O39)/O$320)</f>
        <v>0</v>
      </c>
      <c r="S39" s="26">
        <f>SUM(P$17:P39)/P$320</f>
        <v>5.6197995507167333E-4</v>
      </c>
    </row>
    <row r="40" spans="1:19" x14ac:dyDescent="0.4">
      <c r="A40" s="6">
        <f t="shared" si="0"/>
        <v>0.12009099863016169</v>
      </c>
      <c r="B40" s="25">
        <f t="shared" si="7"/>
        <v>1.0654578853403807</v>
      </c>
      <c r="C40" s="25">
        <f t="shared" si="7"/>
        <v>0</v>
      </c>
      <c r="D40" s="27">
        <f t="shared" si="2"/>
        <v>1.0654578853403807</v>
      </c>
      <c r="E40" s="27"/>
      <c r="F40" s="26">
        <f t="shared" si="3"/>
        <v>4.4885340307030761E-3</v>
      </c>
      <c r="G40" s="26">
        <f t="shared" si="3"/>
        <v>0</v>
      </c>
      <c r="H40" s="26">
        <f t="shared" si="3"/>
        <v>4.4885340307030761E-3</v>
      </c>
      <c r="I40" s="26">
        <f>IF(F$320=0,0,SUM(F$17:F40)/F$320)</f>
        <v>5.3083162034383939E-4</v>
      </c>
      <c r="J40" s="26">
        <f>IF(G$320=0,0,SUM(G$17:G40)/G$320)</f>
        <v>0</v>
      </c>
      <c r="K40" s="26">
        <f>SUM(H$17:H40)/H$320</f>
        <v>5.3083162034383939E-4</v>
      </c>
      <c r="L40" s="26"/>
      <c r="M40" s="26"/>
      <c r="N40" s="27">
        <f t="shared" si="4"/>
        <v>4.2652391436774177E-3</v>
      </c>
      <c r="O40" s="27">
        <f t="shared" si="5"/>
        <v>0</v>
      </c>
      <c r="P40" s="26">
        <f t="shared" si="6"/>
        <v>4.2652391436774177E-3</v>
      </c>
      <c r="Q40" s="26">
        <f>IF(N$320=0,0,SUM(N$17:N40)/N$320)</f>
        <v>6.0484668013375783E-4</v>
      </c>
      <c r="R40" s="26">
        <f>IF(O$320=0,0,SUM(O$17:O40)/O$320)</f>
        <v>0</v>
      </c>
      <c r="S40" s="26">
        <f>SUM(P$17:P40)/P$320</f>
        <v>6.0484668013375783E-4</v>
      </c>
    </row>
    <row r="41" spans="1:19" x14ac:dyDescent="0.4">
      <c r="A41" s="6">
        <f t="shared" si="0"/>
        <v>0.12430377333713111</v>
      </c>
      <c r="B41" s="25">
        <f t="shared" si="7"/>
        <v>1.1012262697427355</v>
      </c>
      <c r="C41" s="25">
        <f t="shared" si="7"/>
        <v>0</v>
      </c>
      <c r="D41" s="27">
        <f t="shared" si="2"/>
        <v>1.1012262697427355</v>
      </c>
      <c r="E41" s="27"/>
      <c r="F41" s="26">
        <f t="shared" si="3"/>
        <v>4.8019612724254437E-3</v>
      </c>
      <c r="G41" s="26">
        <f t="shared" si="3"/>
        <v>0</v>
      </c>
      <c r="H41" s="26">
        <f t="shared" si="3"/>
        <v>4.8019612724254437E-3</v>
      </c>
      <c r="I41" s="26">
        <f>IF(F$320=0,0,SUM(F$17:F41)/F$320)</f>
        <v>5.782619694893968E-4</v>
      </c>
      <c r="J41" s="26">
        <f>IF(G$320=0,0,SUM(G$17:G41)/G$320)</f>
        <v>0</v>
      </c>
      <c r="K41" s="26">
        <f>SUM(H$17:H41)/H$320</f>
        <v>5.782619694893968E-4</v>
      </c>
      <c r="L41" s="26"/>
      <c r="M41" s="26"/>
      <c r="N41" s="27">
        <f t="shared" si="4"/>
        <v>4.5640607506978858E-3</v>
      </c>
      <c r="O41" s="27">
        <f t="shared" si="5"/>
        <v>0</v>
      </c>
      <c r="P41" s="26">
        <f t="shared" si="6"/>
        <v>4.5640607506978858E-3</v>
      </c>
      <c r="Q41" s="26">
        <f>IF(N$320=0,0,SUM(N$17:N41)/N$320)</f>
        <v>6.5071663742720398E-4</v>
      </c>
      <c r="R41" s="26">
        <f>IF(O$320=0,0,SUM(O$17:O41)/O$320)</f>
        <v>0</v>
      </c>
      <c r="S41" s="26">
        <f>SUM(P$17:P41)/P$320</f>
        <v>6.5071663742720398E-4</v>
      </c>
    </row>
    <row r="42" spans="1:19" x14ac:dyDescent="0.4">
      <c r="A42" s="6">
        <f t="shared" si="0"/>
        <v>0.12866433156604737</v>
      </c>
      <c r="B42" s="25">
        <f t="shared" si="7"/>
        <v>1.1376977409670872</v>
      </c>
      <c r="C42" s="25">
        <f t="shared" si="7"/>
        <v>0</v>
      </c>
      <c r="D42" s="27">
        <f t="shared" si="2"/>
        <v>1.1376977409670872</v>
      </c>
      <c r="E42" s="27"/>
      <c r="F42" s="26">
        <f t="shared" si="3"/>
        <v>5.1350283058346057E-3</v>
      </c>
      <c r="G42" s="26">
        <f t="shared" si="3"/>
        <v>0</v>
      </c>
      <c r="H42" s="26">
        <f t="shared" si="3"/>
        <v>5.1350283058346057E-3</v>
      </c>
      <c r="I42" s="26">
        <f>IF(F$320=0,0,SUM(F$17:F42)/F$320)</f>
        <v>6.2898211727914293E-4</v>
      </c>
      <c r="J42" s="26">
        <f>IF(G$320=0,0,SUM(G$17:G42)/G$320)</f>
        <v>0</v>
      </c>
      <c r="K42" s="26">
        <f>SUM(H$17:H42)/H$320</f>
        <v>6.2898211727914293E-4</v>
      </c>
      <c r="L42" s="26"/>
      <c r="M42" s="26"/>
      <c r="N42" s="27">
        <f t="shared" si="4"/>
        <v>4.8816822935833547E-3</v>
      </c>
      <c r="O42" s="27">
        <f t="shared" si="5"/>
        <v>0</v>
      </c>
      <c r="P42" s="26">
        <f t="shared" si="6"/>
        <v>4.8816822935833547E-3</v>
      </c>
      <c r="Q42" s="26">
        <f>IF(N$320=0,0,SUM(N$17:N42)/N$320)</f>
        <v>6.9977877103105668E-4</v>
      </c>
      <c r="R42" s="26">
        <f>IF(O$320=0,0,SUM(O$17:O42)/O$320)</f>
        <v>0</v>
      </c>
      <c r="S42" s="26">
        <f>SUM(P$17:P42)/P$320</f>
        <v>6.9977877103105668E-4</v>
      </c>
    </row>
    <row r="43" spans="1:19" x14ac:dyDescent="0.4">
      <c r="A43" s="6">
        <f t="shared" si="0"/>
        <v>0.13317785754129421</v>
      </c>
      <c r="B43" s="25">
        <f t="shared" si="7"/>
        <v>1.1748631611379141</v>
      </c>
      <c r="C43" s="25">
        <f t="shared" si="7"/>
        <v>0</v>
      </c>
      <c r="D43" s="27">
        <f t="shared" si="2"/>
        <v>1.1748631611379141</v>
      </c>
      <c r="E43" s="27"/>
      <c r="F43" s="26">
        <f t="shared" si="3"/>
        <v>5.4887959821803729E-3</v>
      </c>
      <c r="G43" s="26">
        <f t="shared" si="3"/>
        <v>0</v>
      </c>
      <c r="H43" s="26">
        <f t="shared" si="3"/>
        <v>5.4887959821803729E-3</v>
      </c>
      <c r="I43" s="26">
        <f>IF(F$320=0,0,SUM(F$17:F43)/F$320)</f>
        <v>6.831965299022697E-4</v>
      </c>
      <c r="J43" s="26">
        <f>IF(G$320=0,0,SUM(G$17:G43)/G$320)</f>
        <v>0</v>
      </c>
      <c r="K43" s="26">
        <f>SUM(H$17:H43)/H$320</f>
        <v>6.831965299022697E-4</v>
      </c>
      <c r="L43" s="26"/>
      <c r="M43" s="26"/>
      <c r="N43" s="27">
        <f t="shared" si="4"/>
        <v>5.2191246724060713E-3</v>
      </c>
      <c r="O43" s="27">
        <f t="shared" si="5"/>
        <v>0</v>
      </c>
      <c r="P43" s="26">
        <f t="shared" si="6"/>
        <v>5.2191246724060713E-3</v>
      </c>
      <c r="Q43" s="26">
        <f>IF(N$320=0,0,SUM(N$17:N43)/N$320)</f>
        <v>7.5223228532659496E-4</v>
      </c>
      <c r="R43" s="26">
        <f>IF(O$320=0,0,SUM(O$17:O43)/O$320)</f>
        <v>0</v>
      </c>
      <c r="S43" s="26">
        <f>SUM(P$17:P43)/P$320</f>
        <v>7.5223228532659496E-4</v>
      </c>
    </row>
    <row r="44" spans="1:19" x14ac:dyDescent="0.4">
      <c r="A44" s="6">
        <f t="shared" si="0"/>
        <v>0.13784971734909021</v>
      </c>
      <c r="B44" s="25">
        <f t="shared" si="7"/>
        <v>1.2127121666714109</v>
      </c>
      <c r="C44" s="25">
        <f t="shared" si="7"/>
        <v>0</v>
      </c>
      <c r="D44" s="27">
        <f t="shared" si="2"/>
        <v>1.2127121666714109</v>
      </c>
      <c r="E44" s="27"/>
      <c r="F44" s="26">
        <f t="shared" si="3"/>
        <v>5.8643703958535052E-3</v>
      </c>
      <c r="G44" s="26">
        <f t="shared" si="3"/>
        <v>0</v>
      </c>
      <c r="H44" s="26">
        <f t="shared" si="3"/>
        <v>5.8643703958535052E-3</v>
      </c>
      <c r="I44" s="26">
        <f>IF(F$320=0,0,SUM(F$17:F44)/F$320)</f>
        <v>7.4112059875959958E-4</v>
      </c>
      <c r="J44" s="26">
        <f>IF(G$320=0,0,SUM(G$17:G44)/G$320)</f>
        <v>0</v>
      </c>
      <c r="K44" s="26">
        <f>SUM(H$17:H44)/H$320</f>
        <v>7.4112059875959958E-4</v>
      </c>
      <c r="L44" s="26"/>
      <c r="M44" s="26"/>
      <c r="N44" s="27">
        <f t="shared" si="4"/>
        <v>5.5774526965659335E-3</v>
      </c>
      <c r="O44" s="27">
        <f t="shared" si="5"/>
        <v>0</v>
      </c>
      <c r="P44" s="26">
        <f t="shared" si="6"/>
        <v>5.5774526965659335E-3</v>
      </c>
      <c r="Q44" s="26">
        <f>IF(N$320=0,0,SUM(N$17:N44)/N$320)</f>
        <v>8.0828708629710692E-4</v>
      </c>
      <c r="R44" s="26">
        <f>IF(O$320=0,0,SUM(O$17:O44)/O$320)</f>
        <v>0</v>
      </c>
      <c r="S44" s="26">
        <f>SUM(P$17:P44)/P$320</f>
        <v>8.0828708629710692E-4</v>
      </c>
    </row>
    <row r="45" spans="1:19" x14ac:dyDescent="0.4">
      <c r="A45" s="6">
        <f t="shared" si="0"/>
        <v>0.14268546531717544</v>
      </c>
      <c r="B45" s="25">
        <f t="shared" si="7"/>
        <v>1.2512331466597939</v>
      </c>
      <c r="C45" s="25">
        <f t="shared" si="7"/>
        <v>0</v>
      </c>
      <c r="D45" s="27">
        <f t="shared" si="2"/>
        <v>1.2512331466597939</v>
      </c>
      <c r="E45" s="27"/>
      <c r="F45" s="26">
        <f t="shared" si="3"/>
        <v>6.2629040005663661E-3</v>
      </c>
      <c r="G45" s="26">
        <f t="shared" si="3"/>
        <v>0</v>
      </c>
      <c r="H45" s="26">
        <f t="shared" si="3"/>
        <v>6.2629040005663661E-3</v>
      </c>
      <c r="I45" s="26">
        <f>IF(F$320=0,0,SUM(F$17:F45)/F$320)</f>
        <v>8.0298109836790489E-4</v>
      </c>
      <c r="J45" s="26">
        <f>IF(G$320=0,0,SUM(G$17:G45)/G$320)</f>
        <v>0</v>
      </c>
      <c r="K45" s="26">
        <f>SUM(H$17:H45)/H$320</f>
        <v>8.0298109836790489E-4</v>
      </c>
      <c r="L45" s="26"/>
      <c r="M45" s="26"/>
      <c r="N45" s="27">
        <f t="shared" si="4"/>
        <v>5.9577761937618795E-3</v>
      </c>
      <c r="O45" s="27">
        <f t="shared" si="5"/>
        <v>0</v>
      </c>
      <c r="P45" s="26">
        <f t="shared" si="6"/>
        <v>5.9577761937618795E-3</v>
      </c>
      <c r="Q45" s="26">
        <f>IF(N$320=0,0,SUM(N$17:N45)/N$320)</f>
        <v>8.6816423397310558E-4</v>
      </c>
      <c r="R45" s="26">
        <f>IF(O$320=0,0,SUM(O$17:O45)/O$320)</f>
        <v>0</v>
      </c>
      <c r="S45" s="26">
        <f>SUM(P$17:P45)/P$320</f>
        <v>8.6816423397310558E-4</v>
      </c>
    </row>
    <row r="46" spans="1:19" x14ac:dyDescent="0.4">
      <c r="A46" s="6">
        <f t="shared" si="0"/>
        <v>0.14769085061829648</v>
      </c>
      <c r="B46" s="25">
        <f t="shared" si="7"/>
        <v>1.2904132233250187</v>
      </c>
      <c r="C46" s="25">
        <f t="shared" si="7"/>
        <v>0</v>
      </c>
      <c r="D46" s="27">
        <f t="shared" si="2"/>
        <v>1.2904132233250187</v>
      </c>
      <c r="E46" s="27"/>
      <c r="F46" s="26">
        <f t="shared" si="3"/>
        <v>6.6855966973784391E-3</v>
      </c>
      <c r="G46" s="26">
        <f t="shared" si="3"/>
        <v>0</v>
      </c>
      <c r="H46" s="26">
        <f t="shared" si="3"/>
        <v>6.6855966973784391E-3</v>
      </c>
      <c r="I46" s="26">
        <f>IF(F$320=0,0,SUM(F$17:F46)/F$320)</f>
        <v>8.6901665501096779E-4</v>
      </c>
      <c r="J46" s="26">
        <f>IF(G$320=0,0,SUM(G$17:G46)/G$320)</f>
        <v>0</v>
      </c>
      <c r="K46" s="26">
        <f>SUM(H$17:H46)/H$320</f>
        <v>8.6901665501096779E-4</v>
      </c>
      <c r="L46" s="26"/>
      <c r="M46" s="26"/>
      <c r="N46" s="27">
        <f t="shared" si="4"/>
        <v>6.3612510935964657E-3</v>
      </c>
      <c r="O46" s="27">
        <f t="shared" si="5"/>
        <v>0</v>
      </c>
      <c r="P46" s="26">
        <f t="shared" si="6"/>
        <v>6.3612510935964657E-3</v>
      </c>
      <c r="Q46" s="26">
        <f>IF(N$320=0,0,SUM(N$17:N46)/N$320)</f>
        <v>9.3209640576804491E-4</v>
      </c>
      <c r="R46" s="26">
        <f>IF(O$320=0,0,SUM(O$17:O46)/O$320)</f>
        <v>0</v>
      </c>
      <c r="S46" s="26">
        <f>SUM(P$17:P46)/P$320</f>
        <v>9.3209640576804491E-4</v>
      </c>
    </row>
    <row r="47" spans="1:19" x14ac:dyDescent="0.4">
      <c r="A47" s="6">
        <f t="shared" si="0"/>
        <v>0.15287182410534089</v>
      </c>
      <c r="B47" s="25">
        <f t="shared" si="7"/>
        <v>1.3302382346606514</v>
      </c>
      <c r="C47" s="25">
        <f t="shared" si="7"/>
        <v>0</v>
      </c>
      <c r="D47" s="27">
        <f t="shared" si="2"/>
        <v>1.3302382346606514</v>
      </c>
      <c r="E47" s="27"/>
      <c r="F47" s="26">
        <f t="shared" si="3"/>
        <v>7.1336968896898471E-3</v>
      </c>
      <c r="G47" s="26">
        <f t="shared" si="3"/>
        <v>0</v>
      </c>
      <c r="H47" s="26">
        <f t="shared" si="3"/>
        <v>7.1336968896898471E-3</v>
      </c>
      <c r="I47" s="26">
        <f>IF(F$320=0,0,SUM(F$17:F47)/F$320)</f>
        <v>9.3947822581111427E-4</v>
      </c>
      <c r="J47" s="26">
        <f>IF(G$320=0,0,SUM(G$17:G47)/G$320)</f>
        <v>0</v>
      </c>
      <c r="K47" s="26">
        <f>SUM(H$17:H47)/H$320</f>
        <v>9.3947822581111427E-4</v>
      </c>
      <c r="L47" s="26"/>
      <c r="M47" s="26"/>
      <c r="N47" s="27">
        <f t="shared" si="4"/>
        <v>6.7890804811279928E-3</v>
      </c>
      <c r="O47" s="27">
        <f t="shared" si="5"/>
        <v>0</v>
      </c>
      <c r="P47" s="26">
        <f t="shared" si="6"/>
        <v>6.7890804811279928E-3</v>
      </c>
      <c r="Q47" s="26">
        <f>IF(N$320=0,0,SUM(N$17:N47)/N$320)</f>
        <v>1.0003283704024971E-3</v>
      </c>
      <c r="R47" s="26">
        <f>IF(O$320=0,0,SUM(O$17:O47)/O$320)</f>
        <v>0</v>
      </c>
      <c r="S47" s="26">
        <f>SUM(P$17:P47)/P$320</f>
        <v>1.0003283704024971E-3</v>
      </c>
    </row>
    <row r="48" spans="1:19" x14ac:dyDescent="0.4">
      <c r="A48" s="6">
        <f t="shared" si="0"/>
        <v>0.15823454538624715</v>
      </c>
      <c r="B48" s="25">
        <f t="shared" si="7"/>
        <v>1.3706927193776288</v>
      </c>
      <c r="C48" s="25">
        <f t="shared" si="7"/>
        <v>0</v>
      </c>
      <c r="D48" s="27">
        <f t="shared" si="2"/>
        <v>1.3706927193776288</v>
      </c>
      <c r="E48" s="27"/>
      <c r="F48" s="26">
        <f t="shared" si="3"/>
        <v>7.6085025000983235E-3</v>
      </c>
      <c r="G48" s="26">
        <f t="shared" si="3"/>
        <v>0</v>
      </c>
      <c r="H48" s="26">
        <f t="shared" si="3"/>
        <v>7.6085025000983235E-3</v>
      </c>
      <c r="I48" s="26">
        <f>IF(F$320=0,0,SUM(F$17:F48)/F$320)</f>
        <v>1.014629587844535E-3</v>
      </c>
      <c r="J48" s="26">
        <f>IF(G$320=0,0,SUM(G$17:G48)/G$320)</f>
        <v>0</v>
      </c>
      <c r="K48" s="26">
        <f>SUM(H$17:H48)/H$320</f>
        <v>1.014629587844535E-3</v>
      </c>
      <c r="L48" s="26"/>
      <c r="M48" s="26"/>
      <c r="N48" s="27">
        <f t="shared" si="4"/>
        <v>7.2425156154654622E-3</v>
      </c>
      <c r="O48" s="27">
        <f t="shared" si="5"/>
        <v>0</v>
      </c>
      <c r="P48" s="26">
        <f t="shared" si="6"/>
        <v>7.2425156154654622E-3</v>
      </c>
      <c r="Q48" s="26">
        <f>IF(N$320=0,0,SUM(N$17:N48)/N$320)</f>
        <v>1.0731174720654663E-3</v>
      </c>
      <c r="R48" s="26">
        <f>IF(O$320=0,0,SUM(O$17:O48)/O$320)</f>
        <v>0</v>
      </c>
      <c r="S48" s="26">
        <f>SUM(P$17:P48)/P$320</f>
        <v>1.0731174720654663E-3</v>
      </c>
    </row>
    <row r="49" spans="1:19" x14ac:dyDescent="0.4">
      <c r="A49" s="6">
        <f t="shared" si="0"/>
        <v>0.16378539014710136</v>
      </c>
      <c r="B49" s="25">
        <f t="shared" si="7"/>
        <v>1.4117599042661435</v>
      </c>
      <c r="C49" s="25">
        <f t="shared" si="7"/>
        <v>0</v>
      </c>
      <c r="D49" s="27">
        <f t="shared" si="2"/>
        <v>1.4117599042661435</v>
      </c>
      <c r="E49" s="27"/>
      <c r="F49" s="26">
        <f t="shared" si="3"/>
        <v>8.1113619437905814E-3</v>
      </c>
      <c r="G49" s="26">
        <f t="shared" si="3"/>
        <v>0</v>
      </c>
      <c r="H49" s="26">
        <f t="shared" si="3"/>
        <v>8.1113619437905814E-3</v>
      </c>
      <c r="I49" s="26">
        <f>IF(F$320=0,0,SUM(F$17:F49)/F$320)</f>
        <v>1.0947478368710734E-3</v>
      </c>
      <c r="J49" s="26">
        <f>IF(G$320=0,0,SUM(G$17:G49)/G$320)</f>
        <v>0</v>
      </c>
      <c r="K49" s="26">
        <f>SUM(H$17:H49)/H$320</f>
        <v>1.0947478368710734E-3</v>
      </c>
      <c r="L49" s="26"/>
      <c r="M49" s="26"/>
      <c r="N49" s="27">
        <f t="shared" si="4"/>
        <v>7.7228569082837643E-3</v>
      </c>
      <c r="O49" s="27">
        <f t="shared" si="5"/>
        <v>0</v>
      </c>
      <c r="P49" s="26">
        <f t="shared" si="6"/>
        <v>7.7228569082837643E-3</v>
      </c>
      <c r="Q49" s="26">
        <f>IF(N$320=0,0,SUM(N$17:N49)/N$320)</f>
        <v>1.1507341244100268E-3</v>
      </c>
      <c r="R49" s="26">
        <f>IF(O$320=0,0,SUM(O$17:O49)/O$320)</f>
        <v>0</v>
      </c>
      <c r="S49" s="26">
        <f>SUM(P$17:P49)/P$320</f>
        <v>1.1507341244100268E-3</v>
      </c>
    </row>
    <row r="50" spans="1:19" x14ac:dyDescent="0.4">
      <c r="A50" s="6">
        <f t="shared" si="0"/>
        <v>0.16953095773212709</v>
      </c>
      <c r="B50" s="25">
        <f t="shared" ref="B50:C65" si="8">C$4*EXP(-0.5*(LN($A50)-LN(C$5))^2/(LN(C$6))^2)/($A50*SQRT(2*PI())*LN(C$6))</f>
        <v>1.4534216940818485</v>
      </c>
      <c r="C50" s="25">
        <f t="shared" si="8"/>
        <v>0</v>
      </c>
      <c r="D50" s="27">
        <f t="shared" si="2"/>
        <v>1.4534216940818485</v>
      </c>
      <c r="E50" s="27"/>
      <c r="F50" s="26">
        <f t="shared" si="3"/>
        <v>8.6436750529176373E-3</v>
      </c>
      <c r="G50" s="26">
        <f t="shared" si="3"/>
        <v>0</v>
      </c>
      <c r="H50" s="26">
        <f t="shared" si="3"/>
        <v>8.6436750529176373E-3</v>
      </c>
      <c r="I50" s="26">
        <f>IF(F$320=0,0,SUM(F$17:F50)/F$320)</f>
        <v>1.1801238951943329E-3</v>
      </c>
      <c r="J50" s="26">
        <f>IF(G$320=0,0,SUM(G$17:G50)/G$320)</f>
        <v>0</v>
      </c>
      <c r="K50" s="26">
        <f>SUM(H$17:H50)/H$320</f>
        <v>1.1801238951943329E-3</v>
      </c>
      <c r="L50" s="26"/>
      <c r="M50" s="26"/>
      <c r="N50" s="27">
        <f t="shared" si="4"/>
        <v>8.2314548569052161E-3</v>
      </c>
      <c r="O50" s="27">
        <f t="shared" si="5"/>
        <v>0</v>
      </c>
      <c r="P50" s="26">
        <f t="shared" si="6"/>
        <v>8.2314548569052161E-3</v>
      </c>
      <c r="Q50" s="26">
        <f>IF(N$320=0,0,SUM(N$17:N50)/N$320)</f>
        <v>1.2334623139266621E-3</v>
      </c>
      <c r="R50" s="26">
        <f>IF(O$320=0,0,SUM(O$17:O50)/O$320)</f>
        <v>0</v>
      </c>
      <c r="S50" s="26">
        <f>SUM(P$17:P50)/P$320</f>
        <v>1.2334623139266621E-3</v>
      </c>
    </row>
    <row r="51" spans="1:19" x14ac:dyDescent="0.4">
      <c r="A51" s="6">
        <f t="shared" si="0"/>
        <v>0.17547807898958018</v>
      </c>
      <c r="B51" s="25">
        <f t="shared" si="8"/>
        <v>1.4956586640600764</v>
      </c>
      <c r="C51" s="25">
        <f t="shared" si="8"/>
        <v>0</v>
      </c>
      <c r="D51" s="27">
        <f t="shared" si="2"/>
        <v>1.4956586640600764</v>
      </c>
      <c r="E51" s="27"/>
      <c r="F51" s="26">
        <f t="shared" si="3"/>
        <v>9.206893946188106E-3</v>
      </c>
      <c r="G51" s="26">
        <f t="shared" si="3"/>
        <v>0</v>
      </c>
      <c r="H51" s="26">
        <f t="shared" si="3"/>
        <v>9.206893946188106E-3</v>
      </c>
      <c r="I51" s="26">
        <f>IF(F$320=0,0,SUM(F$17:F51)/F$320)</f>
        <v>1.2710630281110075E-3</v>
      </c>
      <c r="J51" s="26">
        <f>IF(G$320=0,0,SUM(G$17:G51)/G$320)</f>
        <v>0</v>
      </c>
      <c r="K51" s="26">
        <f>SUM(H$17:H51)/H$320</f>
        <v>1.2710630281110075E-3</v>
      </c>
      <c r="L51" s="26"/>
      <c r="M51" s="26"/>
      <c r="N51" s="27">
        <f t="shared" si="4"/>
        <v>8.7697109263917862E-3</v>
      </c>
      <c r="O51" s="27">
        <f t="shared" si="5"/>
        <v>0</v>
      </c>
      <c r="P51" s="26">
        <f t="shared" si="6"/>
        <v>8.7697109263917862E-3</v>
      </c>
      <c r="Q51" s="26">
        <f>IF(N$320=0,0,SUM(N$17:N51)/N$320)</f>
        <v>1.3216001121818559E-3</v>
      </c>
      <c r="R51" s="26">
        <f>IF(O$320=0,0,SUM(O$17:O51)/O$320)</f>
        <v>0</v>
      </c>
      <c r="S51" s="26">
        <f>SUM(P$17:P51)/P$320</f>
        <v>1.3216001121818559E-3</v>
      </c>
    </row>
    <row r="52" spans="1:19" x14ac:dyDescent="0.4">
      <c r="A52" s="6">
        <f t="shared" si="0"/>
        <v>0.18163382439287648</v>
      </c>
      <c r="B52" s="25">
        <f t="shared" si="8"/>
        <v>1.5384500551567053</v>
      </c>
      <c r="C52" s="25">
        <f t="shared" si="8"/>
        <v>0</v>
      </c>
      <c r="D52" s="27">
        <f t="shared" si="2"/>
        <v>1.5384500551567053</v>
      </c>
      <c r="E52" s="27"/>
      <c r="F52" s="26">
        <f t="shared" si="3"/>
        <v>9.8025238377038287E-3</v>
      </c>
      <c r="G52" s="26">
        <f t="shared" si="3"/>
        <v>0</v>
      </c>
      <c r="H52" s="26">
        <f t="shared" si="3"/>
        <v>9.8025238377038287E-3</v>
      </c>
      <c r="I52" s="26">
        <f>IF(F$320=0,0,SUM(F$17:F52)/F$320)</f>
        <v>1.3678853683493127E-3</v>
      </c>
      <c r="J52" s="26">
        <f>IF(G$320=0,0,SUM(G$17:G52)/G$320)</f>
        <v>0</v>
      </c>
      <c r="K52" s="26">
        <f>SUM(H$17:H52)/H$320</f>
        <v>1.3678853683493127E-3</v>
      </c>
      <c r="L52" s="26"/>
      <c r="M52" s="26"/>
      <c r="N52" s="27">
        <f t="shared" si="4"/>
        <v>9.3390783748697713E-3</v>
      </c>
      <c r="O52" s="27">
        <f t="shared" si="5"/>
        <v>0</v>
      </c>
      <c r="P52" s="26">
        <f t="shared" si="6"/>
        <v>9.3390783748697713E-3</v>
      </c>
      <c r="Q52" s="26">
        <f>IF(N$320=0,0,SUM(N$17:N52)/N$320)</f>
        <v>1.4154601963514012E-3</v>
      </c>
      <c r="R52" s="26">
        <f>IF(O$320=0,0,SUM(O$17:O52)/O$320)</f>
        <v>0</v>
      </c>
      <c r="S52" s="26">
        <f>SUM(P$17:P52)/P$320</f>
        <v>1.4154601963514012E-3</v>
      </c>
    </row>
    <row r="53" spans="1:19" x14ac:dyDescent="0.4">
      <c r="A53" s="6">
        <f t="shared" si="0"/>
        <v>0.18800551244660751</v>
      </c>
      <c r="B53" s="25">
        <f t="shared" si="8"/>
        <v>1.5817737721087923</v>
      </c>
      <c r="C53" s="25">
        <f t="shared" si="8"/>
        <v>0</v>
      </c>
      <c r="D53" s="27">
        <f t="shared" si="2"/>
        <v>1.5817737721087923</v>
      </c>
      <c r="E53" s="27"/>
      <c r="F53" s="26">
        <f t="shared" si="3"/>
        <v>1.0432123778861453E-2</v>
      </c>
      <c r="G53" s="26">
        <f t="shared" si="3"/>
        <v>0</v>
      </c>
      <c r="H53" s="26">
        <f t="shared" si="3"/>
        <v>1.0432123778861453E-2</v>
      </c>
      <c r="I53" s="26">
        <f>IF(F$320=0,0,SUM(F$17:F53)/F$320)</f>
        <v>1.4709264478353936E-3</v>
      </c>
      <c r="J53" s="26">
        <f>IF(G$320=0,0,SUM(G$17:G53)/G$320)</f>
        <v>0</v>
      </c>
      <c r="K53" s="26">
        <f>SUM(H$17:H53)/H$320</f>
        <v>1.4709264478353936E-3</v>
      </c>
      <c r="L53" s="26"/>
      <c r="M53" s="26"/>
      <c r="N53" s="27">
        <f t="shared" si="4"/>
        <v>9.9410630161272627E-3</v>
      </c>
      <c r="O53" s="27">
        <f t="shared" si="5"/>
        <v>0</v>
      </c>
      <c r="P53" s="26">
        <f t="shared" si="6"/>
        <v>9.9410630161272627E-3</v>
      </c>
      <c r="Q53" s="26">
        <f>IF(N$320=0,0,SUM(N$17:N53)/N$320)</f>
        <v>1.5153703774180068E-3</v>
      </c>
      <c r="R53" s="26">
        <f>IF(O$320=0,0,SUM(O$17:O53)/O$320)</f>
        <v>0</v>
      </c>
      <c r="S53" s="26">
        <f>SUM(P$17:P53)/P$320</f>
        <v>1.5153703774180068E-3</v>
      </c>
    </row>
    <row r="54" spans="1:19" x14ac:dyDescent="0.4">
      <c r="A54" s="6">
        <f t="shared" si="0"/>
        <v>0.19460071838743781</v>
      </c>
      <c r="B54" s="25">
        <f t="shared" si="8"/>
        <v>1.6256063844020647</v>
      </c>
      <c r="C54" s="25">
        <f t="shared" si="8"/>
        <v>0</v>
      </c>
      <c r="D54" s="27">
        <f t="shared" si="2"/>
        <v>1.6256063844020647</v>
      </c>
      <c r="E54" s="27"/>
      <c r="F54" s="26">
        <f t="shared" si="3"/>
        <v>1.1097307326951349E-2</v>
      </c>
      <c r="G54" s="26">
        <f t="shared" si="3"/>
        <v>0</v>
      </c>
      <c r="H54" s="26">
        <f t="shared" si="3"/>
        <v>1.1097307326951349E-2</v>
      </c>
      <c r="I54" s="26">
        <f>IF(F$320=0,0,SUM(F$17:F54)/F$320)</f>
        <v>1.580537736063672E-3</v>
      </c>
      <c r="J54" s="26">
        <f>IF(G$320=0,0,SUM(G$17:G54)/G$320)</f>
        <v>0</v>
      </c>
      <c r="K54" s="26">
        <f>SUM(H$17:H54)/H$320</f>
        <v>1.580537736063672E-3</v>
      </c>
      <c r="L54" s="26"/>
      <c r="M54" s="26"/>
      <c r="N54" s="27">
        <f t="shared" si="4"/>
        <v>1.0577223913299863E-2</v>
      </c>
      <c r="O54" s="27">
        <f t="shared" si="5"/>
        <v>0</v>
      </c>
      <c r="P54" s="26">
        <f t="shared" si="6"/>
        <v>1.0577223913299863E-2</v>
      </c>
      <c r="Q54" s="26">
        <f>IF(N$320=0,0,SUM(N$17:N54)/N$320)</f>
        <v>1.6216741353406185E-3</v>
      </c>
      <c r="R54" s="26">
        <f>IF(O$320=0,0,SUM(O$17:O54)/O$320)</f>
        <v>0</v>
      </c>
      <c r="S54" s="26">
        <f>SUM(P$17:P54)/P$320</f>
        <v>1.6216741353406185E-3</v>
      </c>
    </row>
    <row r="55" spans="1:19" x14ac:dyDescent="0.4">
      <c r="A55" s="6">
        <f t="shared" si="0"/>
        <v>0.20142728319022873</v>
      </c>
      <c r="B55" s="25">
        <f t="shared" si="8"/>
        <v>1.6699231302258415</v>
      </c>
      <c r="C55" s="25">
        <f t="shared" si="8"/>
        <v>0</v>
      </c>
      <c r="D55" s="27">
        <f t="shared" si="2"/>
        <v>1.6699231302258415</v>
      </c>
      <c r="E55" s="27"/>
      <c r="F55" s="26">
        <f t="shared" si="3"/>
        <v>1.1799743133901492E-2</v>
      </c>
      <c r="G55" s="26">
        <f t="shared" si="3"/>
        <v>0</v>
      </c>
      <c r="H55" s="26">
        <f t="shared" si="3"/>
        <v>1.1799743133901492E-2</v>
      </c>
      <c r="I55" s="26">
        <f>IF(F$320=0,0,SUM(F$17:F55)/F$320)</f>
        <v>1.6970871842823907E-3</v>
      </c>
      <c r="J55" s="26">
        <f>IF(G$320=0,0,SUM(G$17:G55)/G$320)</f>
        <v>0</v>
      </c>
      <c r="K55" s="26">
        <f>SUM(H$17:H55)/H$320</f>
        <v>1.6970871842823907E-3</v>
      </c>
      <c r="L55" s="26"/>
      <c r="M55" s="26"/>
      <c r="N55" s="27">
        <f t="shared" si="4"/>
        <v>1.1249173997316082E-2</v>
      </c>
      <c r="O55" s="27">
        <f t="shared" si="5"/>
        <v>0</v>
      </c>
      <c r="P55" s="26">
        <f t="shared" si="6"/>
        <v>1.1249173997316082E-2</v>
      </c>
      <c r="Q55" s="26">
        <f>IF(N$320=0,0,SUM(N$17:N55)/N$320)</f>
        <v>1.7347311604392725E-3</v>
      </c>
      <c r="R55" s="26">
        <f>IF(O$320=0,0,SUM(O$17:O55)/O$320)</f>
        <v>0</v>
      </c>
      <c r="S55" s="26">
        <f>SUM(P$17:P55)/P$320</f>
        <v>1.7347311604392725E-3</v>
      </c>
    </row>
    <row r="56" spans="1:19" x14ac:dyDescent="0.4">
      <c r="A56" s="6">
        <f t="shared" si="0"/>
        <v>0.20849332289009545</v>
      </c>
      <c r="B56" s="25">
        <f t="shared" si="8"/>
        <v>1.7146979234889446</v>
      </c>
      <c r="C56" s="25">
        <f t="shared" si="8"/>
        <v>0</v>
      </c>
      <c r="D56" s="27">
        <f t="shared" si="2"/>
        <v>1.7146979234889446</v>
      </c>
      <c r="E56" s="27"/>
      <c r="F56" s="26">
        <f t="shared" si="3"/>
        <v>1.2541155448447045E-2</v>
      </c>
      <c r="G56" s="26">
        <f t="shared" si="3"/>
        <v>0</v>
      </c>
      <c r="H56" s="26">
        <f t="shared" si="3"/>
        <v>1.2541155448447045E-2</v>
      </c>
      <c r="I56" s="26">
        <f>IF(F$320=0,0,SUM(F$17:F56)/F$320)</f>
        <v>1.820959774639228E-3</v>
      </c>
      <c r="J56" s="26">
        <f>IF(G$320=0,0,SUM(G$17:G56)/G$320)</f>
        <v>0</v>
      </c>
      <c r="K56" s="26">
        <f>SUM(H$17:H56)/H$320</f>
        <v>1.820959774639228E-3</v>
      </c>
      <c r="L56" s="26"/>
      <c r="M56" s="26"/>
      <c r="N56" s="27">
        <f t="shared" si="4"/>
        <v>1.1958580603555532E-2</v>
      </c>
      <c r="O56" s="27">
        <f t="shared" si="5"/>
        <v>0</v>
      </c>
      <c r="P56" s="26">
        <f t="shared" si="6"/>
        <v>1.1958580603555532E-2</v>
      </c>
      <c r="Q56" s="26">
        <f>IF(N$320=0,0,SUM(N$17:N56)/N$320)</f>
        <v>1.8549179001734989E-3</v>
      </c>
      <c r="R56" s="26">
        <f>IF(O$320=0,0,SUM(O$17:O56)/O$320)</f>
        <v>0</v>
      </c>
      <c r="S56" s="26">
        <f>SUM(P$17:P56)/P$320</f>
        <v>1.8549179001734989E-3</v>
      </c>
    </row>
    <row r="57" spans="1:19" x14ac:dyDescent="0.4">
      <c r="A57" s="6">
        <f t="shared" si="0"/>
        <v>0.2158072382314806</v>
      </c>
      <c r="B57" s="25">
        <f t="shared" si="8"/>
        <v>1.759903363962817</v>
      </c>
      <c r="C57" s="25">
        <f t="shared" si="8"/>
        <v>0</v>
      </c>
      <c r="D57" s="27">
        <f t="shared" si="2"/>
        <v>1.759903363962817</v>
      </c>
      <c r="E57" s="27"/>
      <c r="F57" s="26">
        <f t="shared" si="3"/>
        <v>1.3323324524846641E-2</v>
      </c>
      <c r="G57" s="26">
        <f t="shared" si="3"/>
        <v>0</v>
      </c>
      <c r="H57" s="26">
        <f t="shared" si="3"/>
        <v>1.3323324524846641E-2</v>
      </c>
      <c r="I57" s="26">
        <f>IF(F$320=0,0,SUM(F$17:F57)/F$320)</f>
        <v>1.9525580733639196E-3</v>
      </c>
      <c r="J57" s="26">
        <f>IF(G$320=0,0,SUM(G$17:G57)/G$320)</f>
        <v>0</v>
      </c>
      <c r="K57" s="26">
        <f>SUM(H$17:H57)/H$320</f>
        <v>1.9525580733639196E-3</v>
      </c>
      <c r="L57" s="26"/>
      <c r="M57" s="26"/>
      <c r="N57" s="27">
        <f t="shared" si="4"/>
        <v>1.2707165920061693E-2</v>
      </c>
      <c r="O57" s="27">
        <f t="shared" si="5"/>
        <v>0</v>
      </c>
      <c r="P57" s="26">
        <f t="shared" si="6"/>
        <v>1.2707165920061693E-2</v>
      </c>
      <c r="Q57" s="26">
        <f>IF(N$320=0,0,SUM(N$17:N57)/N$320)</f>
        <v>1.9826281104253752E-3</v>
      </c>
      <c r="R57" s="26">
        <f>IF(O$320=0,0,SUM(O$17:O57)/O$320)</f>
        <v>0</v>
      </c>
      <c r="S57" s="26">
        <f>SUM(P$17:P57)/P$320</f>
        <v>1.9826281104253752E-3</v>
      </c>
    </row>
    <row r="58" spans="1:19" x14ac:dyDescent="0.4">
      <c r="A58" s="6">
        <f t="shared" si="0"/>
        <v>0.22337772465571595</v>
      </c>
      <c r="B58" s="25">
        <f t="shared" si="8"/>
        <v>1.8055107506100476</v>
      </c>
      <c r="C58" s="25">
        <f t="shared" si="8"/>
        <v>0</v>
      </c>
      <c r="D58" s="27">
        <f t="shared" si="2"/>
        <v>1.8055107506100476</v>
      </c>
      <c r="E58" s="27"/>
      <c r="F58" s="26">
        <f t="shared" si="3"/>
        <v>1.4148086931125963E-2</v>
      </c>
      <c r="G58" s="26">
        <f t="shared" si="3"/>
        <v>0</v>
      </c>
      <c r="H58" s="26">
        <f t="shared" si="3"/>
        <v>1.4148086931125963E-2</v>
      </c>
      <c r="I58" s="26">
        <f>IF(F$320=0,0,SUM(F$17:F58)/F$320)</f>
        <v>2.0923027869954938E-3</v>
      </c>
      <c r="J58" s="26">
        <f>IF(G$320=0,0,SUM(G$17:G58)/G$320)</f>
        <v>0</v>
      </c>
      <c r="K58" s="26">
        <f>SUM(H$17:H58)/H$320</f>
        <v>2.0923027869954938E-3</v>
      </c>
      <c r="L58" s="26"/>
      <c r="M58" s="26"/>
      <c r="N58" s="27">
        <f t="shared" si="4"/>
        <v>1.3496707340452914E-2</v>
      </c>
      <c r="O58" s="27">
        <f t="shared" si="5"/>
        <v>0</v>
      </c>
      <c r="P58" s="26">
        <f t="shared" si="6"/>
        <v>1.3496707340452914E-2</v>
      </c>
      <c r="Q58" s="26">
        <f>IF(N$320=0,0,SUM(N$17:N58)/N$320)</f>
        <v>2.1182734103294245E-3</v>
      </c>
      <c r="R58" s="26">
        <f>IF(O$320=0,0,SUM(O$17:O58)/O$320)</f>
        <v>0</v>
      </c>
      <c r="S58" s="26">
        <f>SUM(P$17:P58)/P$320</f>
        <v>2.1182734103294245E-3</v>
      </c>
    </row>
    <row r="59" spans="1:19" x14ac:dyDescent="0.4">
      <c r="A59" s="6">
        <f t="shared" si="0"/>
        <v>0.23121378263894624</v>
      </c>
      <c r="B59" s="25">
        <f t="shared" si="8"/>
        <v>1.8514900981483005</v>
      </c>
      <c r="C59" s="25">
        <f t="shared" si="8"/>
        <v>0</v>
      </c>
      <c r="D59" s="27">
        <f t="shared" si="2"/>
        <v>1.8514900981483005</v>
      </c>
      <c r="E59" s="27"/>
      <c r="F59" s="26">
        <f t="shared" si="3"/>
        <v>1.5017335749704142E-2</v>
      </c>
      <c r="G59" s="26">
        <f t="shared" si="3"/>
        <v>0</v>
      </c>
      <c r="H59" s="26">
        <f t="shared" si="3"/>
        <v>1.5017335749704142E-2</v>
      </c>
      <c r="I59" s="26">
        <f>IF(F$320=0,0,SUM(F$17:F59)/F$320)</f>
        <v>2.2406333205911475E-3</v>
      </c>
      <c r="J59" s="26">
        <f>IF(G$320=0,0,SUM(G$17:G59)/G$320)</f>
        <v>0</v>
      </c>
      <c r="K59" s="26">
        <f>SUM(H$17:H59)/H$320</f>
        <v>2.2406333205911475E-3</v>
      </c>
      <c r="L59" s="26"/>
      <c r="M59" s="26"/>
      <c r="N59" s="27">
        <f t="shared" si="4"/>
        <v>1.432903771458674E-2</v>
      </c>
      <c r="O59" s="27">
        <f t="shared" si="5"/>
        <v>0</v>
      </c>
      <c r="P59" s="26">
        <f t="shared" si="6"/>
        <v>1.432903771458674E-2</v>
      </c>
      <c r="Q59" s="26">
        <f>IF(N$320=0,0,SUM(N$17:N59)/N$320)</f>
        <v>2.2622838396217531E-3</v>
      </c>
      <c r="R59" s="26">
        <f>IF(O$320=0,0,SUM(O$17:O59)/O$320)</f>
        <v>0</v>
      </c>
      <c r="S59" s="26">
        <f>SUM(P$17:P59)/P$320</f>
        <v>2.2622838396217531E-3</v>
      </c>
    </row>
    <row r="60" spans="1:19" x14ac:dyDescent="0.4">
      <c r="A60" s="6">
        <f t="shared" si="0"/>
        <v>0.23932472839270597</v>
      </c>
      <c r="B60" s="25">
        <f t="shared" si="8"/>
        <v>1.8978101568909038</v>
      </c>
      <c r="C60" s="25">
        <f t="shared" si="8"/>
        <v>0</v>
      </c>
      <c r="D60" s="27">
        <f t="shared" si="2"/>
        <v>1.8978101568909038</v>
      </c>
      <c r="E60" s="27"/>
      <c r="F60" s="26">
        <f t="shared" si="3"/>
        <v>1.5933020663148625E-2</v>
      </c>
      <c r="G60" s="26">
        <f t="shared" si="3"/>
        <v>0</v>
      </c>
      <c r="H60" s="26">
        <f t="shared" si="3"/>
        <v>1.5933020663148625E-2</v>
      </c>
      <c r="I60" s="26">
        <f>IF(F$320=0,0,SUM(F$17:F60)/F$320)</f>
        <v>2.39800833678215E-3</v>
      </c>
      <c r="J60" s="26">
        <f>IF(G$320=0,0,SUM(G$17:G60)/G$320)</f>
        <v>0</v>
      </c>
      <c r="K60" s="26">
        <f>SUM(H$17:H60)/H$320</f>
        <v>2.39800833678215E-3</v>
      </c>
      <c r="L60" s="26"/>
      <c r="M60" s="26"/>
      <c r="N60" s="27">
        <f t="shared" si="4"/>
        <v>1.5206045489896212E-2</v>
      </c>
      <c r="O60" s="27">
        <f t="shared" si="5"/>
        <v>0</v>
      </c>
      <c r="P60" s="26">
        <f t="shared" si="6"/>
        <v>1.5206045489896212E-2</v>
      </c>
      <c r="Q60" s="26">
        <f>IF(N$320=0,0,SUM(N$17:N60)/N$320)</f>
        <v>2.4151084174096546E-3</v>
      </c>
      <c r="R60" s="26">
        <f>IF(O$320=0,0,SUM(O$17:O60)/O$320)</f>
        <v>0</v>
      </c>
      <c r="S60" s="26">
        <f>SUM(P$17:P60)/P$320</f>
        <v>2.4151084174096546E-3</v>
      </c>
    </row>
    <row r="61" spans="1:19" x14ac:dyDescent="0.4">
      <c r="A61" s="6">
        <f t="shared" si="0"/>
        <v>0.24772020493987071</v>
      </c>
      <c r="B61" s="25">
        <f t="shared" si="8"/>
        <v>1.9444384358962847</v>
      </c>
      <c r="C61" s="25">
        <f t="shared" si="8"/>
        <v>0</v>
      </c>
      <c r="D61" s="27">
        <f t="shared" si="2"/>
        <v>1.9444384358962847</v>
      </c>
      <c r="E61" s="27"/>
      <c r="F61" s="26">
        <f t="shared" si="3"/>
        <v>1.6897147917719218E-2</v>
      </c>
      <c r="G61" s="26">
        <f t="shared" si="3"/>
        <v>0</v>
      </c>
      <c r="H61" s="26">
        <f t="shared" si="3"/>
        <v>1.6897147917719218E-2</v>
      </c>
      <c r="I61" s="26">
        <f>IF(F$320=0,0,SUM(F$17:F61)/F$320)</f>
        <v>2.5649063144696609E-3</v>
      </c>
      <c r="J61" s="26">
        <f>IF(G$320=0,0,SUM(G$17:G61)/G$320)</f>
        <v>0</v>
      </c>
      <c r="K61" s="26">
        <f>SUM(H$17:H61)/H$320</f>
        <v>2.5649063144696609E-3</v>
      </c>
      <c r="L61" s="26"/>
      <c r="M61" s="26"/>
      <c r="N61" s="27">
        <f t="shared" si="4"/>
        <v>1.6129674736219513E-2</v>
      </c>
      <c r="O61" s="27">
        <f t="shared" si="5"/>
        <v>0</v>
      </c>
      <c r="P61" s="26">
        <f t="shared" si="6"/>
        <v>1.6129674736219513E-2</v>
      </c>
      <c r="Q61" s="26">
        <f>IF(N$320=0,0,SUM(N$17:N61)/N$320)</f>
        <v>2.5772157011907551E-3</v>
      </c>
      <c r="R61" s="26">
        <f>IF(O$320=0,0,SUM(O$17:O61)/O$320)</f>
        <v>0</v>
      </c>
      <c r="S61" s="26">
        <f>SUM(P$17:P61)/P$320</f>
        <v>2.5772157011907551E-3</v>
      </c>
    </row>
    <row r="62" spans="1:19" x14ac:dyDescent="0.4">
      <c r="A62" s="6">
        <f t="shared" si="0"/>
        <v>0.25641019357915129</v>
      </c>
      <c r="B62" s="25">
        <f t="shared" si="8"/>
        <v>1.9913412294490078</v>
      </c>
      <c r="C62" s="25">
        <f t="shared" si="8"/>
        <v>0</v>
      </c>
      <c r="D62" s="27">
        <f t="shared" si="2"/>
        <v>1.9913412294490078</v>
      </c>
      <c r="E62" s="27"/>
      <c r="F62" s="26">
        <f t="shared" si="3"/>
        <v>1.7911780157291564E-2</v>
      </c>
      <c r="G62" s="26">
        <f t="shared" si="3"/>
        <v>0</v>
      </c>
      <c r="H62" s="26">
        <f t="shared" si="3"/>
        <v>1.7911780157291564E-2</v>
      </c>
      <c r="I62" s="26">
        <f>IF(F$320=0,0,SUM(F$17:F62)/F$320)</f>
        <v>2.7418261058801603E-3</v>
      </c>
      <c r="J62" s="26">
        <f>IF(G$320=0,0,SUM(G$17:G62)/G$320)</f>
        <v>0</v>
      </c>
      <c r="K62" s="26">
        <f>SUM(H$17:H62)/H$320</f>
        <v>2.7418261058801603E-3</v>
      </c>
      <c r="L62" s="26"/>
      <c r="M62" s="26"/>
      <c r="N62" s="27">
        <f t="shared" si="4"/>
        <v>1.7101925046880337E-2</v>
      </c>
      <c r="O62" s="27">
        <f t="shared" si="5"/>
        <v>0</v>
      </c>
      <c r="P62" s="26">
        <f t="shared" si="6"/>
        <v>1.7101925046880337E-2</v>
      </c>
      <c r="Q62" s="26">
        <f>IF(N$320=0,0,SUM(N$17:N62)/N$320)</f>
        <v>2.7490943448779943E-3</v>
      </c>
      <c r="R62" s="26">
        <f>IF(O$320=0,0,SUM(O$17:O62)/O$320)</f>
        <v>0</v>
      </c>
      <c r="S62" s="26">
        <f>SUM(P$17:P62)/P$320</f>
        <v>2.7490943448779943E-3</v>
      </c>
    </row>
    <row r="63" spans="1:19" x14ac:dyDescent="0.4">
      <c r="A63" s="6">
        <f t="shared" si="0"/>
        <v>0.26540502575176073</v>
      </c>
      <c r="B63" s="25">
        <f t="shared" si="8"/>
        <v>2.0384836468854131</v>
      </c>
      <c r="C63" s="25">
        <f t="shared" si="8"/>
        <v>0</v>
      </c>
      <c r="D63" s="27">
        <f t="shared" si="2"/>
        <v>2.0384836468854131</v>
      </c>
      <c r="E63" s="27"/>
      <c r="F63" s="26">
        <f t="shared" si="3"/>
        <v>1.8979036120207592E-2</v>
      </c>
      <c r="G63" s="26">
        <f t="shared" si="3"/>
        <v>0</v>
      </c>
      <c r="H63" s="26">
        <f t="shared" si="3"/>
        <v>1.8979036120207592E-2</v>
      </c>
      <c r="I63" s="26">
        <f>IF(F$320=0,0,SUM(F$17:F63)/F$320)</f>
        <v>2.929287490626588E-3</v>
      </c>
      <c r="J63" s="26">
        <f>IF(G$320=0,0,SUM(G$17:G63)/G$320)</f>
        <v>0</v>
      </c>
      <c r="K63" s="26">
        <f>SUM(H$17:H63)/H$320</f>
        <v>2.929287490626588E-3</v>
      </c>
      <c r="L63" s="26"/>
      <c r="M63" s="26"/>
      <c r="N63" s="27">
        <f t="shared" si="4"/>
        <v>1.8124851308704046E-2</v>
      </c>
      <c r="O63" s="27">
        <f t="shared" si="5"/>
        <v>0</v>
      </c>
      <c r="P63" s="26">
        <f t="shared" si="6"/>
        <v>1.8124851308704046E-2</v>
      </c>
      <c r="Q63" s="26">
        <f>IF(N$320=0,0,SUM(N$17:N63)/N$320)</f>
        <v>2.931253654513211E-3</v>
      </c>
      <c r="R63" s="26">
        <f>IF(O$320=0,0,SUM(O$17:O63)/O$320)</f>
        <v>0</v>
      </c>
      <c r="S63" s="26">
        <f>SUM(P$17:P63)/P$320</f>
        <v>2.931253654513211E-3</v>
      </c>
    </row>
    <row r="64" spans="1:19" x14ac:dyDescent="0.4">
      <c r="A64" s="6">
        <f t="shared" si="0"/>
        <v>0.27471539532436218</v>
      </c>
      <c r="B64" s="25">
        <f t="shared" si="8"/>
        <v>2.0858296457668346</v>
      </c>
      <c r="C64" s="25">
        <f t="shared" si="8"/>
        <v>0</v>
      </c>
      <c r="D64" s="27">
        <f t="shared" si="2"/>
        <v>2.0858296457668346</v>
      </c>
      <c r="E64" s="27"/>
      <c r="F64" s="26">
        <f t="shared" si="3"/>
        <v>2.0101090191578727E-2</v>
      </c>
      <c r="G64" s="26">
        <f t="shared" si="3"/>
        <v>0</v>
      </c>
      <c r="H64" s="26">
        <f t="shared" si="3"/>
        <v>2.0101090191578727E-2</v>
      </c>
      <c r="I64" s="26">
        <f>IF(F$320=0,0,SUM(F$17:F64)/F$320)</f>
        <v>3.1278317253474485E-3</v>
      </c>
      <c r="J64" s="26">
        <f>IF(G$320=0,0,SUM(G$17:G64)/G$320)</f>
        <v>0</v>
      </c>
      <c r="K64" s="26">
        <f>SUM(H$17:H64)/H$320</f>
        <v>3.1278317253474485E-3</v>
      </c>
      <c r="L64" s="26"/>
      <c r="M64" s="26"/>
      <c r="N64" s="27">
        <f t="shared" si="4"/>
        <v>1.9200563333646559E-2</v>
      </c>
      <c r="O64" s="27">
        <f t="shared" si="5"/>
        <v>0</v>
      </c>
      <c r="P64" s="26">
        <f t="shared" si="6"/>
        <v>1.9200563333646559E-2</v>
      </c>
      <c r="Q64" s="26">
        <f>IF(N$320=0,0,SUM(N$17:N64)/N$320)</f>
        <v>3.1242241402785029E-3</v>
      </c>
      <c r="R64" s="26">
        <f>IF(O$320=0,0,SUM(O$17:O64)/O$320)</f>
        <v>0</v>
      </c>
      <c r="S64" s="26">
        <f>SUM(P$17:P64)/P$320</f>
        <v>3.1242241402785029E-3</v>
      </c>
    </row>
    <row r="65" spans="1:19" x14ac:dyDescent="0.4">
      <c r="A65" s="6">
        <f t="shared" si="0"/>
        <v>0.28435237130290081</v>
      </c>
      <c r="B65" s="25">
        <f t="shared" si="8"/>
        <v>2.1333420683930817</v>
      </c>
      <c r="C65" s="25">
        <f t="shared" si="8"/>
        <v>0</v>
      </c>
      <c r="D65" s="27">
        <f t="shared" si="2"/>
        <v>2.1333420683930817</v>
      </c>
      <c r="E65" s="27"/>
      <c r="F65" s="26">
        <f t="shared" si="3"/>
        <v>2.1280171803573437E-2</v>
      </c>
      <c r="G65" s="26">
        <f t="shared" si="3"/>
        <v>0</v>
      </c>
      <c r="H65" s="26">
        <f t="shared" si="3"/>
        <v>2.1280171803573437E-2</v>
      </c>
      <c r="I65" s="26">
        <f>IF(F$320=0,0,SUM(F$17:F65)/F$320)</f>
        <v>3.338022087422387E-3</v>
      </c>
      <c r="J65" s="26">
        <f>IF(G$320=0,0,SUM(G$17:G65)/G$320)</f>
        <v>0</v>
      </c>
      <c r="K65" s="26">
        <f>SUM(H$17:H65)/H$320</f>
        <v>3.338022087422387E-3</v>
      </c>
      <c r="L65" s="26"/>
      <c r="M65" s="26"/>
      <c r="N65" s="27">
        <f t="shared" si="4"/>
        <v>2.0331225344673558E-2</v>
      </c>
      <c r="O65" s="27">
        <f t="shared" si="5"/>
        <v>0</v>
      </c>
      <c r="P65" s="26">
        <f t="shared" si="6"/>
        <v>2.0331225344673558E-2</v>
      </c>
      <c r="Q65" s="26">
        <f>IF(N$320=0,0,SUM(N$17:N65)/N$320)</f>
        <v>3.3285580633405486E-3</v>
      </c>
      <c r="R65" s="26">
        <f>IF(O$320=0,0,SUM(O$17:O65)/O$320)</f>
        <v>0</v>
      </c>
      <c r="S65" s="26">
        <f>SUM(P$17:P65)/P$320</f>
        <v>3.3285580633405486E-3</v>
      </c>
    </row>
    <row r="66" spans="1:19" x14ac:dyDescent="0.4">
      <c r="A66" s="6">
        <f t="shared" si="0"/>
        <v>0.29432741099243476</v>
      </c>
      <c r="B66" s="25">
        <f t="shared" ref="B66:C81" si="9">C$4*EXP(-0.5*(LN($A66)-LN(C$5))^2/(LN(C$6))^2)/($A66*SQRT(2*PI())*LN(C$6))</f>
        <v>2.1809826816383282</v>
      </c>
      <c r="C66" s="25">
        <f t="shared" si="9"/>
        <v>0</v>
      </c>
      <c r="D66" s="27">
        <f t="shared" si="2"/>
        <v>2.1809826816383282</v>
      </c>
      <c r="E66" s="27"/>
      <c r="F66" s="26">
        <f t="shared" si="3"/>
        <v>2.2518564676255497E-2</v>
      </c>
      <c r="G66" s="26">
        <f t="shared" si="3"/>
        <v>0</v>
      </c>
      <c r="H66" s="26">
        <f t="shared" si="3"/>
        <v>2.2518564676255497E-2</v>
      </c>
      <c r="I66" s="26">
        <f>IF(F$320=0,0,SUM(F$17:F66)/F$320)</f>
        <v>3.5604444111893051E-3</v>
      </c>
      <c r="J66" s="26">
        <f>IF(G$320=0,0,SUM(G$17:G66)/G$320)</f>
        <v>0</v>
      </c>
      <c r="K66" s="26">
        <f>SUM(H$17:H66)/H$320</f>
        <v>3.5604444111893051E-3</v>
      </c>
      <c r="L66" s="26"/>
      <c r="M66" s="26"/>
      <c r="N66" s="27">
        <f t="shared" si="4"/>
        <v>2.1519055308576174E-2</v>
      </c>
      <c r="O66" s="27">
        <f t="shared" si="5"/>
        <v>0</v>
      </c>
      <c r="P66" s="26">
        <f t="shared" si="6"/>
        <v>2.1519055308576174E-2</v>
      </c>
      <c r="Q66" s="26">
        <f>IF(N$320=0,0,SUM(N$17:N66)/N$320)</f>
        <v>3.5448299759895554E-3</v>
      </c>
      <c r="R66" s="26">
        <f>IF(O$320=0,0,SUM(O$17:O66)/O$320)</f>
        <v>0</v>
      </c>
      <c r="S66" s="26">
        <f>SUM(P$17:P66)/P$320</f>
        <v>3.5448299759895554E-3</v>
      </c>
    </row>
    <row r="67" spans="1:19" x14ac:dyDescent="0.4">
      <c r="A67" s="6">
        <f t="shared" si="0"/>
        <v>0.30465237361861197</v>
      </c>
      <c r="B67" s="25">
        <f t="shared" si="9"/>
        <v>2.228712220080856</v>
      </c>
      <c r="C67" s="25">
        <f t="shared" si="9"/>
        <v>0</v>
      </c>
      <c r="D67" s="27">
        <f t="shared" si="2"/>
        <v>2.228712220080856</v>
      </c>
      <c r="E67" s="27"/>
      <c r="F67" s="26">
        <f t="shared" si="3"/>
        <v>2.3818605891590867E-2</v>
      </c>
      <c r="G67" s="26">
        <f t="shared" si="3"/>
        <v>0</v>
      </c>
      <c r="H67" s="26">
        <f t="shared" si="3"/>
        <v>2.3818605891590867E-2</v>
      </c>
      <c r="I67" s="26">
        <f>IF(F$320=0,0,SUM(F$17:F67)/F$320)</f>
        <v>3.7957076150151804E-3</v>
      </c>
      <c r="J67" s="26">
        <f>IF(G$320=0,0,SUM(G$17:G67)/G$320)</f>
        <v>0</v>
      </c>
      <c r="K67" s="26">
        <f>SUM(H$17:H67)/H$320</f>
        <v>3.7957076150151804E-3</v>
      </c>
      <c r="L67" s="26"/>
      <c r="M67" s="26"/>
      <c r="N67" s="27">
        <f t="shared" si="4"/>
        <v>2.2766324108438325E-2</v>
      </c>
      <c r="O67" s="27">
        <f t="shared" si="5"/>
        <v>0</v>
      </c>
      <c r="P67" s="26">
        <f t="shared" si="6"/>
        <v>2.2766324108438325E-2</v>
      </c>
      <c r="Q67" s="26">
        <f>IF(N$320=0,0,SUM(N$17:N67)/N$320)</f>
        <v>3.7736372534612969E-3</v>
      </c>
      <c r="R67" s="26">
        <f>IF(O$320=0,0,SUM(O$17:O67)/O$320)</f>
        <v>0</v>
      </c>
      <c r="S67" s="26">
        <f>SUM(P$17:P67)/P$320</f>
        <v>3.7736372534612969E-3</v>
      </c>
    </row>
    <row r="68" spans="1:19" x14ac:dyDescent="0.4">
      <c r="A68" s="6">
        <f t="shared" si="0"/>
        <v>0.31533953442698531</v>
      </c>
      <c r="B68" s="25">
        <f t="shared" si="9"/>
        <v>2.2764904323872996</v>
      </c>
      <c r="C68" s="25">
        <f t="shared" si="9"/>
        <v>0</v>
      </c>
      <c r="D68" s="27">
        <f t="shared" si="2"/>
        <v>2.2764904323872996</v>
      </c>
      <c r="E68" s="27"/>
      <c r="F68" s="26">
        <f t="shared" si="3"/>
        <v>2.5182684793347988E-2</v>
      </c>
      <c r="G68" s="26">
        <f t="shared" si="3"/>
        <v>0</v>
      </c>
      <c r="H68" s="26">
        <f t="shared" si="3"/>
        <v>2.5182684793347988E-2</v>
      </c>
      <c r="I68" s="26">
        <f>IF(F$320=0,0,SUM(F$17:F68)/F$320)</f>
        <v>4.0444442175008814E-3</v>
      </c>
      <c r="J68" s="26">
        <f>IF(G$320=0,0,SUM(G$17:G68)/G$320)</f>
        <v>0</v>
      </c>
      <c r="K68" s="26">
        <f>SUM(H$17:H68)/H$320</f>
        <v>4.0444442175008814E-3</v>
      </c>
      <c r="L68" s="26"/>
      <c r="M68" s="26"/>
      <c r="N68" s="27">
        <f t="shared" si="4"/>
        <v>2.4075354548544349E-2</v>
      </c>
      <c r="O68" s="27">
        <f t="shared" si="5"/>
        <v>0</v>
      </c>
      <c r="P68" s="26">
        <f t="shared" si="6"/>
        <v>2.4075354548544349E-2</v>
      </c>
      <c r="Q68" s="26">
        <f>IF(N$320=0,0,SUM(N$17:N68)/N$320)</f>
        <v>4.015600615758225E-3</v>
      </c>
      <c r="R68" s="26">
        <f>IF(O$320=0,0,SUM(O$17:O68)/O$320)</f>
        <v>0</v>
      </c>
      <c r="S68" s="26">
        <f>SUM(P$17:P68)/P$320</f>
        <v>4.015600615758225E-3</v>
      </c>
    </row>
    <row r="69" spans="1:19" x14ac:dyDescent="0.4">
      <c r="A69" s="6">
        <f t="shared" si="0"/>
        <v>0.32640159927693047</v>
      </c>
      <c r="B69" s="25">
        <f t="shared" si="9"/>
        <v>2.3242761309009832</v>
      </c>
      <c r="C69" s="25">
        <f t="shared" si="9"/>
        <v>0</v>
      </c>
      <c r="D69" s="27">
        <f t="shared" si="2"/>
        <v>2.3242761309009832</v>
      </c>
      <c r="E69" s="27"/>
      <c r="F69" s="26">
        <f t="shared" si="3"/>
        <v>2.6613241705721762E-2</v>
      </c>
      <c r="G69" s="26">
        <f t="shared" si="3"/>
        <v>0</v>
      </c>
      <c r="H69" s="26">
        <f t="shared" si="3"/>
        <v>2.6613241705721762E-2</v>
      </c>
      <c r="I69" s="26">
        <f>IF(F$320=0,0,SUM(F$17:F69)/F$320)</f>
        <v>4.3073108410294639E-3</v>
      </c>
      <c r="J69" s="26">
        <f>IF(G$320=0,0,SUM(G$17:G69)/G$320)</f>
        <v>0</v>
      </c>
      <c r="K69" s="26">
        <f>SUM(H$17:H69)/H$320</f>
        <v>4.3073108410294639E-3</v>
      </c>
      <c r="L69" s="26"/>
      <c r="M69" s="26"/>
      <c r="N69" s="27">
        <f t="shared" si="4"/>
        <v>2.5448520184633699E-2</v>
      </c>
      <c r="O69" s="27">
        <f t="shared" si="5"/>
        <v>0</v>
      </c>
      <c r="P69" s="26">
        <f t="shared" si="6"/>
        <v>2.5448520184633699E-2</v>
      </c>
      <c r="Q69" s="26">
        <f>IF(N$320=0,0,SUM(N$17:N69)/N$320)</f>
        <v>4.2713646377143429E-3</v>
      </c>
      <c r="R69" s="26">
        <f>IF(O$320=0,0,SUM(O$17:O69)/O$320)</f>
        <v>0</v>
      </c>
      <c r="S69" s="26">
        <f>SUM(P$17:P69)/P$320</f>
        <v>4.2713646377143429E-3</v>
      </c>
    </row>
    <row r="70" spans="1:19" x14ac:dyDescent="0.4">
      <c r="A70" s="6">
        <f t="shared" si="0"/>
        <v>0.3378517197475156</v>
      </c>
      <c r="B70" s="25">
        <f t="shared" si="9"/>
        <v>2.3720272443730042</v>
      </c>
      <c r="C70" s="25">
        <f t="shared" si="9"/>
        <v>0</v>
      </c>
      <c r="D70" s="27">
        <f t="shared" si="2"/>
        <v>2.3720272443730042</v>
      </c>
      <c r="E70" s="27"/>
      <c r="F70" s="26">
        <f t="shared" si="3"/>
        <v>2.811276646368242E-2</v>
      </c>
      <c r="G70" s="26">
        <f t="shared" si="3"/>
        <v>0</v>
      </c>
      <c r="H70" s="26">
        <f t="shared" si="3"/>
        <v>2.811276646368242E-2</v>
      </c>
      <c r="I70" s="26">
        <f>IF(F$320=0,0,SUM(F$17:F70)/F$320)</f>
        <v>4.5849887007983091E-3</v>
      </c>
      <c r="J70" s="26">
        <f>IF(G$320=0,0,SUM(G$17:G70)/G$320)</f>
        <v>0</v>
      </c>
      <c r="K70" s="26">
        <f>SUM(H$17:H70)/H$320</f>
        <v>4.5849887007983091E-3</v>
      </c>
      <c r="L70" s="26"/>
      <c r="M70" s="26"/>
      <c r="N70" s="27">
        <f t="shared" si="4"/>
        <v>2.6888243972526468E-2</v>
      </c>
      <c r="O70" s="27">
        <f t="shared" si="5"/>
        <v>0</v>
      </c>
      <c r="P70" s="26">
        <f t="shared" si="6"/>
        <v>2.6888243972526468E-2</v>
      </c>
      <c r="Q70" s="26">
        <f>IF(N$320=0,0,SUM(N$17:N70)/N$320)</f>
        <v>4.5415982454784275E-3</v>
      </c>
      <c r="R70" s="26">
        <f>IF(O$320=0,0,SUM(O$17:O70)/O$320)</f>
        <v>0</v>
      </c>
      <c r="S70" s="26">
        <f>SUM(P$17:P70)/P$320</f>
        <v>4.5415982454784275E-3</v>
      </c>
    </row>
    <row r="71" spans="1:19" x14ac:dyDescent="0.4">
      <c r="A71" s="6">
        <f t="shared" si="0"/>
        <v>0.34970350877328349</v>
      </c>
      <c r="B71" s="25">
        <f t="shared" si="9"/>
        <v>2.4197008737636536</v>
      </c>
      <c r="C71" s="25">
        <f t="shared" si="9"/>
        <v>0</v>
      </c>
      <c r="D71" s="27">
        <f t="shared" si="2"/>
        <v>2.4197008737636536</v>
      </c>
      <c r="E71" s="27"/>
      <c r="F71" s="26">
        <f t="shared" si="3"/>
        <v>2.9683796748227752E-2</v>
      </c>
      <c r="G71" s="26">
        <f t="shared" si="3"/>
        <v>0</v>
      </c>
      <c r="H71" s="26">
        <f t="shared" si="3"/>
        <v>2.9683796748227752E-2</v>
      </c>
      <c r="I71" s="26">
        <f>IF(F$320=0,0,SUM(F$17:F71)/F$320)</f>
        <v>4.8781840774080572E-3</v>
      </c>
      <c r="J71" s="26">
        <f>IF(G$320=0,0,SUM(G$17:G71)/G$320)</f>
        <v>0</v>
      </c>
      <c r="K71" s="26">
        <f>SUM(H$17:H71)/H$320</f>
        <v>4.8781840774080572E-3</v>
      </c>
      <c r="L71" s="26"/>
      <c r="M71" s="26"/>
      <c r="N71" s="27">
        <f t="shared" si="4"/>
        <v>2.8396996728339164E-2</v>
      </c>
      <c r="O71" s="27">
        <f t="shared" si="5"/>
        <v>0</v>
      </c>
      <c r="P71" s="26">
        <f t="shared" si="6"/>
        <v>2.8396996728339164E-2</v>
      </c>
      <c r="Q71" s="26">
        <f>IF(N$320=0,0,SUM(N$17:N71)/N$320)</f>
        <v>4.8269951975220375E-3</v>
      </c>
      <c r="R71" s="26">
        <f>IF(O$320=0,0,SUM(O$17:O71)/O$320)</f>
        <v>0</v>
      </c>
      <c r="S71" s="26">
        <f>SUM(P$17:P71)/P$320</f>
        <v>4.8269951975220375E-3</v>
      </c>
    </row>
    <row r="72" spans="1:19" x14ac:dyDescent="0.4">
      <c r="A72" s="6">
        <f t="shared" si="0"/>
        <v>0.3619710568285342</v>
      </c>
      <c r="B72" s="25">
        <f t="shared" si="9"/>
        <v>2.4672533510306454</v>
      </c>
      <c r="C72" s="25">
        <f t="shared" si="9"/>
        <v>0</v>
      </c>
      <c r="D72" s="27">
        <f t="shared" si="2"/>
        <v>2.4672533510306454</v>
      </c>
      <c r="E72" s="27"/>
      <c r="F72" s="26">
        <f t="shared" si="3"/>
        <v>3.1328916219949654E-2</v>
      </c>
      <c r="G72" s="26">
        <f t="shared" si="3"/>
        <v>0</v>
      </c>
      <c r="H72" s="26">
        <f t="shared" si="3"/>
        <v>3.1328916219949654E-2</v>
      </c>
      <c r="I72" s="26">
        <f>IF(F$320=0,0,SUM(F$17:F72)/F$320)</f>
        <v>5.1876287710162575E-3</v>
      </c>
      <c r="J72" s="26">
        <f>IF(G$320=0,0,SUM(G$17:G72)/G$320)</f>
        <v>0</v>
      </c>
      <c r="K72" s="26">
        <f>SUM(H$17:H72)/H$320</f>
        <v>5.1876287710162575E-3</v>
      </c>
      <c r="L72" s="26"/>
      <c r="M72" s="26"/>
      <c r="N72" s="27">
        <f t="shared" si="4"/>
        <v>2.9977295393686116E-2</v>
      </c>
      <c r="O72" s="27">
        <f t="shared" si="5"/>
        <v>0</v>
      </c>
      <c r="P72" s="26">
        <f t="shared" si="6"/>
        <v>2.9977295393686116E-2</v>
      </c>
      <c r="Q72" s="26">
        <f>IF(N$320=0,0,SUM(N$17:N72)/N$320)</f>
        <v>5.12827454821235E-3</v>
      </c>
      <c r="R72" s="26">
        <f>IF(O$320=0,0,SUM(O$17:O72)/O$320)</f>
        <v>0</v>
      </c>
      <c r="S72" s="26">
        <f>SUM(P$17:P72)/P$320</f>
        <v>5.12827454821235E-3</v>
      </c>
    </row>
    <row r="73" spans="1:19" x14ac:dyDescent="0.4">
      <c r="A73" s="6">
        <f t="shared" si="0"/>
        <v>0.37466894867934986</v>
      </c>
      <c r="B73" s="25">
        <f t="shared" si="9"/>
        <v>2.5146403008098255</v>
      </c>
      <c r="C73" s="25">
        <f t="shared" si="9"/>
        <v>0</v>
      </c>
      <c r="D73" s="27">
        <f t="shared" si="2"/>
        <v>2.5146403008098255</v>
      </c>
      <c r="E73" s="27"/>
      <c r="F73" s="26">
        <f t="shared" si="3"/>
        <v>3.3050752444588147E-2</v>
      </c>
      <c r="G73" s="26">
        <f t="shared" si="3"/>
        <v>0</v>
      </c>
      <c r="H73" s="26">
        <f t="shared" si="3"/>
        <v>3.3050752444588147E-2</v>
      </c>
      <c r="I73" s="26">
        <f>IF(F$320=0,0,SUM(F$17:F73)/F$320)</f>
        <v>5.5140805350011026E-3</v>
      </c>
      <c r="J73" s="26">
        <f>IF(G$320=0,0,SUM(G$17:G73)/G$320)</f>
        <v>0</v>
      </c>
      <c r="K73" s="26">
        <f>SUM(H$17:H73)/H$320</f>
        <v>5.5140805350011026E-3</v>
      </c>
      <c r="L73" s="26"/>
      <c r="M73" s="26"/>
      <c r="N73" s="27">
        <f t="shared" si="4"/>
        <v>3.1631701099519516E-2</v>
      </c>
      <c r="O73" s="27">
        <f t="shared" si="5"/>
        <v>0</v>
      </c>
      <c r="P73" s="26">
        <f t="shared" si="6"/>
        <v>3.1631701099519516E-2</v>
      </c>
      <c r="Q73" s="26">
        <f>IF(N$320=0,0,SUM(N$17:N73)/N$320)</f>
        <v>5.4461810919261139E-3</v>
      </c>
      <c r="R73" s="26">
        <f>IF(O$320=0,0,SUM(O$17:O73)/O$320)</f>
        <v>0</v>
      </c>
      <c r="S73" s="26">
        <f>SUM(P$17:P73)/P$320</f>
        <v>5.4461810919261139E-3</v>
      </c>
    </row>
    <row r="74" spans="1:19" x14ac:dyDescent="0.4">
      <c r="A74" s="6">
        <f t="shared" si="0"/>
        <v>0.3878122807232785</v>
      </c>
      <c r="B74" s="25">
        <f t="shared" si="9"/>
        <v>2.5618167048829941</v>
      </c>
      <c r="C74" s="25">
        <f t="shared" si="9"/>
        <v>0</v>
      </c>
      <c r="D74" s="27">
        <f t="shared" si="2"/>
        <v>2.5618167048829941</v>
      </c>
      <c r="E74" s="27"/>
      <c r="F74" s="26">
        <f t="shared" si="3"/>
        <v>3.4851974604537712E-2</v>
      </c>
      <c r="G74" s="26">
        <f t="shared" si="3"/>
        <v>0</v>
      </c>
      <c r="H74" s="26">
        <f t="shared" si="3"/>
        <v>3.4851974604537712E-2</v>
      </c>
      <c r="I74" s="26">
        <f>IF(F$320=0,0,SUM(F$17:F74)/F$320)</f>
        <v>5.8583234870210766E-3</v>
      </c>
      <c r="J74" s="26">
        <f>IF(G$320=0,0,SUM(G$17:G74)/G$320)</f>
        <v>0</v>
      </c>
      <c r="K74" s="26">
        <f>SUM(H$17:H74)/H$320</f>
        <v>5.8583234870210766E-3</v>
      </c>
      <c r="L74" s="26"/>
      <c r="M74" s="26"/>
      <c r="N74" s="27">
        <f t="shared" si="4"/>
        <v>3.3362817022530508E-2</v>
      </c>
      <c r="O74" s="27">
        <f t="shared" si="5"/>
        <v>0</v>
      </c>
      <c r="P74" s="26">
        <f t="shared" si="6"/>
        <v>3.3362817022530508E-2</v>
      </c>
      <c r="Q74" s="26">
        <f>IF(N$320=0,0,SUM(N$17:N74)/N$320)</f>
        <v>5.781485785619888E-3</v>
      </c>
      <c r="R74" s="26">
        <f>IF(O$320=0,0,SUM(O$17:O74)/O$320)</f>
        <v>0</v>
      </c>
      <c r="S74" s="26">
        <f>SUM(P$17:P74)/P$320</f>
        <v>5.781485785619888E-3</v>
      </c>
    </row>
    <row r="75" spans="1:19" x14ac:dyDescent="0.4">
      <c r="A75" s="6">
        <f t="shared" si="0"/>
        <v>0.40141667893729105</v>
      </c>
      <c r="B75" s="25">
        <f t="shared" si="9"/>
        <v>2.6087369693169058</v>
      </c>
      <c r="C75" s="25">
        <f t="shared" si="9"/>
        <v>0</v>
      </c>
      <c r="D75" s="27">
        <f t="shared" si="2"/>
        <v>2.6087369693169058</v>
      </c>
      <c r="E75" s="27"/>
      <c r="F75" s="26">
        <f t="shared" si="3"/>
        <v>3.6735290990618286E-2</v>
      </c>
      <c r="G75" s="26">
        <f t="shared" si="3"/>
        <v>0</v>
      </c>
      <c r="H75" s="26">
        <f t="shared" si="3"/>
        <v>3.6735290990618286E-2</v>
      </c>
      <c r="I75" s="26">
        <f>IF(F$320=0,0,SUM(F$17:F75)/F$320)</f>
        <v>6.2211684953000831E-3</v>
      </c>
      <c r="J75" s="26">
        <f>IF(G$320=0,0,SUM(G$17:G75)/G$320)</f>
        <v>0</v>
      </c>
      <c r="K75" s="26">
        <f>SUM(H$17:H75)/H$320</f>
        <v>6.2211684953000831E-3</v>
      </c>
      <c r="L75" s="26"/>
      <c r="M75" s="26"/>
      <c r="N75" s="27">
        <f t="shared" si="4"/>
        <v>3.5173286028349245E-2</v>
      </c>
      <c r="O75" s="27">
        <f t="shared" si="5"/>
        <v>0</v>
      </c>
      <c r="P75" s="26">
        <f t="shared" si="6"/>
        <v>3.5173286028349245E-2</v>
      </c>
      <c r="Q75" s="26">
        <f>IF(N$320=0,0,SUM(N$17:N75)/N$320)</f>
        <v>6.1349861477138492E-3</v>
      </c>
      <c r="R75" s="26">
        <f>IF(O$320=0,0,SUM(O$17:O75)/O$320)</f>
        <v>0</v>
      </c>
      <c r="S75" s="26">
        <f>SUM(P$17:P75)/P$320</f>
        <v>6.1349861477138492E-3</v>
      </c>
    </row>
    <row r="76" spans="1:19" x14ac:dyDescent="0.4">
      <c r="A76" s="6">
        <f t="shared" si="0"/>
        <v>0.41549831745535037</v>
      </c>
      <c r="B76" s="25">
        <f t="shared" si="9"/>
        <v>2.6553549941469203</v>
      </c>
      <c r="C76" s="25">
        <f t="shared" si="9"/>
        <v>0</v>
      </c>
      <c r="D76" s="27">
        <f t="shared" si="2"/>
        <v>2.6553549941469203</v>
      </c>
      <c r="E76" s="27"/>
      <c r="F76" s="26">
        <f t="shared" si="3"/>
        <v>3.8703446268789687E-2</v>
      </c>
      <c r="G76" s="26">
        <f t="shared" si="3"/>
        <v>0</v>
      </c>
      <c r="H76" s="26">
        <f t="shared" si="3"/>
        <v>3.8703446268789687E-2</v>
      </c>
      <c r="I76" s="26">
        <f>IF(F$320=0,0,SUM(F$17:F76)/F$320)</f>
        <v>6.6034535379151408E-3</v>
      </c>
      <c r="J76" s="26">
        <f>IF(G$320=0,0,SUM(G$17:G76)/G$320)</f>
        <v>0</v>
      </c>
      <c r="K76" s="26">
        <f>SUM(H$17:H76)/H$320</f>
        <v>6.6034535379151408E-3</v>
      </c>
      <c r="L76" s="26"/>
      <c r="M76" s="26"/>
      <c r="N76" s="27">
        <f t="shared" si="4"/>
        <v>3.7065788096122751E-2</v>
      </c>
      <c r="O76" s="27">
        <f t="shared" si="5"/>
        <v>0</v>
      </c>
      <c r="P76" s="26">
        <f t="shared" si="6"/>
        <v>3.7065788096122751E-2</v>
      </c>
      <c r="Q76" s="26">
        <f>IF(N$320=0,0,SUM(N$17:N76)/N$320)</f>
        <v>6.5075066310919666E-3</v>
      </c>
      <c r="R76" s="26">
        <f>IF(O$320=0,0,SUM(O$17:O76)/O$320)</f>
        <v>0</v>
      </c>
      <c r="S76" s="26">
        <f>SUM(P$17:P76)/P$320</f>
        <v>6.5075066310919666E-3</v>
      </c>
    </row>
    <row r="77" spans="1:19" x14ac:dyDescent="0.4">
      <c r="A77" s="6">
        <f t="shared" si="0"/>
        <v>0.43007393779767822</v>
      </c>
      <c r="B77" s="25">
        <f t="shared" si="9"/>
        <v>2.7016242454685999</v>
      </c>
      <c r="C77" s="25">
        <f t="shared" si="9"/>
        <v>0</v>
      </c>
      <c r="D77" s="27">
        <f t="shared" si="2"/>
        <v>2.7016242454685999</v>
      </c>
      <c r="E77" s="27"/>
      <c r="F77" s="26">
        <f t="shared" si="3"/>
        <v>4.0759218516916919E-2</v>
      </c>
      <c r="G77" s="26">
        <f t="shared" si="3"/>
        <v>0</v>
      </c>
      <c r="H77" s="26">
        <f t="shared" si="3"/>
        <v>4.0759218516916919E-2</v>
      </c>
      <c r="I77" s="26">
        <f>IF(F$320=0,0,SUM(F$17:F77)/F$320)</f>
        <v>7.0060440328153584E-3</v>
      </c>
      <c r="J77" s="26">
        <f>IF(G$320=0,0,SUM(G$17:G77)/G$320)</f>
        <v>0</v>
      </c>
      <c r="K77" s="26">
        <f>SUM(H$17:H77)/H$320</f>
        <v>7.0060440328153584E-3</v>
      </c>
      <c r="L77" s="26"/>
      <c r="M77" s="26"/>
      <c r="N77" s="27">
        <f t="shared" si="4"/>
        <v>3.9043037519466153E-2</v>
      </c>
      <c r="O77" s="27">
        <f t="shared" si="5"/>
        <v>0</v>
      </c>
      <c r="P77" s="26">
        <f t="shared" si="6"/>
        <v>3.9043037519466153E-2</v>
      </c>
      <c r="Q77" s="26">
        <f>IF(N$320=0,0,SUM(N$17:N77)/N$320)</f>
        <v>6.8998989679710234E-3</v>
      </c>
      <c r="R77" s="26">
        <f>IF(O$320=0,0,SUM(O$17:O77)/O$320)</f>
        <v>0</v>
      </c>
      <c r="S77" s="26">
        <f>SUM(P$17:P77)/P$320</f>
        <v>6.8998989679710234E-3</v>
      </c>
    </row>
    <row r="78" spans="1:19" x14ac:dyDescent="0.4">
      <c r="A78" s="6">
        <f t="shared" si="0"/>
        <v>0.44516086877458289</v>
      </c>
      <c r="B78" s="25">
        <f t="shared" si="9"/>
        <v>2.7474978297904649</v>
      </c>
      <c r="C78" s="25">
        <f t="shared" si="9"/>
        <v>0</v>
      </c>
      <c r="D78" s="27">
        <f t="shared" si="2"/>
        <v>2.7474978297904649</v>
      </c>
      <c r="E78" s="27"/>
      <c r="F78" s="26">
        <f t="shared" si="3"/>
        <v>4.2905416027134068E-2</v>
      </c>
      <c r="G78" s="26">
        <f t="shared" si="3"/>
        <v>0</v>
      </c>
      <c r="H78" s="26">
        <f t="shared" si="3"/>
        <v>4.2905416027134068E-2</v>
      </c>
      <c r="I78" s="26">
        <f>IF(F$320=0,0,SUM(F$17:F78)/F$320)</f>
        <v>7.4298331362569374E-3</v>
      </c>
      <c r="J78" s="26">
        <f>IF(G$320=0,0,SUM(G$17:G78)/G$320)</f>
        <v>0</v>
      </c>
      <c r="K78" s="26">
        <f>SUM(H$17:H78)/H$320</f>
        <v>7.4298331362569374E-3</v>
      </c>
      <c r="L78" s="26"/>
      <c r="M78" s="26"/>
      <c r="N78" s="27">
        <f t="shared" si="4"/>
        <v>4.1107779879163892E-2</v>
      </c>
      <c r="O78" s="27">
        <f t="shared" si="5"/>
        <v>0</v>
      </c>
      <c r="P78" s="26">
        <f t="shared" si="6"/>
        <v>4.1107779879163892E-2</v>
      </c>
      <c r="Q78" s="26">
        <f>IF(N$320=0,0,SUM(N$17:N78)/N$320)</f>
        <v>7.3130424843445294E-3</v>
      </c>
      <c r="R78" s="26">
        <f>IF(O$320=0,0,SUM(O$17:O78)/O$320)</f>
        <v>0</v>
      </c>
      <c r="S78" s="26">
        <f>SUM(P$17:P78)/P$320</f>
        <v>7.3130424843445294E-3</v>
      </c>
    </row>
    <row r="79" spans="1:19" x14ac:dyDescent="0.4">
      <c r="A79" s="6">
        <f t="shared" si="0"/>
        <v>0.46077704708850942</v>
      </c>
      <c r="B79" s="25">
        <f t="shared" si="9"/>
        <v>2.7929285704915876</v>
      </c>
      <c r="C79" s="25">
        <f t="shared" si="9"/>
        <v>0</v>
      </c>
      <c r="D79" s="27">
        <f t="shared" si="2"/>
        <v>2.7929285704915876</v>
      </c>
      <c r="E79" s="27"/>
      <c r="F79" s="26">
        <f t="shared" si="3"/>
        <v>4.5144873869868971E-2</v>
      </c>
      <c r="G79" s="26">
        <f t="shared" si="3"/>
        <v>0</v>
      </c>
      <c r="H79" s="26">
        <f t="shared" si="3"/>
        <v>4.5144873869868971E-2</v>
      </c>
      <c r="I79" s="26">
        <f>IF(F$320=0,0,SUM(F$17:F79)/F$320)</f>
        <v>7.8757420073000631E-3</v>
      </c>
      <c r="J79" s="26">
        <f>IF(G$320=0,0,SUM(G$17:G79)/G$320)</f>
        <v>0</v>
      </c>
      <c r="K79" s="26">
        <f>SUM(H$17:H79)/H$320</f>
        <v>7.8757420073000631E-3</v>
      </c>
      <c r="L79" s="26"/>
      <c r="M79" s="26"/>
      <c r="N79" s="27">
        <f t="shared" si="4"/>
        <v>4.3262788783515575E-2</v>
      </c>
      <c r="O79" s="27">
        <f t="shared" si="5"/>
        <v>0</v>
      </c>
      <c r="P79" s="26">
        <f t="shared" si="6"/>
        <v>4.3262788783515575E-2</v>
      </c>
      <c r="Q79" s="26">
        <f>IF(N$320=0,0,SUM(N$17:N79)/N$320)</f>
        <v>7.7478443816662934E-3</v>
      </c>
      <c r="R79" s="26">
        <f>IF(O$320=0,0,SUM(O$17:O79)/O$320)</f>
        <v>0</v>
      </c>
      <c r="S79" s="26">
        <f>SUM(P$17:P79)/P$320</f>
        <v>7.7478443816662934E-3</v>
      </c>
    </row>
    <row r="80" spans="1:19" x14ac:dyDescent="0.4">
      <c r="A80" s="6">
        <f t="shared" si="0"/>
        <v>0.47694103865880688</v>
      </c>
      <c r="B80" s="25">
        <f t="shared" si="9"/>
        <v>2.8378690862184355</v>
      </c>
      <c r="C80" s="25">
        <f t="shared" si="9"/>
        <v>0</v>
      </c>
      <c r="D80" s="27">
        <f t="shared" si="2"/>
        <v>2.8378690862184355</v>
      </c>
      <c r="E80" s="27"/>
      <c r="F80" s="26">
        <f t="shared" si="3"/>
        <v>4.7480450216120192E-2</v>
      </c>
      <c r="G80" s="26">
        <f t="shared" si="3"/>
        <v>0</v>
      </c>
      <c r="H80" s="26">
        <f t="shared" si="3"/>
        <v>4.7480450216120192E-2</v>
      </c>
      <c r="I80" s="26">
        <f>IF(F$320=0,0,SUM(F$17:F80)/F$320)</f>
        <v>8.3447200359798648E-3</v>
      </c>
      <c r="J80" s="26">
        <f>IF(G$320=0,0,SUM(G$17:G80)/G$320)</f>
        <v>0</v>
      </c>
      <c r="K80" s="26">
        <f>SUM(H$17:H80)/H$320</f>
        <v>8.3447200359798648E-3</v>
      </c>
      <c r="L80" s="26"/>
      <c r="M80" s="26"/>
      <c r="N80" s="27">
        <f t="shared" si="4"/>
        <v>4.5510862372714379E-2</v>
      </c>
      <c r="O80" s="27">
        <f t="shared" si="5"/>
        <v>0</v>
      </c>
      <c r="P80" s="26">
        <f t="shared" si="6"/>
        <v>4.5510862372714379E-2</v>
      </c>
      <c r="Q80" s="26">
        <f>IF(N$320=0,0,SUM(N$17:N80)/N$320)</f>
        <v>8.2052399834021163E-3</v>
      </c>
      <c r="R80" s="26">
        <f>IF(O$320=0,0,SUM(O$17:O80)/O$320)</f>
        <v>0</v>
      </c>
      <c r="S80" s="26">
        <f>SUM(P$17:P80)/P$320</f>
        <v>8.2052399834021163E-3</v>
      </c>
    </row>
    <row r="81" spans="1:19" x14ac:dyDescent="0.4">
      <c r="A81" s="6">
        <f t="shared" si="0"/>
        <v>0.49367206069456598</v>
      </c>
      <c r="B81" s="25">
        <f t="shared" si="9"/>
        <v>2.8822718710464335</v>
      </c>
      <c r="C81" s="25">
        <f t="shared" si="9"/>
        <v>0</v>
      </c>
      <c r="D81" s="27">
        <f t="shared" si="2"/>
        <v>2.8822718710464335</v>
      </c>
      <c r="E81" s="27"/>
      <c r="F81" s="26">
        <f t="shared" si="3"/>
        <v>4.9915022415152076E-2</v>
      </c>
      <c r="G81" s="26">
        <f t="shared" si="3"/>
        <v>0</v>
      </c>
      <c r="H81" s="26">
        <f t="shared" si="3"/>
        <v>4.9915022415152076E-2</v>
      </c>
      <c r="I81" s="26">
        <f>IF(F$320=0,0,SUM(F$17:F81)/F$320)</f>
        <v>8.8377450327356572E-3</v>
      </c>
      <c r="J81" s="26">
        <f>IF(G$320=0,0,SUM(G$17:G81)/G$320)</f>
        <v>0</v>
      </c>
      <c r="K81" s="26">
        <f>SUM(H$17:H81)/H$320</f>
        <v>8.8377450327356572E-3</v>
      </c>
      <c r="L81" s="26"/>
      <c r="M81" s="26"/>
      <c r="N81" s="27">
        <f t="shared" si="4"/>
        <v>4.7854819584171315E-2</v>
      </c>
      <c r="O81" s="27">
        <f t="shared" si="5"/>
        <v>0</v>
      </c>
      <c r="P81" s="26">
        <f t="shared" si="6"/>
        <v>4.7854819584171315E-2</v>
      </c>
      <c r="Q81" s="26">
        <f>IF(N$320=0,0,SUM(N$17:N81)/N$320)</f>
        <v>8.6861929440470529E-3</v>
      </c>
      <c r="R81" s="26">
        <f>IF(O$320=0,0,SUM(O$17:O81)/O$320)</f>
        <v>0</v>
      </c>
      <c r="S81" s="26">
        <f>SUM(P$17:P81)/P$320</f>
        <v>8.6861929440470529E-3</v>
      </c>
    </row>
    <row r="82" spans="1:19" x14ac:dyDescent="0.4">
      <c r="A82" s="6">
        <f t="shared" ref="A82:A145" si="10">10^((LOG(A$318)-LOG(A$17))/301+LOG(A81))</f>
        <v>0.51099000454176802</v>
      </c>
      <c r="B82" s="25">
        <f t="shared" ref="B82:C97" si="11">C$4*EXP(-0.5*(LN($A82)-LN(C$5))^2/(LN(C$6))^2)/($A82*SQRT(2*PI())*LN(C$6))</f>
        <v>2.9260893762235214</v>
      </c>
      <c r="C82" s="25">
        <f t="shared" si="11"/>
        <v>0</v>
      </c>
      <c r="D82" s="27">
        <f t="shared" ref="D82:D145" si="12">B82+C82</f>
        <v>2.9260893762235214</v>
      </c>
      <c r="E82" s="27"/>
      <c r="F82" s="26">
        <f t="shared" ref="F82:H145" si="13">B82*($A83-$A82)</f>
        <v>5.2451482825404218E-2</v>
      </c>
      <c r="G82" s="26">
        <f t="shared" si="13"/>
        <v>0</v>
      </c>
      <c r="H82" s="26">
        <f t="shared" si="13"/>
        <v>5.2451482825404218E-2</v>
      </c>
      <c r="I82" s="26">
        <f>IF(F$320=0,0,SUM(F$17:F82)/F$320)</f>
        <v>9.3558233766608597E-3</v>
      </c>
      <c r="J82" s="26">
        <f>IF(G$320=0,0,SUM(G$17:G82)/G$320)</f>
        <v>0</v>
      </c>
      <c r="K82" s="26">
        <f>SUM(H$17:H82)/H$320</f>
        <v>9.3558233766608597E-3</v>
      </c>
      <c r="L82" s="26"/>
      <c r="M82" s="26"/>
      <c r="N82" s="27">
        <f t="shared" ref="N82:N145" si="14">C$4*((NORMDIST(LN($A82),LN(C$5),LN(C$6),TRUE))-(NORMDIST(LN($A81),LN(C$5),LN(C$6),TRUE)))</f>
        <v>5.0297496176306133E-2</v>
      </c>
      <c r="O82" s="27">
        <f t="shared" ref="O82:O145" si="15">D$4*((NORMDIST(LN($A82),LN(D$5),LN(D$6),TRUE))-(NORMDIST(LN($A81),LN(D$5),LN(D$6),TRUE)))</f>
        <v>0</v>
      </c>
      <c r="P82" s="26">
        <f t="shared" ref="P82:P145" si="16">N82+O82</f>
        <v>5.0297496176306133E-2</v>
      </c>
      <c r="Q82" s="26">
        <f>IF(N$320=0,0,SUM(N$17:N82)/N$320)</f>
        <v>9.1916954181807814E-3</v>
      </c>
      <c r="R82" s="26">
        <f>IF(O$320=0,0,SUM(O$17:O82)/O$320)</f>
        <v>0</v>
      </c>
      <c r="S82" s="26">
        <f>SUM(P$17:P82)/P$320</f>
        <v>9.1916954181807814E-3</v>
      </c>
    </row>
    <row r="83" spans="1:19" x14ac:dyDescent="0.4">
      <c r="A83" s="6">
        <f t="shared" si="10"/>
        <v>0.5289154593319082</v>
      </c>
      <c r="B83" s="25">
        <f t="shared" si="11"/>
        <v>2.9692740933049833</v>
      </c>
      <c r="C83" s="25">
        <f t="shared" si="11"/>
        <v>0</v>
      </c>
      <c r="D83" s="27">
        <f t="shared" si="12"/>
        <v>2.9692740933049833</v>
      </c>
      <c r="E83" s="27"/>
      <c r="F83" s="26">
        <f t="shared" si="13"/>
        <v>5.5092734397069097E-2</v>
      </c>
      <c r="G83" s="26">
        <f t="shared" si="13"/>
        <v>0</v>
      </c>
      <c r="H83" s="26">
        <f t="shared" si="13"/>
        <v>5.5092734397069097E-2</v>
      </c>
      <c r="I83" s="26">
        <f>IF(F$320=0,0,SUM(F$17:F83)/F$320)</f>
        <v>9.8999901201207892E-3</v>
      </c>
      <c r="J83" s="26">
        <f>IF(G$320=0,0,SUM(G$17:G83)/G$320)</f>
        <v>0</v>
      </c>
      <c r="K83" s="26">
        <f>SUM(H$17:H83)/H$320</f>
        <v>9.8999901201207892E-3</v>
      </c>
      <c r="L83" s="26"/>
      <c r="M83" s="26"/>
      <c r="N83" s="27">
        <f t="shared" si="14"/>
        <v>5.2841740508993186E-2</v>
      </c>
      <c r="O83" s="27">
        <f t="shared" si="15"/>
        <v>0</v>
      </c>
      <c r="P83" s="26">
        <f t="shared" si="16"/>
        <v>5.2841740508993186E-2</v>
      </c>
      <c r="Q83" s="26">
        <f>IF(N$320=0,0,SUM(N$17:N83)/N$320)</f>
        <v>9.7227681871153854E-3</v>
      </c>
      <c r="R83" s="26">
        <f>IF(O$320=0,0,SUM(O$17:O83)/O$320)</f>
        <v>0</v>
      </c>
      <c r="S83" s="26">
        <f>SUM(P$17:P83)/P$320</f>
        <v>9.7227681871153854E-3</v>
      </c>
    </row>
    <row r="84" spans="1:19" x14ac:dyDescent="0.4">
      <c r="A84" s="6">
        <f t="shared" si="10"/>
        <v>0.54746973646021047</v>
      </c>
      <c r="B84" s="25">
        <f t="shared" si="11"/>
        <v>3.0117786384815415</v>
      </c>
      <c r="C84" s="25">
        <f t="shared" si="11"/>
        <v>0</v>
      </c>
      <c r="D84" s="27">
        <f t="shared" si="12"/>
        <v>3.0117786384815415</v>
      </c>
      <c r="E84" s="27"/>
      <c r="F84" s="26">
        <f t="shared" si="13"/>
        <v>5.7841686005475623E-2</v>
      </c>
      <c r="G84" s="26">
        <f t="shared" si="13"/>
        <v>0</v>
      </c>
      <c r="H84" s="26">
        <f t="shared" si="13"/>
        <v>5.7841686005475623E-2</v>
      </c>
      <c r="I84" s="26">
        <f>IF(F$320=0,0,SUM(F$17:F84)/F$320)</f>
        <v>1.0471309047276924E-2</v>
      </c>
      <c r="J84" s="26">
        <f>IF(G$320=0,0,SUM(G$17:G84)/G$320)</f>
        <v>0</v>
      </c>
      <c r="K84" s="26">
        <f>SUM(H$17:H84)/H$320</f>
        <v>1.0471309047276924E-2</v>
      </c>
      <c r="L84" s="26"/>
      <c r="M84" s="26"/>
      <c r="N84" s="27">
        <f t="shared" si="14"/>
        <v>5.5490409079426636E-2</v>
      </c>
      <c r="O84" s="27">
        <f t="shared" si="15"/>
        <v>0</v>
      </c>
      <c r="P84" s="26">
        <f t="shared" si="16"/>
        <v>5.5490409079426636E-2</v>
      </c>
      <c r="Q84" s="26">
        <f>IF(N$320=0,0,SUM(N$17:N84)/N$320)</f>
        <v>1.0280460740677462E-2</v>
      </c>
      <c r="R84" s="26">
        <f>IF(O$320=0,0,SUM(O$17:O84)/O$320)</f>
        <v>0</v>
      </c>
      <c r="S84" s="26">
        <f>SUM(P$17:P84)/P$320</f>
        <v>1.0280460740677462E-2</v>
      </c>
    </row>
    <row r="85" spans="1:19" x14ac:dyDescent="0.4">
      <c r="A85" s="6">
        <f t="shared" si="10"/>
        <v>0.56667489492253287</v>
      </c>
      <c r="B85" s="25">
        <f t="shared" si="11"/>
        <v>3.0535558378960421</v>
      </c>
      <c r="C85" s="25">
        <f t="shared" si="11"/>
        <v>0</v>
      </c>
      <c r="D85" s="27">
        <f t="shared" si="12"/>
        <v>3.0535558378960421</v>
      </c>
      <c r="E85" s="27"/>
      <c r="F85" s="26">
        <f t="shared" si="13"/>
        <v>6.070124753518457E-2</v>
      </c>
      <c r="G85" s="26">
        <f t="shared" si="13"/>
        <v>0</v>
      </c>
      <c r="H85" s="26">
        <f t="shared" si="13"/>
        <v>6.070124753518457E-2</v>
      </c>
      <c r="I85" s="26">
        <f>IF(F$320=0,0,SUM(F$17:F85)/F$320)</f>
        <v>1.1070872684055381E-2</v>
      </c>
      <c r="J85" s="26">
        <f>IF(G$320=0,0,SUM(G$17:G85)/G$320)</f>
        <v>0</v>
      </c>
      <c r="K85" s="26">
        <f>SUM(H$17:H85)/H$320</f>
        <v>1.1070872684055381E-2</v>
      </c>
      <c r="L85" s="26"/>
      <c r="M85" s="26"/>
      <c r="N85" s="27">
        <f t="shared" si="14"/>
        <v>5.8246361812947824E-2</v>
      </c>
      <c r="O85" s="27">
        <f t="shared" si="15"/>
        <v>0</v>
      </c>
      <c r="P85" s="26">
        <f t="shared" si="16"/>
        <v>5.8246361812947824E-2</v>
      </c>
      <c r="Q85" s="26">
        <f>IF(N$320=0,0,SUM(N$17:N85)/N$320)</f>
        <v>1.0865851311661862E-2</v>
      </c>
      <c r="R85" s="26">
        <f>IF(O$320=0,0,SUM(O$17:O85)/O$320)</f>
        <v>0</v>
      </c>
      <c r="S85" s="26">
        <f>SUM(P$17:P85)/P$320</f>
        <v>1.0865851311661862E-2</v>
      </c>
    </row>
    <row r="86" spans="1:19" x14ac:dyDescent="0.4">
      <c r="A86" s="6">
        <f t="shared" si="10"/>
        <v>0.58655376754108923</v>
      </c>
      <c r="B86" s="25">
        <f t="shared" si="11"/>
        <v>3.0945588137378577</v>
      </c>
      <c r="C86" s="25">
        <f t="shared" si="11"/>
        <v>0</v>
      </c>
      <c r="D86" s="27">
        <f t="shared" si="12"/>
        <v>3.0945588137378577</v>
      </c>
      <c r="E86" s="27"/>
      <c r="F86" s="26">
        <f t="shared" si="13"/>
        <v>6.3674324715446401E-2</v>
      </c>
      <c r="G86" s="26">
        <f t="shared" si="13"/>
        <v>0</v>
      </c>
      <c r="H86" s="26">
        <f t="shared" si="13"/>
        <v>6.3674324715446401E-2</v>
      </c>
      <c r="I86" s="26">
        <f>IF(F$320=0,0,SUM(F$17:F86)/F$320)</f>
        <v>1.1699802257103726E-2</v>
      </c>
      <c r="J86" s="26">
        <f>IF(G$320=0,0,SUM(G$17:G86)/G$320)</f>
        <v>0</v>
      </c>
      <c r="K86" s="26">
        <f>SUM(H$17:H86)/H$320</f>
        <v>1.1699802257103726E-2</v>
      </c>
      <c r="L86" s="26"/>
      <c r="M86" s="26"/>
      <c r="N86" s="27">
        <f t="shared" si="14"/>
        <v>6.111245710915536E-2</v>
      </c>
      <c r="O86" s="27">
        <f t="shared" si="15"/>
        <v>0</v>
      </c>
      <c r="P86" s="26">
        <f t="shared" si="16"/>
        <v>6.111245710915536E-2</v>
      </c>
      <c r="Q86" s="26">
        <f>IF(N$320=0,0,SUM(N$17:N86)/N$320)</f>
        <v>1.1480046860497594E-2</v>
      </c>
      <c r="R86" s="26">
        <f>IF(O$320=0,0,SUM(O$17:O86)/O$320)</f>
        <v>0</v>
      </c>
      <c r="S86" s="26">
        <f>SUM(P$17:P86)/P$320</f>
        <v>1.1480046860497594E-2</v>
      </c>
    </row>
    <row r="87" spans="1:19" x14ac:dyDescent="0.4">
      <c r="A87" s="6">
        <f t="shared" si="10"/>
        <v>0.60712998811016461</v>
      </c>
      <c r="B87" s="25">
        <f t="shared" si="11"/>
        <v>3.1347410708986945</v>
      </c>
      <c r="C87" s="25">
        <f t="shared" si="11"/>
        <v>0</v>
      </c>
      <c r="D87" s="27">
        <f t="shared" si="12"/>
        <v>3.1347410708986945</v>
      </c>
      <c r="E87" s="27"/>
      <c r="F87" s="26">
        <f t="shared" si="13"/>
        <v>6.6763813708507411E-2</v>
      </c>
      <c r="G87" s="26">
        <f t="shared" si="13"/>
        <v>0</v>
      </c>
      <c r="H87" s="26">
        <f t="shared" si="13"/>
        <v>6.6763813708507411E-2</v>
      </c>
      <c r="I87" s="26">
        <f>IF(F$320=0,0,SUM(F$17:F87)/F$320)</f>
        <v>1.235924759929492E-2</v>
      </c>
      <c r="J87" s="26">
        <f>IF(G$320=0,0,SUM(G$17:G87)/G$320)</f>
        <v>0</v>
      </c>
      <c r="K87" s="26">
        <f>SUM(H$17:H87)/H$320</f>
        <v>1.235924759929492E-2</v>
      </c>
      <c r="L87" s="26"/>
      <c r="M87" s="26"/>
      <c r="N87" s="27">
        <f t="shared" si="14"/>
        <v>6.409154664423436E-2</v>
      </c>
      <c r="O87" s="27">
        <f t="shared" si="15"/>
        <v>0</v>
      </c>
      <c r="P87" s="26">
        <f t="shared" si="16"/>
        <v>6.409154664423436E-2</v>
      </c>
      <c r="Q87" s="26">
        <f>IF(N$320=0,0,SUM(N$17:N87)/N$320)</f>
        <v>1.2124183007675829E-2</v>
      </c>
      <c r="R87" s="26">
        <f>IF(O$320=0,0,SUM(O$17:O87)/O$320)</f>
        <v>0</v>
      </c>
      <c r="S87" s="26">
        <f>SUM(P$17:P87)/P$320</f>
        <v>1.2124183007675829E-2</v>
      </c>
    </row>
    <row r="88" spans="1:19" x14ac:dyDescent="0.4">
      <c r="A88" s="6">
        <f t="shared" si="10"/>
        <v>0.62842801949409866</v>
      </c>
      <c r="B88" s="25">
        <f t="shared" si="11"/>
        <v>3.1740565839687793</v>
      </c>
      <c r="C88" s="25">
        <f t="shared" si="11"/>
        <v>0</v>
      </c>
      <c r="D88" s="27">
        <f t="shared" si="12"/>
        <v>3.1740565839687793</v>
      </c>
      <c r="E88" s="27"/>
      <c r="F88" s="26">
        <f t="shared" si="13"/>
        <v>6.9972595453088357E-2</v>
      </c>
      <c r="G88" s="26">
        <f t="shared" si="13"/>
        <v>0</v>
      </c>
      <c r="H88" s="26">
        <f t="shared" si="13"/>
        <v>6.9972595453088357E-2</v>
      </c>
      <c r="I88" s="26">
        <f>IF(F$320=0,0,SUM(F$17:F88)/F$320)</f>
        <v>1.3050386999360199E-2</v>
      </c>
      <c r="J88" s="26">
        <f>IF(G$320=0,0,SUM(G$17:G88)/G$320)</f>
        <v>0</v>
      </c>
      <c r="K88" s="26">
        <f>SUM(H$17:H88)/H$320</f>
        <v>1.3050386999360199E-2</v>
      </c>
      <c r="L88" s="26"/>
      <c r="M88" s="26"/>
      <c r="N88" s="27">
        <f t="shared" si="14"/>
        <v>6.7186469931512949E-2</v>
      </c>
      <c r="O88" s="27">
        <f t="shared" si="15"/>
        <v>0</v>
      </c>
      <c r="P88" s="26">
        <f t="shared" si="16"/>
        <v>6.7186469931512949E-2</v>
      </c>
      <c r="Q88" s="26">
        <f>IF(N$320=0,0,SUM(N$17:N88)/N$320)</f>
        <v>1.279942391151013E-2</v>
      </c>
      <c r="R88" s="26">
        <f>IF(O$320=0,0,SUM(O$17:O88)/O$320)</f>
        <v>0</v>
      </c>
      <c r="S88" s="26">
        <f>SUM(P$17:P88)/P$320</f>
        <v>1.279942391151013E-2</v>
      </c>
    </row>
    <row r="89" spans="1:19" x14ac:dyDescent="0.4">
      <c r="A89" s="6">
        <f t="shared" si="10"/>
        <v>0.65047318271094212</v>
      </c>
      <c r="B89" s="25">
        <f t="shared" si="11"/>
        <v>3.2124598843482381</v>
      </c>
      <c r="C89" s="25">
        <f t="shared" si="11"/>
        <v>0</v>
      </c>
      <c r="D89" s="27">
        <f t="shared" si="12"/>
        <v>3.2124598843482381</v>
      </c>
      <c r="E89" s="27"/>
      <c r="F89" s="26">
        <f t="shared" si="13"/>
        <v>7.3303529766244171E-2</v>
      </c>
      <c r="G89" s="26">
        <f t="shared" si="13"/>
        <v>0</v>
      </c>
      <c r="H89" s="26">
        <f t="shared" si="13"/>
        <v>7.3303529766244171E-2</v>
      </c>
      <c r="I89" s="26">
        <f>IF(F$320=0,0,SUM(F$17:F89)/F$320)</f>
        <v>1.3774426993264316E-2</v>
      </c>
      <c r="J89" s="26">
        <f>IF(G$320=0,0,SUM(G$17:G89)/G$320)</f>
        <v>0</v>
      </c>
      <c r="K89" s="26">
        <f>SUM(H$17:H89)/H$320</f>
        <v>1.3774426993264316E-2</v>
      </c>
      <c r="L89" s="26"/>
      <c r="M89" s="26"/>
      <c r="N89" s="27">
        <f t="shared" si="14"/>
        <v>7.0400048642829144E-2</v>
      </c>
      <c r="O89" s="27">
        <f t="shared" si="15"/>
        <v>0</v>
      </c>
      <c r="P89" s="26">
        <f t="shared" si="16"/>
        <v>7.0400048642829144E-2</v>
      </c>
      <c r="Q89" s="26">
        <f>IF(N$320=0,0,SUM(N$17:N89)/N$320)</f>
        <v>1.3506962088824995E-2</v>
      </c>
      <c r="R89" s="26">
        <f>IF(O$320=0,0,SUM(O$17:O89)/O$320)</f>
        <v>0</v>
      </c>
      <c r="S89" s="26">
        <f>SUM(P$17:P89)/P$320</f>
        <v>1.3506962088824995E-2</v>
      </c>
    </row>
    <row r="90" spans="1:19" x14ac:dyDescent="0.4">
      <c r="A90" s="6">
        <f t="shared" si="10"/>
        <v>0.67329168703636388</v>
      </c>
      <c r="B90" s="25">
        <f t="shared" si="11"/>
        <v>3.2499061472452042</v>
      </c>
      <c r="C90" s="25">
        <f t="shared" si="11"/>
        <v>0</v>
      </c>
      <c r="D90" s="27">
        <f t="shared" si="12"/>
        <v>3.2499061472452042</v>
      </c>
      <c r="E90" s="27"/>
      <c r="F90" s="26">
        <f t="shared" si="13"/>
        <v>7.6759449207725428E-2</v>
      </c>
      <c r="G90" s="26">
        <f t="shared" si="13"/>
        <v>0</v>
      </c>
      <c r="H90" s="26">
        <f t="shared" si="13"/>
        <v>7.6759449207725428E-2</v>
      </c>
      <c r="I90" s="26">
        <f>IF(F$320=0,0,SUM(F$17:F90)/F$320)</f>
        <v>1.4532602094977327E-2</v>
      </c>
      <c r="J90" s="26">
        <f>IF(G$320=0,0,SUM(G$17:G90)/G$320)</f>
        <v>0</v>
      </c>
      <c r="K90" s="26">
        <f>SUM(H$17:H90)/H$320</f>
        <v>1.4532602094977327E-2</v>
      </c>
      <c r="L90" s="26"/>
      <c r="M90" s="26"/>
      <c r="N90" s="27">
        <f t="shared" si="14"/>
        <v>7.3735080694420196E-2</v>
      </c>
      <c r="O90" s="27">
        <f t="shared" si="15"/>
        <v>0</v>
      </c>
      <c r="P90" s="26">
        <f t="shared" si="16"/>
        <v>7.3735080694420196E-2</v>
      </c>
      <c r="Q90" s="26">
        <f>IF(N$320=0,0,SUM(N$17:N90)/N$320)</f>
        <v>1.4248018176206101E-2</v>
      </c>
      <c r="R90" s="26">
        <f>IF(O$320=0,0,SUM(O$17:O90)/O$320)</f>
        <v>0</v>
      </c>
      <c r="S90" s="26">
        <f>SUM(P$17:P90)/P$320</f>
        <v>1.4248018176206101E-2</v>
      </c>
    </row>
    <row r="91" spans="1:19" x14ac:dyDescent="0.4">
      <c r="A91" s="6">
        <f t="shared" si="10"/>
        <v>0.69691066116359857</v>
      </c>
      <c r="B91" s="25">
        <f t="shared" si="11"/>
        <v>3.2863512783296476</v>
      </c>
      <c r="C91" s="25">
        <f t="shared" si="11"/>
        <v>0</v>
      </c>
      <c r="D91" s="27">
        <f t="shared" si="12"/>
        <v>3.2863512783296476</v>
      </c>
      <c r="E91" s="27"/>
      <c r="F91" s="26">
        <f t="shared" si="13"/>
        <v>8.0343152711908228E-2</v>
      </c>
      <c r="G91" s="26">
        <f t="shared" si="13"/>
        <v>0</v>
      </c>
      <c r="H91" s="26">
        <f t="shared" si="13"/>
        <v>8.0343152711908228E-2</v>
      </c>
      <c r="I91" s="26">
        <f>IF(F$320=0,0,SUM(F$17:F91)/F$320)</f>
        <v>1.5326174464347121E-2</v>
      </c>
      <c r="J91" s="26">
        <f>IF(G$320=0,0,SUM(G$17:G91)/G$320)</f>
        <v>0</v>
      </c>
      <c r="K91" s="26">
        <f>SUM(H$17:H91)/H$320</f>
        <v>1.5326174464347121E-2</v>
      </c>
      <c r="L91" s="26"/>
      <c r="M91" s="26"/>
      <c r="N91" s="27">
        <f t="shared" si="14"/>
        <v>7.719433410174649E-2</v>
      </c>
      <c r="O91" s="27">
        <f t="shared" si="15"/>
        <v>0</v>
      </c>
      <c r="P91" s="26">
        <f t="shared" si="16"/>
        <v>7.719433410174649E-2</v>
      </c>
      <c r="Q91" s="26">
        <f>IF(N$320=0,0,SUM(N$17:N91)/N$320)</f>
        <v>1.5023840629489985E-2</v>
      </c>
      <c r="R91" s="26">
        <f>IF(O$320=0,0,SUM(O$17:O91)/O$320)</f>
        <v>0</v>
      </c>
      <c r="S91" s="26">
        <f>SUM(P$17:P91)/P$320</f>
        <v>1.5023840629489985E-2</v>
      </c>
    </row>
    <row r="92" spans="1:19" x14ac:dyDescent="0.4">
      <c r="A92" s="6">
        <f t="shared" si="10"/>
        <v>0.72135818545648067</v>
      </c>
      <c r="B92" s="25">
        <f t="shared" si="11"/>
        <v>3.3217519998100826</v>
      </c>
      <c r="C92" s="25">
        <f t="shared" si="11"/>
        <v>0</v>
      </c>
      <c r="D92" s="27">
        <f t="shared" si="12"/>
        <v>3.3217519998100826</v>
      </c>
      <c r="E92" s="27"/>
      <c r="F92" s="26">
        <f t="shared" si="13"/>
        <v>8.4057398993325108E-2</v>
      </c>
      <c r="G92" s="26">
        <f t="shared" si="13"/>
        <v>0</v>
      </c>
      <c r="H92" s="26">
        <f t="shared" si="13"/>
        <v>8.4057398993325108E-2</v>
      </c>
      <c r="I92" s="26">
        <f>IF(F$320=0,0,SUM(F$17:F92)/F$320)</f>
        <v>1.6156433509836483E-2</v>
      </c>
      <c r="J92" s="26">
        <f>IF(G$320=0,0,SUM(G$17:G92)/G$320)</f>
        <v>0</v>
      </c>
      <c r="K92" s="26">
        <f>SUM(H$17:H92)/H$320</f>
        <v>1.6156433509836483E-2</v>
      </c>
      <c r="L92" s="26"/>
      <c r="M92" s="26"/>
      <c r="N92" s="27">
        <f t="shared" si="14"/>
        <v>8.0780540608804158E-2</v>
      </c>
      <c r="O92" s="27">
        <f t="shared" si="15"/>
        <v>0</v>
      </c>
      <c r="P92" s="26">
        <f t="shared" si="16"/>
        <v>8.0780540608804158E-2</v>
      </c>
      <c r="Q92" s="26">
        <f>IF(N$320=0,0,SUM(N$17:N92)/N$320)</f>
        <v>1.5835705359226709E-2</v>
      </c>
      <c r="R92" s="26">
        <f>IF(O$320=0,0,SUM(O$17:O92)/O$320)</f>
        <v>0</v>
      </c>
      <c r="S92" s="26">
        <f>SUM(P$17:P92)/P$320</f>
        <v>1.5835705359226709E-2</v>
      </c>
    </row>
    <row r="93" spans="1:19" x14ac:dyDescent="0.4">
      <c r="A93" s="6">
        <f t="shared" si="10"/>
        <v>0.74666332533391011</v>
      </c>
      <c r="B93" s="25">
        <f t="shared" si="11"/>
        <v>3.3560659356993177</v>
      </c>
      <c r="C93" s="25">
        <f t="shared" si="11"/>
        <v>0</v>
      </c>
      <c r="D93" s="27">
        <f t="shared" si="12"/>
        <v>3.3560659356993177</v>
      </c>
      <c r="E93" s="27"/>
      <c r="F93" s="26">
        <f t="shared" si="13"/>
        <v>8.7904899732830097E-2</v>
      </c>
      <c r="G93" s="26">
        <f t="shared" si="13"/>
        <v>0</v>
      </c>
      <c r="H93" s="26">
        <f t="shared" si="13"/>
        <v>8.7904899732830097E-2</v>
      </c>
      <c r="I93" s="26">
        <f>IF(F$320=0,0,SUM(F$17:F93)/F$320)</f>
        <v>1.7024695423957969E-2</v>
      </c>
      <c r="J93" s="26">
        <f>IF(G$320=0,0,SUM(G$17:G93)/G$320)</f>
        <v>0</v>
      </c>
      <c r="K93" s="26">
        <f>SUM(H$17:H93)/H$320</f>
        <v>1.7024695423957969E-2</v>
      </c>
      <c r="L93" s="26"/>
      <c r="M93" s="26"/>
      <c r="N93" s="27">
        <f t="shared" si="14"/>
        <v>8.4496389098248637E-2</v>
      </c>
      <c r="O93" s="27">
        <f t="shared" si="15"/>
        <v>0</v>
      </c>
      <c r="P93" s="26">
        <f t="shared" si="16"/>
        <v>8.4496389098248637E-2</v>
      </c>
      <c r="Q93" s="26">
        <f>IF(N$320=0,0,SUM(N$17:N93)/N$320)</f>
        <v>1.6684915299912628E-2</v>
      </c>
      <c r="R93" s="26">
        <f>IF(O$320=0,0,SUM(O$17:O93)/O$320)</f>
        <v>0</v>
      </c>
      <c r="S93" s="26">
        <f>SUM(P$17:P93)/P$320</f>
        <v>1.6684915299912628E-2</v>
      </c>
    </row>
    <row r="94" spans="1:19" x14ac:dyDescent="0.4">
      <c r="A94" s="6">
        <f t="shared" si="10"/>
        <v>0.77285616582544026</v>
      </c>
      <c r="B94" s="25">
        <f t="shared" si="11"/>
        <v>3.3892516960353243</v>
      </c>
      <c r="C94" s="25">
        <f t="shared" si="11"/>
        <v>0</v>
      </c>
      <c r="D94" s="27">
        <f t="shared" si="12"/>
        <v>3.3892516960353243</v>
      </c>
      <c r="E94" s="27"/>
      <c r="F94" s="26">
        <f t="shared" si="13"/>
        <v>9.18883125524418E-2</v>
      </c>
      <c r="G94" s="26">
        <f t="shared" si="13"/>
        <v>0</v>
      </c>
      <c r="H94" s="26">
        <f t="shared" si="13"/>
        <v>9.18883125524418E-2</v>
      </c>
      <c r="I94" s="26">
        <f>IF(F$320=0,0,SUM(F$17:F94)/F$320)</f>
        <v>1.7932302649319259E-2</v>
      </c>
      <c r="J94" s="26">
        <f>IF(G$320=0,0,SUM(G$17:G94)/G$320)</f>
        <v>0</v>
      </c>
      <c r="K94" s="26">
        <f>SUM(H$17:H94)/H$320</f>
        <v>1.7932302649319259E-2</v>
      </c>
      <c r="L94" s="26"/>
      <c r="M94" s="26"/>
      <c r="N94" s="27">
        <f t="shared" si="14"/>
        <v>8.8344518789797502E-2</v>
      </c>
      <c r="O94" s="27">
        <f t="shared" si="15"/>
        <v>0</v>
      </c>
      <c r="P94" s="26">
        <f t="shared" si="16"/>
        <v>8.8344518789797502E-2</v>
      </c>
      <c r="Q94" s="26">
        <f>IF(N$320=0,0,SUM(N$17:N94)/N$320)</f>
        <v>1.7572799910865366E-2</v>
      </c>
      <c r="R94" s="26">
        <f>IF(O$320=0,0,SUM(O$17:O94)/O$320)</f>
        <v>0</v>
      </c>
      <c r="S94" s="26">
        <f>SUM(P$17:P94)/P$320</f>
        <v>1.7572799910865366E-2</v>
      </c>
    </row>
    <row r="95" spans="1:19" x14ac:dyDescent="0.4">
      <c r="A95" s="6">
        <f t="shared" si="10"/>
        <v>0.79996784733907078</v>
      </c>
      <c r="B95" s="25">
        <f t="shared" si="11"/>
        <v>3.4212689598238413</v>
      </c>
      <c r="C95" s="25">
        <f t="shared" si="11"/>
        <v>0</v>
      </c>
      <c r="D95" s="27">
        <f t="shared" si="12"/>
        <v>3.4212689598238413</v>
      </c>
      <c r="E95" s="27"/>
      <c r="F95" s="26">
        <f t="shared" si="13"/>
        <v>9.6010233787950192E-2</v>
      </c>
      <c r="G95" s="26">
        <f t="shared" si="13"/>
        <v>0</v>
      </c>
      <c r="H95" s="26">
        <f t="shared" si="13"/>
        <v>9.6010233787950192E-2</v>
      </c>
      <c r="I95" s="26">
        <f>IF(F$320=0,0,SUM(F$17:F95)/F$320)</f>
        <v>1.8880623273281511E-2</v>
      </c>
      <c r="J95" s="26">
        <f>IF(G$320=0,0,SUM(G$17:G95)/G$320)</f>
        <v>0</v>
      </c>
      <c r="K95" s="26">
        <f>SUM(H$17:H95)/H$320</f>
        <v>1.8880623273281511E-2</v>
      </c>
      <c r="L95" s="26"/>
      <c r="M95" s="26"/>
      <c r="N95" s="27">
        <f t="shared" si="14"/>
        <v>9.2327512235339942E-2</v>
      </c>
      <c r="O95" s="27">
        <f t="shared" si="15"/>
        <v>0</v>
      </c>
      <c r="P95" s="26">
        <f t="shared" si="16"/>
        <v>9.2327512235339942E-2</v>
      </c>
      <c r="Q95" s="26">
        <f>IF(N$320=0,0,SUM(N$17:N95)/N$320)</f>
        <v>1.8500714606697926E-2</v>
      </c>
      <c r="R95" s="26">
        <f>IF(O$320=0,0,SUM(O$17:O95)/O$320)</f>
        <v>0</v>
      </c>
      <c r="S95" s="26">
        <f>SUM(P$17:P95)/P$320</f>
        <v>1.8500714606697926E-2</v>
      </c>
    </row>
    <row r="96" spans="1:19" x14ac:dyDescent="0.4">
      <c r="A96" s="6">
        <f t="shared" si="10"/>
        <v>0.82803060268377005</v>
      </c>
      <c r="B96" s="25">
        <f t="shared" si="11"/>
        <v>3.4520785564708141</v>
      </c>
      <c r="C96" s="25">
        <f t="shared" si="11"/>
        <v>0</v>
      </c>
      <c r="D96" s="27">
        <f t="shared" si="12"/>
        <v>3.4520785564708141</v>
      </c>
      <c r="E96" s="27"/>
      <c r="F96" s="26">
        <f t="shared" si="13"/>
        <v>0.10027319106940841</v>
      </c>
      <c r="G96" s="26">
        <f t="shared" si="13"/>
        <v>0</v>
      </c>
      <c r="H96" s="26">
        <f t="shared" si="13"/>
        <v>0.10027319106940841</v>
      </c>
      <c r="I96" s="26">
        <f>IF(F$320=0,0,SUM(F$17:F96)/F$320)</f>
        <v>1.9871050349333088E-2</v>
      </c>
      <c r="J96" s="26">
        <f>IF(G$320=0,0,SUM(G$17:G96)/G$320)</f>
        <v>0</v>
      </c>
      <c r="K96" s="26">
        <f>SUM(H$17:H96)/H$320</f>
        <v>1.9871050349333088E-2</v>
      </c>
      <c r="L96" s="26"/>
      <c r="M96" s="26"/>
      <c r="N96" s="27">
        <f t="shared" si="14"/>
        <v>9.6447888120103353E-2</v>
      </c>
      <c r="O96" s="27">
        <f t="shared" si="15"/>
        <v>0</v>
      </c>
      <c r="P96" s="26">
        <f t="shared" si="16"/>
        <v>9.6447888120103353E-2</v>
      </c>
      <c r="Q96" s="26">
        <f>IF(N$320=0,0,SUM(N$17:N96)/N$320)</f>
        <v>1.9470040115442684E-2</v>
      </c>
      <c r="R96" s="26">
        <f>IF(O$320=0,0,SUM(O$17:O96)/O$320)</f>
        <v>0</v>
      </c>
      <c r="S96" s="26">
        <f>SUM(P$17:P96)/P$320</f>
        <v>1.9470040115442684E-2</v>
      </c>
    </row>
    <row r="97" spans="1:19" x14ac:dyDescent="0.4">
      <c r="A97" s="6">
        <f t="shared" si="10"/>
        <v>0.85707779539074058</v>
      </c>
      <c r="B97" s="25">
        <f t="shared" si="11"/>
        <v>3.4816425454751547</v>
      </c>
      <c r="C97" s="25">
        <f t="shared" si="11"/>
        <v>0</v>
      </c>
      <c r="D97" s="27">
        <f t="shared" si="12"/>
        <v>3.4816425454751547</v>
      </c>
      <c r="E97" s="27"/>
      <c r="F97" s="26">
        <f t="shared" si="13"/>
        <v>0.10467963572072693</v>
      </c>
      <c r="G97" s="26">
        <f t="shared" si="13"/>
        <v>0</v>
      </c>
      <c r="H97" s="26">
        <f t="shared" si="13"/>
        <v>0.10467963572072693</v>
      </c>
      <c r="I97" s="26">
        <f>IF(F$320=0,0,SUM(F$17:F97)/F$320)</f>
        <v>2.0905001143391878E-2</v>
      </c>
      <c r="J97" s="26">
        <f>IF(G$320=0,0,SUM(G$17:G97)/G$320)</f>
        <v>0</v>
      </c>
      <c r="K97" s="26">
        <f>SUM(H$17:H97)/H$320</f>
        <v>2.0905001143391878E-2</v>
      </c>
      <c r="L97" s="26"/>
      <c r="M97" s="26"/>
      <c r="N97" s="27">
        <f t="shared" si="14"/>
        <v>0.10070809388047705</v>
      </c>
      <c r="O97" s="27">
        <f t="shared" si="15"/>
        <v>0</v>
      </c>
      <c r="P97" s="26">
        <f t="shared" si="16"/>
        <v>0.10070809388047705</v>
      </c>
      <c r="Q97" s="26">
        <f>IF(N$320=0,0,SUM(N$17:N97)/N$320)</f>
        <v>2.0482181762482652E-2</v>
      </c>
      <c r="R97" s="26">
        <f>IF(O$320=0,0,SUM(O$17:O97)/O$320)</f>
        <v>0</v>
      </c>
      <c r="S97" s="26">
        <f>SUM(P$17:P97)/P$320</f>
        <v>2.0482181762482652E-2</v>
      </c>
    </row>
    <row r="98" spans="1:19" x14ac:dyDescent="0.4">
      <c r="A98" s="6">
        <f t="shared" si="10"/>
        <v>0.88714395937899138</v>
      </c>
      <c r="B98" s="25">
        <f t="shared" ref="B98:C113" si="17">C$4*EXP(-0.5*(LN($A98)-LN(C$5))^2/(LN(C$6))^2)/($A98*SQRT(2*PI())*LN(C$6))</f>
        <v>3.5099242941553546</v>
      </c>
      <c r="C98" s="25">
        <f t="shared" si="17"/>
        <v>0</v>
      </c>
      <c r="D98" s="27">
        <f t="shared" si="12"/>
        <v>3.5099242941553546</v>
      </c>
      <c r="E98" s="27"/>
      <c r="F98" s="26">
        <f t="shared" si="13"/>
        <v>0.10923193499060595</v>
      </c>
      <c r="G98" s="26">
        <f t="shared" si="13"/>
        <v>0</v>
      </c>
      <c r="H98" s="26">
        <f t="shared" si="13"/>
        <v>0.10923193499060595</v>
      </c>
      <c r="I98" s="26">
        <f>IF(F$320=0,0,SUM(F$17:F98)/F$320)</f>
        <v>2.1983916303370342E-2</v>
      </c>
      <c r="J98" s="26">
        <f>IF(G$320=0,0,SUM(G$17:G98)/G$320)</f>
        <v>0</v>
      </c>
      <c r="K98" s="26">
        <f>SUM(H$17:H98)/H$320</f>
        <v>2.1983916303370342E-2</v>
      </c>
      <c r="L98" s="26"/>
      <c r="M98" s="26"/>
      <c r="N98" s="27">
        <f t="shared" si="14"/>
        <v>0.10511049814996044</v>
      </c>
      <c r="O98" s="27">
        <f t="shared" si="15"/>
        <v>0</v>
      </c>
      <c r="P98" s="26">
        <f t="shared" si="16"/>
        <v>0.10511049814996044</v>
      </c>
      <c r="Q98" s="26">
        <f>IF(N$320=0,0,SUM(N$17:N98)/N$320)</f>
        <v>2.1538568678562658E-2</v>
      </c>
      <c r="R98" s="26">
        <f>IF(O$320=0,0,SUM(O$17:O98)/O$320)</f>
        <v>0</v>
      </c>
      <c r="S98" s="26">
        <f>SUM(P$17:P98)/P$320</f>
        <v>2.1538568678562658E-2</v>
      </c>
    </row>
    <row r="99" spans="1:19" x14ac:dyDescent="0.4">
      <c r="A99" s="6">
        <f t="shared" si="10"/>
        <v>0.91826484001237041</v>
      </c>
      <c r="B99" s="25">
        <f t="shared" si="17"/>
        <v>3.5368885531874357</v>
      </c>
      <c r="C99" s="25">
        <f t="shared" si="17"/>
        <v>0</v>
      </c>
      <c r="D99" s="27">
        <f t="shared" si="12"/>
        <v>3.5368885531874357</v>
      </c>
      <c r="E99" s="27"/>
      <c r="F99" s="26">
        <f t="shared" si="13"/>
        <v>0.11393236412817191</v>
      </c>
      <c r="G99" s="26">
        <f t="shared" si="13"/>
        <v>0</v>
      </c>
      <c r="H99" s="26">
        <f t="shared" si="13"/>
        <v>0.11393236412817191</v>
      </c>
      <c r="I99" s="26">
        <f>IF(F$320=0,0,SUM(F$17:F99)/F$320)</f>
        <v>2.3109258950469308E-2</v>
      </c>
      <c r="J99" s="26">
        <f>IF(G$320=0,0,SUM(G$17:G99)/G$320)</f>
        <v>0</v>
      </c>
      <c r="K99" s="26">
        <f>SUM(H$17:H99)/H$320</f>
        <v>2.3109258950469308E-2</v>
      </c>
      <c r="L99" s="26"/>
      <c r="M99" s="26"/>
      <c r="N99" s="27">
        <f t="shared" si="14"/>
        <v>0.10965738304576089</v>
      </c>
      <c r="O99" s="27">
        <f t="shared" si="15"/>
        <v>0</v>
      </c>
      <c r="P99" s="26">
        <f t="shared" si="16"/>
        <v>0.10965738304576089</v>
      </c>
      <c r="Q99" s="26">
        <f>IF(N$320=0,0,SUM(N$17:N99)/N$320)</f>
        <v>2.2640652930278844E-2</v>
      </c>
      <c r="R99" s="26">
        <f>IF(O$320=0,0,SUM(O$17:O99)/O$320)</f>
        <v>0</v>
      </c>
      <c r="S99" s="26">
        <f>SUM(P$17:P99)/P$320</f>
        <v>2.2640652930278844E-2</v>
      </c>
    </row>
    <row r="100" spans="1:19" x14ac:dyDescent="0.4">
      <c r="A100" s="6">
        <f t="shared" si="10"/>
        <v>0.950477436596873</v>
      </c>
      <c r="B100" s="25">
        <f t="shared" si="17"/>
        <v>3.5625015297365521</v>
      </c>
      <c r="C100" s="25">
        <f t="shared" si="17"/>
        <v>0</v>
      </c>
      <c r="D100" s="27">
        <f t="shared" si="12"/>
        <v>3.5625015297365521</v>
      </c>
      <c r="E100" s="27"/>
      <c r="F100" s="26">
        <f t="shared" si="13"/>
        <v>0.11878309831771945</v>
      </c>
      <c r="G100" s="26">
        <f t="shared" si="13"/>
        <v>0</v>
      </c>
      <c r="H100" s="26">
        <f t="shared" si="13"/>
        <v>0.11878309831771945</v>
      </c>
      <c r="I100" s="26">
        <f>IF(F$320=0,0,SUM(F$17:F100)/F$320)</f>
        <v>2.4282513690808947E-2</v>
      </c>
      <c r="J100" s="26">
        <f>IF(G$320=0,0,SUM(G$17:G100)/G$320)</f>
        <v>0</v>
      </c>
      <c r="K100" s="26">
        <f>SUM(H$17:H100)/H$320</f>
        <v>2.4282513690808947E-2</v>
      </c>
      <c r="L100" s="26"/>
      <c r="M100" s="26"/>
      <c r="N100" s="27">
        <f t="shared" si="14"/>
        <v>0.1143509363098396</v>
      </c>
      <c r="O100" s="27">
        <f t="shared" si="15"/>
        <v>0</v>
      </c>
      <c r="P100" s="26">
        <f t="shared" si="16"/>
        <v>0.1143509363098396</v>
      </c>
      <c r="Q100" s="26">
        <f>IF(N$320=0,0,SUM(N$17:N100)/N$320)</f>
        <v>2.3789908571583761E-2</v>
      </c>
      <c r="R100" s="26">
        <f>IF(O$320=0,0,SUM(O$17:O100)/O$320)</f>
        <v>0</v>
      </c>
      <c r="S100" s="26">
        <f>SUM(P$17:P100)/P$320</f>
        <v>2.3789908571583761E-2</v>
      </c>
    </row>
    <row r="101" spans="1:19" x14ac:dyDescent="0.4">
      <c r="A101" s="6">
        <f t="shared" si="10"/>
        <v>0.98382004636874965</v>
      </c>
      <c r="B101" s="25">
        <f t="shared" si="17"/>
        <v>3.5867309579701279</v>
      </c>
      <c r="C101" s="25">
        <f t="shared" si="17"/>
        <v>0</v>
      </c>
      <c r="D101" s="27">
        <f t="shared" si="12"/>
        <v>3.5867309579701279</v>
      </c>
      <c r="E101" s="27"/>
      <c r="F101" s="26">
        <f t="shared" si="13"/>
        <v>0.12378620448804627</v>
      </c>
      <c r="G101" s="26">
        <f t="shared" si="13"/>
        <v>0</v>
      </c>
      <c r="H101" s="26">
        <f t="shared" si="13"/>
        <v>0.12378620448804627</v>
      </c>
      <c r="I101" s="26">
        <f>IF(F$320=0,0,SUM(F$17:F101)/F$320)</f>
        <v>2.5505185546158146E-2</v>
      </c>
      <c r="J101" s="26">
        <f>IF(G$320=0,0,SUM(G$17:G101)/G$320)</f>
        <v>0</v>
      </c>
      <c r="K101" s="26">
        <f>SUM(H$17:H101)/H$320</f>
        <v>2.5505185546158146E-2</v>
      </c>
      <c r="L101" s="26"/>
      <c r="M101" s="26"/>
      <c r="N101" s="27">
        <f t="shared" si="14"/>
        <v>0.1191932433189196</v>
      </c>
      <c r="O101" s="27">
        <f t="shared" si="15"/>
        <v>0</v>
      </c>
      <c r="P101" s="26">
        <f t="shared" si="16"/>
        <v>0.1191932433189196</v>
      </c>
      <c r="Q101" s="26">
        <f>IF(N$320=0,0,SUM(N$17:N101)/N$320)</f>
        <v>2.4987830614989992E-2</v>
      </c>
      <c r="R101" s="26">
        <f>IF(O$320=0,0,SUM(O$17:O101)/O$320)</f>
        <v>0</v>
      </c>
      <c r="S101" s="26">
        <f>SUM(P$17:P101)/P$320</f>
        <v>2.4987830614989992E-2</v>
      </c>
    </row>
    <row r="102" spans="1:19" x14ac:dyDescent="0.4">
      <c r="A102" s="6">
        <f t="shared" si="10"/>
        <v>1.0183323100257098</v>
      </c>
      <c r="B102" s="25">
        <f t="shared" si="17"/>
        <v>3.609546166746695</v>
      </c>
      <c r="C102" s="25">
        <f t="shared" si="17"/>
        <v>0</v>
      </c>
      <c r="D102" s="27">
        <f t="shared" si="12"/>
        <v>3.609546166746695</v>
      </c>
      <c r="E102" s="27"/>
      <c r="F102" s="26">
        <f t="shared" si="13"/>
        <v>0.12894363301292902</v>
      </c>
      <c r="G102" s="26">
        <f t="shared" si="13"/>
        <v>0</v>
      </c>
      <c r="H102" s="26">
        <f t="shared" si="13"/>
        <v>0.12894363301292902</v>
      </c>
      <c r="I102" s="26">
        <f>IF(F$320=0,0,SUM(F$17:F102)/F$320)</f>
        <v>2.6778798802687135E-2</v>
      </c>
      <c r="J102" s="26">
        <f>IF(G$320=0,0,SUM(G$17:G102)/G$320)</f>
        <v>0</v>
      </c>
      <c r="K102" s="26">
        <f>SUM(H$17:H102)/H$320</f>
        <v>2.6778798802687135E-2</v>
      </c>
      <c r="L102" s="26"/>
      <c r="M102" s="26"/>
      <c r="N102" s="27">
        <f t="shared" si="14"/>
        <v>0.12418627897933486</v>
      </c>
      <c r="O102" s="27">
        <f t="shared" si="15"/>
        <v>0</v>
      </c>
      <c r="P102" s="26">
        <f t="shared" si="16"/>
        <v>0.12418627897933486</v>
      </c>
      <c r="Q102" s="26">
        <f>IF(N$320=0,0,SUM(N$17:N102)/N$320)</f>
        <v>2.6235933921314961E-2</v>
      </c>
      <c r="R102" s="26">
        <f>IF(O$320=0,0,SUM(O$17:O102)/O$320)</f>
        <v>0</v>
      </c>
      <c r="S102" s="26">
        <f>SUM(P$17:P102)/P$320</f>
        <v>2.6235933921314961E-2</v>
      </c>
    </row>
    <row r="103" spans="1:19" x14ac:dyDescent="0.4">
      <c r="A103" s="6">
        <f t="shared" si="10"/>
        <v>1.0540552588553536</v>
      </c>
      <c r="B103" s="25">
        <f t="shared" si="17"/>
        <v>3.630918144281865</v>
      </c>
      <c r="C103" s="25">
        <f t="shared" si="17"/>
        <v>0</v>
      </c>
      <c r="D103" s="27">
        <f t="shared" si="12"/>
        <v>3.630918144281865</v>
      </c>
      <c r="E103" s="27"/>
      <c r="F103" s="26">
        <f t="shared" si="13"/>
        <v>0.13425720932033716</v>
      </c>
      <c r="G103" s="26">
        <f t="shared" si="13"/>
        <v>0</v>
      </c>
      <c r="H103" s="26">
        <f t="shared" si="13"/>
        <v>0.13425720932033716</v>
      </c>
      <c r="I103" s="26">
        <f>IF(F$320=0,0,SUM(F$17:F103)/F$320)</f>
        <v>2.8104895776841908E-2</v>
      </c>
      <c r="J103" s="26">
        <f>IF(G$320=0,0,SUM(G$17:G103)/G$320)</f>
        <v>0</v>
      </c>
      <c r="K103" s="26">
        <f>SUM(H$17:H103)/H$320</f>
        <v>2.8104895776841908E-2</v>
      </c>
      <c r="L103" s="26"/>
      <c r="M103" s="26"/>
      <c r="N103" s="27">
        <f t="shared" si="14"/>
        <v>0.129331899523423</v>
      </c>
      <c r="O103" s="27">
        <f t="shared" si="15"/>
        <v>0</v>
      </c>
      <c r="P103" s="26">
        <f t="shared" si="16"/>
        <v>0.129331899523423</v>
      </c>
      <c r="Q103" s="26">
        <f>IF(N$320=0,0,SUM(N$17:N103)/N$320)</f>
        <v>2.7535752006977502E-2</v>
      </c>
      <c r="R103" s="26">
        <f>IF(O$320=0,0,SUM(O$17:O103)/O$320)</f>
        <v>0</v>
      </c>
      <c r="S103" s="26">
        <f>SUM(P$17:P103)/P$320</f>
        <v>2.7535752006977502E-2</v>
      </c>
    </row>
    <row r="104" spans="1:19" x14ac:dyDescent="0.4">
      <c r="A104" s="6">
        <f t="shared" si="10"/>
        <v>1.0910313635168623</v>
      </c>
      <c r="B104" s="25">
        <f t="shared" si="17"/>
        <v>3.6508195996006427</v>
      </c>
      <c r="C104" s="25">
        <f t="shared" si="17"/>
        <v>0</v>
      </c>
      <c r="D104" s="27">
        <f t="shared" si="12"/>
        <v>3.6508195996006427</v>
      </c>
      <c r="E104" s="27"/>
      <c r="F104" s="26">
        <f t="shared" si="13"/>
        <v>0.13972862542900849</v>
      </c>
      <c r="G104" s="26">
        <f t="shared" si="13"/>
        <v>0</v>
      </c>
      <c r="H104" s="26">
        <f t="shared" si="13"/>
        <v>0.13972862542900849</v>
      </c>
      <c r="I104" s="26">
        <f>IF(F$320=0,0,SUM(F$17:F104)/F$320)</f>
        <v>2.9485035497622963E-2</v>
      </c>
      <c r="J104" s="26">
        <f>IF(G$320=0,0,SUM(G$17:G104)/G$320)</f>
        <v>0</v>
      </c>
      <c r="K104" s="26">
        <f>SUM(H$17:H104)/H$320</f>
        <v>2.9485035497622963E-2</v>
      </c>
      <c r="L104" s="26"/>
      <c r="M104" s="26"/>
      <c r="N104" s="27">
        <f t="shared" si="14"/>
        <v>0.13463183422528155</v>
      </c>
      <c r="O104" s="27">
        <f t="shared" si="15"/>
        <v>0</v>
      </c>
      <c r="P104" s="26">
        <f t="shared" si="16"/>
        <v>0.13463183422528155</v>
      </c>
      <c r="Q104" s="26">
        <f>IF(N$320=0,0,SUM(N$17:N104)/N$320)</f>
        <v>2.8888835768035605E-2</v>
      </c>
      <c r="R104" s="26">
        <f>IF(O$320=0,0,SUM(O$17:O104)/O$320)</f>
        <v>0</v>
      </c>
      <c r="S104" s="26">
        <f>SUM(P$17:P104)/P$320</f>
        <v>2.8888835768035605E-2</v>
      </c>
    </row>
    <row r="105" spans="1:19" x14ac:dyDescent="0.4">
      <c r="A105" s="6">
        <f t="shared" si="10"/>
        <v>1.1293045845339438</v>
      </c>
      <c r="B105" s="25">
        <f t="shared" si="17"/>
        <v>3.66922502059399</v>
      </c>
      <c r="C105" s="25">
        <f t="shared" si="17"/>
        <v>0</v>
      </c>
      <c r="D105" s="27">
        <f t="shared" si="12"/>
        <v>3.66922502059399</v>
      </c>
      <c r="E105" s="27"/>
      <c r="F105" s="26">
        <f t="shared" si="13"/>
        <v>0.14535943143201457</v>
      </c>
      <c r="G105" s="26">
        <f t="shared" si="13"/>
        <v>0</v>
      </c>
      <c r="H105" s="26">
        <f t="shared" si="13"/>
        <v>0.14535943143201457</v>
      </c>
      <c r="I105" s="26">
        <f>IF(F$320=0,0,SUM(F$17:F105)/F$320)</f>
        <v>3.0920792304744781E-2</v>
      </c>
      <c r="J105" s="26">
        <f>IF(G$320=0,0,SUM(G$17:G105)/G$320)</f>
        <v>0</v>
      </c>
      <c r="K105" s="26">
        <f>SUM(H$17:H105)/H$320</f>
        <v>3.0920792304744781E-2</v>
      </c>
      <c r="L105" s="26"/>
      <c r="M105" s="26"/>
      <c r="N105" s="27">
        <f t="shared" si="14"/>
        <v>0.14008767705474198</v>
      </c>
      <c r="O105" s="27">
        <f t="shared" si="15"/>
        <v>0</v>
      </c>
      <c r="P105" s="26">
        <f t="shared" si="16"/>
        <v>0.14008767705474198</v>
      </c>
      <c r="Q105" s="26">
        <f>IF(N$320=0,0,SUM(N$17:N105)/N$320)</f>
        <v>3.0296752120344567E-2</v>
      </c>
      <c r="R105" s="26">
        <f>IF(O$320=0,0,SUM(O$17:O105)/O$320)</f>
        <v>0</v>
      </c>
      <c r="S105" s="26">
        <f>SUM(P$17:P105)/P$320</f>
        <v>3.0296752120344567E-2</v>
      </c>
    </row>
    <row r="106" spans="1:19" x14ac:dyDescent="0.4">
      <c r="A106" s="6">
        <f t="shared" si="10"/>
        <v>1.1689204245590625</v>
      </c>
      <c r="B106" s="25">
        <f t="shared" si="17"/>
        <v>3.6861107285067698</v>
      </c>
      <c r="C106" s="25">
        <f t="shared" si="17"/>
        <v>0</v>
      </c>
      <c r="D106" s="27">
        <f t="shared" si="12"/>
        <v>3.6861107285067698</v>
      </c>
      <c r="E106" s="27"/>
      <c r="F106" s="26">
        <f t="shared" si="13"/>
        <v>0.15115102694793323</v>
      </c>
      <c r="G106" s="26">
        <f t="shared" si="13"/>
        <v>0</v>
      </c>
      <c r="H106" s="26">
        <f t="shared" si="13"/>
        <v>0.15115102694793323</v>
      </c>
      <c r="I106" s="26">
        <f>IF(F$320=0,0,SUM(F$17:F106)/F$320)</f>
        <v>3.2413754362356072E-2</v>
      </c>
      <c r="J106" s="26">
        <f>IF(G$320=0,0,SUM(G$17:G106)/G$320)</f>
        <v>0</v>
      </c>
      <c r="K106" s="26">
        <f>SUM(H$17:H106)/H$320</f>
        <v>3.2413754362356072E-2</v>
      </c>
      <c r="L106" s="26"/>
      <c r="M106" s="26"/>
      <c r="N106" s="27">
        <f t="shared" si="14"/>
        <v>0.14570087828922434</v>
      </c>
      <c r="O106" s="27">
        <f t="shared" si="15"/>
        <v>0</v>
      </c>
      <c r="P106" s="26">
        <f t="shared" si="16"/>
        <v>0.14570087828922434</v>
      </c>
      <c r="Q106" s="26">
        <f>IF(N$320=0,0,SUM(N$17:N106)/N$320)</f>
        <v>3.176108255541215E-2</v>
      </c>
      <c r="R106" s="26">
        <f>IF(O$320=0,0,SUM(O$17:O106)/O$320)</f>
        <v>0</v>
      </c>
      <c r="S106" s="26">
        <f>SUM(P$17:P106)/P$320</f>
        <v>3.176108255541215E-2</v>
      </c>
    </row>
    <row r="107" spans="1:19" x14ac:dyDescent="0.4">
      <c r="A107" s="6">
        <f t="shared" si="10"/>
        <v>1.2099259824710908</v>
      </c>
      <c r="B107" s="25">
        <f t="shared" si="17"/>
        <v>3.7014549286942424</v>
      </c>
      <c r="C107" s="25">
        <f t="shared" si="17"/>
        <v>0</v>
      </c>
      <c r="D107" s="27">
        <f t="shared" si="12"/>
        <v>3.7014549286942424</v>
      </c>
      <c r="E107" s="27"/>
      <c r="F107" s="26">
        <f t="shared" si="13"/>
        <v>0.15710465256118511</v>
      </c>
      <c r="G107" s="26">
        <f t="shared" si="13"/>
        <v>0</v>
      </c>
      <c r="H107" s="26">
        <f t="shared" si="13"/>
        <v>0.15710465256118511</v>
      </c>
      <c r="I107" s="26">
        <f>IF(F$320=0,0,SUM(F$17:F107)/F$320)</f>
        <v>3.3965522088213802E-2</v>
      </c>
      <c r="J107" s="26">
        <f>IF(G$320=0,0,SUM(G$17:G107)/G$320)</f>
        <v>0</v>
      </c>
      <c r="K107" s="26">
        <f>SUM(H$17:H107)/H$320</f>
        <v>3.3965522088213802E-2</v>
      </c>
      <c r="L107" s="26"/>
      <c r="M107" s="26"/>
      <c r="N107" s="27">
        <f t="shared" si="14"/>
        <v>0.15147273610434109</v>
      </c>
      <c r="O107" s="27">
        <f t="shared" si="15"/>
        <v>0</v>
      </c>
      <c r="P107" s="26">
        <f t="shared" si="16"/>
        <v>0.15147273610434109</v>
      </c>
      <c r="Q107" s="26">
        <f>IF(N$320=0,0,SUM(N$17:N107)/N$320)</f>
        <v>3.3283421611737182E-2</v>
      </c>
      <c r="R107" s="26">
        <f>IF(O$320=0,0,SUM(O$17:O107)/O$320)</f>
        <v>0</v>
      </c>
      <c r="S107" s="26">
        <f>SUM(P$17:P107)/P$320</f>
        <v>3.3283421611737182E-2</v>
      </c>
    </row>
    <row r="108" spans="1:19" x14ac:dyDescent="0.4">
      <c r="A108" s="6">
        <f t="shared" si="10"/>
        <v>1.2523700093706989</v>
      </c>
      <c r="B108" s="25">
        <f t="shared" si="17"/>
        <v>3.7152377574948292</v>
      </c>
      <c r="C108" s="25">
        <f t="shared" si="17"/>
        <v>0</v>
      </c>
      <c r="D108" s="27">
        <f t="shared" si="12"/>
        <v>3.7152377574948292</v>
      </c>
      <c r="E108" s="27"/>
      <c r="F108" s="26">
        <f t="shared" si="13"/>
        <v>0.16322138127399075</v>
      </c>
      <c r="G108" s="26">
        <f t="shared" si="13"/>
        <v>0</v>
      </c>
      <c r="H108" s="26">
        <f t="shared" si="13"/>
        <v>0.16322138127399075</v>
      </c>
      <c r="I108" s="26">
        <f>IF(F$320=0,0,SUM(F$17:F108)/F$320)</f>
        <v>3.5577706498425683E-2</v>
      </c>
      <c r="J108" s="26">
        <f>IF(G$320=0,0,SUM(G$17:G108)/G$320)</f>
        <v>0</v>
      </c>
      <c r="K108" s="26">
        <f>SUM(H$17:H108)/H$320</f>
        <v>3.5577706498425683E-2</v>
      </c>
      <c r="L108" s="26"/>
      <c r="M108" s="26"/>
      <c r="N108" s="27">
        <f t="shared" si="14"/>
        <v>0.15740438816476549</v>
      </c>
      <c r="O108" s="27">
        <f t="shared" si="15"/>
        <v>0</v>
      </c>
      <c r="P108" s="26">
        <f t="shared" si="16"/>
        <v>0.15740438816476549</v>
      </c>
      <c r="Q108" s="26">
        <f>IF(N$320=0,0,SUM(N$17:N108)/N$320)</f>
        <v>3.4865375261634322E-2</v>
      </c>
      <c r="R108" s="26">
        <f>IF(O$320=0,0,SUM(O$17:O108)/O$320)</f>
        <v>0</v>
      </c>
      <c r="S108" s="26">
        <f>SUM(P$17:P108)/P$320</f>
        <v>3.4865375261634322E-2</v>
      </c>
    </row>
    <row r="109" spans="1:19" x14ac:dyDescent="0.4">
      <c r="A109" s="6">
        <f t="shared" si="10"/>
        <v>1.2963029665400538</v>
      </c>
      <c r="B109" s="25">
        <f t="shared" si="17"/>
        <v>3.7274413250780198</v>
      </c>
      <c r="C109" s="25">
        <f t="shared" si="17"/>
        <v>0</v>
      </c>
      <c r="D109" s="27">
        <f t="shared" si="12"/>
        <v>3.7274413250780198</v>
      </c>
      <c r="E109" s="27"/>
      <c r="F109" s="26">
        <f t="shared" si="13"/>
        <v>0.16950210999328372</v>
      </c>
      <c r="G109" s="26">
        <f t="shared" si="13"/>
        <v>0</v>
      </c>
      <c r="H109" s="26">
        <f t="shared" si="13"/>
        <v>0.16950210999328372</v>
      </c>
      <c r="I109" s="26">
        <f>IF(F$320=0,0,SUM(F$17:F109)/F$320)</f>
        <v>3.7251927468106558E-2</v>
      </c>
      <c r="J109" s="26">
        <f>IF(G$320=0,0,SUM(G$17:G109)/G$320)</f>
        <v>0</v>
      </c>
      <c r="K109" s="26">
        <f>SUM(H$17:H109)/H$320</f>
        <v>3.7251927468106558E-2</v>
      </c>
      <c r="L109" s="26"/>
      <c r="M109" s="26"/>
      <c r="N109" s="27">
        <f t="shared" si="14"/>
        <v>0.1634968032379433</v>
      </c>
      <c r="O109" s="27">
        <f t="shared" si="15"/>
        <v>0</v>
      </c>
      <c r="P109" s="26">
        <f t="shared" si="16"/>
        <v>0.1634968032379433</v>
      </c>
      <c r="Q109" s="26">
        <f>IF(N$320=0,0,SUM(N$17:N109)/N$320)</f>
        <v>3.6508559213774452E-2</v>
      </c>
      <c r="R109" s="26">
        <f>IF(O$320=0,0,SUM(O$17:O109)/O$320)</f>
        <v>0</v>
      </c>
      <c r="S109" s="26">
        <f>SUM(P$17:P109)/P$320</f>
        <v>3.6508559213774452E-2</v>
      </c>
    </row>
    <row r="110" spans="1:19" x14ac:dyDescent="0.4">
      <c r="A110" s="6">
        <f t="shared" si="10"/>
        <v>1.3417770854357378</v>
      </c>
      <c r="B110" s="25">
        <f t="shared" si="17"/>
        <v>3.7380497541381152</v>
      </c>
      <c r="C110" s="25">
        <f t="shared" si="17"/>
        <v>0</v>
      </c>
      <c r="D110" s="27">
        <f t="shared" si="12"/>
        <v>3.7380497541381152</v>
      </c>
      <c r="E110" s="27"/>
      <c r="F110" s="26">
        <f t="shared" si="13"/>
        <v>0.17594755107671481</v>
      </c>
      <c r="G110" s="26">
        <f t="shared" si="13"/>
        <v>0</v>
      </c>
      <c r="H110" s="26">
        <f t="shared" si="13"/>
        <v>0.17594755107671481</v>
      </c>
      <c r="I110" s="26">
        <f>IF(F$320=0,0,SUM(F$17:F110)/F$320)</f>
        <v>3.8989811908532138E-2</v>
      </c>
      <c r="J110" s="26">
        <f>IF(G$320=0,0,SUM(G$17:G110)/G$320)</f>
        <v>0</v>
      </c>
      <c r="K110" s="26">
        <f>SUM(H$17:H110)/H$320</f>
        <v>3.8989811908532138E-2</v>
      </c>
      <c r="L110" s="26"/>
      <c r="M110" s="26"/>
      <c r="N110" s="27">
        <f t="shared" si="14"/>
        <v>0.16975077285394796</v>
      </c>
      <c r="O110" s="27">
        <f t="shared" si="15"/>
        <v>0</v>
      </c>
      <c r="P110" s="26">
        <f t="shared" si="16"/>
        <v>0.16975077285394796</v>
      </c>
      <c r="Q110" s="26">
        <f>IF(N$320=0,0,SUM(N$17:N110)/N$320)</f>
        <v>3.821459713190458E-2</v>
      </c>
      <c r="R110" s="26">
        <f>IF(O$320=0,0,SUM(O$17:O110)/O$320)</f>
        <v>0</v>
      </c>
      <c r="S110" s="26">
        <f>SUM(P$17:P110)/P$320</f>
        <v>3.821459713190458E-2</v>
      </c>
    </row>
    <row r="111" spans="1:19" x14ac:dyDescent="0.4">
      <c r="A111" s="6">
        <f t="shared" si="10"/>
        <v>1.3888464297862073</v>
      </c>
      <c r="B111" s="25">
        <f t="shared" si="17"/>
        <v>3.7470492143165992</v>
      </c>
      <c r="C111" s="25">
        <f t="shared" si="17"/>
        <v>0</v>
      </c>
      <c r="D111" s="27">
        <f t="shared" si="12"/>
        <v>3.7470492143165992</v>
      </c>
      <c r="E111" s="27"/>
      <c r="F111" s="26">
        <f t="shared" si="13"/>
        <v>0.18255822396266044</v>
      </c>
      <c r="G111" s="26">
        <f t="shared" si="13"/>
        <v>0</v>
      </c>
      <c r="H111" s="26">
        <f t="shared" si="13"/>
        <v>0.18255822396266044</v>
      </c>
      <c r="I111" s="26">
        <f>IF(F$320=0,0,SUM(F$17:F111)/F$320)</f>
        <v>4.0792991861619998E-2</v>
      </c>
      <c r="J111" s="26">
        <f>IF(G$320=0,0,SUM(G$17:G111)/G$320)</f>
        <v>0</v>
      </c>
      <c r="K111" s="26">
        <f>SUM(H$17:H111)/H$320</f>
        <v>4.0792991861619998E-2</v>
      </c>
      <c r="L111" s="26"/>
      <c r="M111" s="26"/>
      <c r="N111" s="27">
        <f t="shared" si="14"/>
        <v>0.17616690303560584</v>
      </c>
      <c r="O111" s="27">
        <f t="shared" si="15"/>
        <v>0</v>
      </c>
      <c r="P111" s="26">
        <f t="shared" si="16"/>
        <v>0.17616690303560584</v>
      </c>
      <c r="Q111" s="26">
        <f>IF(N$320=0,0,SUM(N$17:N111)/N$320)</f>
        <v>3.9985118770453382E-2</v>
      </c>
      <c r="R111" s="26">
        <f>IF(O$320=0,0,SUM(O$17:O111)/O$320)</f>
        <v>0</v>
      </c>
      <c r="S111" s="26">
        <f>SUM(P$17:P111)/P$320</f>
        <v>3.9985118770453382E-2</v>
      </c>
    </row>
    <row r="112" spans="1:19" x14ac:dyDescent="0.4">
      <c r="A112" s="6">
        <f t="shared" si="10"/>
        <v>1.437566959867624</v>
      </c>
      <c r="B112" s="25">
        <f t="shared" si="17"/>
        <v>3.7544279522487161</v>
      </c>
      <c r="C112" s="25">
        <f t="shared" si="17"/>
        <v>0</v>
      </c>
      <c r="D112" s="27">
        <f t="shared" si="12"/>
        <v>3.7544279522487161</v>
      </c>
      <c r="E112" s="27"/>
      <c r="F112" s="26">
        <f t="shared" si="13"/>
        <v>0.18933444690982476</v>
      </c>
      <c r="G112" s="26">
        <f t="shared" si="13"/>
        <v>0</v>
      </c>
      <c r="H112" s="26">
        <f t="shared" si="13"/>
        <v>0.18933444690982476</v>
      </c>
      <c r="I112" s="26">
        <f>IF(F$320=0,0,SUM(F$17:F112)/F$320)</f>
        <v>4.266310251282026E-2</v>
      </c>
      <c r="J112" s="26">
        <f>IF(G$320=0,0,SUM(G$17:G112)/G$320)</f>
        <v>0</v>
      </c>
      <c r="K112" s="26">
        <f>SUM(H$17:H112)/H$320</f>
        <v>4.266310251282026E-2</v>
      </c>
      <c r="L112" s="26"/>
      <c r="M112" s="26"/>
      <c r="N112" s="27">
        <f t="shared" si="14"/>
        <v>0.1827456061237083</v>
      </c>
      <c r="O112" s="27">
        <f t="shared" si="15"/>
        <v>0</v>
      </c>
      <c r="P112" s="26">
        <f t="shared" si="16"/>
        <v>0.1827456061237083</v>
      </c>
      <c r="Q112" s="26">
        <f>IF(N$320=0,0,SUM(N$17:N112)/N$320)</f>
        <v>4.1821758027978086E-2</v>
      </c>
      <c r="R112" s="26">
        <f>IF(O$320=0,0,SUM(O$17:O112)/O$320)</f>
        <v>0</v>
      </c>
      <c r="S112" s="26">
        <f>SUM(P$17:P112)/P$320</f>
        <v>4.1821758027978086E-2</v>
      </c>
    </row>
    <row r="113" spans="1:19" x14ac:dyDescent="0.4">
      <c r="A113" s="6">
        <f t="shared" si="10"/>
        <v>1.4879965990344703</v>
      </c>
      <c r="B113" s="25">
        <f t="shared" si="17"/>
        <v>3.7601763171428693</v>
      </c>
      <c r="C113" s="25">
        <f t="shared" si="17"/>
        <v>0</v>
      </c>
      <c r="D113" s="27">
        <f t="shared" si="12"/>
        <v>3.7601763171428693</v>
      </c>
      <c r="E113" s="27"/>
      <c r="F113" s="26">
        <f t="shared" si="13"/>
        <v>0.19627632887269675</v>
      </c>
      <c r="G113" s="26">
        <f t="shared" si="13"/>
        <v>0</v>
      </c>
      <c r="H113" s="26">
        <f t="shared" si="13"/>
        <v>0.19627632887269675</v>
      </c>
      <c r="I113" s="26">
        <f>IF(F$320=0,0,SUM(F$17:F113)/F$320)</f>
        <v>4.4601780123757789E-2</v>
      </c>
      <c r="J113" s="26">
        <f>IF(G$320=0,0,SUM(G$17:G113)/G$320)</f>
        <v>0</v>
      </c>
      <c r="K113" s="26">
        <f>SUM(H$17:H113)/H$320</f>
        <v>4.4601780123757789E-2</v>
      </c>
      <c r="L113" s="26"/>
      <c r="M113" s="26"/>
      <c r="N113" s="27">
        <f t="shared" si="14"/>
        <v>0.18948709272276557</v>
      </c>
      <c r="O113" s="27">
        <f t="shared" si="15"/>
        <v>0</v>
      </c>
      <c r="P113" s="26">
        <f t="shared" si="16"/>
        <v>0.18948709272276557</v>
      </c>
      <c r="Q113" s="26">
        <f>IF(N$320=0,0,SUM(N$17:N113)/N$320)</f>
        <v>4.3726150919664163E-2</v>
      </c>
      <c r="R113" s="26">
        <f>IF(O$320=0,0,SUM(O$17:O113)/O$320)</f>
        <v>0</v>
      </c>
      <c r="S113" s="26">
        <f>SUM(P$17:P113)/P$320</f>
        <v>4.3726150919664163E-2</v>
      </c>
    </row>
    <row r="114" spans="1:19" x14ac:dyDescent="0.4">
      <c r="A114" s="6">
        <f t="shared" si="10"/>
        <v>1.5401953025840516</v>
      </c>
      <c r="B114" s="25">
        <f t="shared" ref="B114:C129" si="18">C$4*EXP(-0.5*(LN($A114)-LN(C$5))^2/(LN(C$6))^2)/($A114*SQRT(2*PI())*LN(C$6))</f>
        <v>3.7642867818149099</v>
      </c>
      <c r="C114" s="25">
        <f t="shared" si="18"/>
        <v>0</v>
      </c>
      <c r="D114" s="27">
        <f t="shared" si="12"/>
        <v>3.7642867818149099</v>
      </c>
      <c r="E114" s="27"/>
      <c r="F114" s="26">
        <f t="shared" si="13"/>
        <v>0.20338376153965779</v>
      </c>
      <c r="G114" s="26">
        <f t="shared" si="13"/>
        <v>0</v>
      </c>
      <c r="H114" s="26">
        <f t="shared" si="13"/>
        <v>0.20338376153965779</v>
      </c>
      <c r="I114" s="26">
        <f>IF(F$320=0,0,SUM(F$17:F114)/F$320)</f>
        <v>4.6610659886232496E-2</v>
      </c>
      <c r="J114" s="26">
        <f>IF(G$320=0,0,SUM(G$17:G114)/G$320)</f>
        <v>0</v>
      </c>
      <c r="K114" s="26">
        <f>SUM(H$17:H114)/H$320</f>
        <v>4.6610659886232496E-2</v>
      </c>
      <c r="L114" s="26"/>
      <c r="M114" s="26"/>
      <c r="N114" s="27">
        <f t="shared" si="14"/>
        <v>0.19639136379345987</v>
      </c>
      <c r="O114" s="27">
        <f t="shared" si="15"/>
        <v>0</v>
      </c>
      <c r="P114" s="26">
        <f t="shared" si="16"/>
        <v>0.19639136379345987</v>
      </c>
      <c r="Q114" s="26">
        <f>IF(N$320=0,0,SUM(N$17:N114)/N$320)</f>
        <v>4.56999334703522E-2</v>
      </c>
      <c r="R114" s="26">
        <f>IF(O$320=0,0,SUM(O$17:O114)/O$320)</f>
        <v>0</v>
      </c>
      <c r="S114" s="26">
        <f>SUM(P$17:P114)/P$320</f>
        <v>4.56999334703522E-2</v>
      </c>
    </row>
    <row r="115" spans="1:19" x14ac:dyDescent="0.4">
      <c r="A115" s="6">
        <f t="shared" si="10"/>
        <v>1.5942251290367531</v>
      </c>
      <c r="B115" s="25">
        <f t="shared" si="18"/>
        <v>3.766753959113152</v>
      </c>
      <c r="C115" s="25">
        <f t="shared" si="18"/>
        <v>0</v>
      </c>
      <c r="D115" s="27">
        <f t="shared" si="12"/>
        <v>3.766753959113152</v>
      </c>
      <c r="E115" s="27"/>
      <c r="F115" s="26">
        <f t="shared" si="13"/>
        <v>0.21065641156104803</v>
      </c>
      <c r="G115" s="26">
        <f t="shared" si="13"/>
        <v>0</v>
      </c>
      <c r="H115" s="26">
        <f t="shared" si="13"/>
        <v>0.21065641156104803</v>
      </c>
      <c r="I115" s="26">
        <f>IF(F$320=0,0,SUM(F$17:F115)/F$320)</f>
        <v>4.8691373699454081E-2</v>
      </c>
      <c r="J115" s="26">
        <f>IF(G$320=0,0,SUM(G$17:G115)/G$320)</f>
        <v>0</v>
      </c>
      <c r="K115" s="26">
        <f>SUM(H$17:H115)/H$320</f>
        <v>4.8691373699454081E-2</v>
      </c>
      <c r="L115" s="26"/>
      <c r="M115" s="26"/>
      <c r="N115" s="27">
        <f t="shared" si="14"/>
        <v>0.2034582029183031</v>
      </c>
      <c r="O115" s="27">
        <f t="shared" si="15"/>
        <v>0</v>
      </c>
      <c r="P115" s="26">
        <f t="shared" si="16"/>
        <v>0.2034582029183031</v>
      </c>
      <c r="Q115" s="26">
        <f>IF(N$320=0,0,SUM(N$17:N115)/N$320)</f>
        <v>4.774473952983263E-2</v>
      </c>
      <c r="R115" s="26">
        <f>IF(O$320=0,0,SUM(O$17:O115)/O$320)</f>
        <v>0</v>
      </c>
      <c r="S115" s="26">
        <f>SUM(P$17:P115)/P$320</f>
        <v>4.774473952983263E-2</v>
      </c>
    </row>
    <row r="116" spans="1:19" x14ac:dyDescent="0.4">
      <c r="A116" s="6">
        <f t="shared" si="10"/>
        <v>1.650150313916799</v>
      </c>
      <c r="B116" s="25">
        <f t="shared" si="18"/>
        <v>3.7675746136839425</v>
      </c>
      <c r="C116" s="25">
        <f t="shared" si="18"/>
        <v>0</v>
      </c>
      <c r="D116" s="27">
        <f t="shared" si="12"/>
        <v>3.7675746136839425</v>
      </c>
      <c r="E116" s="27"/>
      <c r="F116" s="26">
        <f t="shared" si="13"/>
        <v>0.21809371299491709</v>
      </c>
      <c r="G116" s="26">
        <f t="shared" si="13"/>
        <v>0</v>
      </c>
      <c r="H116" s="26">
        <f t="shared" si="13"/>
        <v>0.21809371299491709</v>
      </c>
      <c r="I116" s="26">
        <f>IF(F$320=0,0,SUM(F$17:F116)/F$320)</f>
        <v>5.0845547872661247E-2</v>
      </c>
      <c r="J116" s="26">
        <f>IF(G$320=0,0,SUM(G$17:G116)/G$320)</f>
        <v>0</v>
      </c>
      <c r="K116" s="26">
        <f>SUM(H$17:H116)/H$320</f>
        <v>5.0845547872661247E-2</v>
      </c>
      <c r="L116" s="26"/>
      <c r="M116" s="26"/>
      <c r="N116" s="27">
        <f t="shared" si="14"/>
        <v>0.21068716876761207</v>
      </c>
      <c r="O116" s="27">
        <f t="shared" si="15"/>
        <v>0</v>
      </c>
      <c r="P116" s="26">
        <f t="shared" si="16"/>
        <v>0.21068716876761207</v>
      </c>
      <c r="Q116" s="26">
        <f>IF(N$320=0,0,SUM(N$17:N116)/N$320)</f>
        <v>4.9862198512421699E-2</v>
      </c>
      <c r="R116" s="26">
        <f>IF(O$320=0,0,SUM(O$17:O116)/O$320)</f>
        <v>0</v>
      </c>
      <c r="S116" s="26">
        <f>SUM(P$17:P116)/P$320</f>
        <v>4.9862198512421699E-2</v>
      </c>
    </row>
    <row r="117" spans="1:19" x14ac:dyDescent="0.4">
      <c r="A117" s="6">
        <f t="shared" si="10"/>
        <v>1.7080373461212295</v>
      </c>
      <c r="B117" s="25">
        <f t="shared" si="18"/>
        <v>3.7667476690418042</v>
      </c>
      <c r="C117" s="25">
        <f t="shared" si="18"/>
        <v>0</v>
      </c>
      <c r="D117" s="27">
        <f t="shared" si="12"/>
        <v>3.7667476690418042</v>
      </c>
      <c r="E117" s="27"/>
      <c r="F117" s="26">
        <f t="shared" si="13"/>
        <v>0.2256948599985025</v>
      </c>
      <c r="G117" s="26">
        <f t="shared" si="13"/>
        <v>0</v>
      </c>
      <c r="H117" s="26">
        <f t="shared" si="13"/>
        <v>0.2256948599985025</v>
      </c>
      <c r="I117" s="26">
        <f>IF(F$320=0,0,SUM(F$17:F117)/F$320)</f>
        <v>5.3074800755552522E-2</v>
      </c>
      <c r="J117" s="26">
        <f>IF(G$320=0,0,SUM(G$17:G117)/G$320)</f>
        <v>0</v>
      </c>
      <c r="K117" s="26">
        <f>SUM(H$17:H117)/H$320</f>
        <v>5.3074800755552522E-2</v>
      </c>
      <c r="L117" s="26"/>
      <c r="M117" s="26"/>
      <c r="N117" s="27">
        <f t="shared" si="14"/>
        <v>0.21807758779318343</v>
      </c>
      <c r="O117" s="27">
        <f t="shared" si="15"/>
        <v>0</v>
      </c>
      <c r="P117" s="26">
        <f t="shared" si="16"/>
        <v>0.21807758779318343</v>
      </c>
      <c r="Q117" s="26">
        <f>IF(N$320=0,0,SUM(N$17:N117)/N$320)</f>
        <v>5.2053933063106954E-2</v>
      </c>
      <c r="R117" s="26">
        <f>IF(O$320=0,0,SUM(O$17:O117)/O$320)</f>
        <v>0</v>
      </c>
      <c r="S117" s="26">
        <f>SUM(P$17:P117)/P$320</f>
        <v>5.2053933063106954E-2</v>
      </c>
    </row>
    <row r="118" spans="1:19" x14ac:dyDescent="0.4">
      <c r="A118" s="6">
        <f t="shared" si="10"/>
        <v>1.76795504696789</v>
      </c>
      <c r="B118" s="25">
        <f t="shared" si="18"/>
        <v>3.7642742099225499</v>
      </c>
      <c r="C118" s="25">
        <f t="shared" si="18"/>
        <v>0</v>
      </c>
      <c r="D118" s="27">
        <f t="shared" si="12"/>
        <v>3.7642742099225499</v>
      </c>
      <c r="E118" s="27"/>
      <c r="F118" s="26">
        <f t="shared" si="13"/>
        <v>0.23345879979373624</v>
      </c>
      <c r="G118" s="26">
        <f t="shared" si="13"/>
        <v>0</v>
      </c>
      <c r="H118" s="26">
        <f t="shared" si="13"/>
        <v>0.23345879979373624</v>
      </c>
      <c r="I118" s="26">
        <f>IF(F$320=0,0,SUM(F$17:F118)/F$320)</f>
        <v>5.5380740299235426E-2</v>
      </c>
      <c r="J118" s="26">
        <f>IF(G$320=0,0,SUM(G$17:G118)/G$320)</f>
        <v>0</v>
      </c>
      <c r="K118" s="26">
        <f>SUM(H$17:H118)/H$320</f>
        <v>5.5380740299235426E-2</v>
      </c>
      <c r="L118" s="26"/>
      <c r="M118" s="26"/>
      <c r="N118" s="27">
        <f t="shared" si="14"/>
        <v>0.22562854717740125</v>
      </c>
      <c r="O118" s="27">
        <f t="shared" si="15"/>
        <v>0</v>
      </c>
      <c r="P118" s="26">
        <f t="shared" si="16"/>
        <v>0.22562854717740125</v>
      </c>
      <c r="Q118" s="26">
        <f>IF(N$320=0,0,SUM(N$17:N118)/N$320)</f>
        <v>5.4321556652829575E-2</v>
      </c>
      <c r="R118" s="26">
        <f>IF(O$320=0,0,SUM(O$17:O118)/O$320)</f>
        <v>0</v>
      </c>
      <c r="S118" s="26">
        <f>SUM(P$17:P118)/P$320</f>
        <v>5.4321556652829575E-2</v>
      </c>
    </row>
    <row r="119" spans="1:19" x14ac:dyDescent="0.4">
      <c r="A119" s="6">
        <f t="shared" si="10"/>
        <v>1.8299746520164126</v>
      </c>
      <c r="B119" s="25">
        <f t="shared" si="18"/>
        <v>3.7601574799121305</v>
      </c>
      <c r="C119" s="25">
        <f t="shared" si="18"/>
        <v>0</v>
      </c>
      <c r="D119" s="27">
        <f t="shared" si="12"/>
        <v>3.7601574799121305</v>
      </c>
      <c r="E119" s="27"/>
      <c r="F119" s="26">
        <f t="shared" si="13"/>
        <v>0.2413842259352251</v>
      </c>
      <c r="G119" s="26">
        <f t="shared" si="13"/>
        <v>0</v>
      </c>
      <c r="H119" s="26">
        <f t="shared" si="13"/>
        <v>0.2413842259352251</v>
      </c>
      <c r="I119" s="26">
        <f>IF(F$320=0,0,SUM(F$17:F119)/F$320)</f>
        <v>5.7764961550681518E-2</v>
      </c>
      <c r="J119" s="26">
        <f>IF(G$320=0,0,SUM(G$17:G119)/G$320)</f>
        <v>0</v>
      </c>
      <c r="K119" s="26">
        <f>SUM(H$17:H119)/H$320</f>
        <v>5.7764961550681518E-2</v>
      </c>
      <c r="L119" s="26"/>
      <c r="M119" s="26"/>
      <c r="N119" s="27">
        <f t="shared" si="14"/>
        <v>0.23333888806560121</v>
      </c>
      <c r="O119" s="27">
        <f t="shared" si="15"/>
        <v>0</v>
      </c>
      <c r="P119" s="26">
        <f t="shared" si="16"/>
        <v>0.23333888806560121</v>
      </c>
      <c r="Q119" s="26">
        <f>IF(N$320=0,0,SUM(N$17:N119)/N$320)</f>
        <v>5.6666671105750195E-2</v>
      </c>
      <c r="R119" s="26">
        <f>IF(O$320=0,0,SUM(O$17:O119)/O$320)</f>
        <v>0</v>
      </c>
      <c r="S119" s="26">
        <f>SUM(P$17:P119)/P$320</f>
        <v>5.6666671105750195E-2</v>
      </c>
    </row>
    <row r="120" spans="1:19" x14ac:dyDescent="0.4">
      <c r="A120" s="6">
        <f t="shared" si="10"/>
        <v>1.8941698957594661</v>
      </c>
      <c r="B120" s="25">
        <f t="shared" si="18"/>
        <v>3.7544028743585272</v>
      </c>
      <c r="C120" s="25">
        <f t="shared" si="18"/>
        <v>0</v>
      </c>
      <c r="D120" s="27">
        <f t="shared" si="12"/>
        <v>3.7544028743585272</v>
      </c>
      <c r="E120" s="27"/>
      <c r="F120" s="26">
        <f t="shared" si="13"/>
        <v>0.24946957190920965</v>
      </c>
      <c r="G120" s="26">
        <f t="shared" si="13"/>
        <v>0</v>
      </c>
      <c r="H120" s="26">
        <f t="shared" si="13"/>
        <v>0.24946957190920965</v>
      </c>
      <c r="I120" s="26">
        <f>IF(F$320=0,0,SUM(F$17:F120)/F$320)</f>
        <v>6.0229044083956518E-2</v>
      </c>
      <c r="J120" s="26">
        <f>IF(G$320=0,0,SUM(G$17:G120)/G$320)</f>
        <v>0</v>
      </c>
      <c r="K120" s="26">
        <f>SUM(H$17:H120)/H$320</f>
        <v>6.0229044083956518E-2</v>
      </c>
      <c r="L120" s="26"/>
      <c r="M120" s="26"/>
      <c r="N120" s="27">
        <f t="shared" si="14"/>
        <v>0.24120719910978097</v>
      </c>
      <c r="O120" s="27">
        <f t="shared" si="15"/>
        <v>0</v>
      </c>
      <c r="P120" s="26">
        <f t="shared" si="16"/>
        <v>0.24120719910978097</v>
      </c>
      <c r="Q120" s="26">
        <f>IF(N$320=0,0,SUM(N$17:N120)/N$320)</f>
        <v>5.9090864061627391E-2</v>
      </c>
      <c r="R120" s="26">
        <f>IF(O$320=0,0,SUM(O$17:O120)/O$320)</f>
        <v>0</v>
      </c>
      <c r="S120" s="26">
        <f>SUM(P$17:P120)/P$320</f>
        <v>5.9090864061627391E-2</v>
      </c>
    </row>
    <row r="121" spans="1:19" x14ac:dyDescent="0.4">
      <c r="A121" s="6">
        <f t="shared" si="10"/>
        <v>1.9606170992849625</v>
      </c>
      <c r="B121" s="25">
        <f t="shared" si="18"/>
        <v>3.7470179285882987</v>
      </c>
      <c r="C121" s="25">
        <f t="shared" si="18"/>
        <v>0</v>
      </c>
      <c r="D121" s="27">
        <f t="shared" si="12"/>
        <v>3.7470179285882987</v>
      </c>
      <c r="E121" s="27"/>
      <c r="F121" s="26">
        <f t="shared" si="13"/>
        <v>0.25771300509194661</v>
      </c>
      <c r="G121" s="26">
        <f t="shared" si="13"/>
        <v>0</v>
      </c>
      <c r="H121" s="26">
        <f t="shared" si="13"/>
        <v>0.25771300509194661</v>
      </c>
      <c r="I121" s="26">
        <f>IF(F$320=0,0,SUM(F$17:F121)/F$320)</f>
        <v>6.2774549371775692E-2</v>
      </c>
      <c r="J121" s="26">
        <f>IF(G$320=0,0,SUM(G$17:G121)/G$320)</f>
        <v>0</v>
      </c>
      <c r="K121" s="26">
        <f>SUM(H$17:H121)/H$320</f>
        <v>6.2774549371775692E-2</v>
      </c>
      <c r="L121" s="26"/>
      <c r="M121" s="26"/>
      <c r="N121" s="27">
        <f t="shared" si="14"/>
        <v>0.24923181035156408</v>
      </c>
      <c r="O121" s="27">
        <f t="shared" si="15"/>
        <v>0</v>
      </c>
      <c r="P121" s="26">
        <f t="shared" si="16"/>
        <v>0.24923181035156408</v>
      </c>
      <c r="Q121" s="26">
        <f>IF(N$320=0,0,SUM(N$17:N121)/N$320)</f>
        <v>6.159570637671849E-2</v>
      </c>
      <c r="R121" s="26">
        <f>IF(O$320=0,0,SUM(O$17:O121)/O$320)</f>
        <v>0</v>
      </c>
      <c r="S121" s="26">
        <f>SUM(P$17:P121)/P$320</f>
        <v>6.159570637671849E-2</v>
      </c>
    </row>
    <row r="122" spans="1:19" x14ac:dyDescent="0.4">
      <c r="A122" s="6">
        <f t="shared" si="10"/>
        <v>2.0293952610134389</v>
      </c>
      <c r="B122" s="25">
        <f t="shared" si="18"/>
        <v>3.7380123014638706</v>
      </c>
      <c r="C122" s="25">
        <f t="shared" si="18"/>
        <v>0</v>
      </c>
      <c r="D122" s="27">
        <f t="shared" si="12"/>
        <v>3.7380123014638706</v>
      </c>
      <c r="E122" s="27"/>
      <c r="F122" s="26">
        <f t="shared" si="13"/>
        <v>0.26611242109586541</v>
      </c>
      <c r="G122" s="26">
        <f t="shared" si="13"/>
        <v>0</v>
      </c>
      <c r="H122" s="26">
        <f t="shared" si="13"/>
        <v>0.26611242109586541</v>
      </c>
      <c r="I122" s="26">
        <f>IF(F$320=0,0,SUM(F$17:F122)/F$320)</f>
        <v>6.5403018101214502E-2</v>
      </c>
      <c r="J122" s="26">
        <f>IF(G$320=0,0,SUM(G$17:G122)/G$320)</f>
        <v>0</v>
      </c>
      <c r="K122" s="26">
        <f>SUM(H$17:H122)/H$320</f>
        <v>6.5403018101214502E-2</v>
      </c>
      <c r="L122" s="26"/>
      <c r="M122" s="26"/>
      <c r="N122" s="27">
        <f t="shared" si="14"/>
        <v>0.25741078747239382</v>
      </c>
      <c r="O122" s="27">
        <f t="shared" si="15"/>
        <v>0</v>
      </c>
      <c r="P122" s="26">
        <f t="shared" si="16"/>
        <v>0.25741078747239382</v>
      </c>
      <c r="Q122" s="26">
        <f>IF(N$320=0,0,SUM(N$17:N122)/N$320)</f>
        <v>6.4182749466893299E-2</v>
      </c>
      <c r="R122" s="26">
        <f>IF(O$320=0,0,SUM(O$17:O122)/O$320)</f>
        <v>0</v>
      </c>
      <c r="S122" s="26">
        <f>SUM(P$17:P122)/P$320</f>
        <v>6.4182749466893299E-2</v>
      </c>
    </row>
    <row r="123" spans="1:19" x14ac:dyDescent="0.4">
      <c r="A123" s="6">
        <f t="shared" si="10"/>
        <v>2.1005861506184975</v>
      </c>
      <c r="B123" s="25">
        <f t="shared" si="18"/>
        <v>3.7273977543317587</v>
      </c>
      <c r="C123" s="25">
        <f t="shared" si="18"/>
        <v>0</v>
      </c>
      <c r="D123" s="27">
        <f t="shared" si="12"/>
        <v>3.7273977543317587</v>
      </c>
      <c r="E123" s="27"/>
      <c r="F123" s="26">
        <f t="shared" si="13"/>
        <v>0.27466543853150915</v>
      </c>
      <c r="G123" s="26">
        <f t="shared" si="13"/>
        <v>0</v>
      </c>
      <c r="H123" s="26">
        <f t="shared" si="13"/>
        <v>0.27466543853150915</v>
      </c>
      <c r="I123" s="26">
        <f>IF(F$320=0,0,SUM(F$17:F123)/F$320)</f>
        <v>6.8115967437681571E-2</v>
      </c>
      <c r="J123" s="26">
        <f>IF(G$320=0,0,SUM(G$17:G123)/G$320)</f>
        <v>0</v>
      </c>
      <c r="K123" s="26">
        <f>SUM(H$17:H123)/H$320</f>
        <v>6.8115967437681571E-2</v>
      </c>
      <c r="L123" s="26"/>
      <c r="M123" s="26"/>
      <c r="N123" s="27">
        <f t="shared" si="14"/>
        <v>0.26574192643863681</v>
      </c>
      <c r="O123" s="27">
        <f t="shared" si="15"/>
        <v>0</v>
      </c>
      <c r="P123" s="26">
        <f t="shared" si="16"/>
        <v>0.26574192643863681</v>
      </c>
      <c r="Q123" s="26">
        <f>IF(N$320=0,0,SUM(N$17:N123)/N$320)</f>
        <v>6.6853522596929851E-2</v>
      </c>
      <c r="R123" s="26">
        <f>IF(O$320=0,0,SUM(O$17:O123)/O$320)</f>
        <v>0</v>
      </c>
      <c r="S123" s="26">
        <f>SUM(P$17:P123)/P$320</f>
        <v>6.6853522596929851E-2</v>
      </c>
    </row>
    <row r="124" spans="1:19" x14ac:dyDescent="0.4">
      <c r="A124" s="6">
        <f t="shared" si="10"/>
        <v>2.1742744062419574</v>
      </c>
      <c r="B124" s="25">
        <f t="shared" si="18"/>
        <v>3.7151881254259633</v>
      </c>
      <c r="C124" s="25">
        <f t="shared" si="18"/>
        <v>0</v>
      </c>
      <c r="D124" s="27">
        <f t="shared" si="12"/>
        <v>3.7151881254259633</v>
      </c>
      <c r="E124" s="27"/>
      <c r="F124" s="26">
        <f t="shared" si="13"/>
        <v>0.28336939421300594</v>
      </c>
      <c r="G124" s="26">
        <f t="shared" si="13"/>
        <v>0</v>
      </c>
      <c r="H124" s="26">
        <f t="shared" si="13"/>
        <v>0.28336939421300594</v>
      </c>
      <c r="I124" s="26">
        <f>IF(F$320=0,0,SUM(F$17:F124)/F$320)</f>
        <v>7.0914888241534565E-2</v>
      </c>
      <c r="J124" s="26">
        <f>IF(G$320=0,0,SUM(G$17:G124)/G$320)</f>
        <v>0</v>
      </c>
      <c r="K124" s="26">
        <f>SUM(H$17:H124)/H$320</f>
        <v>7.0914888241534565E-2</v>
      </c>
      <c r="L124" s="26"/>
      <c r="M124" s="26"/>
      <c r="N124" s="27">
        <f t="shared" si="14"/>
        <v>0.27422274856905154</v>
      </c>
      <c r="O124" s="27">
        <f t="shared" si="15"/>
        <v>0</v>
      </c>
      <c r="P124" s="26">
        <f t="shared" si="16"/>
        <v>0.27422274856905154</v>
      </c>
      <c r="Q124" s="26">
        <f>IF(N$320=0,0,SUM(N$17:N124)/N$320)</f>
        <v>6.9609530120236893E-2</v>
      </c>
      <c r="R124" s="26">
        <f>IF(O$320=0,0,SUM(O$17:O124)/O$320)</f>
        <v>0</v>
      </c>
      <c r="S124" s="26">
        <f>SUM(P$17:P124)/P$320</f>
        <v>6.9609530120236893E-2</v>
      </c>
    </row>
    <row r="125" spans="1:19" x14ac:dyDescent="0.4">
      <c r="A125" s="6">
        <f t="shared" si="10"/>
        <v>2.2505476351193017</v>
      </c>
      <c r="B125" s="25">
        <f t="shared" si="18"/>
        <v>3.7013992998044931</v>
      </c>
      <c r="C125" s="25">
        <f t="shared" si="18"/>
        <v>0</v>
      </c>
      <c r="D125" s="27">
        <f t="shared" si="12"/>
        <v>3.7013992998044931</v>
      </c>
      <c r="E125" s="27"/>
      <c r="F125" s="26">
        <f t="shared" si="13"/>
        <v>0.2922213388342737</v>
      </c>
      <c r="G125" s="26">
        <f t="shared" si="13"/>
        <v>0</v>
      </c>
      <c r="H125" s="26">
        <f t="shared" si="13"/>
        <v>0.2922213388342737</v>
      </c>
      <c r="I125" s="26">
        <f>IF(F$320=0,0,SUM(F$17:F125)/F$320)</f>
        <v>7.3801242241988876E-2</v>
      </c>
      <c r="J125" s="26">
        <f>IF(G$320=0,0,SUM(G$17:G125)/G$320)</f>
        <v>0</v>
      </c>
      <c r="K125" s="26">
        <f>SUM(H$17:H125)/H$320</f>
        <v>7.3801242241988876E-2</v>
      </c>
      <c r="L125" s="26"/>
      <c r="M125" s="26"/>
      <c r="N125" s="27">
        <f t="shared" si="14"/>
        <v>0.28285049605149548</v>
      </c>
      <c r="O125" s="27">
        <f t="shared" si="15"/>
        <v>0</v>
      </c>
      <c r="P125" s="26">
        <f t="shared" si="16"/>
        <v>0.28285049605149548</v>
      </c>
      <c r="Q125" s="26">
        <f>IF(N$320=0,0,SUM(N$17:N125)/N$320)</f>
        <v>7.2452248673518252E-2</v>
      </c>
      <c r="R125" s="26">
        <f>IF(O$320=0,0,SUM(O$17:O125)/O$320)</f>
        <v>0</v>
      </c>
      <c r="S125" s="26">
        <f>SUM(P$17:P125)/P$320</f>
        <v>7.2452248673518252E-2</v>
      </c>
    </row>
    <row r="126" spans="1:19" x14ac:dyDescent="0.4">
      <c r="A126" s="6">
        <f t="shared" si="10"/>
        <v>2.3294965177350488</v>
      </c>
      <c r="B126" s="25">
        <f t="shared" si="18"/>
        <v>3.686049174910484</v>
      </c>
      <c r="C126" s="25">
        <f t="shared" si="18"/>
        <v>0</v>
      </c>
      <c r="D126" s="27">
        <f t="shared" si="12"/>
        <v>3.686049174910484</v>
      </c>
      <c r="E126" s="27"/>
      <c r="F126" s="26">
        <f t="shared" si="13"/>
        <v>0.30121803314262874</v>
      </c>
      <c r="G126" s="26">
        <f t="shared" si="13"/>
        <v>0</v>
      </c>
      <c r="H126" s="26">
        <f t="shared" si="13"/>
        <v>0.30121803314262874</v>
      </c>
      <c r="I126" s="26">
        <f>IF(F$320=0,0,SUM(F$17:F126)/F$320)</f>
        <v>7.6776459173231795E-2</v>
      </c>
      <c r="J126" s="26">
        <f>IF(G$320=0,0,SUM(G$17:G126)/G$320)</f>
        <v>0</v>
      </c>
      <c r="K126" s="26">
        <f>SUM(H$17:H126)/H$320</f>
        <v>7.6776459173231795E-2</v>
      </c>
      <c r="L126" s="26"/>
      <c r="M126" s="26"/>
      <c r="N126" s="27">
        <f t="shared" si="14"/>
        <v>0.29162212793561737</v>
      </c>
      <c r="O126" s="27">
        <f t="shared" si="15"/>
        <v>0</v>
      </c>
      <c r="P126" s="26">
        <f t="shared" si="16"/>
        <v>0.29162212793561737</v>
      </c>
      <c r="Q126" s="26">
        <f>IF(N$320=0,0,SUM(N$17:N126)/N$320)</f>
        <v>7.5383124331162649E-2</v>
      </c>
      <c r="R126" s="26">
        <f>IF(O$320=0,0,SUM(O$17:O126)/O$320)</f>
        <v>0</v>
      </c>
      <c r="S126" s="26">
        <f>SUM(P$17:P126)/P$320</f>
        <v>7.5383124331162649E-2</v>
      </c>
    </row>
    <row r="127" spans="1:19" x14ac:dyDescent="0.4">
      <c r="A127" s="6">
        <f t="shared" si="10"/>
        <v>2.4112149156318821</v>
      </c>
      <c r="B127" s="25">
        <f t="shared" si="18"/>
        <v>3.6691576218623672</v>
      </c>
      <c r="C127" s="25">
        <f t="shared" si="18"/>
        <v>0</v>
      </c>
      <c r="D127" s="27">
        <f t="shared" si="12"/>
        <v>3.6691576218623672</v>
      </c>
      <c r="E127" s="27"/>
      <c r="F127" s="26">
        <f t="shared" si="13"/>
        <v>0.3103559446357253</v>
      </c>
      <c r="G127" s="26">
        <f t="shared" si="13"/>
        <v>0</v>
      </c>
      <c r="H127" s="26">
        <f t="shared" si="13"/>
        <v>0.3103559446357253</v>
      </c>
      <c r="I127" s="26">
        <f>IF(F$320=0,0,SUM(F$17:F127)/F$320)</f>
        <v>7.9841933877911497E-2</v>
      </c>
      <c r="J127" s="26">
        <f>IF(G$320=0,0,SUM(G$17:G127)/G$320)</f>
        <v>0</v>
      </c>
      <c r="K127" s="26">
        <f>SUM(H$17:H127)/H$320</f>
        <v>7.9841933877911497E-2</v>
      </c>
      <c r="L127" s="26"/>
      <c r="M127" s="26"/>
      <c r="N127" s="27">
        <f t="shared" si="14"/>
        <v>0.30053431662701996</v>
      </c>
      <c r="O127" s="27">
        <f t="shared" si="15"/>
        <v>0</v>
      </c>
      <c r="P127" s="26">
        <f t="shared" si="16"/>
        <v>0.30053431662701996</v>
      </c>
      <c r="Q127" s="26">
        <f>IF(N$320=0,0,SUM(N$17:N127)/N$320)</f>
        <v>7.8403569724399019E-2</v>
      </c>
      <c r="R127" s="26">
        <f>IF(O$320=0,0,SUM(O$17:O127)/O$320)</f>
        <v>0</v>
      </c>
      <c r="S127" s="26">
        <f>SUM(P$17:P127)/P$320</f>
        <v>7.8403569724399019E-2</v>
      </c>
    </row>
    <row r="128" spans="1:19" x14ac:dyDescent="0.4">
      <c r="A128" s="6">
        <f t="shared" si="10"/>
        <v>2.4957999830017044</v>
      </c>
      <c r="B128" s="25">
        <f t="shared" si="18"/>
        <v>3.6507464425903295</v>
      </c>
      <c r="C128" s="25">
        <f t="shared" si="18"/>
        <v>0</v>
      </c>
      <c r="D128" s="27">
        <f t="shared" si="12"/>
        <v>3.6507464425903295</v>
      </c>
      <c r="E128" s="27"/>
      <c r="F128" s="26">
        <f t="shared" si="13"/>
        <v>0.31963124480699528</v>
      </c>
      <c r="G128" s="26">
        <f t="shared" si="13"/>
        <v>0</v>
      </c>
      <c r="H128" s="26">
        <f t="shared" si="13"/>
        <v>0.31963124480699528</v>
      </c>
      <c r="I128" s="26">
        <f>IF(F$320=0,0,SUM(F$17:F128)/F$320)</f>
        <v>8.2999023383418399E-2</v>
      </c>
      <c r="J128" s="26">
        <f>IF(G$320=0,0,SUM(G$17:G128)/G$320)</f>
        <v>0</v>
      </c>
      <c r="K128" s="26">
        <f>SUM(H$17:H128)/H$320</f>
        <v>8.2999023383418399E-2</v>
      </c>
      <c r="L128" s="26"/>
      <c r="M128" s="26"/>
      <c r="N128" s="27">
        <f t="shared" si="14"/>
        <v>0.3095834449084553</v>
      </c>
      <c r="O128" s="27">
        <f t="shared" si="15"/>
        <v>0</v>
      </c>
      <c r="P128" s="26">
        <f t="shared" si="16"/>
        <v>0.3095834449084553</v>
      </c>
      <c r="Q128" s="26">
        <f>IF(N$320=0,0,SUM(N$17:N128)/N$320)</f>
        <v>8.1514961130514138E-2</v>
      </c>
      <c r="R128" s="26">
        <f>IF(O$320=0,0,SUM(O$17:O128)/O$320)</f>
        <v>0</v>
      </c>
      <c r="S128" s="26">
        <f>SUM(P$17:P128)/P$320</f>
        <v>8.1514961130514138E-2</v>
      </c>
    </row>
    <row r="129" spans="1:19" x14ac:dyDescent="0.4">
      <c r="A129" s="6">
        <f t="shared" si="10"/>
        <v>2.5833522821912931</v>
      </c>
      <c r="B129" s="25">
        <f t="shared" si="18"/>
        <v>3.6308393229484563</v>
      </c>
      <c r="C129" s="25">
        <f t="shared" si="18"/>
        <v>0</v>
      </c>
      <c r="D129" s="27">
        <f t="shared" si="12"/>
        <v>3.6308393229484563</v>
      </c>
      <c r="E129" s="27"/>
      <c r="F129" s="26">
        <f t="shared" si="13"/>
        <v>0.32903980696378538</v>
      </c>
      <c r="G129" s="26">
        <f t="shared" si="13"/>
        <v>0</v>
      </c>
      <c r="H129" s="26">
        <f t="shared" si="13"/>
        <v>0.32903980696378538</v>
      </c>
      <c r="I129" s="26">
        <f>IF(F$320=0,0,SUM(F$17:F129)/F$320)</f>
        <v>8.6249043956615645E-2</v>
      </c>
      <c r="J129" s="26">
        <f>IF(G$320=0,0,SUM(G$17:G129)/G$320)</f>
        <v>0</v>
      </c>
      <c r="K129" s="26">
        <f>SUM(H$17:H129)/H$320</f>
        <v>8.6249043956615645E-2</v>
      </c>
      <c r="L129" s="26"/>
      <c r="M129" s="26"/>
      <c r="N129" s="27">
        <f t="shared" si="14"/>
        <v>0.31876560351193767</v>
      </c>
      <c r="O129" s="27">
        <f t="shared" si="15"/>
        <v>0</v>
      </c>
      <c r="P129" s="26">
        <f t="shared" si="16"/>
        <v>0.31876560351193767</v>
      </c>
      <c r="Q129" s="26">
        <f>IF(N$320=0,0,SUM(N$17:N129)/N$320)</f>
        <v>8.4718635537669298E-2</v>
      </c>
      <c r="R129" s="26">
        <f>IF(O$320=0,0,SUM(O$17:O129)/O$320)</f>
        <v>0</v>
      </c>
      <c r="S129" s="26">
        <f>SUM(P$17:P129)/P$320</f>
        <v>8.4718635537669298E-2</v>
      </c>
    </row>
    <row r="130" spans="1:19" x14ac:dyDescent="0.4">
      <c r="A130" s="6">
        <f t="shared" si="10"/>
        <v>2.6739759032598744</v>
      </c>
      <c r="B130" s="25">
        <f t="shared" ref="B130:C145" si="19">C$4*EXP(-0.5*(LN($A130)-LN(C$5))^2/(LN(C$6))^2)/($A130*SQRT(2*PI())*LN(C$6))</f>
        <v>3.6094617819436903</v>
      </c>
      <c r="C130" s="25">
        <f t="shared" si="19"/>
        <v>0</v>
      </c>
      <c r="D130" s="27">
        <f t="shared" si="12"/>
        <v>3.6094617819436903</v>
      </c>
      <c r="E130" s="27"/>
      <c r="F130" s="26">
        <f t="shared" si="13"/>
        <v>0.33857720464139518</v>
      </c>
      <c r="G130" s="26">
        <f t="shared" si="13"/>
        <v>0</v>
      </c>
      <c r="H130" s="26">
        <f t="shared" si="13"/>
        <v>0.33857720464139518</v>
      </c>
      <c r="I130" s="26">
        <f>IF(F$320=0,0,SUM(F$17:F130)/F$320)</f>
        <v>8.9593268142904622E-2</v>
      </c>
      <c r="J130" s="26">
        <f>IF(G$320=0,0,SUM(G$17:G130)/G$320)</f>
        <v>0</v>
      </c>
      <c r="K130" s="26">
        <f>SUM(H$17:H130)/H$320</f>
        <v>8.9593268142904622E-2</v>
      </c>
      <c r="L130" s="26"/>
      <c r="M130" s="26"/>
      <c r="N130" s="27">
        <f t="shared" si="14"/>
        <v>0.32807658926518879</v>
      </c>
      <c r="O130" s="27">
        <f t="shared" si="15"/>
        <v>0</v>
      </c>
      <c r="P130" s="26">
        <f t="shared" si="16"/>
        <v>0.32807658926518879</v>
      </c>
      <c r="Q130" s="26">
        <f>IF(N$320=0,0,SUM(N$17:N130)/N$320)</f>
        <v>8.8015887691088285E-2</v>
      </c>
      <c r="R130" s="26">
        <f>IF(O$320=0,0,SUM(O$17:O130)/O$320)</f>
        <v>0</v>
      </c>
      <c r="S130" s="26">
        <f>SUM(P$17:P130)/P$320</f>
        <v>8.8015887691088285E-2</v>
      </c>
    </row>
    <row r="131" spans="1:19" x14ac:dyDescent="0.4">
      <c r="A131" s="6">
        <f t="shared" si="10"/>
        <v>2.767778587730763</v>
      </c>
      <c r="B131" s="25">
        <f t="shared" si="19"/>
        <v>3.5866411172339343</v>
      </c>
      <c r="C131" s="25">
        <f t="shared" si="19"/>
        <v>0</v>
      </c>
      <c r="D131" s="27">
        <f t="shared" si="12"/>
        <v>3.5866411172339343</v>
      </c>
      <c r="E131" s="27"/>
      <c r="F131" s="26">
        <f t="shared" si="13"/>
        <v>0.34823871063501016</v>
      </c>
      <c r="G131" s="26">
        <f t="shared" si="13"/>
        <v>0</v>
      </c>
      <c r="H131" s="26">
        <f t="shared" si="13"/>
        <v>0.34823871063501016</v>
      </c>
      <c r="I131" s="26">
        <f>IF(F$320=0,0,SUM(F$17:F131)/F$320)</f>
        <v>9.3032921795728571E-2</v>
      </c>
      <c r="J131" s="26">
        <f>IF(G$320=0,0,SUM(G$17:G131)/G$320)</f>
        <v>0</v>
      </c>
      <c r="K131" s="26">
        <f>SUM(H$17:H131)/H$320</f>
        <v>9.3032921795728571E-2</v>
      </c>
      <c r="L131" s="26"/>
      <c r="M131" s="26"/>
      <c r="N131" s="27">
        <f t="shared" si="14"/>
        <v>0.33751190383490004</v>
      </c>
      <c r="O131" s="27">
        <f t="shared" si="15"/>
        <v>0</v>
      </c>
      <c r="P131" s="26">
        <f t="shared" si="16"/>
        <v>0.33751190383490004</v>
      </c>
      <c r="Q131" s="26">
        <f>IF(N$320=0,0,SUM(N$17:N131)/N$320)</f>
        <v>9.1407967126614906E-2</v>
      </c>
      <c r="R131" s="26">
        <f>IF(O$320=0,0,SUM(O$17:O131)/O$320)</f>
        <v>0</v>
      </c>
      <c r="S131" s="26">
        <f>SUM(P$17:P131)/P$320</f>
        <v>9.1407967126614906E-2</v>
      </c>
    </row>
    <row r="132" spans="1:19" x14ac:dyDescent="0.4">
      <c r="A132" s="6">
        <f t="shared" si="10"/>
        <v>2.8648718566841889</v>
      </c>
      <c r="B132" s="25">
        <f t="shared" si="19"/>
        <v>3.562406347058205</v>
      </c>
      <c r="C132" s="25">
        <f t="shared" si="19"/>
        <v>0</v>
      </c>
      <c r="D132" s="27">
        <f t="shared" si="12"/>
        <v>3.562406347058205</v>
      </c>
      <c r="E132" s="27"/>
      <c r="F132" s="26">
        <f t="shared" si="13"/>
        <v>0.35801929667031401</v>
      </c>
      <c r="G132" s="26">
        <f t="shared" si="13"/>
        <v>0</v>
      </c>
      <c r="H132" s="26">
        <f t="shared" si="13"/>
        <v>0.35801929667031401</v>
      </c>
      <c r="I132" s="26">
        <f>IF(F$320=0,0,SUM(F$17:F132)/F$320)</f>
        <v>9.6569181102822671E-2</v>
      </c>
      <c r="J132" s="26">
        <f>IF(G$320=0,0,SUM(G$17:G132)/G$320)</f>
        <v>0</v>
      </c>
      <c r="K132" s="26">
        <f>SUM(H$17:H132)/H$320</f>
        <v>9.6569181102822671E-2</v>
      </c>
      <c r="L132" s="26"/>
      <c r="M132" s="26"/>
      <c r="N132" s="27">
        <f t="shared" si="14"/>
        <v>0.34706675308735779</v>
      </c>
      <c r="O132" s="27">
        <f t="shared" si="15"/>
        <v>0</v>
      </c>
      <c r="P132" s="26">
        <f t="shared" si="16"/>
        <v>0.34706675308735779</v>
      </c>
      <c r="Q132" s="26">
        <f>IF(N$320=0,0,SUM(N$17:N132)/N$320)</f>
        <v>9.4896075197844626E-2</v>
      </c>
      <c r="R132" s="26">
        <f>IF(O$320=0,0,SUM(O$17:O132)/O$320)</f>
        <v>0</v>
      </c>
      <c r="S132" s="26">
        <f>SUM(P$17:P132)/P$320</f>
        <v>9.4896075197844626E-2</v>
      </c>
    </row>
    <row r="133" spans="1:19" x14ac:dyDescent="0.4">
      <c r="A133" s="6">
        <f t="shared" si="10"/>
        <v>2.9653711433436016</v>
      </c>
      <c r="B133" s="25">
        <f t="shared" si="19"/>
        <v>3.536788148771687</v>
      </c>
      <c r="C133" s="25">
        <f t="shared" si="19"/>
        <v>0</v>
      </c>
      <c r="D133" s="27">
        <f t="shared" si="12"/>
        <v>3.536788148771687</v>
      </c>
      <c r="E133" s="27"/>
      <c r="F133" s="26">
        <f t="shared" si="13"/>
        <v>0.36791363373216623</v>
      </c>
      <c r="G133" s="26">
        <f t="shared" si="13"/>
        <v>0</v>
      </c>
      <c r="H133" s="26">
        <f t="shared" si="13"/>
        <v>0.36791363373216623</v>
      </c>
      <c r="I133" s="26">
        <f>IF(F$320=0,0,SUM(F$17:F133)/F$320)</f>
        <v>0.10020316961571074</v>
      </c>
      <c r="J133" s="26">
        <f>IF(G$320=0,0,SUM(G$17:G133)/G$320)</f>
        <v>0</v>
      </c>
      <c r="K133" s="26">
        <f>SUM(H$17:H133)/H$320</f>
        <v>0.10020316961571074</v>
      </c>
      <c r="L133" s="26"/>
      <c r="M133" s="26"/>
      <c r="N133" s="27">
        <f t="shared" si="14"/>
        <v>0.35673604708665041</v>
      </c>
      <c r="O133" s="27">
        <f t="shared" si="15"/>
        <v>0</v>
      </c>
      <c r="P133" s="26">
        <f t="shared" si="16"/>
        <v>0.35673604708665041</v>
      </c>
      <c r="Q133" s="26">
        <f>IF(N$320=0,0,SUM(N$17:N133)/N$320)</f>
        <v>9.8481362103238101E-2</v>
      </c>
      <c r="R133" s="26">
        <f>IF(O$320=0,0,SUM(O$17:O133)/O$320)</f>
        <v>0</v>
      </c>
      <c r="S133" s="26">
        <f>SUM(P$17:P133)/P$320</f>
        <v>9.8481362103238101E-2</v>
      </c>
    </row>
    <row r="134" spans="1:19" x14ac:dyDescent="0.4">
      <c r="A134" s="6">
        <f t="shared" si="10"/>
        <v>3.0693959303130844</v>
      </c>
      <c r="B134" s="25">
        <f t="shared" si="19"/>
        <v>3.5098187941678494</v>
      </c>
      <c r="C134" s="25">
        <f t="shared" si="19"/>
        <v>0</v>
      </c>
      <c r="D134" s="27">
        <f t="shared" si="12"/>
        <v>3.5098187941678494</v>
      </c>
      <c r="E134" s="27"/>
      <c r="F134" s="26">
        <f t="shared" si="13"/>
        <v>0.37791609306922669</v>
      </c>
      <c r="G134" s="26">
        <f t="shared" si="13"/>
        <v>0</v>
      </c>
      <c r="H134" s="26">
        <f t="shared" si="13"/>
        <v>0.37791609306922669</v>
      </c>
      <c r="I134" s="26">
        <f>IF(F$320=0,0,SUM(F$17:F134)/F$320)</f>
        <v>0.10393595528912469</v>
      </c>
      <c r="J134" s="26">
        <f>IF(G$320=0,0,SUM(G$17:G134)/G$320)</f>
        <v>0</v>
      </c>
      <c r="K134" s="26">
        <f>SUM(H$17:H134)/H$320</f>
        <v>0.10393595528912469</v>
      </c>
      <c r="L134" s="26"/>
      <c r="M134" s="26"/>
      <c r="N134" s="27">
        <f t="shared" si="14"/>
        <v>0.36651440074841057</v>
      </c>
      <c r="O134" s="27">
        <f t="shared" si="15"/>
        <v>0</v>
      </c>
      <c r="P134" s="26">
        <f t="shared" si="16"/>
        <v>0.36651440074841057</v>
      </c>
      <c r="Q134" s="26">
        <f>IF(N$320=0,0,SUM(N$17:N134)/N$320)</f>
        <v>0.10216492391980504</v>
      </c>
      <c r="R134" s="26">
        <f>IF(O$320=0,0,SUM(O$17:O134)/O$320)</f>
        <v>0</v>
      </c>
      <c r="S134" s="26">
        <f>SUM(P$17:P134)/P$320</f>
        <v>0.10216492391980504</v>
      </c>
    </row>
    <row r="135" spans="1:19" x14ac:dyDescent="0.4">
      <c r="A135" s="6">
        <f t="shared" si="10"/>
        <v>3.1770698916290354</v>
      </c>
      <c r="B135" s="25">
        <f t="shared" si="19"/>
        <v>3.4815320817784419</v>
      </c>
      <c r="C135" s="25">
        <f t="shared" si="19"/>
        <v>0</v>
      </c>
      <c r="D135" s="27">
        <f t="shared" si="12"/>
        <v>3.4815320817784419</v>
      </c>
      <c r="E135" s="27"/>
      <c r="F135" s="26">
        <f t="shared" si="13"/>
        <v>0.38802074789085439</v>
      </c>
      <c r="G135" s="26">
        <f t="shared" si="13"/>
        <v>0</v>
      </c>
      <c r="H135" s="26">
        <f t="shared" si="13"/>
        <v>0.38802074789085439</v>
      </c>
      <c r="I135" s="26">
        <f>IF(F$320=0,0,SUM(F$17:F135)/F$320)</f>
        <v>0.107768547537185</v>
      </c>
      <c r="J135" s="26">
        <f>IF(G$320=0,0,SUM(G$17:G135)/G$320)</f>
        <v>0</v>
      </c>
      <c r="K135" s="26">
        <f>SUM(H$17:H135)/H$320</f>
        <v>0.107768547537185</v>
      </c>
      <c r="L135" s="26"/>
      <c r="M135" s="26"/>
      <c r="N135" s="27">
        <f t="shared" si="14"/>
        <v>0.3763961351662487</v>
      </c>
      <c r="O135" s="27">
        <f t="shared" si="15"/>
        <v>0</v>
      </c>
      <c r="P135" s="26">
        <f t="shared" si="16"/>
        <v>0.3763961351662487</v>
      </c>
      <c r="Q135" s="26">
        <f>IF(N$320=0,0,SUM(N$17:N135)/N$320)</f>
        <v>0.10594779965011911</v>
      </c>
      <c r="R135" s="26">
        <f>IF(O$320=0,0,SUM(O$17:O135)/O$320)</f>
        <v>0</v>
      </c>
      <c r="S135" s="26">
        <f>SUM(P$17:P135)/P$320</f>
        <v>0.10594779965011911</v>
      </c>
    </row>
    <row r="136" spans="1:19" x14ac:dyDescent="0.4">
      <c r="A136" s="6">
        <f t="shared" si="10"/>
        <v>3.2885210397950018</v>
      </c>
      <c r="B136" s="25">
        <f t="shared" si="19"/>
        <v>3.4519632663499689</v>
      </c>
      <c r="C136" s="25">
        <f t="shared" si="19"/>
        <v>0</v>
      </c>
      <c r="D136" s="27">
        <f t="shared" si="12"/>
        <v>3.4519632663499689</v>
      </c>
      <c r="E136" s="27"/>
      <c r="F136" s="26">
        <f t="shared" si="13"/>
        <v>0.39822137577088024</v>
      </c>
      <c r="G136" s="26">
        <f t="shared" si="13"/>
        <v>0</v>
      </c>
      <c r="H136" s="26">
        <f t="shared" si="13"/>
        <v>0.39822137577088024</v>
      </c>
      <c r="I136" s="26">
        <f>IF(F$320=0,0,SUM(F$17:F136)/F$320)</f>
        <v>0.11170189431332361</v>
      </c>
      <c r="J136" s="26">
        <f>IF(G$320=0,0,SUM(G$17:G136)/G$320)</f>
        <v>0</v>
      </c>
      <c r="K136" s="26">
        <f>SUM(H$17:H136)/H$320</f>
        <v>0.11170189431332361</v>
      </c>
      <c r="L136" s="26"/>
      <c r="M136" s="26"/>
      <c r="N136" s="27">
        <f t="shared" si="14"/>
        <v>0.38637527962572249</v>
      </c>
      <c r="O136" s="27">
        <f t="shared" si="15"/>
        <v>0</v>
      </c>
      <c r="P136" s="26">
        <f t="shared" si="16"/>
        <v>0.38637527962572249</v>
      </c>
      <c r="Q136" s="26">
        <f>IF(N$320=0,0,SUM(N$17:N136)/N$320)</f>
        <v>0.1098309682895736</v>
      </c>
      <c r="R136" s="26">
        <f>IF(O$320=0,0,SUM(O$17:O136)/O$320)</f>
        <v>0</v>
      </c>
      <c r="S136" s="26">
        <f>SUM(P$17:P136)/P$320</f>
        <v>0.1098309682895736</v>
      </c>
    </row>
    <row r="137" spans="1:19" x14ac:dyDescent="0.4">
      <c r="A137" s="6">
        <f t="shared" si="10"/>
        <v>3.4038818779744737</v>
      </c>
      <c r="B137" s="25">
        <f t="shared" si="19"/>
        <v>3.4211489857025024</v>
      </c>
      <c r="C137" s="25">
        <f t="shared" si="19"/>
        <v>0</v>
      </c>
      <c r="D137" s="27">
        <f t="shared" si="12"/>
        <v>3.4211489857025024</v>
      </c>
      <c r="E137" s="27"/>
      <c r="F137" s="26">
        <f t="shared" si="13"/>
        <v>0.40851146177109698</v>
      </c>
      <c r="G137" s="26">
        <f t="shared" si="13"/>
        <v>0</v>
      </c>
      <c r="H137" s="26">
        <f t="shared" si="13"/>
        <v>0.40851146177109698</v>
      </c>
      <c r="I137" s="26">
        <f>IF(F$320=0,0,SUM(F$17:F137)/F$320)</f>
        <v>0.11573687922105873</v>
      </c>
      <c r="J137" s="26">
        <f>IF(G$320=0,0,SUM(G$17:G137)/G$320)</f>
        <v>0</v>
      </c>
      <c r="K137" s="26">
        <f>SUM(H$17:H137)/H$320</f>
        <v>0.11573687922105873</v>
      </c>
      <c r="L137" s="26"/>
      <c r="M137" s="26"/>
      <c r="N137" s="27">
        <f t="shared" si="14"/>
        <v>0.39644557431972455</v>
      </c>
      <c r="O137" s="27">
        <f t="shared" si="15"/>
        <v>0</v>
      </c>
      <c r="P137" s="26">
        <f t="shared" si="16"/>
        <v>0.39644557431972455</v>
      </c>
      <c r="Q137" s="26">
        <f>IF(N$320=0,0,SUM(N$17:N137)/N$320)</f>
        <v>0.11381534592092761</v>
      </c>
      <c r="R137" s="26">
        <f>IF(O$320=0,0,SUM(O$17:O137)/O$320)</f>
        <v>0</v>
      </c>
      <c r="S137" s="26">
        <f>SUM(P$17:P137)/P$320</f>
        <v>0.11381534592092761</v>
      </c>
    </row>
    <row r="138" spans="1:19" x14ac:dyDescent="0.4">
      <c r="A138" s="6">
        <f t="shared" si="10"/>
        <v>3.5232895575225811</v>
      </c>
      <c r="B138" s="25">
        <f t="shared" si="19"/>
        <v>3.3891271851829274</v>
      </c>
      <c r="C138" s="25">
        <f t="shared" si="19"/>
        <v>0</v>
      </c>
      <c r="D138" s="27">
        <f t="shared" si="12"/>
        <v>3.3891271851829274</v>
      </c>
      <c r="E138" s="27"/>
      <c r="F138" s="26">
        <f t="shared" si="13"/>
        <v>0.41888420229537487</v>
      </c>
      <c r="G138" s="26">
        <f t="shared" si="13"/>
        <v>0</v>
      </c>
      <c r="H138" s="26">
        <f t="shared" si="13"/>
        <v>0.41888420229537487</v>
      </c>
      <c r="I138" s="26">
        <f>IF(F$320=0,0,SUM(F$17:F138)/F$320)</f>
        <v>0.11987431866283765</v>
      </c>
      <c r="J138" s="26">
        <f>IF(G$320=0,0,SUM(G$17:G138)/G$320)</f>
        <v>0</v>
      </c>
      <c r="K138" s="26">
        <f>SUM(H$17:H138)/H$320</f>
        <v>0.11987431866283765</v>
      </c>
      <c r="L138" s="26"/>
      <c r="M138" s="26"/>
      <c r="N138" s="27">
        <f t="shared" si="14"/>
        <v>0.40660047377656522</v>
      </c>
      <c r="O138" s="27">
        <f t="shared" si="15"/>
        <v>0</v>
      </c>
      <c r="P138" s="26">
        <f t="shared" si="16"/>
        <v>0.40660047377656522</v>
      </c>
      <c r="Q138" s="26">
        <f>IF(N$320=0,0,SUM(N$17:N138)/N$320)</f>
        <v>0.11790178284330514</v>
      </c>
      <c r="R138" s="26">
        <f>IF(O$320=0,0,SUM(O$17:O138)/O$320)</f>
        <v>0</v>
      </c>
      <c r="S138" s="26">
        <f>SUM(P$17:P138)/P$320</f>
        <v>0.11790178284330514</v>
      </c>
    </row>
    <row r="139" spans="1:19" x14ac:dyDescent="0.4">
      <c r="A139" s="6">
        <f t="shared" si="10"/>
        <v>3.6468860410439765</v>
      </c>
      <c r="B139" s="25">
        <f t="shared" si="19"/>
        <v>3.355937039930418</v>
      </c>
      <c r="C139" s="25">
        <f t="shared" si="19"/>
        <v>0</v>
      </c>
      <c r="D139" s="27">
        <f t="shared" si="12"/>
        <v>3.355937039930418</v>
      </c>
      <c r="E139" s="27"/>
      <c r="F139" s="26">
        <f t="shared" si="13"/>
        <v>0.4293325096833997</v>
      </c>
      <c r="G139" s="26">
        <f t="shared" si="13"/>
        <v>0</v>
      </c>
      <c r="H139" s="26">
        <f t="shared" si="13"/>
        <v>0.4293325096833997</v>
      </c>
      <c r="I139" s="26">
        <f>IF(F$320=0,0,SUM(F$17:F139)/F$320)</f>
        <v>0.12411495903425337</v>
      </c>
      <c r="J139" s="26">
        <f>IF(G$320=0,0,SUM(G$17:G139)/G$320)</f>
        <v>0</v>
      </c>
      <c r="K139" s="26">
        <f>SUM(H$17:H139)/H$320</f>
        <v>0.12411495903425337</v>
      </c>
      <c r="L139" s="26"/>
      <c r="M139" s="26"/>
      <c r="N139" s="27">
        <f t="shared" si="14"/>
        <v>0.41683315101094104</v>
      </c>
      <c r="O139" s="27">
        <f t="shared" si="15"/>
        <v>0</v>
      </c>
      <c r="P139" s="26">
        <f t="shared" si="16"/>
        <v>0.41683315101094104</v>
      </c>
      <c r="Q139" s="26">
        <f>IF(N$320=0,0,SUM(N$17:N139)/N$320)</f>
        <v>0.12209106074291259</v>
      </c>
      <c r="R139" s="26">
        <f>IF(O$320=0,0,SUM(O$17:O139)/O$320)</f>
        <v>0</v>
      </c>
      <c r="S139" s="26">
        <f>SUM(P$17:P139)/P$320</f>
        <v>0.12209106074291259</v>
      </c>
    </row>
    <row r="140" spans="1:19" x14ac:dyDescent="0.4">
      <c r="A140" s="6">
        <f t="shared" si="10"/>
        <v>3.7748182711707674</v>
      </c>
      <c r="B140" s="25">
        <f t="shared" si="19"/>
        <v>3.3216188751766098</v>
      </c>
      <c r="C140" s="25">
        <f t="shared" si="19"/>
        <v>0</v>
      </c>
      <c r="D140" s="27">
        <f t="shared" si="12"/>
        <v>3.3216188751766098</v>
      </c>
      <c r="E140" s="27"/>
      <c r="F140" s="26">
        <f t="shared" si="13"/>
        <v>0.43984901755090844</v>
      </c>
      <c r="G140" s="26">
        <f t="shared" si="13"/>
        <v>0</v>
      </c>
      <c r="H140" s="26">
        <f t="shared" si="13"/>
        <v>0.43984901755090844</v>
      </c>
      <c r="I140" s="26">
        <f>IF(F$320=0,0,SUM(F$17:F140)/F$320)</f>
        <v>0.1284594739710081</v>
      </c>
      <c r="J140" s="26">
        <f>IF(G$320=0,0,SUM(G$17:G140)/G$320)</f>
        <v>0</v>
      </c>
      <c r="K140" s="26">
        <f>SUM(H$17:H140)/H$320</f>
        <v>0.1284594739710081</v>
      </c>
      <c r="L140" s="26"/>
      <c r="M140" s="26"/>
      <c r="N140" s="27">
        <f t="shared" si="14"/>
        <v>0.42713650240525508</v>
      </c>
      <c r="O140" s="27">
        <f t="shared" si="15"/>
        <v>0</v>
      </c>
      <c r="P140" s="26">
        <f t="shared" si="16"/>
        <v>0.42713650240525508</v>
      </c>
      <c r="Q140" s="26">
        <f>IF(N$320=0,0,SUM(N$17:N140)/N$320)</f>
        <v>0.12638388991281463</v>
      </c>
      <c r="R140" s="26">
        <f>IF(O$320=0,0,SUM(O$17:O140)/O$320)</f>
        <v>0</v>
      </c>
      <c r="S140" s="26">
        <f>SUM(P$17:P140)/P$320</f>
        <v>0.12638388991281463</v>
      </c>
    </row>
    <row r="141" spans="1:19" x14ac:dyDescent="0.4">
      <c r="A141" s="6">
        <f t="shared" si="10"/>
        <v>3.9072383452611525</v>
      </c>
      <c r="B141" s="25">
        <f t="shared" si="19"/>
        <v>3.2862140848069323</v>
      </c>
      <c r="C141" s="25">
        <f t="shared" si="19"/>
        <v>0</v>
      </c>
      <c r="D141" s="27">
        <f t="shared" si="12"/>
        <v>3.2862140848069323</v>
      </c>
      <c r="E141" s="27"/>
      <c r="F141" s="26">
        <f t="shared" si="13"/>
        <v>0.45042608688119523</v>
      </c>
      <c r="G141" s="26">
        <f t="shared" si="13"/>
        <v>0</v>
      </c>
      <c r="H141" s="26">
        <f t="shared" si="13"/>
        <v>0.45042608688119523</v>
      </c>
      <c r="I141" s="26">
        <f>IF(F$320=0,0,SUM(F$17:F141)/F$320)</f>
        <v>0.13290846165604445</v>
      </c>
      <c r="J141" s="26">
        <f>IF(G$320=0,0,SUM(G$17:G141)/G$320)</f>
        <v>0</v>
      </c>
      <c r="K141" s="26">
        <f>SUM(H$17:H141)/H$320</f>
        <v>0.13290846165604445</v>
      </c>
      <c r="L141" s="26"/>
      <c r="M141" s="26"/>
      <c r="N141" s="27">
        <f t="shared" si="14"/>
        <v>0.43750315332724277</v>
      </c>
      <c r="O141" s="27">
        <f t="shared" si="15"/>
        <v>0</v>
      </c>
      <c r="P141" s="26">
        <f t="shared" si="16"/>
        <v>0.43750315332724277</v>
      </c>
      <c r="Q141" s="26">
        <f>IF(N$320=0,0,SUM(N$17:N141)/N$320)</f>
        <v>0.13078090652916882</v>
      </c>
      <c r="R141" s="26">
        <f>IF(O$320=0,0,SUM(O$17:O141)/O$320)</f>
        <v>0</v>
      </c>
      <c r="S141" s="26">
        <f>SUM(P$17:P141)/P$320</f>
        <v>0.13078090652916882</v>
      </c>
    </row>
    <row r="142" spans="1:19" x14ac:dyDescent="0.4">
      <c r="A142" s="6">
        <f t="shared" si="10"/>
        <v>4.0443036962264589</v>
      </c>
      <c r="B142" s="25">
        <f t="shared" si="19"/>
        <v>3.2497650484126934</v>
      </c>
      <c r="C142" s="25">
        <f t="shared" si="19"/>
        <v>0</v>
      </c>
      <c r="D142" s="27">
        <f t="shared" si="12"/>
        <v>3.2497650484126934</v>
      </c>
      <c r="E142" s="27"/>
      <c r="F142" s="26">
        <f t="shared" si="13"/>
        <v>0.46105581287048009</v>
      </c>
      <c r="G142" s="26">
        <f t="shared" si="13"/>
        <v>0</v>
      </c>
      <c r="H142" s="26">
        <f t="shared" si="13"/>
        <v>0.46105581287048009</v>
      </c>
      <c r="I142" s="26">
        <f>IF(F$320=0,0,SUM(F$17:F142)/F$320)</f>
        <v>0.13746244219429027</v>
      </c>
      <c r="J142" s="26">
        <f>IF(G$320=0,0,SUM(G$17:G142)/G$320)</f>
        <v>0</v>
      </c>
      <c r="K142" s="26">
        <f>SUM(H$17:H142)/H$320</f>
        <v>0.13746244219429027</v>
      </c>
      <c r="L142" s="26"/>
      <c r="M142" s="26"/>
      <c r="N142" s="27">
        <f t="shared" si="14"/>
        <v>0.44792546448737258</v>
      </c>
      <c r="O142" s="27">
        <f t="shared" si="15"/>
        <v>0</v>
      </c>
      <c r="P142" s="26">
        <f t="shared" si="16"/>
        <v>0.44792546448737258</v>
      </c>
      <c r="Q142" s="26">
        <f>IF(N$320=0,0,SUM(N$17:N142)/N$320)</f>
        <v>0.13528266999135347</v>
      </c>
      <c r="R142" s="26">
        <f>IF(O$320=0,0,SUM(O$17:O142)/O$320)</f>
        <v>0</v>
      </c>
      <c r="S142" s="26">
        <f>SUM(P$17:P142)/P$320</f>
        <v>0.13528266999135347</v>
      </c>
    </row>
    <row r="143" spans="1:19" x14ac:dyDescent="0.4">
      <c r="A143" s="6">
        <f t="shared" si="10"/>
        <v>4.1861772797015711</v>
      </c>
      <c r="B143" s="25">
        <f t="shared" si="19"/>
        <v>3.2123150470657871</v>
      </c>
      <c r="C143" s="25">
        <f t="shared" si="19"/>
        <v>0</v>
      </c>
      <c r="D143" s="27">
        <f t="shared" si="12"/>
        <v>3.2123150470657871</v>
      </c>
      <c r="E143" s="27"/>
      <c r="F143" s="26">
        <f t="shared" si="13"/>
        <v>0.47173003252735218</v>
      </c>
      <c r="G143" s="26">
        <f t="shared" si="13"/>
        <v>0</v>
      </c>
      <c r="H143" s="26">
        <f t="shared" si="13"/>
        <v>0.47173003252735218</v>
      </c>
      <c r="I143" s="26">
        <f>IF(F$320=0,0,SUM(F$17:F143)/F$320)</f>
        <v>0.14212185506246536</v>
      </c>
      <c r="J143" s="26">
        <f>IF(G$320=0,0,SUM(G$17:G143)/G$320)</f>
        <v>0</v>
      </c>
      <c r="K143" s="26">
        <f>SUM(H$17:H143)/H$320</f>
        <v>0.14212185506246536</v>
      </c>
      <c r="L143" s="26"/>
      <c r="M143" s="26"/>
      <c r="N143" s="27">
        <f t="shared" si="14"/>
        <v>0.4583955390376232</v>
      </c>
      <c r="O143" s="27">
        <f t="shared" si="15"/>
        <v>0</v>
      </c>
      <c r="P143" s="26">
        <f t="shared" si="16"/>
        <v>0.4583955390376232</v>
      </c>
      <c r="Q143" s="26">
        <f>IF(N$320=0,0,SUM(N$17:N143)/N$320)</f>
        <v>0.13988966033344014</v>
      </c>
      <c r="R143" s="26">
        <f>IF(O$320=0,0,SUM(O$17:O143)/O$320)</f>
        <v>0</v>
      </c>
      <c r="S143" s="26">
        <f>SUM(P$17:P143)/P$320</f>
        <v>0.13988966033344014</v>
      </c>
    </row>
    <row r="144" spans="1:19" x14ac:dyDescent="0.4">
      <c r="A144" s="6">
        <f t="shared" si="10"/>
        <v>4.3330277677812639</v>
      </c>
      <c r="B144" s="25">
        <f t="shared" si="19"/>
        <v>3.1739081780493863</v>
      </c>
      <c r="C144" s="25">
        <f t="shared" si="19"/>
        <v>0</v>
      </c>
      <c r="D144" s="27">
        <f t="shared" si="12"/>
        <v>3.1739081780493863</v>
      </c>
      <c r="E144" s="27"/>
      <c r="F144" s="26">
        <f t="shared" si="13"/>
        <v>0.48244033302433093</v>
      </c>
      <c r="G144" s="26">
        <f t="shared" si="13"/>
        <v>0</v>
      </c>
      <c r="H144" s="26">
        <f t="shared" si="13"/>
        <v>0.48244033302433093</v>
      </c>
      <c r="I144" s="26">
        <f>IF(F$320=0,0,SUM(F$17:F144)/F$320)</f>
        <v>0.14688705664137883</v>
      </c>
      <c r="J144" s="26">
        <f>IF(G$320=0,0,SUM(G$17:G144)/G$320)</f>
        <v>0</v>
      </c>
      <c r="K144" s="26">
        <f>SUM(H$17:H144)/H$320</f>
        <v>0.14688705664137883</v>
      </c>
      <c r="L144" s="26"/>
      <c r="M144" s="26"/>
      <c r="N144" s="27">
        <f t="shared" si="14"/>
        <v>0.46890523041042964</v>
      </c>
      <c r="O144" s="27">
        <f t="shared" si="15"/>
        <v>0</v>
      </c>
      <c r="P144" s="26">
        <f t="shared" si="16"/>
        <v>0.46890523041042964</v>
      </c>
      <c r="Q144" s="26">
        <f>IF(N$320=0,0,SUM(N$17:N144)/N$320)</f>
        <v>0.14460227571444947</v>
      </c>
      <c r="R144" s="26">
        <f>IF(O$320=0,0,SUM(O$17:O144)/O$320)</f>
        <v>0</v>
      </c>
      <c r="S144" s="26">
        <f>SUM(P$17:P144)/P$320</f>
        <v>0.14460227571444947</v>
      </c>
    </row>
    <row r="145" spans="1:19" x14ac:dyDescent="0.4">
      <c r="A145" s="6">
        <f t="shared" si="10"/>
        <v>4.4850297495527807</v>
      </c>
      <c r="B145" s="25">
        <f t="shared" si="19"/>
        <v>3.1345892687785928</v>
      </c>
      <c r="C145" s="25">
        <f t="shared" si="19"/>
        <v>0</v>
      </c>
      <c r="D145" s="27">
        <f t="shared" si="12"/>
        <v>3.1345892687785928</v>
      </c>
      <c r="E145" s="27"/>
      <c r="F145" s="26">
        <f t="shared" si="13"/>
        <v>0.49317806079709592</v>
      </c>
      <c r="G145" s="26">
        <f t="shared" si="13"/>
        <v>0</v>
      </c>
      <c r="H145" s="26">
        <f t="shared" si="13"/>
        <v>0.49317806079709592</v>
      </c>
      <c r="I145" s="26">
        <f>IF(F$320=0,0,SUM(F$17:F145)/F$320)</f>
        <v>0.15175831783810234</v>
      </c>
      <c r="J145" s="26">
        <f>IF(G$320=0,0,SUM(G$17:G145)/G$320)</f>
        <v>0</v>
      </c>
      <c r="K145" s="26">
        <f>SUM(H$17:H145)/H$320</f>
        <v>0.15175831783810234</v>
      </c>
      <c r="L145" s="26"/>
      <c r="M145" s="26"/>
      <c r="N145" s="27">
        <f t="shared" si="14"/>
        <v>0.47944615089507425</v>
      </c>
      <c r="O145" s="27">
        <f t="shared" si="15"/>
        <v>0</v>
      </c>
      <c r="P145" s="26">
        <f t="shared" si="16"/>
        <v>0.47944615089507425</v>
      </c>
      <c r="Q145" s="26">
        <f>IF(N$320=0,0,SUM(N$17:N145)/N$320)</f>
        <v>0.14942082999480197</v>
      </c>
      <c r="R145" s="26">
        <f>IF(O$320=0,0,SUM(O$17:O145)/O$320)</f>
        <v>0</v>
      </c>
      <c r="S145" s="26">
        <f>SUM(P$17:P145)/P$320</f>
        <v>0.14942082999480197</v>
      </c>
    </row>
    <row r="146" spans="1:19" x14ac:dyDescent="0.4">
      <c r="A146" s="6">
        <f t="shared" ref="A146:A209" si="20">10^((LOG(A$318)-LOG(A$17))/301+LOG(A145))</f>
        <v>4.6423639386630704</v>
      </c>
      <c r="B146" s="25">
        <f t="shared" ref="B146:C161" si="21">C$4*EXP(-0.5*(LN($A146)-LN(C$5))^2/(LN(C$6))^2)/($A146*SQRT(2*PI())*LN(C$6))</f>
        <v>3.0944037901448533</v>
      </c>
      <c r="C146" s="25">
        <f t="shared" si="21"/>
        <v>0</v>
      </c>
      <c r="D146" s="27">
        <f t="shared" ref="D146:D209" si="22">B146+C146</f>
        <v>3.0944037901448533</v>
      </c>
      <c r="E146" s="27"/>
      <c r="F146" s="26">
        <f t="shared" ref="F146:H209" si="23">B146*($A147-$A146)</f>
        <v>0.50393433138449928</v>
      </c>
      <c r="G146" s="26">
        <f t="shared" si="23"/>
        <v>0</v>
      </c>
      <c r="H146" s="26">
        <f t="shared" si="23"/>
        <v>0.50393433138449928</v>
      </c>
      <c r="I146" s="26">
        <f>IF(F$320=0,0,SUM(F$17:F146)/F$320)</f>
        <v>0.15673582180533596</v>
      </c>
      <c r="J146" s="26">
        <f>IF(G$320=0,0,SUM(G$17:G146)/G$320)</f>
        <v>0</v>
      </c>
      <c r="K146" s="26">
        <f>SUM(H$17:H146)/H$320</f>
        <v>0.15673582180533596</v>
      </c>
      <c r="L146" s="26"/>
      <c r="M146" s="26"/>
      <c r="N146" s="27">
        <f t="shared" ref="N146:N209" si="24">C$4*((NORMDIST(LN($A146),LN(C$5),LN(C$6),TRUE))-(NORMDIST(LN($A145),LN(C$5),LN(C$6),TRUE)))</f>
        <v>0.49000968094562725</v>
      </c>
      <c r="O146" s="27">
        <f t="shared" ref="O146:O209" si="25">D$4*((NORMDIST(LN($A146),LN(D$5),LN(D$6),TRUE))-(NORMDIST(LN($A145),LN(D$5),LN(D$6),TRUE)))</f>
        <v>0</v>
      </c>
      <c r="P146" s="26">
        <f t="shared" ref="P146:P209" si="26">N146+O146</f>
        <v>0.49000968094562725</v>
      </c>
      <c r="Q146" s="26">
        <f>IF(N$320=0,0,SUM(N$17:N146)/N$320)</f>
        <v>0.15434555040631581</v>
      </c>
      <c r="R146" s="26">
        <f>IF(O$320=0,0,SUM(O$17:O146)/O$320)</f>
        <v>0</v>
      </c>
      <c r="S146" s="26">
        <f>SUM(P$17:P146)/P$320</f>
        <v>0.15434555040631581</v>
      </c>
    </row>
    <row r="147" spans="1:19" x14ac:dyDescent="0.4">
      <c r="A147" s="6">
        <f t="shared" si="20"/>
        <v>4.8052173881674447</v>
      </c>
      <c r="B147" s="25">
        <f t="shared" si="21"/>
        <v>3.0533977695169816</v>
      </c>
      <c r="C147" s="25">
        <f t="shared" si="21"/>
        <v>0</v>
      </c>
      <c r="D147" s="27">
        <f t="shared" si="22"/>
        <v>3.0533977695169816</v>
      </c>
      <c r="E147" s="27"/>
      <c r="F147" s="26">
        <f t="shared" si="23"/>
        <v>0.51470004000015335</v>
      </c>
      <c r="G147" s="26">
        <f t="shared" si="23"/>
        <v>0</v>
      </c>
      <c r="H147" s="26">
        <f t="shared" si="23"/>
        <v>0.51470004000015335</v>
      </c>
      <c r="I147" s="26">
        <f>IF(F$320=0,0,SUM(F$17:F147)/F$320)</f>
        <v>0.16181966176519244</v>
      </c>
      <c r="J147" s="26">
        <f>IF(G$320=0,0,SUM(G$17:G147)/G$320)</f>
        <v>0</v>
      </c>
      <c r="K147" s="26">
        <f>SUM(H$17:H147)/H$320</f>
        <v>0.16181966176519244</v>
      </c>
      <c r="L147" s="26"/>
      <c r="M147" s="26"/>
      <c r="N147" s="27">
        <f t="shared" si="24"/>
        <v>0.50058697921267492</v>
      </c>
      <c r="O147" s="27">
        <f t="shared" si="25"/>
        <v>0</v>
      </c>
      <c r="P147" s="26">
        <f t="shared" si="26"/>
        <v>0.50058697921267492</v>
      </c>
      <c r="Q147" s="26">
        <f>IF(N$320=0,0,SUM(N$17:N147)/N$320)</f>
        <v>0.1593765753230261</v>
      </c>
      <c r="R147" s="26">
        <f>IF(O$320=0,0,SUM(O$17:O147)/O$320)</f>
        <v>0</v>
      </c>
      <c r="S147" s="26">
        <f>SUM(P$17:P147)/P$320</f>
        <v>0.1593765753230261</v>
      </c>
    </row>
    <row r="148" spans="1:19" x14ac:dyDescent="0.4">
      <c r="A148" s="6">
        <f t="shared" si="20"/>
        <v>4.9737837129150959</v>
      </c>
      <c r="B148" s="25">
        <f t="shared" si="21"/>
        <v>3.0116177036297791</v>
      </c>
      <c r="C148" s="25">
        <f t="shared" si="21"/>
        <v>0</v>
      </c>
      <c r="D148" s="27">
        <f t="shared" si="22"/>
        <v>3.0116177036297791</v>
      </c>
      <c r="E148" s="27"/>
      <c r="F148" s="26">
        <f t="shared" si="23"/>
        <v>0.52546587282381918</v>
      </c>
      <c r="G148" s="26">
        <f t="shared" si="23"/>
        <v>0</v>
      </c>
      <c r="H148" s="26">
        <f t="shared" si="23"/>
        <v>0.52546587282381918</v>
      </c>
      <c r="I148" s="26">
        <f>IF(F$320=0,0,SUM(F$17:F148)/F$320)</f>
        <v>0.16700983894450991</v>
      </c>
      <c r="J148" s="26">
        <f>IF(G$320=0,0,SUM(G$17:G148)/G$320)</f>
        <v>0</v>
      </c>
      <c r="K148" s="26">
        <f>SUM(H$17:H148)/H$320</f>
        <v>0.16700983894450991</v>
      </c>
      <c r="L148" s="26"/>
      <c r="M148" s="26"/>
      <c r="N148" s="27">
        <f t="shared" si="24"/>
        <v>0.51116899328848275</v>
      </c>
      <c r="O148" s="27">
        <f t="shared" si="25"/>
        <v>0</v>
      </c>
      <c r="P148" s="26">
        <f t="shared" si="26"/>
        <v>0.51116899328848275</v>
      </c>
      <c r="Q148" s="26">
        <f>IF(N$320=0,0,SUM(N$17:N148)/N$320)</f>
        <v>0.16451395213999578</v>
      </c>
      <c r="R148" s="26">
        <f>IF(O$320=0,0,SUM(O$17:O148)/O$320)</f>
        <v>0</v>
      </c>
      <c r="S148" s="26">
        <f>SUM(P$17:P148)/P$320</f>
        <v>0.16451395213999578</v>
      </c>
    </row>
    <row r="149" spans="1:19" x14ac:dyDescent="0.4">
      <c r="A149" s="6">
        <f t="shared" si="20"/>
        <v>5.1482633197358743</v>
      </c>
      <c r="B149" s="25">
        <f t="shared" si="21"/>
        <v>2.9691104715887366</v>
      </c>
      <c r="C149" s="25">
        <f t="shared" si="21"/>
        <v>0</v>
      </c>
      <c r="D149" s="27">
        <f t="shared" si="22"/>
        <v>2.9691104715887366</v>
      </c>
      <c r="E149" s="27"/>
      <c r="F149" s="26">
        <f t="shared" si="23"/>
        <v>0.53622231899829331</v>
      </c>
      <c r="G149" s="26">
        <f t="shared" si="23"/>
        <v>0</v>
      </c>
      <c r="H149" s="26">
        <f t="shared" si="23"/>
        <v>0.53622231899829331</v>
      </c>
      <c r="I149" s="26">
        <f>IF(F$320=0,0,SUM(F$17:F149)/F$320)</f>
        <v>0.17230626062866136</v>
      </c>
      <c r="J149" s="26">
        <f>IF(G$320=0,0,SUM(G$17:G149)/G$320)</f>
        <v>0</v>
      </c>
      <c r="K149" s="26">
        <f>SUM(H$17:H149)/H$320</f>
        <v>0.17230626062866136</v>
      </c>
      <c r="L149" s="26"/>
      <c r="M149" s="26"/>
      <c r="N149" s="27">
        <f t="shared" si="24"/>
        <v>0.52174647115289241</v>
      </c>
      <c r="O149" s="27">
        <f t="shared" si="25"/>
        <v>0</v>
      </c>
      <c r="P149" s="26">
        <f t="shared" si="26"/>
        <v>0.52174647115289241</v>
      </c>
      <c r="Q149" s="26">
        <f>IF(N$320=0,0,SUM(N$17:N149)/N$320)</f>
        <v>0.16975763526716051</v>
      </c>
      <c r="R149" s="26">
        <f>IF(O$320=0,0,SUM(O$17:O149)/O$320)</f>
        <v>0</v>
      </c>
      <c r="S149" s="26">
        <f>SUM(P$17:P149)/P$320</f>
        <v>0.16975763526716051</v>
      </c>
    </row>
    <row r="150" spans="1:19" x14ac:dyDescent="0.4">
      <c r="A150" s="6">
        <f t="shared" si="20"/>
        <v>5.3288636457019765</v>
      </c>
      <c r="B150" s="25">
        <f t="shared" si="21"/>
        <v>2.9259232482159381</v>
      </c>
      <c r="C150" s="25">
        <f t="shared" si="21"/>
        <v>0</v>
      </c>
      <c r="D150" s="27">
        <f t="shared" si="22"/>
        <v>2.9259232482159381</v>
      </c>
      <c r="E150" s="27"/>
      <c r="F150" s="26">
        <f t="shared" si="23"/>
        <v>0.54695968331511746</v>
      </c>
      <c r="G150" s="26">
        <f t="shared" si="23"/>
        <v>0</v>
      </c>
      <c r="H150" s="26">
        <f t="shared" si="23"/>
        <v>0.54695968331511746</v>
      </c>
      <c r="I150" s="26">
        <f>IF(F$320=0,0,SUM(F$17:F150)/F$320)</f>
        <v>0.17770873834066425</v>
      </c>
      <c r="J150" s="26">
        <f>IF(G$320=0,0,SUM(G$17:G150)/G$320)</f>
        <v>0</v>
      </c>
      <c r="K150" s="26">
        <f>SUM(H$17:H150)/H$320</f>
        <v>0.17770873834066425</v>
      </c>
      <c r="L150" s="26"/>
      <c r="M150" s="26"/>
      <c r="N150" s="27">
        <f t="shared" si="24"/>
        <v>0.53230997330443452</v>
      </c>
      <c r="O150" s="27">
        <f t="shared" si="25"/>
        <v>0</v>
      </c>
      <c r="P150" s="26">
        <f t="shared" si="26"/>
        <v>0.53230997330443452</v>
      </c>
      <c r="Q150" s="26">
        <f>IF(N$320=0,0,SUM(N$17:N150)/N$320)</f>
        <v>0.17510748424509454</v>
      </c>
      <c r="R150" s="26">
        <f>IF(O$320=0,0,SUM(O$17:O150)/O$320)</f>
        <v>0</v>
      </c>
      <c r="S150" s="26">
        <f>SUM(P$17:P150)/P$320</f>
        <v>0.17510748424509454</v>
      </c>
    </row>
    <row r="151" spans="1:19" x14ac:dyDescent="0.4">
      <c r="A151" s="6">
        <f t="shared" si="20"/>
        <v>5.5157994047478169</v>
      </c>
      <c r="B151" s="25">
        <f t="shared" si="21"/>
        <v>2.8821034179582243</v>
      </c>
      <c r="C151" s="25">
        <f t="shared" si="21"/>
        <v>0</v>
      </c>
      <c r="D151" s="27">
        <f t="shared" si="22"/>
        <v>2.8821034179582243</v>
      </c>
      <c r="E151" s="27"/>
      <c r="F151" s="26">
        <f t="shared" si="23"/>
        <v>0.5576680995699218</v>
      </c>
      <c r="G151" s="26">
        <f t="shared" si="23"/>
        <v>0</v>
      </c>
      <c r="H151" s="26">
        <f t="shared" si="23"/>
        <v>0.5576680995699218</v>
      </c>
      <c r="I151" s="26">
        <f>IF(F$320=0,0,SUM(F$17:F151)/F$320)</f>
        <v>0.18321698615220502</v>
      </c>
      <c r="J151" s="26">
        <f>IF(G$320=0,0,SUM(G$17:G151)/G$320)</f>
        <v>0</v>
      </c>
      <c r="K151" s="26">
        <f>SUM(H$17:H151)/H$320</f>
        <v>0.18321698615220502</v>
      </c>
      <c r="L151" s="26"/>
      <c r="M151" s="26"/>
      <c r="N151" s="27">
        <f t="shared" si="24"/>
        <v>0.54284988555951263</v>
      </c>
      <c r="O151" s="27">
        <f t="shared" si="25"/>
        <v>0</v>
      </c>
      <c r="P151" s="26">
        <f t="shared" si="26"/>
        <v>0.54284988555951263</v>
      </c>
      <c r="Q151" s="26">
        <f>IF(N$320=0,0,SUM(N$17:N151)/N$320)</f>
        <v>0.18056326198941122</v>
      </c>
      <c r="R151" s="26">
        <f>IF(O$320=0,0,SUM(O$17:O151)/O$320)</f>
        <v>0</v>
      </c>
      <c r="S151" s="26">
        <f>SUM(P$17:P151)/P$320</f>
        <v>0.18056326198941122</v>
      </c>
    </row>
    <row r="152" spans="1:19" x14ac:dyDescent="0.4">
      <c r="A152" s="6">
        <f t="shared" si="20"/>
        <v>5.7092928429412986</v>
      </c>
      <c r="B152" s="25">
        <f t="shared" si="21"/>
        <v>2.8376984895738926</v>
      </c>
      <c r="C152" s="25">
        <f t="shared" si="21"/>
        <v>0</v>
      </c>
      <c r="D152" s="27">
        <f t="shared" si="22"/>
        <v>2.8376984895738926</v>
      </c>
      <c r="E152" s="27"/>
      <c r="F152" s="26">
        <f t="shared" si="23"/>
        <v>0.56833754456562136</v>
      </c>
      <c r="G152" s="26">
        <f t="shared" si="23"/>
        <v>0</v>
      </c>
      <c r="H152" s="26">
        <f t="shared" si="23"/>
        <v>0.56833754456562136</v>
      </c>
      <c r="I152" s="26">
        <f>IF(F$320=0,0,SUM(F$17:F152)/F$320)</f>
        <v>0.1888306191329768</v>
      </c>
      <c r="J152" s="26">
        <f>IF(G$320=0,0,SUM(G$17:G152)/G$320)</f>
        <v>0</v>
      </c>
      <c r="K152" s="26">
        <f>SUM(H$17:H152)/H$320</f>
        <v>0.1888306191329768</v>
      </c>
      <c r="L152" s="26"/>
      <c r="M152" s="26"/>
      <c r="N152" s="27">
        <f t="shared" si="24"/>
        <v>0.55335643249893596</v>
      </c>
      <c r="O152" s="27">
        <f t="shared" si="25"/>
        <v>0</v>
      </c>
      <c r="P152" s="26">
        <f t="shared" si="26"/>
        <v>0.55335643249893596</v>
      </c>
      <c r="Q152" s="26">
        <f>IF(N$320=0,0,SUM(N$17:N152)/N$320)</f>
        <v>0.18612463317030506</v>
      </c>
      <c r="R152" s="26">
        <f>IF(O$320=0,0,SUM(O$17:O152)/O$320)</f>
        <v>0</v>
      </c>
      <c r="S152" s="26">
        <f>SUM(P$17:P152)/P$320</f>
        <v>0.18612463317030506</v>
      </c>
    </row>
    <row r="153" spans="1:19" x14ac:dyDescent="0.4">
      <c r="A153" s="6">
        <f t="shared" si="20"/>
        <v>5.9095740027099541</v>
      </c>
      <c r="B153" s="25">
        <f t="shared" si="21"/>
        <v>2.7927560118087604</v>
      </c>
      <c r="C153" s="25">
        <f t="shared" si="21"/>
        <v>0</v>
      </c>
      <c r="D153" s="27">
        <f t="shared" si="22"/>
        <v>2.7927560118087604</v>
      </c>
      <c r="E153" s="27"/>
      <c r="F153" s="26">
        <f t="shared" si="23"/>
        <v>0.57895785273942157</v>
      </c>
      <c r="G153" s="26">
        <f t="shared" si="23"/>
        <v>0</v>
      </c>
      <c r="H153" s="26">
        <f t="shared" si="23"/>
        <v>0.57895785273942157</v>
      </c>
      <c r="I153" s="26">
        <f>IF(F$320=0,0,SUM(F$17:F153)/F$320)</f>
        <v>0.19454915194449257</v>
      </c>
      <c r="J153" s="26">
        <f>IF(G$320=0,0,SUM(G$17:G153)/G$320)</f>
        <v>0</v>
      </c>
      <c r="K153" s="26">
        <f>SUM(H$17:H153)/H$320</f>
        <v>0.19454915194449257</v>
      </c>
      <c r="L153" s="26"/>
      <c r="M153" s="26"/>
      <c r="N153" s="27">
        <f t="shared" si="24"/>
        <v>0.56381969153982969</v>
      </c>
      <c r="O153" s="27">
        <f t="shared" si="25"/>
        <v>0</v>
      </c>
      <c r="P153" s="26">
        <f t="shared" si="26"/>
        <v>0.56381969153982969</v>
      </c>
      <c r="Q153" s="26">
        <f>IF(N$320=0,0,SUM(N$17:N153)/N$320)</f>
        <v>0.19179116273351943</v>
      </c>
      <c r="R153" s="26">
        <f>IF(O$320=0,0,SUM(O$17:O153)/O$320)</f>
        <v>0</v>
      </c>
      <c r="S153" s="26">
        <f>SUM(P$17:P153)/P$320</f>
        <v>0.19179116273351943</v>
      </c>
    </row>
    <row r="154" spans="1:19" x14ac:dyDescent="0.4">
      <c r="A154" s="6">
        <f t="shared" si="20"/>
        <v>6.1168809963361008</v>
      </c>
      <c r="B154" s="25">
        <f t="shared" si="21"/>
        <v>2.7473234902662829</v>
      </c>
      <c r="C154" s="25">
        <f t="shared" si="21"/>
        <v>0</v>
      </c>
      <c r="D154" s="27">
        <f t="shared" si="22"/>
        <v>2.7473234902662829</v>
      </c>
      <c r="E154" s="27"/>
      <c r="F154" s="26">
        <f t="shared" si="23"/>
        <v>0.58951873138711464</v>
      </c>
      <c r="G154" s="26">
        <f t="shared" si="23"/>
        <v>0</v>
      </c>
      <c r="H154" s="26">
        <f t="shared" si="23"/>
        <v>0.58951873138711464</v>
      </c>
      <c r="I154" s="26">
        <f>IF(F$320=0,0,SUM(F$17:F154)/F$320)</f>
        <v>0.20037199758427301</v>
      </c>
      <c r="J154" s="26">
        <f>IF(G$320=0,0,SUM(G$17:G154)/G$320)</f>
        <v>0</v>
      </c>
      <c r="K154" s="26">
        <f>SUM(H$17:H154)/H$320</f>
        <v>0.20037199758427301</v>
      </c>
      <c r="L154" s="26"/>
      <c r="M154" s="26"/>
      <c r="N154" s="27">
        <f t="shared" si="24"/>
        <v>0.57422960760769304</v>
      </c>
      <c r="O154" s="27">
        <f t="shared" si="25"/>
        <v>0</v>
      </c>
      <c r="P154" s="26">
        <f t="shared" si="26"/>
        <v>0.57422960760769304</v>
      </c>
      <c r="Q154" s="26">
        <f>IF(N$320=0,0,SUM(N$17:N154)/N$320)</f>
        <v>0.19756231456877266</v>
      </c>
      <c r="R154" s="26">
        <f>IF(O$320=0,0,SUM(O$17:O154)/O$320)</f>
        <v>0</v>
      </c>
      <c r="S154" s="26">
        <f>SUM(P$17:P154)/P$320</f>
        <v>0.19756231456877266</v>
      </c>
    </row>
    <row r="155" spans="1:19" x14ac:dyDescent="0.4">
      <c r="A155" s="6">
        <f t="shared" si="20"/>
        <v>6.3314602890461762</v>
      </c>
      <c r="B155" s="25">
        <f t="shared" si="21"/>
        <v>2.7014483056696856</v>
      </c>
      <c r="C155" s="25">
        <f t="shared" si="21"/>
        <v>0</v>
      </c>
      <c r="D155" s="27">
        <f t="shared" si="22"/>
        <v>2.7014483056696856</v>
      </c>
      <c r="E155" s="27"/>
      <c r="F155" s="26">
        <f t="shared" si="23"/>
        <v>0.60000977645566977</v>
      </c>
      <c r="G155" s="26">
        <f t="shared" si="23"/>
        <v>0</v>
      </c>
      <c r="H155" s="26">
        <f t="shared" si="23"/>
        <v>0.60000977645566977</v>
      </c>
      <c r="I155" s="26">
        <f>IF(F$320=0,0,SUM(F$17:F155)/F$320)</f>
        <v>0.20629846628602205</v>
      </c>
      <c r="J155" s="26">
        <f>IF(G$320=0,0,SUM(G$17:G155)/G$320)</f>
        <v>0</v>
      </c>
      <c r="K155" s="26">
        <f>SUM(H$17:H155)/H$320</f>
        <v>0.20629846628602205</v>
      </c>
      <c r="L155" s="26"/>
      <c r="M155" s="26"/>
      <c r="N155" s="27">
        <f t="shared" si="24"/>
        <v>0.58457600838144885</v>
      </c>
      <c r="O155" s="27">
        <f t="shared" si="25"/>
        <v>0</v>
      </c>
      <c r="P155" s="26">
        <f t="shared" si="26"/>
        <v>0.58457600838144885</v>
      </c>
      <c r="Q155" s="26">
        <f>IF(N$320=0,0,SUM(N$17:N155)/N$320)</f>
        <v>0.20343745033140029</v>
      </c>
      <c r="R155" s="26">
        <f>IF(O$320=0,0,SUM(O$17:O155)/O$320)</f>
        <v>0</v>
      </c>
      <c r="S155" s="26">
        <f>SUM(P$17:P155)/P$320</f>
        <v>0.20343745033140029</v>
      </c>
    </row>
    <row r="156" spans="1:19" x14ac:dyDescent="0.4">
      <c r="A156" s="6">
        <f t="shared" si="20"/>
        <v>6.5535669920307917</v>
      </c>
      <c r="B156" s="25">
        <f t="shared" si="21"/>
        <v>2.6551776337067761</v>
      </c>
      <c r="C156" s="25">
        <f t="shared" si="21"/>
        <v>0</v>
      </c>
      <c r="D156" s="27">
        <f t="shared" si="22"/>
        <v>2.6551776337067761</v>
      </c>
      <c r="E156" s="27"/>
      <c r="F156" s="26">
        <f t="shared" si="23"/>
        <v>0.61042048887306843</v>
      </c>
      <c r="G156" s="26">
        <f t="shared" si="23"/>
        <v>0</v>
      </c>
      <c r="H156" s="26">
        <f t="shared" si="23"/>
        <v>0.61042048887306843</v>
      </c>
      <c r="I156" s="26">
        <f>IF(F$320=0,0,SUM(F$17:F156)/F$320)</f>
        <v>0.21232776458109717</v>
      </c>
      <c r="J156" s="26">
        <f>IF(G$320=0,0,SUM(G$17:G156)/G$320)</f>
        <v>0</v>
      </c>
      <c r="K156" s="26">
        <f>SUM(H$17:H156)/H$320</f>
        <v>0.21232776458109717</v>
      </c>
      <c r="L156" s="26"/>
      <c r="M156" s="26"/>
      <c r="N156" s="27">
        <f t="shared" si="24"/>
        <v>0.59484862008212513</v>
      </c>
      <c r="O156" s="27">
        <f t="shared" si="25"/>
        <v>0</v>
      </c>
      <c r="P156" s="26">
        <f t="shared" si="26"/>
        <v>0.59484862008212513</v>
      </c>
      <c r="Q156" s="26">
        <f>IF(N$320=0,0,SUM(N$17:N156)/N$320)</f>
        <v>0.20941582842267792</v>
      </c>
      <c r="R156" s="26">
        <f>IF(O$320=0,0,SUM(O$17:O156)/O$320)</f>
        <v>0</v>
      </c>
      <c r="S156" s="26">
        <f>SUM(P$17:P156)/P$320</f>
        <v>0.20941582842267792</v>
      </c>
    </row>
    <row r="157" spans="1:19" x14ac:dyDescent="0.4">
      <c r="A157" s="6">
        <f t="shared" si="20"/>
        <v>6.7834651657438956</v>
      </c>
      <c r="B157" s="25">
        <f t="shared" si="21"/>
        <v>2.6085583666402004</v>
      </c>
      <c r="C157" s="25">
        <f t="shared" si="21"/>
        <v>0</v>
      </c>
      <c r="D157" s="27">
        <f t="shared" si="22"/>
        <v>2.6085583666402004</v>
      </c>
      <c r="E157" s="27"/>
      <c r="F157" s="26">
        <f t="shared" si="23"/>
        <v>0.6207402913818767</v>
      </c>
      <c r="G157" s="26">
        <f t="shared" si="23"/>
        <v>0</v>
      </c>
      <c r="H157" s="26">
        <f t="shared" si="23"/>
        <v>0.6207402913818767</v>
      </c>
      <c r="I157" s="26">
        <f>IF(F$320=0,0,SUM(F$17:F157)/F$320)</f>
        <v>0.21845899452624967</v>
      </c>
      <c r="J157" s="26">
        <f>IF(G$320=0,0,SUM(G$17:G157)/G$320)</f>
        <v>0</v>
      </c>
      <c r="K157" s="26">
        <f>SUM(H$17:H157)/H$320</f>
        <v>0.21845899452624967</v>
      </c>
      <c r="L157" s="26"/>
      <c r="M157" s="26"/>
      <c r="N157" s="27">
        <f t="shared" si="24"/>
        <v>0.60503708377300236</v>
      </c>
      <c r="O157" s="27">
        <f t="shared" si="25"/>
        <v>0</v>
      </c>
      <c r="P157" s="26">
        <f t="shared" si="26"/>
        <v>0.60503708377300236</v>
      </c>
      <c r="Q157" s="26">
        <f>IF(N$320=0,0,SUM(N$17:N157)/N$320)</f>
        <v>0.21549660313396438</v>
      </c>
      <c r="R157" s="26">
        <f>IF(O$320=0,0,SUM(O$17:O157)/O$320)</f>
        <v>0</v>
      </c>
      <c r="S157" s="26">
        <f>SUM(P$17:P157)/P$320</f>
        <v>0.21549660313396438</v>
      </c>
    </row>
    <row r="158" spans="1:19" x14ac:dyDescent="0.4">
      <c r="A158" s="6">
        <f t="shared" si="20"/>
        <v>7.0214281338416287</v>
      </c>
      <c r="B158" s="25">
        <f t="shared" si="21"/>
        <v>2.5616370368575714</v>
      </c>
      <c r="C158" s="25">
        <f t="shared" si="21"/>
        <v>0</v>
      </c>
      <c r="D158" s="27">
        <f t="shared" si="22"/>
        <v>2.5616370368575714</v>
      </c>
      <c r="E158" s="27"/>
      <c r="F158" s="26">
        <f t="shared" si="23"/>
        <v>0.63095854584096034</v>
      </c>
      <c r="G158" s="26">
        <f t="shared" si="23"/>
        <v>0</v>
      </c>
      <c r="H158" s="26">
        <f t="shared" si="23"/>
        <v>0.63095854584096034</v>
      </c>
      <c r="I158" s="26">
        <f>IF(F$320=0,0,SUM(F$17:F158)/F$320)</f>
        <v>0.22469115310225882</v>
      </c>
      <c r="J158" s="26">
        <f>IF(G$320=0,0,SUM(G$17:G158)/G$320)</f>
        <v>0</v>
      </c>
      <c r="K158" s="26">
        <f>SUM(H$17:H158)/H$320</f>
        <v>0.22469115310225882</v>
      </c>
      <c r="L158" s="26"/>
      <c r="M158" s="26"/>
      <c r="N158" s="27">
        <f t="shared" si="24"/>
        <v>0.61513097213788948</v>
      </c>
      <c r="O158" s="27">
        <f t="shared" si="25"/>
        <v>0</v>
      </c>
      <c r="P158" s="26">
        <f t="shared" si="26"/>
        <v>0.61513097213788948</v>
      </c>
      <c r="Q158" s="26">
        <f>IF(N$320=0,0,SUM(N$17:N158)/N$320)</f>
        <v>0.22167882395947081</v>
      </c>
      <c r="R158" s="26">
        <f>IF(O$320=0,0,SUM(O$17:O158)/O$320)</f>
        <v>0</v>
      </c>
      <c r="S158" s="26">
        <f>SUM(P$17:P158)/P$320</f>
        <v>0.22167882395947081</v>
      </c>
    </row>
    <row r="159" spans="1:19" x14ac:dyDescent="0.4">
      <c r="A159" s="6">
        <f t="shared" si="20"/>
        <v>7.2677388081341014</v>
      </c>
      <c r="B159" s="25">
        <f t="shared" si="21"/>
        <v>2.5144597425270416</v>
      </c>
      <c r="C159" s="25">
        <f t="shared" si="21"/>
        <v>0</v>
      </c>
      <c r="D159" s="27">
        <f t="shared" si="22"/>
        <v>2.5144597425270416</v>
      </c>
      <c r="E159" s="27"/>
      <c r="F159" s="26">
        <f t="shared" si="23"/>
        <v>0.64106457095776059</v>
      </c>
      <c r="G159" s="26">
        <f t="shared" si="23"/>
        <v>0</v>
      </c>
      <c r="H159" s="26">
        <f t="shared" si="23"/>
        <v>0.64106457095776059</v>
      </c>
      <c r="I159" s="26">
        <f>IF(F$320=0,0,SUM(F$17:F159)/F$320)</f>
        <v>0.23102313178771283</v>
      </c>
      <c r="J159" s="26">
        <f>IF(G$320=0,0,SUM(G$17:G159)/G$320)</f>
        <v>0</v>
      </c>
      <c r="K159" s="26">
        <f>SUM(H$17:H159)/H$320</f>
        <v>0.23102313178771283</v>
      </c>
      <c r="L159" s="26"/>
      <c r="M159" s="26"/>
      <c r="N159" s="27">
        <f t="shared" si="24"/>
        <v>0.62511980670089395</v>
      </c>
      <c r="O159" s="27">
        <f t="shared" si="25"/>
        <v>0</v>
      </c>
      <c r="P159" s="26">
        <f t="shared" si="26"/>
        <v>0.62511980670089395</v>
      </c>
      <c r="Q159" s="26">
        <f>IF(N$320=0,0,SUM(N$17:N159)/N$320)</f>
        <v>0.22796143508209285</v>
      </c>
      <c r="R159" s="26">
        <f>IF(O$320=0,0,SUM(O$17:O159)/O$320)</f>
        <v>0</v>
      </c>
      <c r="S159" s="26">
        <f>SUM(P$17:P159)/P$320</f>
        <v>0.22796143508209285</v>
      </c>
    </row>
    <row r="160" spans="1:19" x14ac:dyDescent="0.4">
      <c r="A160" s="6">
        <f t="shared" si="20"/>
        <v>7.5226900249364386</v>
      </c>
      <c r="B160" s="25">
        <f t="shared" si="21"/>
        <v>2.4670720755146456</v>
      </c>
      <c r="C160" s="25">
        <f t="shared" si="21"/>
        <v>0</v>
      </c>
      <c r="D160" s="27">
        <f t="shared" si="22"/>
        <v>2.4670720755146456</v>
      </c>
      <c r="E160" s="27"/>
      <c r="F160" s="26">
        <f t="shared" si="23"/>
        <v>0.65104766041143858</v>
      </c>
      <c r="G160" s="26">
        <f t="shared" si="23"/>
        <v>0</v>
      </c>
      <c r="H160" s="26">
        <f t="shared" si="23"/>
        <v>0.65104766041143858</v>
      </c>
      <c r="I160" s="26">
        <f>IF(F$320=0,0,SUM(F$17:F160)/F$320)</f>
        <v>0.23745371631179749</v>
      </c>
      <c r="J160" s="26">
        <f>IF(G$320=0,0,SUM(G$17:G160)/G$320)</f>
        <v>0</v>
      </c>
      <c r="K160" s="26">
        <f>SUM(H$17:H160)/H$320</f>
        <v>0.23745371631179749</v>
      </c>
      <c r="L160" s="26"/>
      <c r="M160" s="26"/>
      <c r="N160" s="27">
        <f t="shared" si="24"/>
        <v>0.63499307545027972</v>
      </c>
      <c r="O160" s="27">
        <f t="shared" si="25"/>
        <v>0</v>
      </c>
      <c r="P160" s="26">
        <f t="shared" si="26"/>
        <v>0.63499307545027972</v>
      </c>
      <c r="Q160" s="26">
        <f>IF(N$320=0,0,SUM(N$17:N160)/N$320)</f>
        <v>0.23434327503636701</v>
      </c>
      <c r="R160" s="26">
        <f>IF(O$320=0,0,SUM(O$17:O160)/O$320)</f>
        <v>0</v>
      </c>
      <c r="S160" s="26">
        <f>SUM(P$17:P160)/P$320</f>
        <v>0.23434327503636701</v>
      </c>
    </row>
    <row r="161" spans="1:19" x14ac:dyDescent="0.4">
      <c r="A161" s="6">
        <f t="shared" si="20"/>
        <v>7.7865848932189659</v>
      </c>
      <c r="B161" s="25">
        <f t="shared" si="21"/>
        <v>2.4195190517101013</v>
      </c>
      <c r="C161" s="25">
        <f t="shared" si="21"/>
        <v>0</v>
      </c>
      <c r="D161" s="27">
        <f t="shared" si="22"/>
        <v>2.4195190517101013</v>
      </c>
      <c r="E161" s="27"/>
      <c r="F161" s="26">
        <f t="shared" si="23"/>
        <v>0.66089710132542667</v>
      </c>
      <c r="G161" s="26">
        <f t="shared" si="23"/>
        <v>0</v>
      </c>
      <c r="H161" s="26">
        <f t="shared" si="23"/>
        <v>0.66089710132542667</v>
      </c>
      <c r="I161" s="26">
        <f>IF(F$320=0,0,SUM(F$17:F161)/F$320)</f>
        <v>0.24398158658954316</v>
      </c>
      <c r="J161" s="26">
        <f>IF(G$320=0,0,SUM(G$17:G161)/G$320)</f>
        <v>0</v>
      </c>
      <c r="K161" s="26">
        <f>SUM(H$17:H161)/H$320</f>
        <v>0.24398158658954316</v>
      </c>
      <c r="L161" s="26"/>
      <c r="M161" s="26"/>
      <c r="N161" s="27">
        <f t="shared" si="24"/>
        <v>0.64474025082608966</v>
      </c>
      <c r="O161" s="27">
        <f t="shared" si="25"/>
        <v>0</v>
      </c>
      <c r="P161" s="26">
        <f t="shared" si="26"/>
        <v>0.64474025082608966</v>
      </c>
      <c r="Q161" s="26">
        <f>IF(N$320=0,0,SUM(N$17:N161)/N$320)</f>
        <v>0.24082307655220708</v>
      </c>
      <c r="R161" s="26">
        <f>IF(O$320=0,0,SUM(O$17:O161)/O$320)</f>
        <v>0</v>
      </c>
      <c r="S161" s="26">
        <f>SUM(P$17:P161)/P$320</f>
        <v>0.24082307655220708</v>
      </c>
    </row>
    <row r="162" spans="1:19" x14ac:dyDescent="0.4">
      <c r="A162" s="6">
        <f t="shared" si="20"/>
        <v>8.0597371549704526</v>
      </c>
      <c r="B162" s="25">
        <f t="shared" ref="B162:C177" si="27">C$4*EXP(-0.5*(LN($A162)-LN(C$5))^2/(LN(C$6))^2)/($A162*SQRT(2*PI())*LN(C$6))</f>
        <v>2.3718450438977809</v>
      </c>
      <c r="C162" s="25">
        <f t="shared" si="27"/>
        <v>0</v>
      </c>
      <c r="D162" s="27">
        <f t="shared" si="22"/>
        <v>2.3718450438977809</v>
      </c>
      <c r="E162" s="27"/>
      <c r="F162" s="26">
        <f t="shared" si="23"/>
        <v>0.67060219304615609</v>
      </c>
      <c r="G162" s="26">
        <f t="shared" si="23"/>
        <v>0</v>
      </c>
      <c r="H162" s="26">
        <f t="shared" si="23"/>
        <v>0.67060219304615609</v>
      </c>
      <c r="I162" s="26">
        <f>IF(F$320=0,0,SUM(F$17:F162)/F$320)</f>
        <v>0.25060531684255505</v>
      </c>
      <c r="J162" s="26">
        <f>IF(G$320=0,0,SUM(G$17:G162)/G$320)</f>
        <v>0</v>
      </c>
      <c r="K162" s="26">
        <f>SUM(H$17:H162)/H$320</f>
        <v>0.25060531684255505</v>
      </c>
      <c r="L162" s="26"/>
      <c r="M162" s="26"/>
      <c r="N162" s="27">
        <f t="shared" si="24"/>
        <v>0.65435080803017687</v>
      </c>
      <c r="O162" s="27">
        <f t="shared" si="25"/>
        <v>0</v>
      </c>
      <c r="P162" s="26">
        <f t="shared" si="26"/>
        <v>0.65435080803017687</v>
      </c>
      <c r="Q162" s="26">
        <f>IF(N$320=0,0,SUM(N$17:N162)/N$320)</f>
        <v>0.24739946658266113</v>
      </c>
      <c r="R162" s="26">
        <f>IF(O$320=0,0,SUM(O$17:O162)/O$320)</f>
        <v>0</v>
      </c>
      <c r="S162" s="26">
        <f>SUM(P$17:P162)/P$320</f>
        <v>0.24739946658266113</v>
      </c>
    </row>
    <row r="163" spans="1:19" x14ac:dyDescent="0.4">
      <c r="A163" s="6">
        <f t="shared" si="20"/>
        <v>8.342471558202849</v>
      </c>
      <c r="B163" s="25">
        <f t="shared" si="27"/>
        <v>2.3240937172993008</v>
      </c>
      <c r="C163" s="25">
        <f t="shared" si="27"/>
        <v>0</v>
      </c>
      <c r="D163" s="27">
        <f t="shared" si="22"/>
        <v>2.3240937172993008</v>
      </c>
      <c r="E163" s="27"/>
      <c r="F163" s="26">
        <f t="shared" si="23"/>
        <v>0.68015226618307367</v>
      </c>
      <c r="G163" s="26">
        <f t="shared" si="23"/>
        <v>0</v>
      </c>
      <c r="H163" s="26">
        <f t="shared" si="23"/>
        <v>0.68015226618307367</v>
      </c>
      <c r="I163" s="26">
        <f>IF(F$320=0,0,SUM(F$17:F163)/F$320)</f>
        <v>0.25732337590780674</v>
      </c>
      <c r="J163" s="26">
        <f>IF(G$320=0,0,SUM(G$17:G163)/G$320)</f>
        <v>0</v>
      </c>
      <c r="K163" s="26">
        <f>SUM(H$17:H163)/H$320</f>
        <v>0.25732337590780674</v>
      </c>
      <c r="L163" s="26"/>
      <c r="M163" s="26"/>
      <c r="N163" s="27">
        <f t="shared" si="24"/>
        <v>0.66381424361518504</v>
      </c>
      <c r="O163" s="27">
        <f t="shared" si="25"/>
        <v>0</v>
      </c>
      <c r="P163" s="26">
        <f t="shared" si="26"/>
        <v>0.66381424361518504</v>
      </c>
      <c r="Q163" s="26">
        <f>IF(N$320=0,0,SUM(N$17:N163)/N$320)</f>
        <v>0.25407096651849215</v>
      </c>
      <c r="R163" s="26">
        <f>IF(O$320=0,0,SUM(O$17:O163)/O$320)</f>
        <v>0</v>
      </c>
      <c r="S163" s="26">
        <f>SUM(P$17:P163)/P$320</f>
        <v>0.25407096651849215</v>
      </c>
    </row>
    <row r="164" spans="1:19" x14ac:dyDescent="0.4">
      <c r="A164" s="6">
        <f t="shared" si="20"/>
        <v>8.6351242430409805</v>
      </c>
      <c r="B164" s="25">
        <f t="shared" si="27"/>
        <v>2.2763079679036884</v>
      </c>
      <c r="C164" s="25">
        <f t="shared" si="27"/>
        <v>0</v>
      </c>
      <c r="D164" s="27">
        <f t="shared" si="22"/>
        <v>2.2763079679036884</v>
      </c>
      <c r="E164" s="27"/>
      <c r="F164" s="26">
        <f t="shared" si="23"/>
        <v>0.68953670186351312</v>
      </c>
      <c r="G164" s="26">
        <f t="shared" si="23"/>
        <v>0</v>
      </c>
      <c r="H164" s="26">
        <f t="shared" si="23"/>
        <v>0.68953670186351312</v>
      </c>
      <c r="I164" s="26">
        <f>IF(F$320=0,0,SUM(F$17:F164)/F$320)</f>
        <v>0.26413412773662015</v>
      </c>
      <c r="J164" s="26">
        <f>IF(G$320=0,0,SUM(G$17:G164)/G$320)</f>
        <v>0</v>
      </c>
      <c r="K164" s="26">
        <f>SUM(H$17:H164)/H$320</f>
        <v>0.26413412773662015</v>
      </c>
      <c r="L164" s="26"/>
      <c r="M164" s="26"/>
      <c r="N164" s="27">
        <f t="shared" si="24"/>
        <v>0.67312009430771091</v>
      </c>
      <c r="O164" s="27">
        <f t="shared" si="25"/>
        <v>0</v>
      </c>
      <c r="P164" s="26">
        <f t="shared" si="26"/>
        <v>0.67312009430771091</v>
      </c>
      <c r="Q164" s="26">
        <f>IF(N$320=0,0,SUM(N$17:N164)/N$320)</f>
        <v>0.26083599259193646</v>
      </c>
      <c r="R164" s="26">
        <f>IF(O$320=0,0,SUM(O$17:O164)/O$320)</f>
        <v>0</v>
      </c>
      <c r="S164" s="26">
        <f>SUM(P$17:P164)/P$320</f>
        <v>0.26083599259193646</v>
      </c>
    </row>
    <row r="165" spans="1:19" x14ac:dyDescent="0.4">
      <c r="A165" s="6">
        <f t="shared" si="20"/>
        <v>8.9380431413561876</v>
      </c>
      <c r="B165" s="25">
        <f t="shared" si="27"/>
        <v>2.2285298636903583</v>
      </c>
      <c r="C165" s="25">
        <f t="shared" si="27"/>
        <v>0</v>
      </c>
      <c r="D165" s="27">
        <f t="shared" si="22"/>
        <v>2.2285298636903583</v>
      </c>
      <c r="E165" s="27"/>
      <c r="F165" s="26">
        <f t="shared" si="23"/>
        <v>0.69874495115491897</v>
      </c>
      <c r="G165" s="26">
        <f t="shared" si="23"/>
        <v>0</v>
      </c>
      <c r="H165" s="26">
        <f t="shared" si="23"/>
        <v>0.69874495115491897</v>
      </c>
      <c r="I165" s="26">
        <f>IF(F$320=0,0,SUM(F$17:F165)/F$320)</f>
        <v>0.27103583208548371</v>
      </c>
      <c r="J165" s="26">
        <f>IF(G$320=0,0,SUM(G$17:G165)/G$320)</f>
        <v>0</v>
      </c>
      <c r="K165" s="26">
        <f>SUM(H$17:H165)/H$320</f>
        <v>0.27103583208548371</v>
      </c>
      <c r="L165" s="26"/>
      <c r="M165" s="26"/>
      <c r="N165" s="27">
        <f t="shared" si="24"/>
        <v>0.68225795601922767</v>
      </c>
      <c r="O165" s="27">
        <f t="shared" si="25"/>
        <v>0</v>
      </c>
      <c r="P165" s="26">
        <f t="shared" si="26"/>
        <v>0.68225795601922767</v>
      </c>
      <c r="Q165" s="26">
        <f>IF(N$320=0,0,SUM(N$17:N165)/N$320)</f>
        <v>0.26769285647152669</v>
      </c>
      <c r="R165" s="26">
        <f>IF(O$320=0,0,SUM(O$17:O165)/O$320)</f>
        <v>0</v>
      </c>
      <c r="S165" s="26">
        <f>SUM(P$17:P165)/P$320</f>
        <v>0.26769285647152669</v>
      </c>
    </row>
    <row r="166" spans="1:19" x14ac:dyDescent="0.4">
      <c r="A166" s="6">
        <f t="shared" si="20"/>
        <v>9.2515883904190943</v>
      </c>
      <c r="B166" s="25">
        <f t="shared" si="27"/>
        <v>2.1808005888392805</v>
      </c>
      <c r="C166" s="25">
        <f t="shared" si="27"/>
        <v>0</v>
      </c>
      <c r="D166" s="27">
        <f t="shared" si="22"/>
        <v>2.1808005888392805</v>
      </c>
      <c r="E166" s="27"/>
      <c r="F166" s="26">
        <f t="shared" si="23"/>
        <v>0.70776655460517301</v>
      </c>
      <c r="G166" s="26">
        <f t="shared" si="23"/>
        <v>0</v>
      </c>
      <c r="H166" s="26">
        <f t="shared" si="23"/>
        <v>0.70776655460517301</v>
      </c>
      <c r="I166" s="26">
        <f>IF(F$320=0,0,SUM(F$17:F166)/F$320)</f>
        <v>0.27802664539987676</v>
      </c>
      <c r="J166" s="26">
        <f>IF(G$320=0,0,SUM(G$17:G166)/G$320)</f>
        <v>0</v>
      </c>
      <c r="K166" s="26">
        <f>SUM(H$17:H166)/H$320</f>
        <v>0.27802664539987676</v>
      </c>
      <c r="L166" s="26"/>
      <c r="M166" s="26"/>
      <c r="N166" s="27">
        <f t="shared" si="24"/>
        <v>0.69121750299766527</v>
      </c>
      <c r="O166" s="27">
        <f t="shared" si="25"/>
        <v>0</v>
      </c>
      <c r="P166" s="26">
        <f t="shared" si="26"/>
        <v>0.69121750299766527</v>
      </c>
      <c r="Q166" s="26">
        <f>IF(N$320=0,0,SUM(N$17:N166)/N$320)</f>
        <v>0.27463976604939266</v>
      </c>
      <c r="R166" s="26">
        <f>IF(O$320=0,0,SUM(O$17:O166)/O$320)</f>
        <v>0</v>
      </c>
      <c r="S166" s="26">
        <f>SUM(P$17:P166)/P$320</f>
        <v>0.27463976604939266</v>
      </c>
    </row>
    <row r="167" spans="1:19" x14ac:dyDescent="0.4">
      <c r="A167" s="6">
        <f t="shared" si="20"/>
        <v>9.5761327610632154</v>
      </c>
      <c r="B167" s="25">
        <f t="shared" si="27"/>
        <v>2.1331603910117636</v>
      </c>
      <c r="C167" s="25">
        <f t="shared" si="27"/>
        <v>0</v>
      </c>
      <c r="D167" s="27">
        <f t="shared" si="22"/>
        <v>2.1331603910117636</v>
      </c>
      <c r="E167" s="27"/>
      <c r="F167" s="26">
        <f t="shared" si="23"/>
        <v>0.71659116185138327</v>
      </c>
      <c r="G167" s="26">
        <f t="shared" si="23"/>
        <v>0</v>
      </c>
      <c r="H167" s="26">
        <f t="shared" si="23"/>
        <v>0.71659116185138327</v>
      </c>
      <c r="I167" s="26">
        <f>IF(F$320=0,0,SUM(F$17:F167)/F$320)</f>
        <v>0.28510462189177477</v>
      </c>
      <c r="J167" s="26">
        <f>IF(G$320=0,0,SUM(G$17:G167)/G$320)</f>
        <v>0</v>
      </c>
      <c r="K167" s="26">
        <f>SUM(H$17:H167)/H$320</f>
        <v>0.28510462189177477</v>
      </c>
      <c r="L167" s="26"/>
      <c r="M167" s="26"/>
      <c r="N167" s="27">
        <f t="shared" si="24"/>
        <v>0.69998850707042592</v>
      </c>
      <c r="O167" s="27">
        <f t="shared" si="25"/>
        <v>0</v>
      </c>
      <c r="P167" s="26">
        <f t="shared" si="26"/>
        <v>0.69998850707042592</v>
      </c>
      <c r="Q167" s="26">
        <f>IF(N$320=0,0,SUM(N$17:N167)/N$320)</f>
        <v>0.28167482642195979</v>
      </c>
      <c r="R167" s="26">
        <f>IF(O$320=0,0,SUM(O$17:O167)/O$320)</f>
        <v>0</v>
      </c>
      <c r="S167" s="26">
        <f>SUM(P$17:P167)/P$320</f>
        <v>0.28167482642195979</v>
      </c>
    </row>
    <row r="168" spans="1:19" x14ac:dyDescent="0.4">
      <c r="A168" s="6">
        <f t="shared" si="20"/>
        <v>9.9120621008685088</v>
      </c>
      <c r="B168" s="25">
        <f t="shared" si="27"/>
        <v>2.0856485317742313</v>
      </c>
      <c r="C168" s="25">
        <f t="shared" si="27"/>
        <v>0</v>
      </c>
      <c r="D168" s="27">
        <f t="shared" si="22"/>
        <v>2.0856485317742313</v>
      </c>
      <c r="E168" s="27"/>
      <c r="F168" s="26">
        <f t="shared" si="23"/>
        <v>0.72520855124603301</v>
      </c>
      <c r="G168" s="26">
        <f t="shared" si="23"/>
        <v>0</v>
      </c>
      <c r="H168" s="26">
        <f t="shared" si="23"/>
        <v>0.72520855124603301</v>
      </c>
      <c r="I168" s="26">
        <f>IF(F$320=0,0,SUM(F$17:F168)/F$320)</f>
        <v>0.29226771481100805</v>
      </c>
      <c r="J168" s="26">
        <f>IF(G$320=0,0,SUM(G$17:G168)/G$320)</f>
        <v>0</v>
      </c>
      <c r="K168" s="26">
        <f>SUM(H$17:H168)/H$320</f>
        <v>0.29226771481100805</v>
      </c>
      <c r="L168" s="26"/>
      <c r="M168" s="26"/>
      <c r="N168" s="27">
        <f t="shared" si="24"/>
        <v>0.70856085692989623</v>
      </c>
      <c r="O168" s="27">
        <f t="shared" si="25"/>
        <v>0</v>
      </c>
      <c r="P168" s="26">
        <f t="shared" si="26"/>
        <v>0.70856085692989623</v>
      </c>
      <c r="Q168" s="26">
        <f>IF(N$320=0,0,SUM(N$17:N168)/N$320)</f>
        <v>0.28879604106447126</v>
      </c>
      <c r="R168" s="26">
        <f>IF(O$320=0,0,SUM(O$17:O168)/O$320)</f>
        <v>0</v>
      </c>
      <c r="S168" s="26">
        <f>SUM(P$17:P168)/P$320</f>
        <v>0.28879604106447126</v>
      </c>
    </row>
    <row r="169" spans="1:19" x14ac:dyDescent="0.4">
      <c r="A169" s="6">
        <f t="shared" si="20"/>
        <v>10.259775792891732</v>
      </c>
      <c r="B169" s="25">
        <f t="shared" si="27"/>
        <v>2.0383032402263295</v>
      </c>
      <c r="C169" s="25">
        <f t="shared" si="27"/>
        <v>0</v>
      </c>
      <c r="D169" s="27">
        <f t="shared" si="22"/>
        <v>2.0383032402263295</v>
      </c>
      <c r="E169" s="27"/>
      <c r="F169" s="26">
        <f t="shared" si="23"/>
        <v>0.73360864944901882</v>
      </c>
      <c r="G169" s="26">
        <f t="shared" si="23"/>
        <v>0</v>
      </c>
      <c r="H169" s="26">
        <f t="shared" si="23"/>
        <v>0.73360864944901882</v>
      </c>
      <c r="I169" s="26">
        <f>IF(F$320=0,0,SUM(F$17:F169)/F$320)</f>
        <v>0.29951377791013689</v>
      </c>
      <c r="J169" s="26">
        <f>IF(G$320=0,0,SUM(G$17:G169)/G$320)</f>
        <v>0</v>
      </c>
      <c r="K169" s="26">
        <f>SUM(H$17:H169)/H$320</f>
        <v>0.29951377791013689</v>
      </c>
      <c r="L169" s="26"/>
      <c r="M169" s="26"/>
      <c r="N169" s="27">
        <f t="shared" si="24"/>
        <v>0.7169245774106936</v>
      </c>
      <c r="O169" s="27">
        <f t="shared" si="25"/>
        <v>0</v>
      </c>
      <c r="P169" s="26">
        <f t="shared" si="26"/>
        <v>0.7169245774106936</v>
      </c>
      <c r="Q169" s="26">
        <f>IF(N$320=0,0,SUM(N$17:N169)/N$320)</f>
        <v>0.2960013131992521</v>
      </c>
      <c r="R169" s="26">
        <f>IF(O$320=0,0,SUM(O$17:O169)/O$320)</f>
        <v>0</v>
      </c>
      <c r="S169" s="26">
        <f>SUM(P$17:P169)/P$320</f>
        <v>0.2960013131992521</v>
      </c>
    </row>
    <row r="170" spans="1:19" x14ac:dyDescent="0.4">
      <c r="A170" s="6">
        <f t="shared" si="20"/>
        <v>10.619687230488996</v>
      </c>
      <c r="B170" s="25">
        <f t="shared" si="27"/>
        <v>1.9911616698836792</v>
      </c>
      <c r="C170" s="25">
        <f t="shared" si="27"/>
        <v>0</v>
      </c>
      <c r="D170" s="27">
        <f t="shared" si="22"/>
        <v>1.9911616698836792</v>
      </c>
      <c r="E170" s="27"/>
      <c r="F170" s="26">
        <f t="shared" si="23"/>
        <v>0.74178155093337472</v>
      </c>
      <c r="G170" s="26">
        <f t="shared" si="23"/>
        <v>0</v>
      </c>
      <c r="H170" s="26">
        <f t="shared" si="23"/>
        <v>0.74178155093337472</v>
      </c>
      <c r="I170" s="26">
        <f>IF(F$320=0,0,SUM(F$17:F170)/F$320)</f>
        <v>0.30684056710198981</v>
      </c>
      <c r="J170" s="26">
        <f>IF(G$320=0,0,SUM(G$17:G170)/G$320)</f>
        <v>0</v>
      </c>
      <c r="K170" s="26">
        <f>SUM(H$17:H170)/H$320</f>
        <v>0.30684056710198981</v>
      </c>
      <c r="L170" s="26"/>
      <c r="M170" s="26"/>
      <c r="N170" s="27">
        <f t="shared" si="24"/>
        <v>0.72506984870768232</v>
      </c>
      <c r="O170" s="27">
        <f t="shared" si="25"/>
        <v>0</v>
      </c>
      <c r="P170" s="26">
        <f t="shared" si="26"/>
        <v>0.72506984870768232</v>
      </c>
      <c r="Q170" s="26">
        <f>IF(N$320=0,0,SUM(N$17:N170)/N$320)</f>
        <v>0.3032884473571183</v>
      </c>
      <c r="R170" s="26">
        <f>IF(O$320=0,0,SUM(O$17:O170)/O$320)</f>
        <v>0</v>
      </c>
      <c r="S170" s="26">
        <f>SUM(P$17:P170)/P$320</f>
        <v>0.3032884473571183</v>
      </c>
    </row>
    <row r="171" spans="1:19" x14ac:dyDescent="0.4">
      <c r="A171" s="6">
        <f t="shared" si="20"/>
        <v>10.992224308795002</v>
      </c>
      <c r="B171" s="25">
        <f t="shared" si="27"/>
        <v>1.94425985885463</v>
      </c>
      <c r="C171" s="25">
        <f t="shared" si="27"/>
        <v>0</v>
      </c>
      <c r="D171" s="27">
        <f t="shared" si="22"/>
        <v>1.94425985885463</v>
      </c>
      <c r="E171" s="27"/>
      <c r="F171" s="26">
        <f t="shared" si="23"/>
        <v>0.74971753735234015</v>
      </c>
      <c r="G171" s="26">
        <f t="shared" si="23"/>
        <v>0</v>
      </c>
      <c r="H171" s="26">
        <f t="shared" si="23"/>
        <v>0.74971753735234015</v>
      </c>
      <c r="I171" s="26">
        <f>IF(F$320=0,0,SUM(F$17:F171)/F$320)</f>
        <v>0.31424574230849622</v>
      </c>
      <c r="J171" s="26">
        <f>IF(G$320=0,0,SUM(G$17:G171)/G$320)</f>
        <v>0</v>
      </c>
      <c r="K171" s="26">
        <f>SUM(H$17:H171)/H$320</f>
        <v>0.31424574230849622</v>
      </c>
      <c r="L171" s="26"/>
      <c r="M171" s="26"/>
      <c r="N171" s="27">
        <f t="shared" si="24"/>
        <v>0.73298702548364458</v>
      </c>
      <c r="O171" s="27">
        <f t="shared" si="25"/>
        <v>0</v>
      </c>
      <c r="P171" s="26">
        <f t="shared" si="26"/>
        <v>0.73298702548364458</v>
      </c>
      <c r="Q171" s="26">
        <f>IF(N$320=0,0,SUM(N$17:N171)/N$320)</f>
        <v>0.31065515113082326</v>
      </c>
      <c r="R171" s="26">
        <f>IF(O$320=0,0,SUM(O$17:O171)/O$320)</f>
        <v>0</v>
      </c>
      <c r="S171" s="26">
        <f>SUM(P$17:P171)/P$320</f>
        <v>0.31065515113082326</v>
      </c>
    </row>
    <row r="172" spans="1:19" x14ac:dyDescent="0.4">
      <c r="A172" s="6">
        <f t="shared" si="20"/>
        <v>11.377829933443346</v>
      </c>
      <c r="B172" s="25">
        <f t="shared" si="27"/>
        <v>1.8976326933395071</v>
      </c>
      <c r="C172" s="25">
        <f t="shared" si="27"/>
        <v>0</v>
      </c>
      <c r="D172" s="27">
        <f t="shared" si="22"/>
        <v>1.8976326933395071</v>
      </c>
      <c r="E172" s="27"/>
      <c r="F172" s="26">
        <f t="shared" si="23"/>
        <v>0.75740709671479278</v>
      </c>
      <c r="G172" s="26">
        <f t="shared" si="23"/>
        <v>0</v>
      </c>
      <c r="H172" s="26">
        <f t="shared" si="23"/>
        <v>0.75740709671479278</v>
      </c>
      <c r="I172" s="26">
        <f>IF(F$320=0,0,SUM(F$17:F172)/F$320)</f>
        <v>0.32172686949892038</v>
      </c>
      <c r="J172" s="26">
        <f>IF(G$320=0,0,SUM(G$17:G172)/G$320)</f>
        <v>0</v>
      </c>
      <c r="K172" s="26">
        <f>SUM(H$17:H172)/H$320</f>
        <v>0.32172686949892038</v>
      </c>
      <c r="L172" s="26"/>
      <c r="M172" s="26"/>
      <c r="N172" s="27">
        <f t="shared" si="24"/>
        <v>0.74066665581441482</v>
      </c>
      <c r="O172" s="27">
        <f t="shared" si="25"/>
        <v>0</v>
      </c>
      <c r="P172" s="26">
        <f t="shared" si="26"/>
        <v>0.74066665581441482</v>
      </c>
      <c r="Q172" s="26">
        <f>IF(N$320=0,0,SUM(N$17:N172)/N$320)</f>
        <v>0.3180990371189078</v>
      </c>
      <c r="R172" s="26">
        <f>IF(O$320=0,0,SUM(O$17:O172)/O$320)</f>
        <v>0</v>
      </c>
      <c r="S172" s="26">
        <f>SUM(P$17:P172)/P$320</f>
        <v>0.3180990371189078</v>
      </c>
    </row>
    <row r="173" spans="1:19" x14ac:dyDescent="0.4">
      <c r="A173" s="6">
        <f t="shared" si="20"/>
        <v>11.776962547132609</v>
      </c>
      <c r="B173" s="25">
        <f t="shared" si="27"/>
        <v>1.8513138744701663</v>
      </c>
      <c r="C173" s="25">
        <f t="shared" si="27"/>
        <v>0</v>
      </c>
      <c r="D173" s="27">
        <f t="shared" si="22"/>
        <v>1.8513138744701663</v>
      </c>
      <c r="E173" s="27"/>
      <c r="F173" s="26">
        <f t="shared" si="23"/>
        <v>0.7648409423166328</v>
      </c>
      <c r="G173" s="26">
        <f t="shared" si="23"/>
        <v>0</v>
      </c>
      <c r="H173" s="26">
        <f t="shared" si="23"/>
        <v>0.7648409423166328</v>
      </c>
      <c r="I173" s="26">
        <f>IF(F$320=0,0,SUM(F$17:F173)/F$320)</f>
        <v>0.32928142291508566</v>
      </c>
      <c r="J173" s="26">
        <f>IF(G$320=0,0,SUM(G$17:G173)/G$320)</f>
        <v>0</v>
      </c>
      <c r="K173" s="26">
        <f>SUM(H$17:H173)/H$320</f>
        <v>0.32928142291508566</v>
      </c>
      <c r="L173" s="26"/>
      <c r="M173" s="26"/>
      <c r="N173" s="27">
        <f t="shared" si="24"/>
        <v>0.74809949992012958</v>
      </c>
      <c r="O173" s="27">
        <f t="shared" si="25"/>
        <v>0</v>
      </c>
      <c r="P173" s="26">
        <f t="shared" si="26"/>
        <v>0.74809949992012958</v>
      </c>
      <c r="Q173" s="26">
        <f>IF(N$320=0,0,SUM(N$17:N173)/N$320)</f>
        <v>0.32561762505780362</v>
      </c>
      <c r="R173" s="26">
        <f>IF(O$320=0,0,SUM(O$17:O173)/O$320)</f>
        <v>0</v>
      </c>
      <c r="S173" s="26">
        <f>SUM(P$17:P173)/P$320</f>
        <v>0.32561762505780362</v>
      </c>
    </row>
    <row r="174" spans="1:19" x14ac:dyDescent="0.4">
      <c r="A174" s="6">
        <f t="shared" si="20"/>
        <v>12.190096674664346</v>
      </c>
      <c r="B174" s="25">
        <f t="shared" si="27"/>
        <v>1.8053358884971329</v>
      </c>
      <c r="C174" s="25">
        <f t="shared" si="27"/>
        <v>0</v>
      </c>
      <c r="D174" s="27">
        <f t="shared" si="22"/>
        <v>1.8053358884971329</v>
      </c>
      <c r="E174" s="27"/>
      <c r="F174" s="26">
        <f t="shared" si="23"/>
        <v>0.77201003137533919</v>
      </c>
      <c r="G174" s="26">
        <f t="shared" si="23"/>
        <v>0</v>
      </c>
      <c r="H174" s="26">
        <f t="shared" si="23"/>
        <v>0.77201003137533919</v>
      </c>
      <c r="I174" s="26">
        <f>IF(F$320=0,0,SUM(F$17:F174)/F$320)</f>
        <v>0.33690678748065828</v>
      </c>
      <c r="J174" s="26">
        <f>IF(G$320=0,0,SUM(G$17:G174)/G$320)</f>
        <v>0</v>
      </c>
      <c r="K174" s="26">
        <f>SUM(H$17:H174)/H$320</f>
        <v>0.33690678748065828</v>
      </c>
      <c r="L174" s="26"/>
      <c r="M174" s="26"/>
      <c r="N174" s="27">
        <f t="shared" si="24"/>
        <v>0.75527654863051796</v>
      </c>
      <c r="O174" s="27">
        <f t="shared" si="25"/>
        <v>0</v>
      </c>
      <c r="P174" s="26">
        <f t="shared" si="26"/>
        <v>0.75527654863051796</v>
      </c>
      <c r="Q174" s="26">
        <f>IF(N$320=0,0,SUM(N$17:N174)/N$320)</f>
        <v>0.33320834413951733</v>
      </c>
      <c r="R174" s="26">
        <f>IF(O$320=0,0,SUM(O$17:O174)/O$320)</f>
        <v>0</v>
      </c>
      <c r="S174" s="26">
        <f>SUM(P$17:P174)/P$320</f>
        <v>0.33320834413951733</v>
      </c>
    </row>
    <row r="175" spans="1:19" x14ac:dyDescent="0.4">
      <c r="A175" s="6">
        <f t="shared" si="20"/>
        <v>12.617723487100898</v>
      </c>
      <c r="B175" s="25">
        <f t="shared" si="27"/>
        <v>1.7597299803213207</v>
      </c>
      <c r="C175" s="25">
        <f t="shared" si="27"/>
        <v>0</v>
      </c>
      <c r="D175" s="27">
        <f t="shared" si="22"/>
        <v>1.7597299803213207</v>
      </c>
      <c r="E175" s="27"/>
      <c r="F175" s="26">
        <f t="shared" si="23"/>
        <v>0.77890558331574522</v>
      </c>
      <c r="G175" s="26">
        <f t="shared" si="23"/>
        <v>0</v>
      </c>
      <c r="H175" s="26">
        <f t="shared" si="23"/>
        <v>0.77890558331574522</v>
      </c>
      <c r="I175" s="26">
        <f>IF(F$320=0,0,SUM(F$17:F175)/F$320)</f>
        <v>0.34460026139104449</v>
      </c>
      <c r="J175" s="26">
        <f>IF(G$320=0,0,SUM(G$17:G175)/G$320)</f>
        <v>0</v>
      </c>
      <c r="K175" s="26">
        <f>SUM(H$17:H175)/H$320</f>
        <v>0.34460026139104449</v>
      </c>
      <c r="L175" s="26"/>
      <c r="M175" s="26"/>
      <c r="N175" s="27">
        <f t="shared" si="24"/>
        <v>0.76218904153284583</v>
      </c>
      <c r="O175" s="27">
        <f t="shared" si="25"/>
        <v>0</v>
      </c>
      <c r="P175" s="26">
        <f t="shared" si="26"/>
        <v>0.76218904153284583</v>
      </c>
      <c r="Q175" s="26">
        <f>IF(N$320=0,0,SUM(N$17:N175)/N$320)</f>
        <v>0.34086853551170676</v>
      </c>
      <c r="R175" s="26">
        <f>IF(O$320=0,0,SUM(O$17:O175)/O$320)</f>
        <v>0</v>
      </c>
      <c r="S175" s="26">
        <f>SUM(P$17:P175)/P$320</f>
        <v>0.34086853551170676</v>
      </c>
    </row>
    <row r="176" spans="1:19" x14ac:dyDescent="0.4">
      <c r="A176" s="6">
        <f t="shared" si="20"/>
        <v>13.060351385713798</v>
      </c>
      <c r="B176" s="25">
        <f t="shared" si="27"/>
        <v>1.7145261303572796</v>
      </c>
      <c r="C176" s="25">
        <f t="shared" si="27"/>
        <v>0</v>
      </c>
      <c r="D176" s="27">
        <f t="shared" si="22"/>
        <v>1.7145261303572796</v>
      </c>
      <c r="E176" s="27"/>
      <c r="F176" s="26">
        <f t="shared" si="23"/>
        <v>0.78551909765523265</v>
      </c>
      <c r="G176" s="26">
        <f t="shared" si="23"/>
        <v>0</v>
      </c>
      <c r="H176" s="26">
        <f t="shared" si="23"/>
        <v>0.78551909765523265</v>
      </c>
      <c r="I176" s="26">
        <f>IF(F$320=0,0,SUM(F$17:F176)/F$320)</f>
        <v>0.35235905887994473</v>
      </c>
      <c r="J176" s="26">
        <f>IF(G$320=0,0,SUM(G$17:G176)/G$320)</f>
        <v>0</v>
      </c>
      <c r="K176" s="26">
        <f>SUM(H$17:H176)/H$320</f>
        <v>0.35235905887994473</v>
      </c>
      <c r="L176" s="26"/>
      <c r="M176" s="26"/>
      <c r="N176" s="27">
        <f t="shared" si="24"/>
        <v>0.76882848475167687</v>
      </c>
      <c r="O176" s="27">
        <f t="shared" si="25"/>
        <v>0</v>
      </c>
      <c r="P176" s="26">
        <f t="shared" si="26"/>
        <v>0.76882848475167687</v>
      </c>
      <c r="Q176" s="26">
        <f>IF(N$320=0,0,SUM(N$17:N176)/N$320)</f>
        <v>0.34859545495644728</v>
      </c>
      <c r="R176" s="26">
        <f>IF(O$320=0,0,SUM(O$17:O176)/O$320)</f>
        <v>0</v>
      </c>
      <c r="S176" s="26">
        <f>SUM(P$17:P176)/P$320</f>
        <v>0.34859545495644728</v>
      </c>
    </row>
    <row r="177" spans="1:19" x14ac:dyDescent="0.4">
      <c r="A177" s="6">
        <f t="shared" si="20"/>
        <v>13.518506606416992</v>
      </c>
      <c r="B177" s="25">
        <f t="shared" si="27"/>
        <v>1.6697530347051837</v>
      </c>
      <c r="C177" s="25">
        <f t="shared" si="27"/>
        <v>0</v>
      </c>
      <c r="D177" s="27">
        <f t="shared" si="22"/>
        <v>1.6697530347051837</v>
      </c>
      <c r="E177" s="27"/>
      <c r="F177" s="26">
        <f t="shared" si="23"/>
        <v>0.79184237143756708</v>
      </c>
      <c r="G177" s="26">
        <f t="shared" si="23"/>
        <v>0</v>
      </c>
      <c r="H177" s="26">
        <f t="shared" si="23"/>
        <v>0.79184237143756708</v>
      </c>
      <c r="I177" s="26">
        <f>IF(F$320=0,0,SUM(F$17:F177)/F$320)</f>
        <v>0.36018031315810767</v>
      </c>
      <c r="J177" s="26">
        <f>IF(G$320=0,0,SUM(G$17:G177)/G$320)</f>
        <v>0</v>
      </c>
      <c r="K177" s="26">
        <f>SUM(H$17:H177)/H$320</f>
        <v>0.36018031315810767</v>
      </c>
      <c r="L177" s="26"/>
      <c r="M177" s="26"/>
      <c r="N177" s="27">
        <f t="shared" si="24"/>
        <v>0.77518666830984073</v>
      </c>
      <c r="O177" s="27">
        <f t="shared" si="25"/>
        <v>0</v>
      </c>
      <c r="P177" s="26">
        <f t="shared" si="26"/>
        <v>0.77518666830984073</v>
      </c>
      <c r="Q177" s="26">
        <f>IF(N$320=0,0,SUM(N$17:N177)/N$320)</f>
        <v>0.35638627574348086</v>
      </c>
      <c r="R177" s="26">
        <f>IF(O$320=0,0,SUM(O$17:O177)/O$320)</f>
        <v>0</v>
      </c>
      <c r="S177" s="26">
        <f>SUM(P$17:P177)/P$320</f>
        <v>0.35638627574348086</v>
      </c>
    </row>
    <row r="178" spans="1:19" x14ac:dyDescent="0.4">
      <c r="A178" s="6">
        <f t="shared" si="20"/>
        <v>13.992733845403491</v>
      </c>
      <c r="B178" s="25">
        <f t="shared" ref="B178:C193" si="28">C$4*EXP(-0.5*(LN($A178)-LN(C$5))^2/(LN(C$6))^2)/($A178*SQRT(2*PI())*LN(C$6))</f>
        <v>1.6254380885993382</v>
      </c>
      <c r="C178" s="25">
        <f t="shared" si="28"/>
        <v>0</v>
      </c>
      <c r="D178" s="27">
        <f t="shared" si="22"/>
        <v>1.6254380885993382</v>
      </c>
      <c r="E178" s="27"/>
      <c r="F178" s="26">
        <f t="shared" si="23"/>
        <v>0.7978675161653942</v>
      </c>
      <c r="G178" s="26">
        <f t="shared" si="23"/>
        <v>0</v>
      </c>
      <c r="H178" s="26">
        <f t="shared" si="23"/>
        <v>0.7978675161653942</v>
      </c>
      <c r="I178" s="26">
        <f>IF(F$320=0,0,SUM(F$17:F178)/F$320)</f>
        <v>0.36806107951933009</v>
      </c>
      <c r="J178" s="26">
        <f>IF(G$320=0,0,SUM(G$17:G178)/G$320)</f>
        <v>0</v>
      </c>
      <c r="K178" s="26">
        <f>SUM(H$17:H178)/H$320</f>
        <v>0.36806107951933009</v>
      </c>
      <c r="L178" s="26"/>
      <c r="M178" s="26"/>
      <c r="N178" s="27">
        <f t="shared" si="24"/>
        <v>0.78125568302105375</v>
      </c>
      <c r="O178" s="27">
        <f t="shared" si="25"/>
        <v>0</v>
      </c>
      <c r="P178" s="26">
        <f t="shared" si="26"/>
        <v>0.78125568302105375</v>
      </c>
      <c r="Q178" s="26">
        <f>IF(N$320=0,0,SUM(N$17:N178)/N$320)</f>
        <v>0.36423809165324017</v>
      </c>
      <c r="R178" s="26">
        <f>IF(O$320=0,0,SUM(O$17:O178)/O$320)</f>
        <v>0</v>
      </c>
      <c r="S178" s="26">
        <f>SUM(P$17:P178)/P$320</f>
        <v>0.36423809165324017</v>
      </c>
    </row>
    <row r="179" spans="1:19" x14ac:dyDescent="0.4">
      <c r="A179" s="6">
        <f t="shared" si="20"/>
        <v>14.48359690672927</v>
      </c>
      <c r="B179" s="25">
        <f t="shared" si="28"/>
        <v>1.5816073730919125</v>
      </c>
      <c r="C179" s="25">
        <f t="shared" si="28"/>
        <v>0</v>
      </c>
      <c r="D179" s="27">
        <f t="shared" si="22"/>
        <v>1.5816073730919125</v>
      </c>
      <c r="E179" s="27"/>
      <c r="F179" s="26">
        <f t="shared" si="23"/>
        <v>0.80358697418250891</v>
      </c>
      <c r="G179" s="26">
        <f t="shared" si="23"/>
        <v>0</v>
      </c>
      <c r="H179" s="26">
        <f t="shared" si="23"/>
        <v>0.80358697418250891</v>
      </c>
      <c r="I179" s="26">
        <f>IF(F$320=0,0,SUM(F$17:F179)/F$320)</f>
        <v>0.37599833860827048</v>
      </c>
      <c r="J179" s="26">
        <f>IF(G$320=0,0,SUM(G$17:G179)/G$320)</f>
        <v>0</v>
      </c>
      <c r="K179" s="26">
        <f>SUM(H$17:H179)/H$320</f>
        <v>0.37599833860827048</v>
      </c>
      <c r="L179" s="26"/>
      <c r="M179" s="26"/>
      <c r="N179" s="27">
        <f t="shared" si="24"/>
        <v>0.78702793686581951</v>
      </c>
      <c r="O179" s="27">
        <f t="shared" si="25"/>
        <v>0</v>
      </c>
      <c r="P179" s="26">
        <f t="shared" si="26"/>
        <v>0.78702793686581951</v>
      </c>
      <c r="Q179" s="26">
        <f>IF(N$320=0,0,SUM(N$17:N179)/N$320)</f>
        <v>0.37214792016445442</v>
      </c>
      <c r="R179" s="26">
        <f>IF(O$320=0,0,SUM(O$17:O179)/O$320)</f>
        <v>0</v>
      </c>
      <c r="S179" s="26">
        <f>SUM(P$17:P179)/P$320</f>
        <v>0.37214792016445442</v>
      </c>
    </row>
    <row r="180" spans="1:19" x14ac:dyDescent="0.4">
      <c r="A180" s="6">
        <f t="shared" si="20"/>
        <v>14.991679372614316</v>
      </c>
      <c r="B180" s="25">
        <f t="shared" si="28"/>
        <v>1.5382856449218942</v>
      </c>
      <c r="C180" s="25">
        <f t="shared" si="28"/>
        <v>0</v>
      </c>
      <c r="D180" s="27">
        <f t="shared" si="22"/>
        <v>1.5382856449218942</v>
      </c>
      <c r="E180" s="27"/>
      <c r="F180" s="26">
        <f t="shared" si="23"/>
        <v>0.80899353445832844</v>
      </c>
      <c r="G180" s="26">
        <f t="shared" si="23"/>
        <v>0</v>
      </c>
      <c r="H180" s="26">
        <f t="shared" si="23"/>
        <v>0.80899353445832844</v>
      </c>
      <c r="I180" s="26">
        <f>IF(F$320=0,0,SUM(F$17:F180)/F$320)</f>
        <v>0.38398899984416923</v>
      </c>
      <c r="J180" s="26">
        <f>IF(G$320=0,0,SUM(G$17:G180)/G$320)</f>
        <v>0</v>
      </c>
      <c r="K180" s="26">
        <f>SUM(H$17:H180)/H$320</f>
        <v>0.38398899984416923</v>
      </c>
      <c r="L180" s="26"/>
      <c r="M180" s="26"/>
      <c r="N180" s="27">
        <f t="shared" si="24"/>
        <v>0.79249617080289769</v>
      </c>
      <c r="O180" s="27">
        <f t="shared" si="25"/>
        <v>0</v>
      </c>
      <c r="P180" s="26">
        <f t="shared" si="26"/>
        <v>0.79249617080289769</v>
      </c>
      <c r="Q180" s="26">
        <f>IF(N$320=0,0,SUM(N$17:N180)/N$320)</f>
        <v>0.38011270580066447</v>
      </c>
      <c r="R180" s="26">
        <f>IF(O$320=0,0,SUM(O$17:O180)/O$320)</f>
        <v>0</v>
      </c>
      <c r="S180" s="26">
        <f>SUM(P$17:P180)/P$320</f>
        <v>0.38011270580066447</v>
      </c>
    </row>
    <row r="181" spans="1:19" x14ac:dyDescent="0.4">
      <c r="A181" s="6">
        <f t="shared" si="20"/>
        <v>15.517585297257723</v>
      </c>
      <c r="B181" s="25">
        <f t="shared" si="28"/>
        <v>1.4954963295109787</v>
      </c>
      <c r="C181" s="25">
        <f t="shared" si="28"/>
        <v>0</v>
      </c>
      <c r="D181" s="27">
        <f t="shared" si="22"/>
        <v>1.4954963295109787</v>
      </c>
      <c r="E181" s="27"/>
      <c r="F181" s="26">
        <f t="shared" si="23"/>
        <v>0.81408034772853888</v>
      </c>
      <c r="G181" s="26">
        <f t="shared" si="23"/>
        <v>0</v>
      </c>
      <c r="H181" s="26">
        <f t="shared" si="23"/>
        <v>0.81408034772853888</v>
      </c>
      <c r="I181" s="26">
        <f>IF(F$320=0,0,SUM(F$17:F181)/F$320)</f>
        <v>0.39202990499411827</v>
      </c>
      <c r="J181" s="26">
        <f>IF(G$320=0,0,SUM(G$17:G181)/G$320)</f>
        <v>0</v>
      </c>
      <c r="K181" s="26">
        <f>SUM(H$17:H181)/H$320</f>
        <v>0.39202990499411827</v>
      </c>
      <c r="L181" s="26"/>
      <c r="M181" s="26"/>
      <c r="N181" s="27">
        <f t="shared" si="24"/>
        <v>0.79765347397063868</v>
      </c>
      <c r="O181" s="27">
        <f t="shared" si="25"/>
        <v>0</v>
      </c>
      <c r="P181" s="26">
        <f t="shared" si="26"/>
        <v>0.79765347397063868</v>
      </c>
      <c r="Q181" s="26">
        <f>IF(N$320=0,0,SUM(N$17:N181)/N$320)</f>
        <v>0.38812932362951508</v>
      </c>
      <c r="R181" s="26">
        <f>IF(O$320=0,0,SUM(O$17:O181)/O$320)</f>
        <v>0</v>
      </c>
      <c r="S181" s="26">
        <f>SUM(P$17:P181)/P$320</f>
        <v>0.38812932362951508</v>
      </c>
    </row>
    <row r="182" spans="1:19" x14ac:dyDescent="0.4">
      <c r="A182" s="6">
        <f t="shared" si="20"/>
        <v>16.061939924991741</v>
      </c>
      <c r="B182" s="25">
        <f t="shared" si="28"/>
        <v>1.4532615170202043</v>
      </c>
      <c r="C182" s="25">
        <f t="shared" si="28"/>
        <v>0</v>
      </c>
      <c r="D182" s="27">
        <f t="shared" si="22"/>
        <v>1.4532615170202043</v>
      </c>
      <c r="E182" s="27"/>
      <c r="F182" s="26">
        <f t="shared" si="23"/>
        <v>0.81884094094734983</v>
      </c>
      <c r="G182" s="26">
        <f t="shared" si="23"/>
        <v>0</v>
      </c>
      <c r="H182" s="26">
        <f t="shared" si="23"/>
        <v>0.81884094094734983</v>
      </c>
      <c r="I182" s="26">
        <f>IF(F$320=0,0,SUM(F$17:F182)/F$320)</f>
        <v>0.40011783188907896</v>
      </c>
      <c r="J182" s="26">
        <f>IF(G$320=0,0,SUM(G$17:G182)/G$320)</f>
        <v>0</v>
      </c>
      <c r="K182" s="26">
        <f>SUM(H$17:H182)/H$320</f>
        <v>0.40011783188907896</v>
      </c>
      <c r="L182" s="26"/>
      <c r="M182" s="26"/>
      <c r="N182" s="27">
        <f t="shared" si="24"/>
        <v>0.80249329823325888</v>
      </c>
      <c r="O182" s="27">
        <f t="shared" si="25"/>
        <v>0</v>
      </c>
      <c r="P182" s="26">
        <f t="shared" si="26"/>
        <v>0.80249329823325888</v>
      </c>
      <c r="Q182" s="26">
        <f>IF(N$320=0,0,SUM(N$17:N182)/N$320)</f>
        <v>0.39619458290824133</v>
      </c>
      <c r="R182" s="26">
        <f>IF(O$320=0,0,SUM(O$17:O182)/O$320)</f>
        <v>0</v>
      </c>
      <c r="S182" s="26">
        <f>SUM(P$17:P182)/P$320</f>
        <v>0.39619458290824133</v>
      </c>
    </row>
    <row r="183" spans="1:19" x14ac:dyDescent="0.4">
      <c r="A183" s="6">
        <f t="shared" si="20"/>
        <v>16.62539043362856</v>
      </c>
      <c r="B183" s="25">
        <f t="shared" si="28"/>
        <v>1.4116019613937212</v>
      </c>
      <c r="C183" s="25">
        <f t="shared" si="28"/>
        <v>0</v>
      </c>
      <c r="D183" s="27">
        <f t="shared" si="22"/>
        <v>1.4116019613937212</v>
      </c>
      <c r="E183" s="27"/>
      <c r="F183" s="26">
        <f t="shared" si="23"/>
        <v>0.82326923100870475</v>
      </c>
      <c r="G183" s="26">
        <f t="shared" si="23"/>
        <v>0</v>
      </c>
      <c r="H183" s="26">
        <f t="shared" si="23"/>
        <v>0.82326923100870475</v>
      </c>
      <c r="I183" s="26">
        <f>IF(F$320=0,0,SUM(F$17:F183)/F$320)</f>
        <v>0.40824949827542917</v>
      </c>
      <c r="J183" s="26">
        <f>IF(G$320=0,0,SUM(G$17:G183)/G$320)</f>
        <v>0</v>
      </c>
      <c r="K183" s="26">
        <f>SUM(H$17:H183)/H$320</f>
        <v>0.40824949827542917</v>
      </c>
      <c r="L183" s="26"/>
      <c r="M183" s="26"/>
      <c r="N183" s="27">
        <f t="shared" si="24"/>
        <v>0.80700947202965723</v>
      </c>
      <c r="O183" s="27">
        <f t="shared" si="25"/>
        <v>0</v>
      </c>
      <c r="P183" s="26">
        <f t="shared" si="26"/>
        <v>0.80700947202965723</v>
      </c>
      <c r="Q183" s="26">
        <f>IF(N$320=0,0,SUM(N$17:N183)/N$320)</f>
        <v>0.40430523086833836</v>
      </c>
      <c r="R183" s="26">
        <f>IF(O$320=0,0,SUM(O$17:O183)/O$320)</f>
        <v>0</v>
      </c>
      <c r="S183" s="26">
        <f>SUM(P$17:P183)/P$320</f>
        <v>0.40430523086833836</v>
      </c>
    </row>
    <row r="184" spans="1:19" x14ac:dyDescent="0.4">
      <c r="A184" s="6">
        <f t="shared" si="20"/>
        <v>17.208606703883571</v>
      </c>
      <c r="B184" s="25">
        <f t="shared" si="28"/>
        <v>1.3705370823090919</v>
      </c>
      <c r="C184" s="25">
        <f t="shared" si="28"/>
        <v>0</v>
      </c>
      <c r="D184" s="27">
        <f t="shared" si="22"/>
        <v>1.3705370823090919</v>
      </c>
      <c r="E184" s="27"/>
      <c r="F184" s="26">
        <f t="shared" si="23"/>
        <v>0.8273595376958558</v>
      </c>
      <c r="G184" s="26">
        <f t="shared" si="23"/>
        <v>0</v>
      </c>
      <c r="H184" s="26">
        <f t="shared" si="23"/>
        <v>0.8273595376958558</v>
      </c>
      <c r="I184" s="26">
        <f>IF(F$320=0,0,SUM(F$17:F184)/F$320)</f>
        <v>0.41642156579441614</v>
      </c>
      <c r="J184" s="26">
        <f>IF(G$320=0,0,SUM(G$17:G184)/G$320)</f>
        <v>0</v>
      </c>
      <c r="K184" s="26">
        <f>SUM(H$17:H184)/H$320</f>
        <v>0.41642156579441614</v>
      </c>
      <c r="L184" s="26"/>
      <c r="M184" s="26"/>
      <c r="N184" s="27">
        <f t="shared" si="24"/>
        <v>0.81119621348344495</v>
      </c>
      <c r="O184" s="27">
        <f t="shared" si="25"/>
        <v>0</v>
      </c>
      <c r="P184" s="26">
        <f t="shared" si="26"/>
        <v>0.81119621348344495</v>
      </c>
      <c r="Q184" s="26">
        <f>IF(N$320=0,0,SUM(N$17:N184)/N$320)</f>
        <v>0.41245795663199103</v>
      </c>
      <c r="R184" s="26">
        <f>IF(O$320=0,0,SUM(O$17:O184)/O$320)</f>
        <v>0</v>
      </c>
      <c r="S184" s="26">
        <f>SUM(P$17:P184)/P$320</f>
        <v>0.41245795663199103</v>
      </c>
    </row>
    <row r="185" spans="1:19" x14ac:dyDescent="0.4">
      <c r="A185" s="6">
        <f t="shared" si="20"/>
        <v>17.812282115789912</v>
      </c>
      <c r="B185" s="25">
        <f t="shared" si="28"/>
        <v>1.3300849699470119</v>
      </c>
      <c r="C185" s="25">
        <f t="shared" si="28"/>
        <v>0</v>
      </c>
      <c r="D185" s="27">
        <f t="shared" si="22"/>
        <v>1.3300849699470119</v>
      </c>
      <c r="E185" s="27"/>
      <c r="F185" s="26">
        <f t="shared" si="23"/>
        <v>0.83110659582054747</v>
      </c>
      <c r="G185" s="26">
        <f t="shared" si="23"/>
        <v>0</v>
      </c>
      <c r="H185" s="26">
        <f t="shared" si="23"/>
        <v>0.83110659582054747</v>
      </c>
      <c r="I185" s="26">
        <f>IF(F$320=0,0,SUM(F$17:F185)/F$320)</f>
        <v>0.4246306440815123</v>
      </c>
      <c r="J185" s="26">
        <f>IF(G$320=0,0,SUM(G$17:G185)/G$320)</f>
        <v>0</v>
      </c>
      <c r="K185" s="26">
        <f>SUM(H$17:H185)/H$320</f>
        <v>0.4246306440815123</v>
      </c>
      <c r="L185" s="26"/>
      <c r="M185" s="26"/>
      <c r="N185" s="27">
        <f t="shared" si="24"/>
        <v>0.81504814273534731</v>
      </c>
      <c r="O185" s="27">
        <f t="shared" si="25"/>
        <v>0</v>
      </c>
      <c r="P185" s="26">
        <f t="shared" si="26"/>
        <v>0.81504814273534731</v>
      </c>
      <c r="Q185" s="26">
        <f>IF(N$320=0,0,SUM(N$17:N185)/N$320)</f>
        <v>0.42064939525244677</v>
      </c>
      <c r="R185" s="26">
        <f>IF(O$320=0,0,SUM(O$17:O185)/O$320)</f>
        <v>0</v>
      </c>
      <c r="S185" s="26">
        <f>SUM(P$17:P185)/P$320</f>
        <v>0.42064939525244677</v>
      </c>
    </row>
    <row r="186" spans="1:19" x14ac:dyDescent="0.4">
      <c r="A186" s="6">
        <f t="shared" si="20"/>
        <v>18.437134373051084</v>
      </c>
      <c r="B186" s="25">
        <f t="shared" si="28"/>
        <v>1.2902623924873224</v>
      </c>
      <c r="C186" s="25">
        <f t="shared" si="28"/>
        <v>0</v>
      </c>
      <c r="D186" s="27">
        <f t="shared" si="22"/>
        <v>1.2902623924873224</v>
      </c>
      <c r="E186" s="27"/>
      <c r="F186" s="26">
        <f t="shared" si="23"/>
        <v>0.83450556651572438</v>
      </c>
      <c r="G186" s="26">
        <f t="shared" si="23"/>
        <v>0</v>
      </c>
      <c r="H186" s="26">
        <f t="shared" si="23"/>
        <v>0.83450556651572438</v>
      </c>
      <c r="I186" s="26">
        <f>IF(F$320=0,0,SUM(F$17:F186)/F$320)</f>
        <v>0.43287329497731181</v>
      </c>
      <c r="J186" s="26">
        <f>IF(G$320=0,0,SUM(G$17:G186)/G$320)</f>
        <v>0</v>
      </c>
      <c r="K186" s="26">
        <f>SUM(H$17:H186)/H$320</f>
        <v>0.43287329497731181</v>
      </c>
      <c r="L186" s="26"/>
      <c r="M186" s="26"/>
      <c r="N186" s="27">
        <f t="shared" si="24"/>
        <v>0.8185602934612457</v>
      </c>
      <c r="O186" s="27">
        <f t="shared" si="25"/>
        <v>0</v>
      </c>
      <c r="P186" s="26">
        <f t="shared" si="26"/>
        <v>0.8185602934612457</v>
      </c>
      <c r="Q186" s="26">
        <f>IF(N$320=0,0,SUM(N$17:N186)/N$320)</f>
        <v>0.42887613187014773</v>
      </c>
      <c r="R186" s="26">
        <f>IF(O$320=0,0,SUM(O$17:O186)/O$320)</f>
        <v>0</v>
      </c>
      <c r="S186" s="26">
        <f>SUM(P$17:P186)/P$320</f>
        <v>0.42887613187014773</v>
      </c>
    </row>
    <row r="187" spans="1:19" x14ac:dyDescent="0.4">
      <c r="A187" s="6">
        <f t="shared" si="20"/>
        <v>19.083906356311786</v>
      </c>
      <c r="B187" s="25">
        <f t="shared" si="28"/>
        <v>1.2510848062326405</v>
      </c>
      <c r="C187" s="25">
        <f t="shared" si="28"/>
        <v>0</v>
      </c>
      <c r="D187" s="27">
        <f t="shared" si="22"/>
        <v>1.2510848062326405</v>
      </c>
      <c r="E187" s="27"/>
      <c r="F187" s="26">
        <f t="shared" si="23"/>
        <v>0.83755204764758895</v>
      </c>
      <c r="G187" s="26">
        <f t="shared" si="23"/>
        <v>0</v>
      </c>
      <c r="H187" s="26">
        <f t="shared" si="23"/>
        <v>0.83755204764758895</v>
      </c>
      <c r="I187" s="26">
        <f>IF(F$320=0,0,SUM(F$17:F187)/F$320)</f>
        <v>0.44114603684127041</v>
      </c>
      <c r="J187" s="26">
        <f>IF(G$320=0,0,SUM(G$17:G187)/G$320)</f>
        <v>0</v>
      </c>
      <c r="K187" s="26">
        <f>SUM(H$17:H187)/H$320</f>
        <v>0.44114603684127041</v>
      </c>
      <c r="L187" s="26"/>
      <c r="M187" s="26"/>
      <c r="N187" s="27">
        <f t="shared" si="24"/>
        <v>0.8217281235412266</v>
      </c>
      <c r="O187" s="27">
        <f t="shared" si="25"/>
        <v>0</v>
      </c>
      <c r="P187" s="26">
        <f t="shared" si="26"/>
        <v>0.8217281235412266</v>
      </c>
      <c r="Q187" s="26">
        <f>IF(N$320=0,0,SUM(N$17:N187)/N$320)</f>
        <v>0.43713470597608972</v>
      </c>
      <c r="R187" s="26">
        <f>IF(O$320=0,0,SUM(O$17:O187)/O$320)</f>
        <v>0</v>
      </c>
      <c r="S187" s="26">
        <f>SUM(P$17:P187)/P$320</f>
        <v>0.43713470597608972</v>
      </c>
    </row>
    <row r="188" spans="1:19" x14ac:dyDescent="0.4">
      <c r="A188" s="6">
        <f t="shared" si="20"/>
        <v>19.753367006361312</v>
      </c>
      <c r="B188" s="25">
        <f t="shared" si="28"/>
        <v>1.2125663682559087</v>
      </c>
      <c r="C188" s="25">
        <f t="shared" si="28"/>
        <v>0</v>
      </c>
      <c r="D188" s="27">
        <f t="shared" si="22"/>
        <v>1.2125663682559087</v>
      </c>
      <c r="E188" s="27"/>
      <c r="F188" s="26">
        <f t="shared" si="23"/>
        <v>0.84024208331595163</v>
      </c>
      <c r="G188" s="26">
        <f t="shared" si="23"/>
        <v>0</v>
      </c>
      <c r="H188" s="26">
        <f t="shared" si="23"/>
        <v>0.84024208331595163</v>
      </c>
      <c r="I188" s="26">
        <f>IF(F$320=0,0,SUM(F$17:F188)/F$320)</f>
        <v>0.44944534895928262</v>
      </c>
      <c r="J188" s="26">
        <f>IF(G$320=0,0,SUM(G$17:G188)/G$320)</f>
        <v>0</v>
      </c>
      <c r="K188" s="26">
        <f>SUM(H$17:H188)/H$320</f>
        <v>0.44944534895928262</v>
      </c>
      <c r="L188" s="26"/>
      <c r="M188" s="26"/>
      <c r="N188" s="27">
        <f t="shared" si="24"/>
        <v>0.82454752484759086</v>
      </c>
      <c r="O188" s="27">
        <f t="shared" si="25"/>
        <v>0</v>
      </c>
      <c r="P188" s="26">
        <f t="shared" si="26"/>
        <v>0.82454752484759086</v>
      </c>
      <c r="Q188" s="26">
        <f>IF(N$320=0,0,SUM(N$17:N188)/N$320)</f>
        <v>0.44542161577355294</v>
      </c>
      <c r="R188" s="26">
        <f>IF(O$320=0,0,SUM(O$17:O188)/O$320)</f>
        <v>0</v>
      </c>
      <c r="S188" s="26">
        <f>SUM(P$17:P188)/P$320</f>
        <v>0.44542161577355294</v>
      </c>
    </row>
    <row r="189" spans="1:19" x14ac:dyDescent="0.4">
      <c r="A189" s="6">
        <f t="shared" si="20"/>
        <v>20.446312238319635</v>
      </c>
      <c r="B189" s="25">
        <f t="shared" si="28"/>
        <v>1.1747199514636475</v>
      </c>
      <c r="C189" s="25">
        <f t="shared" si="28"/>
        <v>0</v>
      </c>
      <c r="D189" s="27">
        <f t="shared" si="22"/>
        <v>1.1747199514636475</v>
      </c>
      <c r="E189" s="27"/>
      <c r="F189" s="26">
        <f t="shared" si="23"/>
        <v>0.84257217241394344</v>
      </c>
      <c r="G189" s="26">
        <f t="shared" si="23"/>
        <v>0</v>
      </c>
      <c r="H189" s="26">
        <f t="shared" si="23"/>
        <v>0.84257217241394344</v>
      </c>
      <c r="I189" s="26">
        <f>IF(F$320=0,0,SUM(F$17:F189)/F$320)</f>
        <v>0.45776767603580631</v>
      </c>
      <c r="J189" s="26">
        <f>IF(G$320=0,0,SUM(G$17:G189)/G$320)</f>
        <v>0</v>
      </c>
      <c r="K189" s="26">
        <f>SUM(H$17:H189)/H$320</f>
        <v>0.45776767603580631</v>
      </c>
      <c r="L189" s="26"/>
      <c r="M189" s="26"/>
      <c r="N189" s="27">
        <f t="shared" si="24"/>
        <v>0.82701483212230809</v>
      </c>
      <c r="O189" s="27">
        <f t="shared" si="25"/>
        <v>0</v>
      </c>
      <c r="P189" s="26">
        <f t="shared" si="26"/>
        <v>0.82701483212230809</v>
      </c>
      <c r="Q189" s="26">
        <f>IF(N$320=0,0,SUM(N$17:N189)/N$320)</f>
        <v>0.45373332262905347</v>
      </c>
      <c r="R189" s="26">
        <f>IF(O$320=0,0,SUM(O$17:O189)/O$320)</f>
        <v>0</v>
      </c>
      <c r="S189" s="26">
        <f>SUM(P$17:P189)/P$320</f>
        <v>0.45373332262905347</v>
      </c>
    </row>
    <row r="190" spans="1:19" x14ac:dyDescent="0.4">
      <c r="A190" s="6">
        <f t="shared" si="20"/>
        <v>21.163565887892997</v>
      </c>
      <c r="B190" s="25">
        <f t="shared" si="28"/>
        <v>1.1375571619626581</v>
      </c>
      <c r="C190" s="25">
        <f t="shared" si="28"/>
        <v>0</v>
      </c>
      <c r="D190" s="27">
        <f t="shared" si="22"/>
        <v>1.1375571619626581</v>
      </c>
      <c r="E190" s="27"/>
      <c r="F190" s="26">
        <f t="shared" si="23"/>
        <v>0.84453927622124036</v>
      </c>
      <c r="G190" s="26">
        <f t="shared" si="23"/>
        <v>0</v>
      </c>
      <c r="H190" s="26">
        <f t="shared" si="23"/>
        <v>0.84453927622124036</v>
      </c>
      <c r="I190" s="26">
        <f>IF(F$320=0,0,SUM(F$17:F190)/F$320)</f>
        <v>0.46610943276098649</v>
      </c>
      <c r="J190" s="26">
        <f>IF(G$320=0,0,SUM(G$17:G190)/G$320)</f>
        <v>0</v>
      </c>
      <c r="K190" s="26">
        <f>SUM(H$17:H190)/H$320</f>
        <v>0.46610943276098649</v>
      </c>
      <c r="L190" s="26"/>
      <c r="M190" s="26"/>
      <c r="N190" s="27">
        <f t="shared" si="24"/>
        <v>0.82912683091712625</v>
      </c>
      <c r="O190" s="27">
        <f t="shared" si="25"/>
        <v>0</v>
      </c>
      <c r="P190" s="26">
        <f t="shared" si="26"/>
        <v>0.82912683091712625</v>
      </c>
      <c r="Q190" s="26">
        <f>IF(N$320=0,0,SUM(N$17:N190)/N$320)</f>
        <v>0.46206625560309494</v>
      </c>
      <c r="R190" s="26">
        <f>IF(O$320=0,0,SUM(O$17:O190)/O$320)</f>
        <v>0</v>
      </c>
      <c r="S190" s="26">
        <f>SUM(P$17:P190)/P$320</f>
        <v>0.46206625560309494</v>
      </c>
    </row>
    <row r="191" spans="1:19" x14ac:dyDescent="0.4">
      <c r="A191" s="6">
        <f t="shared" si="20"/>
        <v>21.905980690823984</v>
      </c>
      <c r="B191" s="25">
        <f t="shared" si="28"/>
        <v>1.1010883586144373</v>
      </c>
      <c r="C191" s="25">
        <f t="shared" si="28"/>
        <v>0</v>
      </c>
      <c r="D191" s="27">
        <f t="shared" si="22"/>
        <v>1.1010883586144373</v>
      </c>
      <c r="E191" s="27"/>
      <c r="F191" s="26">
        <f t="shared" si="23"/>
        <v>0.84614082500782317</v>
      </c>
      <c r="G191" s="26">
        <f t="shared" si="23"/>
        <v>0</v>
      </c>
      <c r="H191" s="26">
        <f t="shared" si="23"/>
        <v>0.84614082500782317</v>
      </c>
      <c r="I191" s="26">
        <f>IF(F$320=0,0,SUM(F$17:F191)/F$320)</f>
        <v>0.47446700844300782</v>
      </c>
      <c r="J191" s="26">
        <f>IF(G$320=0,0,SUM(G$17:G191)/G$320)</f>
        <v>0</v>
      </c>
      <c r="K191" s="26">
        <f>SUM(H$17:H191)/H$320</f>
        <v>0.47446700844300782</v>
      </c>
      <c r="L191" s="26"/>
      <c r="M191" s="26"/>
      <c r="N191" s="27">
        <f t="shared" si="24"/>
        <v>0.83088076457213389</v>
      </c>
      <c r="O191" s="27">
        <f t="shared" si="25"/>
        <v>0</v>
      </c>
      <c r="P191" s="26">
        <f t="shared" si="26"/>
        <v>0.83088076457213389</v>
      </c>
      <c r="Q191" s="26">
        <f>IF(N$320=0,0,SUM(N$17:N191)/N$320)</f>
        <v>0.47041681605105612</v>
      </c>
      <c r="R191" s="26">
        <f>IF(O$320=0,0,SUM(O$17:O191)/O$320)</f>
        <v>0</v>
      </c>
      <c r="S191" s="26">
        <f>SUM(P$17:P191)/P$320</f>
        <v>0.47041681605105612</v>
      </c>
    </row>
    <row r="192" spans="1:19" x14ac:dyDescent="0.4">
      <c r="A192" s="6">
        <f t="shared" si="20"/>
        <v>22.674439296700601</v>
      </c>
      <c r="B192" s="25">
        <f t="shared" si="28"/>
        <v>1.0653226746585411</v>
      </c>
      <c r="C192" s="25">
        <f t="shared" si="28"/>
        <v>0</v>
      </c>
      <c r="D192" s="27">
        <f t="shared" si="22"/>
        <v>1.0653226746585411</v>
      </c>
      <c r="E192" s="27"/>
      <c r="F192" s="26">
        <f t="shared" si="23"/>
        <v>0.84737472362804178</v>
      </c>
      <c r="G192" s="26">
        <f t="shared" si="23"/>
        <v>0</v>
      </c>
      <c r="H192" s="26">
        <f t="shared" si="23"/>
        <v>0.84737472362804178</v>
      </c>
      <c r="I192" s="26">
        <f>IF(F$320=0,0,SUM(F$17:F192)/F$320)</f>
        <v>0.48283677169570016</v>
      </c>
      <c r="J192" s="26">
        <f>IF(G$320=0,0,SUM(G$17:G192)/G$320)</f>
        <v>0</v>
      </c>
      <c r="K192" s="26">
        <f>SUM(H$17:H192)/H$320</f>
        <v>0.48283677169570016</v>
      </c>
      <c r="L192" s="26"/>
      <c r="M192" s="26"/>
      <c r="N192" s="27">
        <f t="shared" si="24"/>
        <v>0.83227434021160285</v>
      </c>
      <c r="O192" s="27">
        <f t="shared" si="25"/>
        <v>0</v>
      </c>
      <c r="P192" s="26">
        <f t="shared" si="26"/>
        <v>0.83227434021160285</v>
      </c>
      <c r="Q192" s="26">
        <f>IF(N$320=0,0,SUM(N$17:N192)/N$320)</f>
        <v>0.47878138228433859</v>
      </c>
      <c r="R192" s="26">
        <f>IF(O$320=0,0,SUM(O$17:O192)/O$320)</f>
        <v>0</v>
      </c>
      <c r="S192" s="26">
        <f>SUM(P$17:P192)/P$320</f>
        <v>0.47878138228433859</v>
      </c>
    </row>
    <row r="193" spans="1:19" x14ac:dyDescent="0.4">
      <c r="A193" s="6">
        <f t="shared" si="20"/>
        <v>23.469855318329582</v>
      </c>
      <c r="B193" s="25">
        <f t="shared" si="28"/>
        <v>1.0302680412836542</v>
      </c>
      <c r="C193" s="25">
        <f t="shared" si="28"/>
        <v>0</v>
      </c>
      <c r="D193" s="27">
        <f t="shared" si="22"/>
        <v>1.0302680412836542</v>
      </c>
      <c r="E193" s="27"/>
      <c r="F193" s="26">
        <f t="shared" si="23"/>
        <v>0.84823935608809198</v>
      </c>
      <c r="G193" s="26">
        <f t="shared" si="23"/>
        <v>0</v>
      </c>
      <c r="H193" s="26">
        <f t="shared" si="23"/>
        <v>0.84823935608809198</v>
      </c>
      <c r="I193" s="26">
        <f>IF(F$320=0,0,SUM(F$17:F193)/F$320)</f>
        <v>0.49121507517125901</v>
      </c>
      <c r="J193" s="26">
        <f>IF(G$320=0,0,SUM(G$17:G193)/G$320)</f>
        <v>0</v>
      </c>
      <c r="K193" s="26">
        <f>SUM(H$17:H193)/H$320</f>
        <v>0.49121507517125901</v>
      </c>
      <c r="L193" s="26"/>
      <c r="M193" s="26"/>
      <c r="N193" s="27">
        <f t="shared" si="24"/>
        <v>0.83330573373905925</v>
      </c>
      <c r="O193" s="27">
        <f t="shared" si="25"/>
        <v>0</v>
      </c>
      <c r="P193" s="26">
        <f t="shared" si="26"/>
        <v>0.83330573373905925</v>
      </c>
      <c r="Q193" s="26">
        <f>IF(N$320=0,0,SUM(N$17:N193)/N$320)</f>
        <v>0.48715631428171602</v>
      </c>
      <c r="R193" s="26">
        <f>IF(O$320=0,0,SUM(O$17:O193)/O$320)</f>
        <v>0</v>
      </c>
      <c r="S193" s="26">
        <f>SUM(P$17:P193)/P$320</f>
        <v>0.48715631428171602</v>
      </c>
    </row>
    <row r="194" spans="1:19" x14ac:dyDescent="0.4">
      <c r="A194" s="6">
        <f t="shared" si="20"/>
        <v>24.293174417921602</v>
      </c>
      <c r="B194" s="25">
        <f t="shared" ref="B194:C209" si="29">C$4*EXP(-0.5*(LN($A194)-LN(C$5))^2/(LN(C$6))^2)/($A194*SQRT(2*PI())*LN(C$6))</f>
        <v>0.99593121302309984</v>
      </c>
      <c r="C194" s="25">
        <f t="shared" si="29"/>
        <v>0</v>
      </c>
      <c r="D194" s="27">
        <f t="shared" si="22"/>
        <v>0.99593121302309984</v>
      </c>
      <c r="E194" s="27"/>
      <c r="F194" s="26">
        <f t="shared" si="23"/>
        <v>0.84873358907282948</v>
      </c>
      <c r="G194" s="26">
        <f t="shared" si="23"/>
        <v>0</v>
      </c>
      <c r="H194" s="26">
        <f t="shared" si="23"/>
        <v>0.84873358907282948</v>
      </c>
      <c r="I194" s="26">
        <f>IF(F$320=0,0,SUM(F$17:F194)/F$320)</f>
        <v>0.49959826032780102</v>
      </c>
      <c r="J194" s="26">
        <f>IF(G$320=0,0,SUM(G$17:G194)/G$320)</f>
        <v>0</v>
      </c>
      <c r="K194" s="26">
        <f>SUM(H$17:H194)/H$320</f>
        <v>0.49959826032780102</v>
      </c>
      <c r="L194" s="26"/>
      <c r="M194" s="26"/>
      <c r="N194" s="27">
        <f t="shared" si="24"/>
        <v>0.83397359381594538</v>
      </c>
      <c r="O194" s="27">
        <f t="shared" si="25"/>
        <v>0</v>
      </c>
      <c r="P194" s="26">
        <f t="shared" si="26"/>
        <v>0.83397359381594538</v>
      </c>
      <c r="Q194" s="26">
        <f>IF(N$320=0,0,SUM(N$17:N194)/N$320)</f>
        <v>0.49553795844067028</v>
      </c>
      <c r="R194" s="26">
        <f>IF(O$320=0,0,SUM(O$17:O194)/O$320)</f>
        <v>0</v>
      </c>
      <c r="S194" s="26">
        <f>SUM(P$17:P194)/P$320</f>
        <v>0.49553795844067028</v>
      </c>
    </row>
    <row r="195" spans="1:19" x14ac:dyDescent="0.4">
      <c r="A195" s="6">
        <f t="shared" si="20"/>
        <v>25.145375431379691</v>
      </c>
      <c r="B195" s="25">
        <f t="shared" si="29"/>
        <v>0.96231779485002644</v>
      </c>
      <c r="C195" s="25">
        <f t="shared" si="29"/>
        <v>0</v>
      </c>
      <c r="D195" s="27">
        <f t="shared" si="22"/>
        <v>0.96231779485002644</v>
      </c>
      <c r="E195" s="27"/>
      <c r="F195" s="26">
        <f t="shared" si="23"/>
        <v>0.84885677442122187</v>
      </c>
      <c r="G195" s="26">
        <f t="shared" si="23"/>
        <v>0</v>
      </c>
      <c r="H195" s="26">
        <f t="shared" si="23"/>
        <v>0.84885677442122187</v>
      </c>
      <c r="I195" s="26">
        <f>IF(F$320=0,0,SUM(F$17:F195)/F$320)</f>
        <v>0.50798266222137023</v>
      </c>
      <c r="J195" s="26">
        <f>IF(G$320=0,0,SUM(G$17:G195)/G$320)</f>
        <v>0</v>
      </c>
      <c r="K195" s="26">
        <f>SUM(H$17:H195)/H$320</f>
        <v>0.50798266222137023</v>
      </c>
      <c r="L195" s="26"/>
      <c r="M195" s="26"/>
      <c r="N195" s="27">
        <f t="shared" si="24"/>
        <v>0.83427704481215392</v>
      </c>
      <c r="O195" s="27">
        <f t="shared" si="25"/>
        <v>0</v>
      </c>
      <c r="P195" s="26">
        <f t="shared" si="26"/>
        <v>0.83427704481215392</v>
      </c>
      <c r="Q195" s="26">
        <f>IF(N$320=0,0,SUM(N$17:N195)/N$320)</f>
        <v>0.50392265235838041</v>
      </c>
      <c r="R195" s="26">
        <f>IF(O$320=0,0,SUM(O$17:O195)/O$320)</f>
        <v>0</v>
      </c>
      <c r="S195" s="26">
        <f>SUM(P$17:P195)/P$320</f>
        <v>0.50392265235838041</v>
      </c>
    </row>
    <row r="196" spans="1:19" x14ac:dyDescent="0.4">
      <c r="A196" s="6">
        <f t="shared" si="20"/>
        <v>26.027471532027516</v>
      </c>
      <c r="B196" s="25">
        <f t="shared" si="29"/>
        <v>0.92943227084645752</v>
      </c>
      <c r="C196" s="25">
        <f t="shared" si="29"/>
        <v>0</v>
      </c>
      <c r="D196" s="27">
        <f t="shared" si="22"/>
        <v>0.92943227084645752</v>
      </c>
      <c r="E196" s="27"/>
      <c r="F196" s="26">
        <f t="shared" si="23"/>
        <v>0.84860875054284635</v>
      </c>
      <c r="G196" s="26">
        <f t="shared" si="23"/>
        <v>0</v>
      </c>
      <c r="H196" s="26">
        <f t="shared" si="23"/>
        <v>0.84860875054284635</v>
      </c>
      <c r="I196" s="26">
        <f>IF(F$320=0,0,SUM(F$17:F196)/F$320)</f>
        <v>0.51636461431193603</v>
      </c>
      <c r="J196" s="26">
        <f>IF(G$320=0,0,SUM(G$17:G196)/G$320)</f>
        <v>0</v>
      </c>
      <c r="K196" s="26">
        <f>SUM(H$17:H196)/H$320</f>
        <v>0.51636461431193603</v>
      </c>
      <c r="L196" s="26"/>
      <c r="M196" s="26"/>
      <c r="N196" s="27">
        <f t="shared" si="24"/>
        <v>0.83421568871913099</v>
      </c>
      <c r="O196" s="27">
        <f t="shared" si="25"/>
        <v>0</v>
      </c>
      <c r="P196" s="26">
        <f t="shared" si="26"/>
        <v>0.83421568871913099</v>
      </c>
      <c r="Q196" s="26">
        <f>IF(N$320=0,0,SUM(N$17:N196)/N$320)</f>
        <v>0.51230672963193946</v>
      </c>
      <c r="R196" s="26">
        <f>IF(O$320=0,0,SUM(O$17:O196)/O$320)</f>
        <v>0</v>
      </c>
      <c r="S196" s="26">
        <f>SUM(P$17:P196)/P$320</f>
        <v>0.51230672963193946</v>
      </c>
    </row>
    <row r="197" spans="1:19" x14ac:dyDescent="0.4">
      <c r="A197" s="6">
        <f t="shared" si="20"/>
        <v>26.940511435161067</v>
      </c>
      <c r="B197" s="25">
        <f t="shared" si="29"/>
        <v>0.89727803431982789</v>
      </c>
      <c r="C197" s="25">
        <f t="shared" si="29"/>
        <v>0</v>
      </c>
      <c r="D197" s="27">
        <f t="shared" si="22"/>
        <v>0.89727803431982789</v>
      </c>
      <c r="E197" s="27"/>
      <c r="F197" s="26">
        <f t="shared" si="23"/>
        <v>0.84798984277116596</v>
      </c>
      <c r="G197" s="26">
        <f t="shared" si="23"/>
        <v>0</v>
      </c>
      <c r="H197" s="26">
        <f t="shared" si="23"/>
        <v>0.84798984277116596</v>
      </c>
      <c r="I197" s="26">
        <f>IF(F$320=0,0,SUM(F$17:F197)/F$320)</f>
        <v>0.52474045327287955</v>
      </c>
      <c r="J197" s="26">
        <f>IF(G$320=0,0,SUM(G$17:G197)/G$320)</f>
        <v>0</v>
      </c>
      <c r="K197" s="26">
        <f>SUM(H$17:H197)/H$320</f>
        <v>0.52474045327287955</v>
      </c>
      <c r="L197" s="26"/>
      <c r="M197" s="26"/>
      <c r="N197" s="27">
        <f t="shared" si="24"/>
        <v>0.83378960601971919</v>
      </c>
      <c r="O197" s="27">
        <f t="shared" si="25"/>
        <v>0</v>
      </c>
      <c r="P197" s="26">
        <f t="shared" si="26"/>
        <v>0.83378960601971919</v>
      </c>
      <c r="Q197" s="26">
        <f>IF(N$320=0,0,SUM(N$17:N197)/N$320)</f>
        <v>0.52068652466731358</v>
      </c>
      <c r="R197" s="26">
        <f>IF(O$320=0,0,SUM(O$17:O197)/O$320)</f>
        <v>0</v>
      </c>
      <c r="S197" s="26">
        <f>SUM(P$17:P197)/P$320</f>
        <v>0.52068652466731358</v>
      </c>
    </row>
    <row r="198" spans="1:19" x14ac:dyDescent="0.4">
      <c r="A198" s="6">
        <f t="shared" si="20"/>
        <v>27.885580644855892</v>
      </c>
      <c r="B198" s="25">
        <f t="shared" si="29"/>
        <v>0.86585741924051085</v>
      </c>
      <c r="C198" s="25">
        <f t="shared" si="29"/>
        <v>0</v>
      </c>
      <c r="D198" s="27">
        <f t="shared" si="22"/>
        <v>0.86585741924051085</v>
      </c>
      <c r="E198" s="27"/>
      <c r="F198" s="26">
        <f t="shared" si="23"/>
        <v>0.84700086265235763</v>
      </c>
      <c r="G198" s="26">
        <f t="shared" si="23"/>
        <v>0</v>
      </c>
      <c r="H198" s="26">
        <f t="shared" si="23"/>
        <v>0.84700086265235763</v>
      </c>
      <c r="I198" s="26">
        <f>IF(F$320=0,0,SUM(F$17:F198)/F$320)</f>
        <v>0.53310652379345624</v>
      </c>
      <c r="J198" s="26">
        <f>IF(G$320=0,0,SUM(G$17:G198)/G$320)</f>
        <v>0</v>
      </c>
      <c r="K198" s="26">
        <f>SUM(H$17:H198)/H$320</f>
        <v>0.53310652379345624</v>
      </c>
      <c r="L198" s="26"/>
      <c r="M198" s="26"/>
      <c r="N198" s="27">
        <f t="shared" si="24"/>
        <v>0.83299935551239823</v>
      </c>
      <c r="O198" s="27">
        <f t="shared" si="25"/>
        <v>0</v>
      </c>
      <c r="P198" s="26">
        <f t="shared" si="26"/>
        <v>0.83299935551239823</v>
      </c>
      <c r="Q198" s="26">
        <f>IF(N$320=0,0,SUM(N$17:N198)/N$320)</f>
        <v>0.52905837748653362</v>
      </c>
      <c r="R198" s="26">
        <f>IF(O$320=0,0,SUM(O$17:O198)/O$320)</f>
        <v>0</v>
      </c>
      <c r="S198" s="26">
        <f>SUM(P$17:P198)/P$320</f>
        <v>0.52905837748653362</v>
      </c>
    </row>
    <row r="199" spans="1:19" x14ac:dyDescent="0.4">
      <c r="A199" s="6">
        <f t="shared" si="20"/>
        <v>28.8638027445121</v>
      </c>
      <c r="B199" s="25">
        <f t="shared" si="29"/>
        <v>0.8351717328741588</v>
      </c>
      <c r="C199" s="25">
        <f t="shared" si="29"/>
        <v>0</v>
      </c>
      <c r="D199" s="27">
        <f t="shared" si="22"/>
        <v>0.8351717328741588</v>
      </c>
      <c r="E199" s="27"/>
      <c r="F199" s="26">
        <f t="shared" si="23"/>
        <v>0.8456431061719929</v>
      </c>
      <c r="G199" s="26">
        <f t="shared" si="23"/>
        <v>0</v>
      </c>
      <c r="H199" s="26">
        <f t="shared" si="23"/>
        <v>0.8456431061719929</v>
      </c>
      <c r="I199" s="26">
        <f>IF(F$320=0,0,SUM(F$17:F199)/F$320)</f>
        <v>0.5414591833637431</v>
      </c>
      <c r="J199" s="26">
        <f>IF(G$320=0,0,SUM(G$17:G199)/G$320)</f>
        <v>0</v>
      </c>
      <c r="K199" s="26">
        <f>SUM(H$17:H199)/H$320</f>
        <v>0.5414591833637431</v>
      </c>
      <c r="L199" s="26"/>
      <c r="M199" s="26"/>
      <c r="N199" s="27">
        <f t="shared" si="24"/>
        <v>0.83184597308983976</v>
      </c>
      <c r="O199" s="27">
        <f t="shared" si="25"/>
        <v>0</v>
      </c>
      <c r="P199" s="26">
        <f t="shared" si="26"/>
        <v>0.83184597308983976</v>
      </c>
      <c r="Q199" s="26">
        <f>IF(N$320=0,0,SUM(N$17:N199)/N$320)</f>
        <v>0.5374186385226124</v>
      </c>
      <c r="R199" s="26">
        <f>IF(O$320=0,0,SUM(O$17:O199)/O$320)</f>
        <v>0</v>
      </c>
      <c r="S199" s="26">
        <f>SUM(P$17:P199)/P$320</f>
        <v>0.5374186385226124</v>
      </c>
    </row>
    <row r="200" spans="1:19" x14ac:dyDescent="0.4">
      <c r="A200" s="6">
        <f t="shared" si="20"/>
        <v>29.87634073267149</v>
      </c>
      <c r="B200" s="25">
        <f t="shared" si="29"/>
        <v>0.80522128948343585</v>
      </c>
      <c r="C200" s="25">
        <f t="shared" si="29"/>
        <v>0</v>
      </c>
      <c r="D200" s="27">
        <f t="shared" si="22"/>
        <v>0.80522128948343585</v>
      </c>
      <c r="E200" s="27"/>
      <c r="F200" s="26">
        <f t="shared" si="23"/>
        <v>0.84391835092502054</v>
      </c>
      <c r="G200" s="26">
        <f t="shared" si="23"/>
        <v>0</v>
      </c>
      <c r="H200" s="26">
        <f t="shared" si="23"/>
        <v>0.84391835092502054</v>
      </c>
      <c r="I200" s="26">
        <f>IF(F$320=0,0,SUM(F$17:F200)/F$320)</f>
        <v>0.5497948070316323</v>
      </c>
      <c r="J200" s="26">
        <f>IF(G$320=0,0,SUM(G$17:G200)/G$320)</f>
        <v>0</v>
      </c>
      <c r="K200" s="26">
        <f>SUM(H$17:H200)/H$320</f>
        <v>0.5497948070316323</v>
      </c>
      <c r="L200" s="26"/>
      <c r="M200" s="26"/>
      <c r="N200" s="27">
        <f t="shared" si="24"/>
        <v>0.83033096947627838</v>
      </c>
      <c r="O200" s="27">
        <f t="shared" si="25"/>
        <v>0</v>
      </c>
      <c r="P200" s="26">
        <f t="shared" si="26"/>
        <v>0.83033096947627838</v>
      </c>
      <c r="Q200" s="26">
        <f>IF(N$320=0,0,SUM(N$17:N200)/N$320)</f>
        <v>0.54576367339172083</v>
      </c>
      <c r="R200" s="26">
        <f>IF(O$320=0,0,SUM(O$17:O200)/O$320)</f>
        <v>0</v>
      </c>
      <c r="S200" s="26">
        <f>SUM(P$17:P200)/P$320</f>
        <v>0.54576367339172083</v>
      </c>
    </row>
    <row r="201" spans="1:19" x14ac:dyDescent="0.4">
      <c r="A201" s="6">
        <f t="shared" si="20"/>
        <v>30.924398405695026</v>
      </c>
      <c r="B201" s="25">
        <f t="shared" si="29"/>
        <v>0.77600544497485402</v>
      </c>
      <c r="C201" s="25">
        <f t="shared" si="29"/>
        <v>0</v>
      </c>
      <c r="D201" s="27">
        <f t="shared" si="22"/>
        <v>0.77600544497485402</v>
      </c>
      <c r="E201" s="27"/>
      <c r="F201" s="26">
        <f t="shared" si="23"/>
        <v>0.84182885223749748</v>
      </c>
      <c r="G201" s="26">
        <f t="shared" si="23"/>
        <v>0</v>
      </c>
      <c r="H201" s="26">
        <f t="shared" si="23"/>
        <v>0.84182885223749748</v>
      </c>
      <c r="I201" s="26">
        <f>IF(F$320=0,0,SUM(F$17:F201)/F$320)</f>
        <v>0.55810979212151846</v>
      </c>
      <c r="J201" s="26">
        <f>IF(G$320=0,0,SUM(G$17:G201)/G$320)</f>
        <v>0</v>
      </c>
      <c r="K201" s="26">
        <f>SUM(H$17:H201)/H$320</f>
        <v>0.55810979212151846</v>
      </c>
      <c r="L201" s="26"/>
      <c r="M201" s="26"/>
      <c r="N201" s="27">
        <f t="shared" si="24"/>
        <v>0.8284563269298939</v>
      </c>
      <c r="O201" s="27">
        <f t="shared" si="25"/>
        <v>0</v>
      </c>
      <c r="P201" s="26">
        <f t="shared" si="26"/>
        <v>0.8284563269298939</v>
      </c>
      <c r="Q201" s="26">
        <f>IF(N$320=0,0,SUM(N$17:N201)/N$320)</f>
        <v>0.55408986763222223</v>
      </c>
      <c r="R201" s="26">
        <f>IF(O$320=0,0,SUM(O$17:O201)/O$320)</f>
        <v>0</v>
      </c>
      <c r="S201" s="26">
        <f>SUM(P$17:P201)/P$320</f>
        <v>0.55408986763222223</v>
      </c>
    </row>
    <row r="202" spans="1:19" x14ac:dyDescent="0.4">
      <c r="A202" s="6">
        <f t="shared" si="20"/>
        <v>32.009221788944323</v>
      </c>
      <c r="B202" s="25">
        <f t="shared" si="29"/>
        <v>0.747522632367977</v>
      </c>
      <c r="C202" s="25">
        <f t="shared" si="29"/>
        <v>0</v>
      </c>
      <c r="D202" s="27">
        <f t="shared" si="22"/>
        <v>0.747522632367977</v>
      </c>
      <c r="E202" s="27"/>
      <c r="F202" s="26">
        <f t="shared" si="23"/>
        <v>0.83937733825218941</v>
      </c>
      <c r="G202" s="26">
        <f t="shared" si="23"/>
        <v>0</v>
      </c>
      <c r="H202" s="26">
        <f t="shared" si="23"/>
        <v>0.83937733825218941</v>
      </c>
      <c r="I202" s="26">
        <f>IF(F$320=0,0,SUM(F$17:F202)/F$320)</f>
        <v>0.56640056290444518</v>
      </c>
      <c r="J202" s="26">
        <f>IF(G$320=0,0,SUM(G$17:G202)/G$320)</f>
        <v>0</v>
      </c>
      <c r="K202" s="26">
        <f>SUM(H$17:H202)/H$320</f>
        <v>0.56640056290444518</v>
      </c>
      <c r="L202" s="26"/>
      <c r="M202" s="26"/>
      <c r="N202" s="27">
        <f t="shared" si="24"/>
        <v>0.82622449492080197</v>
      </c>
      <c r="O202" s="27">
        <f t="shared" si="25"/>
        <v>0</v>
      </c>
      <c r="P202" s="26">
        <f t="shared" si="26"/>
        <v>0.82622449492080197</v>
      </c>
      <c r="Q202" s="26">
        <f>IF(N$320=0,0,SUM(N$17:N202)/N$320)</f>
        <v>0.56239363140027043</v>
      </c>
      <c r="R202" s="26">
        <f>IF(O$320=0,0,SUM(O$17:O202)/O$320)</f>
        <v>0</v>
      </c>
      <c r="S202" s="26">
        <f>SUM(P$17:P202)/P$320</f>
        <v>0.56239363140027043</v>
      </c>
    </row>
    <row r="203" spans="1:19" x14ac:dyDescent="0.4">
      <c r="A203" s="6">
        <f t="shared" si="20"/>
        <v>33.132100618168849</v>
      </c>
      <c r="B203" s="25">
        <f t="shared" si="29"/>
        <v>0.71977039796614994</v>
      </c>
      <c r="C203" s="25">
        <f t="shared" si="29"/>
        <v>0</v>
      </c>
      <c r="D203" s="27">
        <f t="shared" si="22"/>
        <v>0.71977039796614994</v>
      </c>
      <c r="E203" s="27"/>
      <c r="F203" s="26">
        <f t="shared" si="23"/>
        <v>0.83656700399283646</v>
      </c>
      <c r="G203" s="26">
        <f t="shared" si="23"/>
        <v>0</v>
      </c>
      <c r="H203" s="26">
        <f t="shared" si="23"/>
        <v>0.83656700399283646</v>
      </c>
      <c r="I203" s="26">
        <f>IF(F$320=0,0,SUM(F$17:F203)/F$320)</f>
        <v>0.57466357520962175</v>
      </c>
      <c r="J203" s="26">
        <f>IF(G$320=0,0,SUM(G$17:G203)/G$320)</f>
        <v>0</v>
      </c>
      <c r="K203" s="26">
        <f>SUM(H$17:H203)/H$320</f>
        <v>0.57466357520962175</v>
      </c>
      <c r="L203" s="26"/>
      <c r="M203" s="26"/>
      <c r="N203" s="27">
        <f t="shared" si="24"/>
        <v>0.8236383847975981</v>
      </c>
      <c r="O203" s="27">
        <f t="shared" si="25"/>
        <v>0</v>
      </c>
      <c r="P203" s="26">
        <f t="shared" si="26"/>
        <v>0.8236383847975981</v>
      </c>
      <c r="Q203" s="26">
        <f>IF(N$320=0,0,SUM(N$17:N203)/N$320)</f>
        <v>0.57067140411180406</v>
      </c>
      <c r="R203" s="26">
        <f>IF(O$320=0,0,SUM(O$17:O203)/O$320)</f>
        <v>0</v>
      </c>
      <c r="S203" s="26">
        <f>SUM(P$17:P203)/P$320</f>
        <v>0.57067140411180406</v>
      </c>
    </row>
    <row r="204" spans="1:19" x14ac:dyDescent="0.4">
      <c r="A204" s="6">
        <f t="shared" si="20"/>
        <v>34.294369872859953</v>
      </c>
      <c r="B204" s="25">
        <f t="shared" si="29"/>
        <v>0.69274543811016442</v>
      </c>
      <c r="C204" s="25">
        <f t="shared" si="29"/>
        <v>0</v>
      </c>
      <c r="D204" s="27">
        <f t="shared" si="22"/>
        <v>0.69274543811016442</v>
      </c>
      <c r="E204" s="27"/>
      <c r="F204" s="26">
        <f t="shared" si="23"/>
        <v>0.83340150442522121</v>
      </c>
      <c r="G204" s="26">
        <f t="shared" si="23"/>
        <v>0</v>
      </c>
      <c r="H204" s="26">
        <f t="shared" si="23"/>
        <v>0.83340150442522121</v>
      </c>
      <c r="I204" s="26">
        <f>IF(F$320=0,0,SUM(F$17:F204)/F$320)</f>
        <v>0.5828953209674036</v>
      </c>
      <c r="J204" s="26">
        <f>IF(G$320=0,0,SUM(G$17:G204)/G$320)</f>
        <v>0</v>
      </c>
      <c r="K204" s="26">
        <f>SUM(H$17:H204)/H$320</f>
        <v>0.5828953209674036</v>
      </c>
      <c r="L204" s="26"/>
      <c r="M204" s="26"/>
      <c r="N204" s="27">
        <f t="shared" si="24"/>
        <v>0.82070136345870903</v>
      </c>
      <c r="O204" s="27">
        <f t="shared" si="25"/>
        <v>0</v>
      </c>
      <c r="P204" s="26">
        <f t="shared" si="26"/>
        <v>0.82070136345870903</v>
      </c>
      <c r="Q204" s="26">
        <f>IF(N$320=0,0,SUM(N$17:N204)/N$320)</f>
        <v>0.57891965902093689</v>
      </c>
      <c r="R204" s="26">
        <f>IF(O$320=0,0,SUM(O$17:O204)/O$320)</f>
        <v>0</v>
      </c>
      <c r="S204" s="26">
        <f>SUM(P$17:P204)/P$320</f>
        <v>0.57891965902093689</v>
      </c>
    </row>
    <row r="205" spans="1:19" x14ac:dyDescent="0.4">
      <c r="A205" s="6">
        <f t="shared" si="20"/>
        <v>35.497411363394733</v>
      </c>
      <c r="B205" s="25">
        <f t="shared" si="29"/>
        <v>0.66644363639884785</v>
      </c>
      <c r="C205" s="25">
        <f t="shared" si="29"/>
        <v>0</v>
      </c>
      <c r="D205" s="27">
        <f t="shared" si="22"/>
        <v>0.66644363639884785</v>
      </c>
      <c r="E205" s="27"/>
      <c r="F205" s="26">
        <f t="shared" si="23"/>
        <v>0.82988494653612976</v>
      </c>
      <c r="G205" s="26">
        <f t="shared" si="23"/>
        <v>0</v>
      </c>
      <c r="H205" s="26">
        <f t="shared" si="23"/>
        <v>0.82988494653612976</v>
      </c>
      <c r="I205" s="26">
        <f>IF(F$320=0,0,SUM(F$17:F205)/F$320)</f>
        <v>0.59109233267403272</v>
      </c>
      <c r="J205" s="26">
        <f>IF(G$320=0,0,SUM(G$17:G205)/G$320)</f>
        <v>0</v>
      </c>
      <c r="K205" s="26">
        <f>SUM(H$17:H205)/H$320</f>
        <v>0.59109233267403272</v>
      </c>
      <c r="L205" s="26"/>
      <c r="M205" s="26"/>
      <c r="N205" s="27">
        <f t="shared" si="24"/>
        <v>0.81741724604806887</v>
      </c>
      <c r="O205" s="27">
        <f t="shared" si="25"/>
        <v>0</v>
      </c>
      <c r="P205" s="26">
        <f t="shared" si="26"/>
        <v>0.81741724604806887</v>
      </c>
      <c r="Q205" s="26">
        <f>IF(N$320=0,0,SUM(N$17:N205)/N$320)</f>
        <v>0.58713490772493748</v>
      </c>
      <c r="R205" s="26">
        <f>IF(O$320=0,0,SUM(O$17:O205)/O$320)</f>
        <v>0</v>
      </c>
      <c r="S205" s="26">
        <f>SUM(P$17:P205)/P$320</f>
        <v>0.58713490772493748</v>
      </c>
    </row>
    <row r="206" spans="1:19" x14ac:dyDescent="0.4">
      <c r="A206" s="6">
        <f t="shared" si="20"/>
        <v>36.742655373856657</v>
      </c>
      <c r="B206" s="25">
        <f t="shared" si="29"/>
        <v>0.64086010126344251</v>
      </c>
      <c r="C206" s="25">
        <f t="shared" si="29"/>
        <v>0</v>
      </c>
      <c r="D206" s="27">
        <f t="shared" si="22"/>
        <v>0.64086010126344251</v>
      </c>
      <c r="E206" s="27"/>
      <c r="F206" s="26">
        <f t="shared" si="23"/>
        <v>0.82602188045425695</v>
      </c>
      <c r="G206" s="26">
        <f t="shared" si="23"/>
        <v>0</v>
      </c>
      <c r="H206" s="26">
        <f t="shared" si="23"/>
        <v>0.82602188045425695</v>
      </c>
      <c r="I206" s="26">
        <f>IF(F$320=0,0,SUM(F$17:F206)/F$320)</f>
        <v>0.59925118776867758</v>
      </c>
      <c r="J206" s="26">
        <f>IF(G$320=0,0,SUM(G$17:G206)/G$320)</f>
        <v>0</v>
      </c>
      <c r="K206" s="26">
        <f>SUM(H$17:H206)/H$320</f>
        <v>0.59925118776867758</v>
      </c>
      <c r="L206" s="26"/>
      <c r="M206" s="26"/>
      <c r="N206" s="27">
        <f t="shared" si="24"/>
        <v>0.81379028769670292</v>
      </c>
      <c r="O206" s="27">
        <f t="shared" si="25"/>
        <v>0</v>
      </c>
      <c r="P206" s="26">
        <f t="shared" si="26"/>
        <v>0.81379028769670292</v>
      </c>
      <c r="Q206" s="26">
        <f>IF(N$320=0,0,SUM(N$17:N206)/N$320)</f>
        <v>0.59531370458621091</v>
      </c>
      <c r="R206" s="26">
        <f>IF(O$320=0,0,SUM(O$17:O206)/O$320)</f>
        <v>0</v>
      </c>
      <c r="S206" s="26">
        <f>SUM(P$17:P206)/P$320</f>
        <v>0.59531370458621091</v>
      </c>
    </row>
    <row r="207" spans="1:19" x14ac:dyDescent="0.4">
      <c r="A207" s="6">
        <f t="shared" si="20"/>
        <v>38.031582362486112</v>
      </c>
      <c r="B207" s="25">
        <f t="shared" si="29"/>
        <v>0.61598920378580069</v>
      </c>
      <c r="C207" s="25">
        <f t="shared" si="29"/>
        <v>0</v>
      </c>
      <c r="D207" s="27">
        <f t="shared" si="22"/>
        <v>0.61598920378580069</v>
      </c>
      <c r="E207" s="27"/>
      <c r="F207" s="26">
        <f t="shared" si="23"/>
        <v>0.82181728963992129</v>
      </c>
      <c r="G207" s="26">
        <f t="shared" si="23"/>
        <v>0</v>
      </c>
      <c r="H207" s="26">
        <f t="shared" si="23"/>
        <v>0.82181728963992129</v>
      </c>
      <c r="I207" s="26">
        <f>IF(F$320=0,0,SUM(F$17:F207)/F$320)</f>
        <v>0.60736851291357385</v>
      </c>
      <c r="J207" s="26">
        <f>IF(G$320=0,0,SUM(G$17:G207)/G$320)</f>
        <v>0</v>
      </c>
      <c r="K207" s="26">
        <f>SUM(H$17:H207)/H$320</f>
        <v>0.60736851291357385</v>
      </c>
      <c r="L207" s="26"/>
      <c r="M207" s="26"/>
      <c r="N207" s="27">
        <f t="shared" si="24"/>
        <v>0.80982517433610957</v>
      </c>
      <c r="O207" s="27">
        <f t="shared" si="25"/>
        <v>0</v>
      </c>
      <c r="P207" s="26">
        <f t="shared" si="26"/>
        <v>0.80982517433610957</v>
      </c>
      <c r="Q207" s="26">
        <f>IF(N$320=0,0,SUM(N$17:N207)/N$320)</f>
        <v>0.60345265106195078</v>
      </c>
      <c r="R207" s="26">
        <f>IF(O$320=0,0,SUM(O$17:O207)/O$320)</f>
        <v>0</v>
      </c>
      <c r="S207" s="26">
        <f>SUM(P$17:P207)/P$320</f>
        <v>0.60345265106195078</v>
      </c>
    </row>
    <row r="208" spans="1:19" x14ac:dyDescent="0.4">
      <c r="A208" s="6">
        <f t="shared" si="20"/>
        <v>39.365724721782549</v>
      </c>
      <c r="B208" s="25">
        <f t="shared" si="29"/>
        <v>0.59182461565384048</v>
      </c>
      <c r="C208" s="25">
        <f t="shared" si="29"/>
        <v>0</v>
      </c>
      <c r="D208" s="27">
        <f t="shared" si="22"/>
        <v>0.59182461565384048</v>
      </c>
      <c r="E208" s="27"/>
      <c r="F208" s="26">
        <f t="shared" si="23"/>
        <v>0.81727658017307925</v>
      </c>
      <c r="G208" s="26">
        <f t="shared" si="23"/>
        <v>0</v>
      </c>
      <c r="H208" s="26">
        <f t="shared" si="23"/>
        <v>0.81727658017307925</v>
      </c>
      <c r="I208" s="26">
        <f>IF(F$320=0,0,SUM(F$17:F208)/F$320)</f>
        <v>0.61544098816836013</v>
      </c>
      <c r="J208" s="26">
        <f>IF(G$320=0,0,SUM(G$17:G208)/G$320)</f>
        <v>0</v>
      </c>
      <c r="K208" s="26">
        <f>SUM(H$17:H208)/H$320</f>
        <v>0.61544098816836013</v>
      </c>
      <c r="L208" s="26"/>
      <c r="M208" s="26"/>
      <c r="N208" s="27">
        <f t="shared" si="24"/>
        <v>0.80552701261034088</v>
      </c>
      <c r="O208" s="27">
        <f t="shared" si="25"/>
        <v>0</v>
      </c>
      <c r="P208" s="26">
        <f t="shared" si="26"/>
        <v>0.80552701261034088</v>
      </c>
      <c r="Q208" s="26">
        <f>IF(N$320=0,0,SUM(N$17:N208)/N$320)</f>
        <v>0.61154839993240639</v>
      </c>
      <c r="R208" s="26">
        <f>IF(O$320=0,0,SUM(O$17:O208)/O$320)</f>
        <v>0</v>
      </c>
      <c r="S208" s="26">
        <f>SUM(P$17:P208)/P$320</f>
        <v>0.61154839993240639</v>
      </c>
    </row>
    <row r="209" spans="1:19" x14ac:dyDescent="0.4">
      <c r="A209" s="6">
        <f t="shared" si="20"/>
        <v>40.746668600350631</v>
      </c>
      <c r="B209" s="25">
        <f t="shared" si="29"/>
        <v>0.56835934715136893</v>
      </c>
      <c r="C209" s="25">
        <f t="shared" si="29"/>
        <v>0</v>
      </c>
      <c r="D209" s="27">
        <f t="shared" si="22"/>
        <v>0.56835934715136893</v>
      </c>
      <c r="E209" s="27"/>
      <c r="F209" s="26">
        <f t="shared" si="23"/>
        <v>0.81240556917212614</v>
      </c>
      <c r="G209" s="26">
        <f t="shared" si="23"/>
        <v>0</v>
      </c>
      <c r="H209" s="26">
        <f t="shared" si="23"/>
        <v>0.81240556917212614</v>
      </c>
      <c r="I209" s="26">
        <f>IF(F$320=0,0,SUM(F$17:F209)/F$320)</f>
        <v>0.62346535105002221</v>
      </c>
      <c r="J209" s="26">
        <f>IF(G$320=0,0,SUM(G$17:G209)/G$320)</f>
        <v>0</v>
      </c>
      <c r="K209" s="26">
        <f>SUM(H$17:H209)/H$320</f>
        <v>0.62346535105002221</v>
      </c>
      <c r="L209" s="26"/>
      <c r="M209" s="26"/>
      <c r="N209" s="27">
        <f t="shared" si="24"/>
        <v>0.80090131891777938</v>
      </c>
      <c r="O209" s="27">
        <f t="shared" si="25"/>
        <v>0</v>
      </c>
      <c r="P209" s="26">
        <f t="shared" si="26"/>
        <v>0.80090131891777938</v>
      </c>
      <c r="Q209" s="26">
        <f>IF(N$320=0,0,SUM(N$17:N209)/N$320)</f>
        <v>0.61959765941901723</v>
      </c>
      <c r="R209" s="26">
        <f>IF(O$320=0,0,SUM(O$17:O209)/O$320)</f>
        <v>0</v>
      </c>
      <c r="S209" s="26">
        <f>SUM(P$17:P209)/P$320</f>
        <v>0.61959765941901723</v>
      </c>
    </row>
    <row r="210" spans="1:19" x14ac:dyDescent="0.4">
      <c r="A210" s="6">
        <f t="shared" ref="A210:A273" si="30">10^((LOG(A$318)-LOG(A$17))/301+LOG(A209))</f>
        <v>42.176055788656626</v>
      </c>
      <c r="B210" s="25">
        <f t="shared" ref="B210:C225" si="31">C$4*EXP(-0.5*(LN($A210)-LN(C$5))^2/(LN(C$6))^2)/($A210*SQRT(2*PI())*LN(C$6))</f>
        <v>0.54558578508323363</v>
      </c>
      <c r="C210" s="25">
        <f t="shared" si="31"/>
        <v>0</v>
      </c>
      <c r="D210" s="27">
        <f t="shared" ref="D210:D273" si="32">B210+C210</f>
        <v>0.54558578508323363</v>
      </c>
      <c r="E210" s="27"/>
      <c r="F210" s="26">
        <f t="shared" ref="F210:H273" si="33">B210*($A211-$A210)</f>
        <v>0.80721047237791443</v>
      </c>
      <c r="G210" s="26">
        <f t="shared" si="33"/>
        <v>0</v>
      </c>
      <c r="H210" s="26">
        <f t="shared" si="33"/>
        <v>0.80721047237791443</v>
      </c>
      <c r="I210" s="26">
        <f>IF(F$320=0,0,SUM(F$17:F210)/F$320)</f>
        <v>0.63143840047020139</v>
      </c>
      <c r="J210" s="26">
        <f>IF(G$320=0,0,SUM(G$17:G210)/G$320)</f>
        <v>0</v>
      </c>
      <c r="K210" s="26">
        <f>SUM(H$17:H210)/H$320</f>
        <v>0.63143840047020139</v>
      </c>
      <c r="L210" s="26"/>
      <c r="M210" s="26"/>
      <c r="N210" s="27">
        <f t="shared" ref="N210:N273" si="34">C$4*((NORMDIST(LN($A210),LN(C$5),LN(C$6),TRUE))-(NORMDIST(LN($A209),LN(C$5),LN(C$6),TRUE)))</f>
        <v>0.79595400761525159</v>
      </c>
      <c r="O210" s="27">
        <f t="shared" ref="O210:O273" si="35">D$4*((NORMDIST(LN($A210),LN(D$5),LN(D$6),TRUE))-(NORMDIST(LN($A209),LN(D$5),LN(D$6),TRUE)))</f>
        <v>0</v>
      </c>
      <c r="P210" s="26">
        <f t="shared" ref="P210:P273" si="36">N210+O210</f>
        <v>0.79595400761525159</v>
      </c>
      <c r="Q210" s="26">
        <f>IF(N$320=0,0,SUM(N$17:N210)/N$320)</f>
        <v>0.62759719718399465</v>
      </c>
      <c r="R210" s="26">
        <f>IF(O$320=0,0,SUM(O$17:O210)/O$320)</f>
        <v>0</v>
      </c>
      <c r="S210" s="26">
        <f>SUM(P$17:P210)/P$320</f>
        <v>0.62759719718399465</v>
      </c>
    </row>
    <row r="211" spans="1:19" x14ac:dyDescent="0.4">
      <c r="A211" s="6">
        <f t="shared" si="30"/>
        <v>43.655585670936766</v>
      </c>
      <c r="B211" s="25">
        <f t="shared" si="31"/>
        <v>0.52349573054083476</v>
      </c>
      <c r="C211" s="25">
        <f t="shared" si="31"/>
        <v>0</v>
      </c>
      <c r="D211" s="27">
        <f t="shared" si="32"/>
        <v>0.52349573054083476</v>
      </c>
      <c r="E211" s="27"/>
      <c r="F211" s="26">
        <f t="shared" si="33"/>
        <v>0.80169789094026145</v>
      </c>
      <c r="G211" s="26">
        <f t="shared" si="33"/>
        <v>0</v>
      </c>
      <c r="H211" s="26">
        <f t="shared" si="33"/>
        <v>0.80169789094026145</v>
      </c>
      <c r="I211" s="26">
        <f>IF(F$320=0,0,SUM(F$17:F211)/F$320)</f>
        <v>0.63935700054198985</v>
      </c>
      <c r="J211" s="26">
        <f>IF(G$320=0,0,SUM(G$17:G211)/G$320)</f>
        <v>0</v>
      </c>
      <c r="K211" s="26">
        <f>SUM(H$17:H211)/H$320</f>
        <v>0.63935700054198985</v>
      </c>
      <c r="L211" s="26"/>
      <c r="M211" s="26"/>
      <c r="N211" s="27">
        <f t="shared" si="34"/>
        <v>0.79069137841981663</v>
      </c>
      <c r="O211" s="27">
        <f t="shared" si="35"/>
        <v>0</v>
      </c>
      <c r="P211" s="26">
        <f t="shared" si="36"/>
        <v>0.79069137841981663</v>
      </c>
      <c r="Q211" s="26">
        <f>IF(N$320=0,0,SUM(N$17:N211)/N$320)</f>
        <v>0.63554384420328924</v>
      </c>
      <c r="R211" s="26">
        <f>IF(O$320=0,0,SUM(O$17:O211)/O$320)</f>
        <v>0</v>
      </c>
      <c r="S211" s="26">
        <f>SUM(P$17:P211)/P$320</f>
        <v>0.63554384420328924</v>
      </c>
    </row>
    <row r="212" spans="1:19" x14ac:dyDescent="0.4">
      <c r="A212" s="6">
        <f t="shared" si="30"/>
        <v>45.187017245578282</v>
      </c>
      <c r="B212" s="25">
        <f t="shared" si="31"/>
        <v>0.50208043641724442</v>
      </c>
      <c r="C212" s="25">
        <f t="shared" si="31"/>
        <v>0</v>
      </c>
      <c r="D212" s="27">
        <f t="shared" si="32"/>
        <v>0.50208043641724442</v>
      </c>
      <c r="E212" s="27"/>
      <c r="F212" s="26">
        <f t="shared" si="33"/>
        <v>0.79587479744623313</v>
      </c>
      <c r="G212" s="26">
        <f t="shared" si="33"/>
        <v>0</v>
      </c>
      <c r="H212" s="26">
        <f t="shared" si="33"/>
        <v>0.79587479744623313</v>
      </c>
      <c r="I212" s="26">
        <f>IF(F$320=0,0,SUM(F$17:F212)/F$320)</f>
        <v>0.64721808424872251</v>
      </c>
      <c r="J212" s="26">
        <f>IF(G$320=0,0,SUM(G$17:G212)/G$320)</f>
        <v>0</v>
      </c>
      <c r="K212" s="26">
        <f>SUM(H$17:H212)/H$320</f>
        <v>0.64721808424872251</v>
      </c>
      <c r="L212" s="26"/>
      <c r="M212" s="26"/>
      <c r="N212" s="27">
        <f t="shared" si="34"/>
        <v>0.78512010304575552</v>
      </c>
      <c r="O212" s="27">
        <f t="shared" si="35"/>
        <v>0</v>
      </c>
      <c r="P212" s="26">
        <f t="shared" si="36"/>
        <v>0.78512010304575552</v>
      </c>
      <c r="Q212" s="26">
        <f>IF(N$320=0,0,SUM(N$17:N212)/N$320)</f>
        <v>0.64343449850525658</v>
      </c>
      <c r="R212" s="26">
        <f>IF(O$320=0,0,SUM(O$17:O212)/O$320)</f>
        <v>0</v>
      </c>
      <c r="S212" s="26">
        <f>SUM(P$17:P212)/P$320</f>
        <v>0.64343449850525658</v>
      </c>
    </row>
    <row r="213" spans="1:19" x14ac:dyDescent="0.4">
      <c r="A213" s="6">
        <f t="shared" si="30"/>
        <v>46.772171216375177</v>
      </c>
      <c r="B213" s="25">
        <f t="shared" si="31"/>
        <v>0.48133064458554958</v>
      </c>
      <c r="C213" s="25">
        <f t="shared" si="31"/>
        <v>0</v>
      </c>
      <c r="D213" s="27">
        <f t="shared" si="32"/>
        <v>0.48133064458554958</v>
      </c>
      <c r="E213" s="27"/>
      <c r="F213" s="26">
        <f t="shared" si="33"/>
        <v>0.789748521231453</v>
      </c>
      <c r="G213" s="26">
        <f t="shared" si="33"/>
        <v>0</v>
      </c>
      <c r="H213" s="26">
        <f t="shared" si="33"/>
        <v>0.789748521231453</v>
      </c>
      <c r="I213" s="26">
        <f>IF(F$320=0,0,SUM(F$17:F213)/F$320)</f>
        <v>0.65501865696768491</v>
      </c>
      <c r="J213" s="26">
        <f>IF(G$320=0,0,SUM(G$17:G213)/G$320)</f>
        <v>0</v>
      </c>
      <c r="K213" s="26">
        <f>SUM(H$17:H213)/H$320</f>
        <v>0.65501865696768491</v>
      </c>
      <c r="L213" s="26"/>
      <c r="M213" s="26"/>
      <c r="N213" s="27">
        <f t="shared" si="34"/>
        <v>0.77924721111669593</v>
      </c>
      <c r="O213" s="27">
        <f t="shared" si="35"/>
        <v>0</v>
      </c>
      <c r="P213" s="26">
        <f t="shared" si="36"/>
        <v>0.77924721111669593</v>
      </c>
      <c r="Q213" s="26">
        <f>IF(N$320=0,0,SUM(N$17:N213)/N$320)</f>
        <v>0.65126612876773593</v>
      </c>
      <c r="R213" s="26">
        <f>IF(O$320=0,0,SUM(O$17:O213)/O$320)</f>
        <v>0</v>
      </c>
      <c r="S213" s="26">
        <f>SUM(P$17:P213)/P$320</f>
        <v>0.65126612876773593</v>
      </c>
    </row>
    <row r="214" spans="1:19" x14ac:dyDescent="0.4">
      <c r="A214" s="6">
        <f t="shared" si="30"/>
        <v>48.412932157144837</v>
      </c>
      <c r="B214" s="25">
        <f t="shared" si="31"/>
        <v>0.46123662265852483</v>
      </c>
      <c r="C214" s="25">
        <f t="shared" si="31"/>
        <v>0</v>
      </c>
      <c r="D214" s="27">
        <f t="shared" si="32"/>
        <v>0.46123662265852483</v>
      </c>
      <c r="E214" s="27"/>
      <c r="F214" s="26">
        <f t="shared" si="33"/>
        <v>0.78332673301790345</v>
      </c>
      <c r="G214" s="26">
        <f t="shared" si="33"/>
        <v>0</v>
      </c>
      <c r="H214" s="26">
        <f t="shared" si="33"/>
        <v>0.78332673301790345</v>
      </c>
      <c r="I214" s="26">
        <f>IF(F$320=0,0,SUM(F$17:F214)/F$320)</f>
        <v>0.66275579984208421</v>
      </c>
      <c r="J214" s="26">
        <f>IF(G$320=0,0,SUM(G$17:G214)/G$320)</f>
        <v>0</v>
      </c>
      <c r="K214" s="26">
        <f>SUM(H$17:H214)/H$320</f>
        <v>0.66275579984208421</v>
      </c>
      <c r="L214" s="26"/>
      <c r="M214" s="26"/>
      <c r="N214" s="27">
        <f t="shared" si="34"/>
        <v>0.77308007539388379</v>
      </c>
      <c r="O214" s="27">
        <f t="shared" si="35"/>
        <v>0</v>
      </c>
      <c r="P214" s="26">
        <f t="shared" si="36"/>
        <v>0.77308007539388379</v>
      </c>
      <c r="Q214" s="26">
        <f>IF(N$320=0,0,SUM(N$17:N214)/N$320)</f>
        <v>0.65903577776666944</v>
      </c>
      <c r="R214" s="26">
        <f>IF(O$320=0,0,SUM(O$17:O214)/O$320)</f>
        <v>0</v>
      </c>
      <c r="S214" s="26">
        <f>SUM(P$17:P214)/P$320</f>
        <v>0.65903577776666944</v>
      </c>
    </row>
    <row r="215" spans="1:19" x14ac:dyDescent="0.4">
      <c r="A215" s="6">
        <f t="shared" si="30"/>
        <v>50.111250752279112</v>
      </c>
      <c r="B215" s="25">
        <f t="shared" si="31"/>
        <v>0.44178820025232607</v>
      </c>
      <c r="C215" s="25">
        <f t="shared" si="31"/>
        <v>0</v>
      </c>
      <c r="D215" s="27">
        <f t="shared" si="32"/>
        <v>0.44178820025232607</v>
      </c>
      <c r="E215" s="27"/>
      <c r="F215" s="26">
        <f t="shared" si="33"/>
        <v>0.77661742892320296</v>
      </c>
      <c r="G215" s="26">
        <f t="shared" si="33"/>
        <v>0</v>
      </c>
      <c r="H215" s="26">
        <f t="shared" si="33"/>
        <v>0.77661742892320296</v>
      </c>
      <c r="I215" s="26">
        <f>IF(F$320=0,0,SUM(F$17:F215)/F$320)</f>
        <v>0.67042667299507552</v>
      </c>
      <c r="J215" s="26">
        <f>IF(G$320=0,0,SUM(G$17:G215)/G$320)</f>
        <v>0</v>
      </c>
      <c r="K215" s="26">
        <f>SUM(H$17:H215)/H$320</f>
        <v>0.67042667299507552</v>
      </c>
      <c r="L215" s="26"/>
      <c r="M215" s="26"/>
      <c r="N215" s="27">
        <f t="shared" si="34"/>
        <v>0.76662639636482233</v>
      </c>
      <c r="O215" s="27">
        <f t="shared" si="35"/>
        <v>0</v>
      </c>
      <c r="P215" s="26">
        <f t="shared" si="36"/>
        <v>0.76662639636482233</v>
      </c>
      <c r="Q215" s="26">
        <f>IF(N$320=0,0,SUM(N$17:N215)/N$320)</f>
        <v>0.66674056566983353</v>
      </c>
      <c r="R215" s="26">
        <f>IF(O$320=0,0,SUM(O$17:O215)/O$320)</f>
        <v>0</v>
      </c>
      <c r="S215" s="26">
        <f>SUM(P$17:P215)/P$320</f>
        <v>0.66674056566983353</v>
      </c>
    </row>
    <row r="216" spans="1:19" x14ac:dyDescent="0.4">
      <c r="A216" s="6">
        <f t="shared" si="30"/>
        <v>51.869146115893713</v>
      </c>
      <c r="B216" s="25">
        <f t="shared" si="31"/>
        <v>0.42297480468155857</v>
      </c>
      <c r="C216" s="25">
        <f t="shared" si="31"/>
        <v>0</v>
      </c>
      <c r="D216" s="27">
        <f t="shared" si="32"/>
        <v>0.42297480468155857</v>
      </c>
      <c r="E216" s="27"/>
      <c r="F216" s="26">
        <f t="shared" si="33"/>
        <v>0.76962891388780164</v>
      </c>
      <c r="G216" s="26">
        <f t="shared" si="33"/>
        <v>0</v>
      </c>
      <c r="H216" s="26">
        <f t="shared" si="33"/>
        <v>0.76962891388780164</v>
      </c>
      <c r="I216" s="26">
        <f>IF(F$320=0,0,SUM(F$17:F216)/F$320)</f>
        <v>0.6780285185800935</v>
      </c>
      <c r="J216" s="26">
        <f>IF(G$320=0,0,SUM(G$17:G216)/G$320)</f>
        <v>0</v>
      </c>
      <c r="K216" s="26">
        <f>SUM(H$17:H216)/H$320</f>
        <v>0.6780285185800935</v>
      </c>
      <c r="L216" s="26"/>
      <c r="M216" s="26"/>
      <c r="N216" s="27">
        <f t="shared" si="34"/>
        <v>0.75989418623658711</v>
      </c>
      <c r="O216" s="27">
        <f t="shared" si="35"/>
        <v>0</v>
      </c>
      <c r="P216" s="26">
        <f t="shared" si="36"/>
        <v>0.75989418623658711</v>
      </c>
      <c r="Q216" s="26">
        <f>IF(N$320=0,0,SUM(N$17:N216)/N$320)</f>
        <v>0.67437769316969876</v>
      </c>
      <c r="R216" s="26">
        <f>IF(O$320=0,0,SUM(O$17:O216)/O$320)</f>
        <v>0</v>
      </c>
      <c r="S216" s="26">
        <f>SUM(P$17:P216)/P$320</f>
        <v>0.67437769316969876</v>
      </c>
    </row>
    <row r="217" spans="1:19" x14ac:dyDescent="0.4">
      <c r="A217" s="6">
        <f t="shared" si="30"/>
        <v>53.688708192332818</v>
      </c>
      <c r="B217" s="25">
        <f t="shared" si="31"/>
        <v>0.40478549601780117</v>
      </c>
      <c r="C217" s="25">
        <f t="shared" si="31"/>
        <v>0</v>
      </c>
      <c r="D217" s="27">
        <f t="shared" si="32"/>
        <v>0.40478549601780117</v>
      </c>
      <c r="E217" s="27"/>
      <c r="F217" s="26">
        <f t="shared" si="33"/>
        <v>0.76236978456846416</v>
      </c>
      <c r="G217" s="26">
        <f t="shared" si="33"/>
        <v>0</v>
      </c>
      <c r="H217" s="26">
        <f t="shared" si="33"/>
        <v>0.76236978456846416</v>
      </c>
      <c r="I217" s="26">
        <f>IF(F$320=0,0,SUM(F$17:F217)/F$320)</f>
        <v>0.68555866366221774</v>
      </c>
      <c r="J217" s="26">
        <f>IF(G$320=0,0,SUM(G$17:G217)/G$320)</f>
        <v>0</v>
      </c>
      <c r="K217" s="26">
        <f>SUM(H$17:H217)/H$320</f>
        <v>0.68555866366221774</v>
      </c>
      <c r="L217" s="26"/>
      <c r="M217" s="26"/>
      <c r="N217" s="27">
        <f t="shared" si="34"/>
        <v>0.7528917523809131</v>
      </c>
      <c r="O217" s="27">
        <f t="shared" si="35"/>
        <v>0</v>
      </c>
      <c r="P217" s="26">
        <f t="shared" si="36"/>
        <v>0.7528917523809131</v>
      </c>
      <c r="Q217" s="26">
        <f>IF(N$320=0,0,SUM(N$17:N217)/N$320)</f>
        <v>0.68194444444990898</v>
      </c>
      <c r="R217" s="26">
        <f>IF(O$320=0,0,SUM(O$17:O217)/O$320)</f>
        <v>0</v>
      </c>
      <c r="S217" s="26">
        <f>SUM(P$17:P217)/P$320</f>
        <v>0.68194444444990898</v>
      </c>
    </row>
    <row r="218" spans="1:19" x14ac:dyDescent="0.4">
      <c r="A218" s="6">
        <f t="shared" si="30"/>
        <v>55.572100240883238</v>
      </c>
      <c r="B218" s="25">
        <f t="shared" si="31"/>
        <v>0.38720900144841131</v>
      </c>
      <c r="C218" s="25">
        <f t="shared" si="31"/>
        <v>0</v>
      </c>
      <c r="D218" s="27">
        <f t="shared" si="32"/>
        <v>0.38720900144841131</v>
      </c>
      <c r="E218" s="27"/>
      <c r="F218" s="26">
        <f t="shared" si="33"/>
        <v>0.7548489117469438</v>
      </c>
      <c r="G218" s="26">
        <f t="shared" si="33"/>
        <v>0</v>
      </c>
      <c r="H218" s="26">
        <f t="shared" si="33"/>
        <v>0.7548489117469438</v>
      </c>
      <c r="I218" s="26">
        <f>IF(F$320=0,0,SUM(F$17:F218)/F$320)</f>
        <v>0.69301452292578447</v>
      </c>
      <c r="J218" s="26">
        <f>IF(G$320=0,0,SUM(G$17:G218)/G$320)</f>
        <v>0</v>
      </c>
      <c r="K218" s="26">
        <f>SUM(H$17:H218)/H$320</f>
        <v>0.69301452292578447</v>
      </c>
      <c r="L218" s="26"/>
      <c r="M218" s="26"/>
      <c r="N218" s="27">
        <f t="shared" si="34"/>
        <v>0.74562768027852666</v>
      </c>
      <c r="O218" s="27">
        <f t="shared" si="35"/>
        <v>0</v>
      </c>
      <c r="P218" s="26">
        <f t="shared" si="36"/>
        <v>0.74562768027852666</v>
      </c>
      <c r="Q218" s="26">
        <f>IF(N$320=0,0,SUM(N$17:N218)/N$320)</f>
        <v>0.68943818998034645</v>
      </c>
      <c r="R218" s="26">
        <f>IF(O$320=0,0,SUM(O$17:O218)/O$320)</f>
        <v>0</v>
      </c>
      <c r="S218" s="26">
        <f>SUM(P$17:P218)/P$320</f>
        <v>0.68943818998034645</v>
      </c>
    </row>
    <row r="219" spans="1:19" x14ac:dyDescent="0.4">
      <c r="A219" s="6">
        <f t="shared" si="30"/>
        <v>57.521561407651888</v>
      </c>
      <c r="B219" s="25">
        <f t="shared" si="31"/>
        <v>0.3702337488772196</v>
      </c>
      <c r="C219" s="25">
        <f t="shared" si="31"/>
        <v>0</v>
      </c>
      <c r="D219" s="27">
        <f t="shared" si="32"/>
        <v>0.3702337488772196</v>
      </c>
      <c r="E219" s="27"/>
      <c r="F219" s="26">
        <f t="shared" si="33"/>
        <v>0.74707542230433344</v>
      </c>
      <c r="G219" s="26">
        <f t="shared" si="33"/>
        <v>0</v>
      </c>
      <c r="H219" s="26">
        <f t="shared" si="33"/>
        <v>0.74707542230433344</v>
      </c>
      <c r="I219" s="26">
        <f>IF(F$320=0,0,SUM(F$17:F219)/F$320)</f>
        <v>0.70039360120395266</v>
      </c>
      <c r="J219" s="26">
        <f>IF(G$320=0,0,SUM(G$17:G219)/G$320)</f>
        <v>0</v>
      </c>
      <c r="K219" s="26">
        <f>SUM(H$17:H219)/H$320</f>
        <v>0.70039360120395266</v>
      </c>
      <c r="L219" s="26"/>
      <c r="M219" s="26"/>
      <c r="N219" s="27">
        <f t="shared" si="34"/>
        <v>0.73811081601165007</v>
      </c>
      <c r="O219" s="27">
        <f t="shared" si="35"/>
        <v>0</v>
      </c>
      <c r="P219" s="26">
        <f t="shared" si="36"/>
        <v>0.73811081601165007</v>
      </c>
      <c r="Q219" s="26">
        <f>IF(N$320=0,0,SUM(N$17:N219)/N$320)</f>
        <v>0.69685638913624248</v>
      </c>
      <c r="R219" s="26">
        <f>IF(O$320=0,0,SUM(O$17:O219)/O$320)</f>
        <v>0</v>
      </c>
      <c r="S219" s="26">
        <f>SUM(P$17:P219)/P$320</f>
        <v>0.69685638913624248</v>
      </c>
    </row>
    <row r="220" spans="1:19" x14ac:dyDescent="0.4">
      <c r="A220" s="6">
        <f t="shared" si="30"/>
        <v>59.539409387664335</v>
      </c>
      <c r="B220" s="25">
        <f t="shared" si="31"/>
        <v>0.35384789971348357</v>
      </c>
      <c r="C220" s="25">
        <f t="shared" si="31"/>
        <v>0</v>
      </c>
      <c r="D220" s="27">
        <f t="shared" si="32"/>
        <v>0.35384789971348357</v>
      </c>
      <c r="E220" s="27"/>
      <c r="F220" s="26">
        <f t="shared" si="33"/>
        <v>0.73905868081223058</v>
      </c>
      <c r="G220" s="26">
        <f t="shared" si="33"/>
        <v>0</v>
      </c>
      <c r="H220" s="26">
        <f t="shared" si="33"/>
        <v>0.73905868081223058</v>
      </c>
      <c r="I220" s="26">
        <f>IF(F$320=0,0,SUM(F$17:F220)/F$320)</f>
        <v>0.7076934958264417</v>
      </c>
      <c r="J220" s="26">
        <f>IF(G$320=0,0,SUM(G$17:G220)/G$320)</f>
        <v>0</v>
      </c>
      <c r="K220" s="26">
        <f>SUM(H$17:H220)/H$320</f>
        <v>0.7076934958264417</v>
      </c>
      <c r="L220" s="26"/>
      <c r="M220" s="26"/>
      <c r="N220" s="27">
        <f t="shared" si="34"/>
        <v>0.73035024835493845</v>
      </c>
      <c r="O220" s="27">
        <f t="shared" si="35"/>
        <v>0</v>
      </c>
      <c r="P220" s="26">
        <f t="shared" si="36"/>
        <v>0.73035024835493845</v>
      </c>
      <c r="Q220" s="26">
        <f>IF(N$320=0,0,SUM(N$17:N220)/N$320)</f>
        <v>0.70419659263729717</v>
      </c>
      <c r="R220" s="26">
        <f>IF(O$320=0,0,SUM(O$17:O220)/O$320)</f>
        <v>0</v>
      </c>
      <c r="S220" s="26">
        <f>SUM(P$17:P220)/P$320</f>
        <v>0.70419659263729717</v>
      </c>
    </row>
    <row r="221" spans="1:19" x14ac:dyDescent="0.4">
      <c r="A221" s="6">
        <f t="shared" si="30"/>
        <v>61.628043180349437</v>
      </c>
      <c r="B221" s="25">
        <f t="shared" si="31"/>
        <v>0.33803938080021634</v>
      </c>
      <c r="C221" s="25">
        <f t="shared" si="31"/>
        <v>0</v>
      </c>
      <c r="D221" s="27">
        <f t="shared" si="32"/>
        <v>0.33803938080021634</v>
      </c>
      <c r="E221" s="27"/>
      <c r="F221" s="26">
        <f t="shared" si="33"/>
        <v>0.73080827079245847</v>
      </c>
      <c r="G221" s="26">
        <f t="shared" si="33"/>
        <v>0</v>
      </c>
      <c r="H221" s="26">
        <f t="shared" si="33"/>
        <v>0.73080827079245847</v>
      </c>
      <c r="I221" s="26">
        <f>IF(F$320=0,0,SUM(F$17:F221)/F$320)</f>
        <v>0.71491189878216566</v>
      </c>
      <c r="J221" s="26">
        <f>IF(G$320=0,0,SUM(G$17:G221)/G$320)</f>
        <v>0</v>
      </c>
      <c r="K221" s="26">
        <f>SUM(H$17:H221)/H$320</f>
        <v>0.71491189878216566</v>
      </c>
      <c r="L221" s="26"/>
      <c r="M221" s="26"/>
      <c r="N221" s="27">
        <f t="shared" si="34"/>
        <v>0.72235529051495329</v>
      </c>
      <c r="O221" s="27">
        <f t="shared" si="35"/>
        <v>0</v>
      </c>
      <c r="P221" s="26">
        <f t="shared" si="36"/>
        <v>0.72235529051495329</v>
      </c>
      <c r="Q221" s="26">
        <f>IF(N$320=0,0,SUM(N$17:N221)/N$320)</f>
        <v>0.71145644480327663</v>
      </c>
      <c r="R221" s="26">
        <f>IF(O$320=0,0,SUM(O$17:O221)/O$320)</f>
        <v>0</v>
      </c>
      <c r="S221" s="26">
        <f>SUM(P$17:P221)/P$320</f>
        <v>0.71145644480327663</v>
      </c>
    </row>
    <row r="222" spans="1:19" x14ac:dyDescent="0.4">
      <c r="A222" s="6">
        <f t="shared" si="30"/>
        <v>63.789945941685907</v>
      </c>
      <c r="B222" s="25">
        <f t="shared" si="31"/>
        <v>0.32279591543772024</v>
      </c>
      <c r="C222" s="25">
        <f t="shared" si="31"/>
        <v>0</v>
      </c>
      <c r="D222" s="27">
        <f t="shared" si="32"/>
        <v>0.32279591543772024</v>
      </c>
      <c r="E222" s="27"/>
      <c r="F222" s="26">
        <f t="shared" si="33"/>
        <v>0.72233397569776181</v>
      </c>
      <c r="G222" s="26">
        <f t="shared" si="33"/>
        <v>0</v>
      </c>
      <c r="H222" s="26">
        <f t="shared" si="33"/>
        <v>0.72233397569776181</v>
      </c>
      <c r="I222" s="26">
        <f>IF(F$320=0,0,SUM(F$17:F222)/F$320)</f>
        <v>0.72204659869400789</v>
      </c>
      <c r="J222" s="26">
        <f>IF(G$320=0,0,SUM(G$17:G222)/G$320)</f>
        <v>0</v>
      </c>
      <c r="K222" s="26">
        <f>SUM(H$17:H222)/H$320</f>
        <v>0.72204659869400789</v>
      </c>
      <c r="L222" s="26"/>
      <c r="M222" s="26"/>
      <c r="N222" s="27">
        <f t="shared" si="34"/>
        <v>0.71413546156963159</v>
      </c>
      <c r="O222" s="27">
        <f t="shared" si="35"/>
        <v>0</v>
      </c>
      <c r="P222" s="26">
        <f t="shared" si="36"/>
        <v>0.71413546156963159</v>
      </c>
      <c r="Q222" s="26">
        <f>IF(N$320=0,0,SUM(N$17:N222)/N$320)</f>
        <v>0.71863368562307184</v>
      </c>
      <c r="R222" s="26">
        <f>IF(O$320=0,0,SUM(O$17:O222)/O$320)</f>
        <v>0</v>
      </c>
      <c r="S222" s="26">
        <f>SUM(P$17:P222)/P$320</f>
        <v>0.71863368562307184</v>
      </c>
    </row>
    <row r="223" spans="1:19" x14ac:dyDescent="0.4">
      <c r="A223" s="6">
        <f t="shared" si="30"/>
        <v>66.027687936401847</v>
      </c>
      <c r="B223" s="25">
        <f t="shared" si="31"/>
        <v>0.30810505346279932</v>
      </c>
      <c r="C223" s="25">
        <f t="shared" si="31"/>
        <v>0</v>
      </c>
      <c r="D223" s="27">
        <f t="shared" si="32"/>
        <v>0.30810505346279932</v>
      </c>
      <c r="E223" s="27"/>
      <c r="F223" s="26">
        <f t="shared" si="33"/>
        <v>0.71364575966598454</v>
      </c>
      <c r="G223" s="26">
        <f t="shared" si="33"/>
        <v>0</v>
      </c>
      <c r="H223" s="26">
        <f t="shared" si="33"/>
        <v>0.71364575966598454</v>
      </c>
      <c r="I223" s="26">
        <f>IF(F$320=0,0,SUM(F$17:F223)/F$320)</f>
        <v>0.72909548260349999</v>
      </c>
      <c r="J223" s="26">
        <f>IF(G$320=0,0,SUM(G$17:G223)/G$320)</f>
        <v>0</v>
      </c>
      <c r="K223" s="26">
        <f>SUM(H$17:H223)/H$320</f>
        <v>0.72909548260349999</v>
      </c>
      <c r="L223" s="26"/>
      <c r="M223" s="26"/>
      <c r="N223" s="27">
        <f t="shared" si="34"/>
        <v>0.7057004676594425</v>
      </c>
      <c r="O223" s="27">
        <f t="shared" si="35"/>
        <v>0</v>
      </c>
      <c r="P223" s="26">
        <f t="shared" si="36"/>
        <v>0.7057004676594425</v>
      </c>
      <c r="Q223" s="26">
        <f>IF(N$320=0,0,SUM(N$17:N223)/N$320)</f>
        <v>0.72572615263472451</v>
      </c>
      <c r="R223" s="26">
        <f>IF(O$320=0,0,SUM(O$17:O223)/O$320)</f>
        <v>0</v>
      </c>
      <c r="S223" s="26">
        <f>SUM(P$17:P223)/P$320</f>
        <v>0.72572615263472451</v>
      </c>
    </row>
    <row r="224" spans="1:19" x14ac:dyDescent="0.4">
      <c r="A224" s="6">
        <f t="shared" si="30"/>
        <v>68.343929593736917</v>
      </c>
      <c r="B224" s="25">
        <f t="shared" si="31"/>
        <v>0.29395420034871345</v>
      </c>
      <c r="C224" s="25">
        <f t="shared" si="31"/>
        <v>0</v>
      </c>
      <c r="D224" s="27">
        <f t="shared" si="32"/>
        <v>0.29395420034871345</v>
      </c>
      <c r="E224" s="27"/>
      <c r="F224" s="26">
        <f t="shared" si="33"/>
        <v>0.7047537481005558</v>
      </c>
      <c r="G224" s="26">
        <f t="shared" si="33"/>
        <v>0</v>
      </c>
      <c r="H224" s="26">
        <f t="shared" si="33"/>
        <v>0.7047537481005558</v>
      </c>
      <c r="I224" s="26">
        <f>IF(F$320=0,0,SUM(F$17:F224)/F$320)</f>
        <v>0.73605653756368838</v>
      </c>
      <c r="J224" s="26">
        <f>IF(G$320=0,0,SUM(G$17:G224)/G$320)</f>
        <v>0</v>
      </c>
      <c r="K224" s="26">
        <f>SUM(H$17:H224)/H$320</f>
        <v>0.73605653756368838</v>
      </c>
      <c r="L224" s="26"/>
      <c r="M224" s="26"/>
      <c r="N224" s="27">
        <f t="shared" si="34"/>
        <v>0.69706018298165695</v>
      </c>
      <c r="O224" s="27">
        <f t="shared" si="35"/>
        <v>0</v>
      </c>
      <c r="P224" s="26">
        <f t="shared" si="36"/>
        <v>0.69706018298165695</v>
      </c>
      <c r="Q224" s="26">
        <f>IF(N$320=0,0,SUM(N$17:N224)/N$320)</f>
        <v>0.73273178261443961</v>
      </c>
      <c r="R224" s="26">
        <f>IF(O$320=0,0,SUM(O$17:O224)/O$320)</f>
        <v>0</v>
      </c>
      <c r="S224" s="26">
        <f>SUM(P$17:P224)/P$320</f>
        <v>0.73273178261443961</v>
      </c>
    </row>
    <row r="225" spans="1:19" x14ac:dyDescent="0.4">
      <c r="A225" s="6">
        <f t="shared" si="30"/>
        <v>70.741424670400278</v>
      </c>
      <c r="B225" s="25">
        <f t="shared" si="31"/>
        <v>0.28033064529542867</v>
      </c>
      <c r="C225" s="25">
        <f t="shared" si="31"/>
        <v>0</v>
      </c>
      <c r="D225" s="27">
        <f t="shared" si="32"/>
        <v>0.28033064529542867</v>
      </c>
      <c r="E225" s="27"/>
      <c r="F225" s="26">
        <f t="shared" si="33"/>
        <v>0.69566820812985519</v>
      </c>
      <c r="G225" s="26">
        <f t="shared" si="33"/>
        <v>0</v>
      </c>
      <c r="H225" s="26">
        <f t="shared" si="33"/>
        <v>0.69566820812985519</v>
      </c>
      <c r="I225" s="26">
        <f>IF(F$320=0,0,SUM(F$17:F225)/F$320)</f>
        <v>0.74292785203899192</v>
      </c>
      <c r="J225" s="26">
        <f>IF(G$320=0,0,SUM(G$17:G225)/G$320)</f>
        <v>0</v>
      </c>
      <c r="K225" s="26">
        <f>SUM(H$17:H225)/H$320</f>
        <v>0.74292785203899192</v>
      </c>
      <c r="L225" s="26"/>
      <c r="M225" s="26"/>
      <c r="N225" s="27">
        <f t="shared" si="34"/>
        <v>0.68822463063995531</v>
      </c>
      <c r="O225" s="27">
        <f t="shared" si="35"/>
        <v>0</v>
      </c>
      <c r="P225" s="26">
        <f t="shared" si="36"/>
        <v>0.68822463063995531</v>
      </c>
      <c r="Q225" s="26">
        <f>IF(N$320=0,0,SUM(N$17:N225)/N$320)</f>
        <v>0.73964861307313257</v>
      </c>
      <c r="R225" s="26">
        <f>IF(O$320=0,0,SUM(O$17:O225)/O$320)</f>
        <v>0</v>
      </c>
      <c r="S225" s="26">
        <f>SUM(P$17:P225)/P$320</f>
        <v>0.73964861307313257</v>
      </c>
    </row>
    <row r="226" spans="1:19" x14ac:dyDescent="0.4">
      <c r="A226" s="6">
        <f t="shared" si="30"/>
        <v>73.223023524484603</v>
      </c>
      <c r="B226" s="25">
        <f t="shared" ref="B226:C241" si="37">C$4*EXP(-0.5*(LN($A226)-LN(C$5))^2/(LN(C$6))^2)/($A226*SQRT(2*PI())*LN(C$6))</f>
        <v>0.26722158828411935</v>
      </c>
      <c r="C226" s="25">
        <f t="shared" si="37"/>
        <v>0</v>
      </c>
      <c r="D226" s="27">
        <f t="shared" si="32"/>
        <v>0.26722158828411935</v>
      </c>
      <c r="E226" s="27"/>
      <c r="F226" s="26">
        <f t="shared" si="33"/>
        <v>0.6863995289978938</v>
      </c>
      <c r="G226" s="26">
        <f t="shared" si="33"/>
        <v>0</v>
      </c>
      <c r="H226" s="26">
        <f t="shared" si="33"/>
        <v>0.6863995289978938</v>
      </c>
      <c r="I226" s="26">
        <f>IF(F$320=0,0,SUM(F$17:F226)/F$320)</f>
        <v>0.7497076171113729</v>
      </c>
      <c r="J226" s="26">
        <f>IF(G$320=0,0,SUM(G$17:G226)/G$320)</f>
        <v>0</v>
      </c>
      <c r="K226" s="26">
        <f>SUM(H$17:H226)/H$320</f>
        <v>0.7497076171113729</v>
      </c>
      <c r="L226" s="26"/>
      <c r="M226" s="26"/>
      <c r="N226" s="27">
        <f t="shared" si="34"/>
        <v>0.67920396340066524</v>
      </c>
      <c r="O226" s="27">
        <f t="shared" si="35"/>
        <v>0</v>
      </c>
      <c r="P226" s="26">
        <f t="shared" si="36"/>
        <v>0.67920396340066524</v>
      </c>
      <c r="Q226" s="26">
        <f>IF(N$320=0,0,SUM(N$17:N226)/N$320)</f>
        <v>0.74647478355957142</v>
      </c>
      <c r="R226" s="26">
        <f>IF(O$320=0,0,SUM(O$17:O226)/O$320)</f>
        <v>0</v>
      </c>
      <c r="S226" s="26">
        <f>SUM(P$17:P226)/P$320</f>
        <v>0.74647478355957142</v>
      </c>
    </row>
    <row r="227" spans="1:19" x14ac:dyDescent="0.4">
      <c r="A227" s="6">
        <f t="shared" si="30"/>
        <v>75.791676504228477</v>
      </c>
      <c r="B227" s="25">
        <f t="shared" si="37"/>
        <v>0.2546141660741621</v>
      </c>
      <c r="C227" s="25">
        <f t="shared" si="37"/>
        <v>0</v>
      </c>
      <c r="D227" s="27">
        <f t="shared" si="32"/>
        <v>0.2546141660741621</v>
      </c>
      <c r="E227" s="27"/>
      <c r="F227" s="26">
        <f t="shared" si="33"/>
        <v>0.67695820243830473</v>
      </c>
      <c r="G227" s="26">
        <f t="shared" si="33"/>
        <v>0</v>
      </c>
      <c r="H227" s="26">
        <f t="shared" si="33"/>
        <v>0.67695820243830473</v>
      </c>
      <c r="I227" s="26">
        <f>IF(F$320=0,0,SUM(F$17:F227)/F$320)</f>
        <v>0.75639412749265711</v>
      </c>
      <c r="J227" s="26">
        <f>IF(G$320=0,0,SUM(G$17:G227)/G$320)</f>
        <v>0</v>
      </c>
      <c r="K227" s="26">
        <f>SUM(H$17:H227)/H$320</f>
        <v>0.75639412749265711</v>
      </c>
      <c r="L227" s="26"/>
      <c r="M227" s="26"/>
      <c r="N227" s="27">
        <f t="shared" si="34"/>
        <v>0.67000844440704421</v>
      </c>
      <c r="O227" s="27">
        <f t="shared" si="35"/>
        <v>0</v>
      </c>
      <c r="P227" s="26">
        <f t="shared" si="36"/>
        <v>0.67000844440704421</v>
      </c>
      <c r="Q227" s="26">
        <f>IF(N$320=0,0,SUM(N$17:N227)/N$320)</f>
        <v>0.75320853676969246</v>
      </c>
      <c r="R227" s="26">
        <f>IF(O$320=0,0,SUM(O$17:O227)/O$320)</f>
        <v>0</v>
      </c>
      <c r="S227" s="26">
        <f>SUM(P$17:P227)/P$320</f>
        <v>0.75320853676969246</v>
      </c>
    </row>
    <row r="228" spans="1:19" x14ac:dyDescent="0.4">
      <c r="A228" s="6">
        <f t="shared" si="30"/>
        <v>78.450437455656157</v>
      </c>
      <c r="B228" s="25">
        <f t="shared" si="37"/>
        <v>0.24249547712502706</v>
      </c>
      <c r="C228" s="25">
        <f t="shared" si="37"/>
        <v>0</v>
      </c>
      <c r="D228" s="27">
        <f t="shared" si="32"/>
        <v>0.24249547712502706</v>
      </c>
      <c r="E228" s="27"/>
      <c r="F228" s="26">
        <f t="shared" si="33"/>
        <v>0.66735480308294226</v>
      </c>
      <c r="G228" s="26">
        <f t="shared" si="33"/>
        <v>0</v>
      </c>
      <c r="H228" s="26">
        <f t="shared" si="33"/>
        <v>0.66735480308294226</v>
      </c>
      <c r="I228" s="26">
        <f>IF(F$320=0,0,SUM(F$17:F228)/F$320)</f>
        <v>0.76298578234334302</v>
      </c>
      <c r="J228" s="26">
        <f>IF(G$320=0,0,SUM(G$17:G228)/G$320)</f>
        <v>0</v>
      </c>
      <c r="K228" s="26">
        <f>SUM(H$17:H228)/H$320</f>
        <v>0.76298578234334302</v>
      </c>
      <c r="L228" s="26"/>
      <c r="M228" s="26"/>
      <c r="N228" s="27">
        <f t="shared" si="34"/>
        <v>0.66064842790264366</v>
      </c>
      <c r="O228" s="27">
        <f t="shared" si="35"/>
        <v>0</v>
      </c>
      <c r="P228" s="26">
        <f t="shared" si="36"/>
        <v>0.66064842790264366</v>
      </c>
      <c r="Q228" s="26">
        <f>IF(N$320=0,0,SUM(N$17:N228)/N$320)</f>
        <v>0.7598482194621814</v>
      </c>
      <c r="R228" s="26">
        <f>IF(O$320=0,0,SUM(O$17:O228)/O$320)</f>
        <v>0</v>
      </c>
      <c r="S228" s="26">
        <f>SUM(P$17:P228)/P$320</f>
        <v>0.7598482194621814</v>
      </c>
    </row>
    <row r="229" spans="1:19" x14ac:dyDescent="0.4">
      <c r="A229" s="6">
        <f t="shared" si="30"/>
        <v>81.20246735326478</v>
      </c>
      <c r="B229" s="25">
        <f t="shared" si="37"/>
        <v>0.23085260542950359</v>
      </c>
      <c r="C229" s="25">
        <f t="shared" si="37"/>
        <v>0</v>
      </c>
      <c r="D229" s="27">
        <f t="shared" si="32"/>
        <v>0.23085260542950359</v>
      </c>
      <c r="E229" s="27"/>
      <c r="F229" s="26">
        <f t="shared" si="33"/>
        <v>0.65759996895572981</v>
      </c>
      <c r="G229" s="26">
        <f t="shared" si="33"/>
        <v>0</v>
      </c>
      <c r="H229" s="26">
        <f t="shared" si="33"/>
        <v>0.65759996895572981</v>
      </c>
      <c r="I229" s="26">
        <f>IF(F$320=0,0,SUM(F$17:F229)/F$320)</f>
        <v>0.76948108589874298</v>
      </c>
      <c r="J229" s="26">
        <f>IF(G$320=0,0,SUM(G$17:G229)/G$320)</f>
        <v>0</v>
      </c>
      <c r="K229" s="26">
        <f>SUM(H$17:H229)/H$320</f>
        <v>0.76948108589874298</v>
      </c>
      <c r="L229" s="26"/>
      <c r="M229" s="26"/>
      <c r="N229" s="27">
        <f t="shared" si="34"/>
        <v>0.65113434001331516</v>
      </c>
      <c r="O229" s="27">
        <f t="shared" si="35"/>
        <v>0</v>
      </c>
      <c r="P229" s="26">
        <f t="shared" si="36"/>
        <v>0.65113434001331516</v>
      </c>
      <c r="Q229" s="26">
        <f>IF(N$320=0,0,SUM(N$17:N229)/N$320)</f>
        <v>0.76639228318090813</v>
      </c>
      <c r="R229" s="26">
        <f>IF(O$320=0,0,SUM(O$17:O229)/O$320)</f>
        <v>0</v>
      </c>
      <c r="S229" s="26">
        <f>SUM(P$17:P229)/P$320</f>
        <v>0.76639228318090813</v>
      </c>
    </row>
    <row r="230" spans="1:19" x14ac:dyDescent="0.4">
      <c r="A230" s="6">
        <f t="shared" si="30"/>
        <v>84.051038058075576</v>
      </c>
      <c r="B230" s="25">
        <f t="shared" si="37"/>
        <v>0.21967264324858532</v>
      </c>
      <c r="C230" s="25">
        <f t="shared" si="37"/>
        <v>0</v>
      </c>
      <c r="D230" s="27">
        <f t="shared" si="32"/>
        <v>0.21967264324858532</v>
      </c>
      <c r="E230" s="27"/>
      <c r="F230" s="26">
        <f t="shared" si="33"/>
        <v>0.64770438210133718</v>
      </c>
      <c r="G230" s="26">
        <f t="shared" si="33"/>
        <v>0</v>
      </c>
      <c r="H230" s="26">
        <f t="shared" si="33"/>
        <v>0.64770438210133718</v>
      </c>
      <c r="I230" s="26">
        <f>IF(F$320=0,0,SUM(F$17:F230)/F$320)</f>
        <v>0.77587864790378958</v>
      </c>
      <c r="J230" s="26">
        <f>IF(G$320=0,0,SUM(G$17:G230)/G$320)</f>
        <v>0</v>
      </c>
      <c r="K230" s="26">
        <f>SUM(H$17:H230)/H$320</f>
        <v>0.77587864790378958</v>
      </c>
      <c r="L230" s="26"/>
      <c r="M230" s="26"/>
      <c r="N230" s="27">
        <f t="shared" si="34"/>
        <v>0.64147665963778522</v>
      </c>
      <c r="O230" s="27">
        <f t="shared" si="35"/>
        <v>0</v>
      </c>
      <c r="P230" s="26">
        <f t="shared" si="36"/>
        <v>0.64147665963778522</v>
      </c>
      <c r="Q230" s="26">
        <f>IF(N$320=0,0,SUM(N$17:N230)/N$320)</f>
        <v>0.77283928478530806</v>
      </c>
      <c r="R230" s="26">
        <f>IF(O$320=0,0,SUM(O$17:O230)/O$320)</f>
        <v>0</v>
      </c>
      <c r="S230" s="26">
        <f>SUM(P$17:P230)/P$320</f>
        <v>0.77283928478530806</v>
      </c>
    </row>
    <row r="231" spans="1:19" x14ac:dyDescent="0.4">
      <c r="A231" s="6">
        <f t="shared" si="30"/>
        <v>86.999536207516897</v>
      </c>
      <c r="B231" s="25">
        <f t="shared" si="37"/>
        <v>0.20894271274208021</v>
      </c>
      <c r="C231" s="25">
        <f t="shared" si="37"/>
        <v>0</v>
      </c>
      <c r="D231" s="27">
        <f t="shared" si="32"/>
        <v>0.20894271274208021</v>
      </c>
      <c r="E231" s="27"/>
      <c r="F231" s="26">
        <f t="shared" si="33"/>
        <v>0.63767874939731173</v>
      </c>
      <c r="G231" s="26">
        <f t="shared" si="33"/>
        <v>0</v>
      </c>
      <c r="H231" s="26">
        <f t="shared" si="33"/>
        <v>0.63767874939731173</v>
      </c>
      <c r="I231" s="26">
        <f>IF(F$320=0,0,SUM(F$17:F231)/F$320)</f>
        <v>0.78217718385831636</v>
      </c>
      <c r="J231" s="26">
        <f>IF(G$320=0,0,SUM(G$17:G231)/G$320)</f>
        <v>0</v>
      </c>
      <c r="K231" s="26">
        <f>SUM(H$17:H231)/H$320</f>
        <v>0.78217718385831636</v>
      </c>
      <c r="L231" s="26"/>
      <c r="M231" s="26"/>
      <c r="N231" s="27">
        <f t="shared" si="34"/>
        <v>0.63168589949452736</v>
      </c>
      <c r="O231" s="27">
        <f t="shared" si="35"/>
        <v>0</v>
      </c>
      <c r="P231" s="26">
        <f t="shared" si="36"/>
        <v>0.63168589949452736</v>
      </c>
      <c r="Q231" s="26">
        <f>IF(N$320=0,0,SUM(N$17:N231)/N$320)</f>
        <v>0.77918788679027817</v>
      </c>
      <c r="R231" s="26">
        <f>IF(O$320=0,0,SUM(O$17:O231)/O$320)</f>
        <v>0</v>
      </c>
      <c r="S231" s="26">
        <f>SUM(P$17:P231)/P$320</f>
        <v>0.77918788679027817</v>
      </c>
    </row>
    <row r="232" spans="1:19" x14ac:dyDescent="0.4">
      <c r="A232" s="6">
        <f t="shared" si="30"/>
        <v>90.051467241763902</v>
      </c>
      <c r="B232" s="25">
        <f t="shared" si="37"/>
        <v>0.19864998649259011</v>
      </c>
      <c r="C232" s="25">
        <f t="shared" si="37"/>
        <v>0</v>
      </c>
      <c r="D232" s="27">
        <f t="shared" si="32"/>
        <v>0.19864998649259011</v>
      </c>
      <c r="E232" s="27"/>
      <c r="F232" s="26">
        <f t="shared" si="33"/>
        <v>0.62753378359681977</v>
      </c>
      <c r="G232" s="26">
        <f t="shared" si="33"/>
        <v>0</v>
      </c>
      <c r="H232" s="26">
        <f t="shared" si="33"/>
        <v>0.62753378359681977</v>
      </c>
      <c r="I232" s="26">
        <f>IF(F$320=0,0,SUM(F$17:F232)/F$320)</f>
        <v>0.78837551507509351</v>
      </c>
      <c r="J232" s="26">
        <f>IF(G$320=0,0,SUM(G$17:G232)/G$320)</f>
        <v>0</v>
      </c>
      <c r="K232" s="26">
        <f>SUM(H$17:H232)/H$320</f>
        <v>0.78837551507509351</v>
      </c>
      <c r="L232" s="26"/>
      <c r="M232" s="26"/>
      <c r="N232" s="27">
        <f t="shared" si="34"/>
        <v>0.62177258737228236</v>
      </c>
      <c r="O232" s="27">
        <f t="shared" si="35"/>
        <v>0</v>
      </c>
      <c r="P232" s="26">
        <f t="shared" si="36"/>
        <v>0.62177258737228236</v>
      </c>
      <c r="Q232" s="26">
        <f>IF(N$320=0,0,SUM(N$17:N232)/N$320)</f>
        <v>0.7854368575176377</v>
      </c>
      <c r="R232" s="26">
        <f>IF(O$320=0,0,SUM(O$17:O232)/O$320)</f>
        <v>0</v>
      </c>
      <c r="S232" s="26">
        <f>SUM(P$17:P232)/P$320</f>
        <v>0.7854368575176377</v>
      </c>
    </row>
    <row r="233" spans="1:19" x14ac:dyDescent="0.4">
      <c r="A233" s="6">
        <f t="shared" si="30"/>
        <v>93.210459571321536</v>
      </c>
      <c r="B233" s="25">
        <f t="shared" si="37"/>
        <v>0.18878170692392457</v>
      </c>
      <c r="C233" s="25">
        <f t="shared" si="37"/>
        <v>0</v>
      </c>
      <c r="D233" s="27">
        <f t="shared" si="32"/>
        <v>0.18878170692392457</v>
      </c>
      <c r="E233" s="27"/>
      <c r="F233" s="26">
        <f t="shared" si="33"/>
        <v>0.61728018464798273</v>
      </c>
      <c r="G233" s="26">
        <f t="shared" si="33"/>
        <v>0</v>
      </c>
      <c r="H233" s="26">
        <f t="shared" si="33"/>
        <v>0.61728018464798273</v>
      </c>
      <c r="I233" s="26">
        <f>IF(F$320=0,0,SUM(F$17:F233)/F$320)</f>
        <v>0.79447256855334869</v>
      </c>
      <c r="J233" s="26">
        <f>IF(G$320=0,0,SUM(G$17:G233)/G$320)</f>
        <v>0</v>
      </c>
      <c r="K233" s="26">
        <f>SUM(H$17:H233)/H$320</f>
        <v>0.79447256855334869</v>
      </c>
      <c r="L233" s="26"/>
      <c r="M233" s="26"/>
      <c r="N233" s="27">
        <f t="shared" si="34"/>
        <v>0.6117472476299457</v>
      </c>
      <c r="O233" s="27">
        <f t="shared" si="35"/>
        <v>0</v>
      </c>
      <c r="P233" s="26">
        <f t="shared" si="36"/>
        <v>0.6117472476299457</v>
      </c>
      <c r="Q233" s="26">
        <f>IF(N$320=0,0,SUM(N$17:N233)/N$320)</f>
        <v>0.79158507106165732</v>
      </c>
      <c r="R233" s="26">
        <f>IF(O$320=0,0,SUM(O$17:O233)/O$320)</f>
        <v>0</v>
      </c>
      <c r="S233" s="26">
        <f>SUM(P$17:P233)/P$320</f>
        <v>0.79158507106165732</v>
      </c>
    </row>
    <row r="234" spans="1:19" x14ac:dyDescent="0.4">
      <c r="A234" s="6">
        <f t="shared" si="30"/>
        <v>96.480268890805732</v>
      </c>
      <c r="B234" s="25">
        <f t="shared" si="37"/>
        <v>0.17932520461825843</v>
      </c>
      <c r="C234" s="25">
        <f t="shared" si="37"/>
        <v>0</v>
      </c>
      <c r="D234" s="27">
        <f t="shared" si="32"/>
        <v>0.17932520461825843</v>
      </c>
      <c r="E234" s="27"/>
      <c r="F234" s="26">
        <f t="shared" si="33"/>
        <v>0.60692862133411263</v>
      </c>
      <c r="G234" s="26">
        <f t="shared" si="33"/>
        <v>0</v>
      </c>
      <c r="H234" s="26">
        <f t="shared" si="33"/>
        <v>0.60692862133411263</v>
      </c>
      <c r="I234" s="26">
        <f>IF(F$320=0,0,SUM(F$17:F234)/F$320)</f>
        <v>0.8004673766709427</v>
      </c>
      <c r="J234" s="26">
        <f>IF(G$320=0,0,SUM(G$17:G234)/G$320)</f>
        <v>0</v>
      </c>
      <c r="K234" s="26">
        <f>SUM(H$17:H234)/H$320</f>
        <v>0.8004673766709427</v>
      </c>
      <c r="L234" s="26"/>
      <c r="M234" s="26"/>
      <c r="N234" s="27">
        <f t="shared" si="34"/>
        <v>0.60162038299033105</v>
      </c>
      <c r="O234" s="27">
        <f t="shared" si="35"/>
        <v>0</v>
      </c>
      <c r="P234" s="26">
        <f t="shared" si="36"/>
        <v>0.60162038299033105</v>
      </c>
      <c r="Q234" s="26">
        <f>IF(N$320=0,0,SUM(N$17:N234)/N$320)</f>
        <v>0.79763150707161035</v>
      </c>
      <c r="R234" s="26">
        <f>IF(O$320=0,0,SUM(O$17:O234)/O$320)</f>
        <v>0</v>
      </c>
      <c r="S234" s="26">
        <f>SUM(P$17:P234)/P$320</f>
        <v>0.79763150707161035</v>
      </c>
    </row>
    <row r="235" spans="1:19" x14ac:dyDescent="0.4">
      <c r="A235" s="6">
        <f t="shared" si="30"/>
        <v>99.86478264405153</v>
      </c>
      <c r="B235" s="25">
        <f t="shared" si="37"/>
        <v>0.17026791553942153</v>
      </c>
      <c r="C235" s="25">
        <f t="shared" si="37"/>
        <v>0</v>
      </c>
      <c r="D235" s="27">
        <f t="shared" si="32"/>
        <v>0.17026791553942153</v>
      </c>
      <c r="E235" s="27"/>
      <c r="F235" s="26">
        <f t="shared" si="33"/>
        <v>0.59648971327744282</v>
      </c>
      <c r="G235" s="26">
        <f t="shared" si="33"/>
        <v>0</v>
      </c>
      <c r="H235" s="26">
        <f t="shared" si="33"/>
        <v>0.59648971327744282</v>
      </c>
      <c r="I235" s="26">
        <f>IF(F$320=0,0,SUM(F$17:F235)/F$320)</f>
        <v>0.80635907669879259</v>
      </c>
      <c r="J235" s="26">
        <f>IF(G$320=0,0,SUM(G$17:G235)/G$320)</f>
        <v>0</v>
      </c>
      <c r="K235" s="26">
        <f>SUM(H$17:H235)/H$320</f>
        <v>0.80635907669879259</v>
      </c>
      <c r="L235" s="26"/>
      <c r="M235" s="26"/>
      <c r="N235" s="27">
        <f t="shared" si="34"/>
        <v>0.59140245667014257</v>
      </c>
      <c r="O235" s="27">
        <f t="shared" si="35"/>
        <v>0</v>
      </c>
      <c r="P235" s="26">
        <f t="shared" si="36"/>
        <v>0.59140245667014257</v>
      </c>
      <c r="Q235" s="26">
        <f>IF(N$320=0,0,SUM(N$17:N235)/N$320)</f>
        <v>0.80357525035472732</v>
      </c>
      <c r="R235" s="26">
        <f>IF(O$320=0,0,SUM(O$17:O235)/O$320)</f>
        <v>0</v>
      </c>
      <c r="S235" s="26">
        <f>SUM(P$17:P235)/P$320</f>
        <v>0.80357525035472732</v>
      </c>
    </row>
    <row r="236" spans="1:19" x14ac:dyDescent="0.4">
      <c r="A236" s="6">
        <f t="shared" si="30"/>
        <v>103.36802464585627</v>
      </c>
      <c r="B236" s="25">
        <f t="shared" si="37"/>
        <v>0.16159739717260269</v>
      </c>
      <c r="C236" s="25">
        <f t="shared" si="37"/>
        <v>0</v>
      </c>
      <c r="D236" s="27">
        <f t="shared" si="32"/>
        <v>0.16159739717260269</v>
      </c>
      <c r="E236" s="27"/>
      <c r="F236" s="26">
        <f t="shared" si="33"/>
        <v>0.58597401334743371</v>
      </c>
      <c r="G236" s="26">
        <f t="shared" si="33"/>
        <v>0</v>
      </c>
      <c r="H236" s="26">
        <f t="shared" si="33"/>
        <v>0.58597401334743371</v>
      </c>
      <c r="I236" s="26">
        <f>IF(F$320=0,0,SUM(F$17:F236)/F$320)</f>
        <v>0.81214691014153395</v>
      </c>
      <c r="J236" s="26">
        <f>IF(G$320=0,0,SUM(G$17:G236)/G$320)</f>
        <v>0</v>
      </c>
      <c r="K236" s="26">
        <f>SUM(H$17:H236)/H$320</f>
        <v>0.81214691014153395</v>
      </c>
      <c r="L236" s="26"/>
      <c r="M236" s="26"/>
      <c r="N236" s="27">
        <f t="shared" si="34"/>
        <v>0.58110387488785609</v>
      </c>
      <c r="O236" s="27">
        <f t="shared" si="35"/>
        <v>0</v>
      </c>
      <c r="P236" s="26">
        <f t="shared" si="36"/>
        <v>0.58110387488785609</v>
      </c>
      <c r="Q236" s="26">
        <f>IF(N$320=0,0,SUM(N$17:N236)/N$320)</f>
        <v>0.80941549030334903</v>
      </c>
      <c r="R236" s="26">
        <f>IF(O$320=0,0,SUM(O$17:O236)/O$320)</f>
        <v>0</v>
      </c>
      <c r="S236" s="26">
        <f>SUM(P$17:P236)/P$320</f>
        <v>0.80941549030334903</v>
      </c>
    </row>
    <row r="237" spans="1:19" x14ac:dyDescent="0.4">
      <c r="A237" s="6">
        <f t="shared" si="30"/>
        <v>106.99415986585336</v>
      </c>
      <c r="B237" s="25">
        <f t="shared" si="37"/>
        <v>0.15330134359347358</v>
      </c>
      <c r="C237" s="25">
        <f t="shared" si="37"/>
        <v>0</v>
      </c>
      <c r="D237" s="27">
        <f t="shared" si="32"/>
        <v>0.15330134359347358</v>
      </c>
      <c r="E237" s="27"/>
      <c r="F237" s="26">
        <f t="shared" si="33"/>
        <v>0.57539199051229184</v>
      </c>
      <c r="G237" s="26">
        <f t="shared" si="33"/>
        <v>0</v>
      </c>
      <c r="H237" s="26">
        <f t="shared" si="33"/>
        <v>0.57539199051229184</v>
      </c>
      <c r="I237" s="26">
        <f>IF(F$320=0,0,SUM(F$17:F237)/F$320)</f>
        <v>0.81783022190880494</v>
      </c>
      <c r="J237" s="26">
        <f>IF(G$320=0,0,SUM(G$17:G237)/G$320)</f>
        <v>0</v>
      </c>
      <c r="K237" s="26">
        <f>SUM(H$17:H237)/H$320</f>
        <v>0.81783022190880494</v>
      </c>
      <c r="L237" s="26"/>
      <c r="M237" s="26"/>
      <c r="N237" s="27">
        <f t="shared" si="34"/>
        <v>0.57073496978817806</v>
      </c>
      <c r="O237" s="27">
        <f t="shared" si="35"/>
        <v>0</v>
      </c>
      <c r="P237" s="26">
        <f t="shared" si="36"/>
        <v>0.57073496978817806</v>
      </c>
      <c r="Q237" s="26">
        <f>IF(N$320=0,0,SUM(N$17:N237)/N$320)</f>
        <v>0.81515152015046644</v>
      </c>
      <c r="R237" s="26">
        <f>IF(O$320=0,0,SUM(O$17:O237)/O$320)</f>
        <v>0</v>
      </c>
      <c r="S237" s="26">
        <f>SUM(P$17:P237)/P$320</f>
        <v>0.81515152015046644</v>
      </c>
    </row>
    <row r="238" spans="1:19" x14ac:dyDescent="0.4">
      <c r="A238" s="6">
        <f t="shared" si="30"/>
        <v>110.74749938020311</v>
      </c>
      <c r="B238" s="25">
        <f t="shared" si="37"/>
        <v>0.14536759948227493</v>
      </c>
      <c r="C238" s="25">
        <f t="shared" si="37"/>
        <v>0</v>
      </c>
      <c r="D238" s="27">
        <f t="shared" si="32"/>
        <v>0.14536759948227493</v>
      </c>
      <c r="E238" s="27"/>
      <c r="F238" s="26">
        <f t="shared" si="33"/>
        <v>0.56475401317102836</v>
      </c>
      <c r="G238" s="26">
        <f t="shared" si="33"/>
        <v>0</v>
      </c>
      <c r="H238" s="26">
        <f t="shared" si="33"/>
        <v>0.56475401317102836</v>
      </c>
      <c r="I238" s="26">
        <f>IF(F$320=0,0,SUM(F$17:F238)/F$320)</f>
        <v>0.82340845932189566</v>
      </c>
      <c r="J238" s="26">
        <f>IF(G$320=0,0,SUM(G$17:G238)/G$320)</f>
        <v>0</v>
      </c>
      <c r="K238" s="26">
        <f>SUM(H$17:H238)/H$320</f>
        <v>0.82340845932189566</v>
      </c>
      <c r="L238" s="26"/>
      <c r="M238" s="26"/>
      <c r="N238" s="27">
        <f t="shared" si="34"/>
        <v>0.56030598282075239</v>
      </c>
      <c r="O238" s="27">
        <f t="shared" si="35"/>
        <v>0</v>
      </c>
      <c r="P238" s="26">
        <f t="shared" si="36"/>
        <v>0.56030598282075239</v>
      </c>
      <c r="Q238" s="26">
        <f>IF(N$320=0,0,SUM(N$17:N238)/N$320)</f>
        <v>0.82078273605821261</v>
      </c>
      <c r="R238" s="26">
        <f>IF(O$320=0,0,SUM(O$17:O238)/O$320)</f>
        <v>0</v>
      </c>
      <c r="S238" s="26">
        <f>SUM(P$17:P238)/P$320</f>
        <v>0.82078273605821261</v>
      </c>
    </row>
    <row r="239" spans="1:19" x14ac:dyDescent="0.4">
      <c r="A239" s="6">
        <f t="shared" si="30"/>
        <v>114.63250549698837</v>
      </c>
      <c r="B239" s="25">
        <f t="shared" si="37"/>
        <v>0.13778417310076432</v>
      </c>
      <c r="C239" s="25">
        <f t="shared" si="37"/>
        <v>0</v>
      </c>
      <c r="D239" s="27">
        <f t="shared" si="32"/>
        <v>0.13778417310076432</v>
      </c>
      <c r="E239" s="27"/>
      <c r="F239" s="26">
        <f t="shared" si="33"/>
        <v>0.5540703330006902</v>
      </c>
      <c r="G239" s="26">
        <f t="shared" si="33"/>
        <v>0</v>
      </c>
      <c r="H239" s="26">
        <f t="shared" si="33"/>
        <v>0.5540703330006902</v>
      </c>
      <c r="I239" s="26">
        <f>IF(F$320=0,0,SUM(F$17:F239)/F$320)</f>
        <v>0.82888117096085157</v>
      </c>
      <c r="J239" s="26">
        <f>IF(G$320=0,0,SUM(G$17:G239)/G$320)</f>
        <v>0</v>
      </c>
      <c r="K239" s="26">
        <f>SUM(H$17:H239)/H$320</f>
        <v>0.82888117096085157</v>
      </c>
      <c r="L239" s="26"/>
      <c r="M239" s="26"/>
      <c r="N239" s="27">
        <f t="shared" si="34"/>
        <v>0.54982704860820908</v>
      </c>
      <c r="O239" s="27">
        <f t="shared" si="35"/>
        <v>0</v>
      </c>
      <c r="P239" s="26">
        <f t="shared" si="36"/>
        <v>0.54982704860820908</v>
      </c>
      <c r="Q239" s="26">
        <f>IF(N$320=0,0,SUM(N$17:N239)/N$320)</f>
        <v>0.82630863604422478</v>
      </c>
      <c r="R239" s="26">
        <f>IF(O$320=0,0,SUM(O$17:O239)/O$320)</f>
        <v>0</v>
      </c>
      <c r="S239" s="26">
        <f>SUM(P$17:P239)/P$320</f>
        <v>0.82630863604422478</v>
      </c>
    </row>
    <row r="240" spans="1:19" x14ac:dyDescent="0.4">
      <c r="A240" s="6">
        <f t="shared" si="30"/>
        <v>118.65379706140838</v>
      </c>
      <c r="B240" s="25">
        <f t="shared" si="37"/>
        <v>0.13053924825210331</v>
      </c>
      <c r="C240" s="25">
        <f t="shared" si="37"/>
        <v>0</v>
      </c>
      <c r="D240" s="27">
        <f t="shared" si="32"/>
        <v>0.13053924825210331</v>
      </c>
      <c r="E240" s="27"/>
      <c r="F240" s="26">
        <f t="shared" si="33"/>
        <v>0.54335106935151356</v>
      </c>
      <c r="G240" s="26">
        <f t="shared" si="33"/>
        <v>0</v>
      </c>
      <c r="H240" s="26">
        <f t="shared" si="33"/>
        <v>0.54335106935151356</v>
      </c>
      <c r="I240" s="26">
        <f>IF(F$320=0,0,SUM(F$17:F240)/F$320)</f>
        <v>0.83424800535744337</v>
      </c>
      <c r="J240" s="26">
        <f>IF(G$320=0,0,SUM(G$17:G240)/G$320)</f>
        <v>0</v>
      </c>
      <c r="K240" s="26">
        <f>SUM(H$17:H240)/H$320</f>
        <v>0.83424800535744337</v>
      </c>
      <c r="L240" s="26"/>
      <c r="M240" s="26"/>
      <c r="N240" s="27">
        <f t="shared" si="34"/>
        <v>0.53930817933706132</v>
      </c>
      <c r="O240" s="27">
        <f t="shared" si="35"/>
        <v>0</v>
      </c>
      <c r="P240" s="26">
        <f t="shared" si="36"/>
        <v>0.53930817933706132</v>
      </c>
      <c r="Q240" s="26">
        <f>IF(N$320=0,0,SUM(N$17:N240)/N$320)</f>
        <v>0.83172881875112981</v>
      </c>
      <c r="R240" s="26">
        <f>IF(O$320=0,0,SUM(O$17:O240)/O$320)</f>
        <v>0</v>
      </c>
      <c r="S240" s="26">
        <f>SUM(P$17:P240)/P$320</f>
        <v>0.83172881875112981</v>
      </c>
    </row>
    <row r="241" spans="1:19" x14ac:dyDescent="0.4">
      <c r="A241" s="6">
        <f t="shared" si="30"/>
        <v>122.81615494707791</v>
      </c>
      <c r="B241" s="25">
        <f t="shared" si="37"/>
        <v>0.12362119524575728</v>
      </c>
      <c r="C241" s="25">
        <f t="shared" si="37"/>
        <v>0</v>
      </c>
      <c r="D241" s="27">
        <f t="shared" si="32"/>
        <v>0.12362119524575728</v>
      </c>
      <c r="E241" s="27"/>
      <c r="F241" s="26">
        <f t="shared" si="33"/>
        <v>0.53260619422044242</v>
      </c>
      <c r="G241" s="26">
        <f t="shared" si="33"/>
        <v>0</v>
      </c>
      <c r="H241" s="26">
        <f t="shared" si="33"/>
        <v>0.53260619422044242</v>
      </c>
      <c r="I241" s="26">
        <f>IF(F$320=0,0,SUM(F$17:F241)/F$320)</f>
        <v>0.83950870953971657</v>
      </c>
      <c r="J241" s="26">
        <f>IF(G$320=0,0,SUM(G$17:G241)/G$320)</f>
        <v>0</v>
      </c>
      <c r="K241" s="26">
        <f>SUM(H$17:H241)/H$320</f>
        <v>0.83950870953971657</v>
      </c>
      <c r="L241" s="26"/>
      <c r="M241" s="26"/>
      <c r="N241" s="27">
        <f t="shared" si="34"/>
        <v>0.5287592497020932</v>
      </c>
      <c r="O241" s="27">
        <f t="shared" si="35"/>
        <v>0</v>
      </c>
      <c r="P241" s="26">
        <f t="shared" si="36"/>
        <v>0.5287592497020932</v>
      </c>
      <c r="Q241" s="26">
        <f>IF(N$320=0,0,SUM(N$17:N241)/N$320)</f>
        <v>0.83704298206471872</v>
      </c>
      <c r="R241" s="26">
        <f>IF(O$320=0,0,SUM(O$17:O241)/O$320)</f>
        <v>0</v>
      </c>
      <c r="S241" s="26">
        <f>SUM(P$17:P241)/P$320</f>
        <v>0.83704298206471872</v>
      </c>
    </row>
    <row r="242" spans="1:19" x14ac:dyDescent="0.4">
      <c r="A242" s="6">
        <f t="shared" si="30"/>
        <v>127.12452773996046</v>
      </c>
      <c r="B242" s="25">
        <f t="shared" ref="B242:C257" si="38">C$4*EXP(-0.5*(LN($A242)-LN(C$5))^2/(LN(C$6))^2)/($A242*SQRT(2*PI())*LN(C$6))</f>
        <v>0.11701858089129905</v>
      </c>
      <c r="C242" s="25">
        <f t="shared" si="38"/>
        <v>0</v>
      </c>
      <c r="D242" s="27">
        <f t="shared" si="32"/>
        <v>0.11701858089129905</v>
      </c>
      <c r="E242" s="27"/>
      <c r="F242" s="26">
        <f t="shared" si="33"/>
        <v>0.52184551783106714</v>
      </c>
      <c r="G242" s="26">
        <f t="shared" si="33"/>
        <v>0</v>
      </c>
      <c r="H242" s="26">
        <f t="shared" si="33"/>
        <v>0.52184551783106714</v>
      </c>
      <c r="I242" s="26">
        <f>IF(F$320=0,0,SUM(F$17:F242)/F$320)</f>
        <v>0.84466312743410954</v>
      </c>
      <c r="J242" s="26">
        <f>IF(G$320=0,0,SUM(G$17:G242)/G$320)</f>
        <v>0</v>
      </c>
      <c r="K242" s="26">
        <f>SUM(H$17:H242)/H$320</f>
        <v>0.84466312743410954</v>
      </c>
      <c r="L242" s="26"/>
      <c r="M242" s="26"/>
      <c r="N242" s="27">
        <f t="shared" si="34"/>
        <v>0.51818998243329251</v>
      </c>
      <c r="O242" s="27">
        <f t="shared" si="35"/>
        <v>0</v>
      </c>
      <c r="P242" s="26">
        <f t="shared" si="36"/>
        <v>0.51818998243329251</v>
      </c>
      <c r="Q242" s="26">
        <f>IF(N$320=0,0,SUM(N$17:N242)/N$320)</f>
        <v>0.84225092158666137</v>
      </c>
      <c r="R242" s="26">
        <f>IF(O$320=0,0,SUM(O$17:O242)/O$320)</f>
        <v>0</v>
      </c>
      <c r="S242" s="26">
        <f>SUM(P$17:P242)/P$320</f>
        <v>0.84225092158666137</v>
      </c>
    </row>
    <row r="243" spans="1:19" x14ac:dyDescent="0.4">
      <c r="A243" s="6">
        <f t="shared" si="30"/>
        <v>131.584037621693</v>
      </c>
      <c r="B243" s="25">
        <f t="shared" si="38"/>
        <v>0.11072017754664996</v>
      </c>
      <c r="C243" s="25">
        <f t="shared" si="38"/>
        <v>0</v>
      </c>
      <c r="D243" s="27">
        <f t="shared" si="32"/>
        <v>0.11072017754664996</v>
      </c>
      <c r="E243" s="27"/>
      <c r="F243" s="26">
        <f t="shared" si="33"/>
        <v>0.51107867484574954</v>
      </c>
      <c r="G243" s="26">
        <f t="shared" si="33"/>
        <v>0</v>
      </c>
      <c r="H243" s="26">
        <f t="shared" si="33"/>
        <v>0.51107867484574954</v>
      </c>
      <c r="I243" s="26">
        <f>IF(F$320=0,0,SUM(F$17:F243)/F$320)</f>
        <v>0.84971119813138496</v>
      </c>
      <c r="J243" s="26">
        <f>IF(G$320=0,0,SUM(G$17:G243)/G$320)</f>
        <v>0</v>
      </c>
      <c r="K243" s="26">
        <f>SUM(H$17:H243)/H$320</f>
        <v>0.84971119813138496</v>
      </c>
      <c r="L243" s="26"/>
      <c r="M243" s="26"/>
      <c r="N243" s="27">
        <f t="shared" si="34"/>
        <v>0.5076099344314855</v>
      </c>
      <c r="O243" s="27">
        <f t="shared" si="35"/>
        <v>0</v>
      </c>
      <c r="P243" s="26">
        <f t="shared" si="36"/>
        <v>0.5076099344314855</v>
      </c>
      <c r="Q243" s="26">
        <f>IF(N$320=0,0,SUM(N$17:N243)/N$320)</f>
        <v>0.84735252896788238</v>
      </c>
      <c r="R243" s="26">
        <f>IF(O$320=0,0,SUM(O$17:O243)/O$320)</f>
        <v>0</v>
      </c>
      <c r="S243" s="26">
        <f>SUM(P$17:P243)/P$320</f>
        <v>0.84735252896788238</v>
      </c>
    </row>
    <row r="244" spans="1:19" x14ac:dyDescent="0.4">
      <c r="A244" s="6">
        <f t="shared" si="30"/>
        <v>136.19998645929684</v>
      </c>
      <c r="B244" s="25">
        <f t="shared" si="38"/>
        <v>0.10471497124776093</v>
      </c>
      <c r="C244" s="25">
        <f t="shared" si="38"/>
        <v>0</v>
      </c>
      <c r="D244" s="27">
        <f t="shared" si="32"/>
        <v>0.10471497124776093</v>
      </c>
      <c r="E244" s="27"/>
      <c r="F244" s="26">
        <f t="shared" si="33"/>
        <v>0.50031511123323436</v>
      </c>
      <c r="G244" s="26">
        <f t="shared" si="33"/>
        <v>0</v>
      </c>
      <c r="H244" s="26">
        <f t="shared" si="33"/>
        <v>0.50031511123323436</v>
      </c>
      <c r="I244" s="26">
        <f>IF(F$320=0,0,SUM(F$17:F244)/F$320)</f>
        <v>0.85465295402284902</v>
      </c>
      <c r="J244" s="26">
        <f>IF(G$320=0,0,SUM(G$17:G244)/G$320)</f>
        <v>0</v>
      </c>
      <c r="K244" s="26">
        <f>SUM(H$17:H244)/H$320</f>
        <v>0.85465295402284902</v>
      </c>
      <c r="L244" s="26"/>
      <c r="M244" s="26"/>
      <c r="N244" s="27">
        <f t="shared" si="34"/>
        <v>0.49702848353729845</v>
      </c>
      <c r="O244" s="27">
        <f t="shared" si="35"/>
        <v>0</v>
      </c>
      <c r="P244" s="26">
        <f t="shared" si="36"/>
        <v>0.49702848353729845</v>
      </c>
      <c r="Q244" s="26">
        <f>IF(N$320=0,0,SUM(N$17:N244)/N$320)</f>
        <v>0.85234779010896067</v>
      </c>
      <c r="R244" s="26">
        <f>IF(O$320=0,0,SUM(O$17:O244)/O$320)</f>
        <v>0</v>
      </c>
      <c r="S244" s="26">
        <f>SUM(P$17:P244)/P$320</f>
        <v>0.85234779010896067</v>
      </c>
    </row>
    <row r="245" spans="1:19" x14ac:dyDescent="0.4">
      <c r="A245" s="6">
        <f t="shared" si="30"/>
        <v>140.97786210851478</v>
      </c>
      <c r="B245" s="25">
        <f t="shared" si="38"/>
        <v>9.8992168948033366E-2</v>
      </c>
      <c r="C245" s="25">
        <f t="shared" si="38"/>
        <v>0</v>
      </c>
      <c r="D245" s="27">
        <f t="shared" si="32"/>
        <v>9.8992168948033366E-2</v>
      </c>
      <c r="E245" s="27"/>
      <c r="F245" s="26">
        <f t="shared" si="33"/>
        <v>0.48956407181251738</v>
      </c>
      <c r="G245" s="26">
        <f t="shared" si="33"/>
        <v>0</v>
      </c>
      <c r="H245" s="26">
        <f t="shared" si="33"/>
        <v>0.48956407181251738</v>
      </c>
      <c r="I245" s="26">
        <f>IF(F$320=0,0,SUM(F$17:F245)/F$320)</f>
        <v>0.85948851881353727</v>
      </c>
      <c r="J245" s="26">
        <f>IF(G$320=0,0,SUM(G$17:G245)/G$320)</f>
        <v>0</v>
      </c>
      <c r="K245" s="26">
        <f>SUM(H$17:H245)/H$320</f>
        <v>0.85948851881353727</v>
      </c>
      <c r="L245" s="26"/>
      <c r="M245" s="26"/>
      <c r="N245" s="27">
        <f t="shared" si="34"/>
        <v>0.48645481595447349</v>
      </c>
      <c r="O245" s="27">
        <f t="shared" si="35"/>
        <v>0</v>
      </c>
      <c r="P245" s="26">
        <f t="shared" si="36"/>
        <v>0.48645481595447349</v>
      </c>
      <c r="Q245" s="26">
        <f>IF(N$320=0,0,SUM(N$17:N245)/N$320)</f>
        <v>0.85723678323413122</v>
      </c>
      <c r="R245" s="26">
        <f>IF(O$320=0,0,SUM(O$17:O245)/O$320)</f>
        <v>0</v>
      </c>
      <c r="S245" s="26">
        <f>SUM(P$17:P245)/P$320</f>
        <v>0.85723678323413122</v>
      </c>
    </row>
    <row r="246" spans="1:19" x14ac:dyDescent="0.4">
      <c r="A246" s="6">
        <f t="shared" si="30"/>
        <v>145.92334493826789</v>
      </c>
      <c r="B246" s="25">
        <f t="shared" si="38"/>
        <v>9.3541204896916155E-2</v>
      </c>
      <c r="C246" s="25">
        <f t="shared" si="38"/>
        <v>0</v>
      </c>
      <c r="D246" s="27">
        <f t="shared" si="32"/>
        <v>9.3541204896916155E-2</v>
      </c>
      <c r="E246" s="27"/>
      <c r="F246" s="26">
        <f t="shared" si="33"/>
        <v>0.47883458849162808</v>
      </c>
      <c r="G246" s="26">
        <f t="shared" si="33"/>
        <v>0</v>
      </c>
      <c r="H246" s="26">
        <f t="shared" si="33"/>
        <v>0.47883458849162808</v>
      </c>
      <c r="I246" s="26">
        <f>IF(F$320=0,0,SUM(F$17:F246)/F$320)</f>
        <v>0.86421810541923172</v>
      </c>
      <c r="J246" s="26">
        <f>IF(G$320=0,0,SUM(G$17:G246)/G$320)</f>
        <v>0</v>
      </c>
      <c r="K246" s="26">
        <f>SUM(H$17:H246)/H$320</f>
        <v>0.86421810541923172</v>
      </c>
      <c r="L246" s="26"/>
      <c r="M246" s="26"/>
      <c r="N246" s="27">
        <f t="shared" si="34"/>
        <v>0.47589791434730078</v>
      </c>
      <c r="O246" s="27">
        <f t="shared" si="35"/>
        <v>0</v>
      </c>
      <c r="P246" s="26">
        <f t="shared" si="36"/>
        <v>0.47589791434730078</v>
      </c>
      <c r="Q246" s="26">
        <f>IF(N$320=0,0,SUM(N$17:N246)/N$320)</f>
        <v>0.86201967684566194</v>
      </c>
      <c r="R246" s="26">
        <f>IF(O$320=0,0,SUM(O$17:O246)/O$320)</f>
        <v>0</v>
      </c>
      <c r="S246" s="26">
        <f>SUM(P$17:P246)/P$320</f>
        <v>0.86201967684566194</v>
      </c>
    </row>
    <row r="247" spans="1:19" x14ac:dyDescent="0.4">
      <c r="A247" s="6">
        <f t="shared" si="30"/>
        <v>151.04231458399045</v>
      </c>
      <c r="B247" s="25">
        <f t="shared" si="38"/>
        <v>8.8351746188082683E-2</v>
      </c>
      <c r="C247" s="25">
        <f t="shared" si="38"/>
        <v>0</v>
      </c>
      <c r="D247" s="27">
        <f t="shared" si="32"/>
        <v>8.8351746188082683E-2</v>
      </c>
      <c r="E247" s="27"/>
      <c r="F247" s="26">
        <f t="shared" si="33"/>
        <v>0.46813546921673488</v>
      </c>
      <c r="G247" s="26">
        <f t="shared" si="33"/>
        <v>0</v>
      </c>
      <c r="H247" s="26">
        <f t="shared" si="33"/>
        <v>0.46813546921673488</v>
      </c>
      <c r="I247" s="26">
        <f>IF(F$320=0,0,SUM(F$17:F247)/F$320)</f>
        <v>0.86884201375432624</v>
      </c>
      <c r="J247" s="26">
        <f>IF(G$320=0,0,SUM(G$17:G247)/G$320)</f>
        <v>0</v>
      </c>
      <c r="K247" s="26">
        <f>SUM(H$17:H247)/H$320</f>
        <v>0.86884201375432624</v>
      </c>
      <c r="L247" s="26"/>
      <c r="M247" s="26"/>
      <c r="N247" s="27">
        <f t="shared" si="34"/>
        <v>0.4653665466289536</v>
      </c>
      <c r="O247" s="27">
        <f t="shared" si="35"/>
        <v>0</v>
      </c>
      <c r="P247" s="26">
        <f t="shared" si="36"/>
        <v>0.4653665466289536</v>
      </c>
      <c r="Q247" s="26">
        <f>IF(N$320=0,0,SUM(N$17:N247)/N$320)</f>
        <v>0.86669672756555094</v>
      </c>
      <c r="R247" s="26">
        <f>IF(O$320=0,0,SUM(O$17:O247)/O$320)</f>
        <v>0</v>
      </c>
      <c r="S247" s="26">
        <f>SUM(P$17:P247)/P$320</f>
        <v>0.86669672756555094</v>
      </c>
    </row>
    <row r="248" spans="1:19" x14ac:dyDescent="0.4">
      <c r="A248" s="6">
        <f t="shared" si="30"/>
        <v>156.34085693786957</v>
      </c>
      <c r="B248" s="25">
        <f t="shared" si="38"/>
        <v>8.3413697508413695E-2</v>
      </c>
      <c r="C248" s="25">
        <f t="shared" si="38"/>
        <v>0</v>
      </c>
      <c r="D248" s="27">
        <f t="shared" si="32"/>
        <v>8.3413697508413695E-2</v>
      </c>
      <c r="E248" s="27"/>
      <c r="F248" s="26">
        <f t="shared" si="33"/>
        <v>0.45747528764551687</v>
      </c>
      <c r="G248" s="26">
        <f t="shared" si="33"/>
        <v>0</v>
      </c>
      <c r="H248" s="26">
        <f t="shared" si="33"/>
        <v>0.45747528764551687</v>
      </c>
      <c r="I248" s="26">
        <f>IF(F$320=0,0,SUM(F$17:F248)/F$320)</f>
        <v>0.87336062841769102</v>
      </c>
      <c r="J248" s="26">
        <f>IF(G$320=0,0,SUM(G$17:G248)/G$320)</f>
        <v>0</v>
      </c>
      <c r="K248" s="26">
        <f>SUM(H$17:H248)/H$320</f>
        <v>0.87336062841769102</v>
      </c>
      <c r="L248" s="26"/>
      <c r="M248" s="26"/>
      <c r="N248" s="27">
        <f t="shared" si="34"/>
        <v>0.45486925545493717</v>
      </c>
      <c r="O248" s="27">
        <f t="shared" si="35"/>
        <v>0</v>
      </c>
      <c r="P248" s="26">
        <f t="shared" si="36"/>
        <v>0.45486925545493717</v>
      </c>
      <c r="Q248" s="26">
        <f>IF(N$320=0,0,SUM(N$17:N248)/N$320)</f>
        <v>0.87126827787163064</v>
      </c>
      <c r="R248" s="26">
        <f>IF(O$320=0,0,SUM(O$17:O248)/O$320)</f>
        <v>0</v>
      </c>
      <c r="S248" s="26">
        <f>SUM(P$17:P248)/P$320</f>
        <v>0.87126827787163064</v>
      </c>
    </row>
    <row r="249" spans="1:19" x14ac:dyDescent="0.4">
      <c r="A249" s="6">
        <f t="shared" si="30"/>
        <v>161.82527138430234</v>
      </c>
      <c r="B249" s="25">
        <f t="shared" si="38"/>
        <v>7.8717205119671452E-2</v>
      </c>
      <c r="C249" s="25">
        <f t="shared" si="38"/>
        <v>0</v>
      </c>
      <c r="D249" s="27">
        <f t="shared" si="32"/>
        <v>7.8717205119671452E-2</v>
      </c>
      <c r="E249" s="27"/>
      <c r="F249" s="26">
        <f t="shared" si="33"/>
        <v>0.44686237355529418</v>
      </c>
      <c r="G249" s="26">
        <f t="shared" si="33"/>
        <v>0</v>
      </c>
      <c r="H249" s="26">
        <f t="shared" si="33"/>
        <v>0.44686237355529418</v>
      </c>
      <c r="I249" s="26">
        <f>IF(F$320=0,0,SUM(F$17:F249)/F$320)</f>
        <v>0.87777441628379649</v>
      </c>
      <c r="J249" s="26">
        <f>IF(G$320=0,0,SUM(G$17:G249)/G$320)</f>
        <v>0</v>
      </c>
      <c r="K249" s="26">
        <f>SUM(H$17:H249)/H$320</f>
        <v>0.87777441628379649</v>
      </c>
      <c r="L249" s="26"/>
      <c r="M249" s="26"/>
      <c r="N249" s="27">
        <f t="shared" si="34"/>
        <v>0.44441434843366379</v>
      </c>
      <c r="O249" s="27">
        <f t="shared" si="35"/>
        <v>0</v>
      </c>
      <c r="P249" s="26">
        <f t="shared" si="36"/>
        <v>0.44441434843366379</v>
      </c>
      <c r="Q249" s="26">
        <f>IF(N$320=0,0,SUM(N$17:N249)/N$320)</f>
        <v>0.87573475373528564</v>
      </c>
      <c r="R249" s="26">
        <f>IF(O$320=0,0,SUM(O$17:O249)/O$320)</f>
        <v>0</v>
      </c>
      <c r="S249" s="26">
        <f>SUM(P$17:P249)/P$320</f>
        <v>0.87573475373528564</v>
      </c>
    </row>
    <row r="250" spans="1:19" x14ac:dyDescent="0.4">
      <c r="A250" s="6">
        <f t="shared" si="30"/>
        <v>167.50207828917075</v>
      </c>
      <c r="B250" s="25">
        <f t="shared" si="38"/>
        <v>7.4252660105275328E-2</v>
      </c>
      <c r="C250" s="25">
        <f t="shared" si="38"/>
        <v>0</v>
      </c>
      <c r="D250" s="27">
        <f t="shared" si="32"/>
        <v>7.4252660105275328E-2</v>
      </c>
      <c r="E250" s="27"/>
      <c r="F250" s="26">
        <f t="shared" si="33"/>
        <v>0.43630480399476612</v>
      </c>
      <c r="G250" s="26">
        <f t="shared" si="33"/>
        <v>0</v>
      </c>
      <c r="H250" s="26">
        <f t="shared" si="33"/>
        <v>0.43630480399476612</v>
      </c>
      <c r="I250" s="26">
        <f>IF(F$320=0,0,SUM(F$17:F250)/F$320)</f>
        <v>0.88208392400644076</v>
      </c>
      <c r="J250" s="26">
        <f>IF(G$320=0,0,SUM(G$17:G250)/G$320)</f>
        <v>0</v>
      </c>
      <c r="K250" s="26">
        <f>SUM(H$17:H250)/H$320</f>
        <v>0.88208392400644076</v>
      </c>
      <c r="L250" s="26"/>
      <c r="M250" s="26"/>
      <c r="N250" s="27">
        <f t="shared" si="34"/>
        <v>0.43400988906387994</v>
      </c>
      <c r="O250" s="27">
        <f t="shared" si="35"/>
        <v>0</v>
      </c>
      <c r="P250" s="26">
        <f t="shared" si="36"/>
        <v>0.43400988906387994</v>
      </c>
      <c r="Q250" s="26">
        <f>IF(N$320=0,0,SUM(N$17:N250)/N$320)</f>
        <v>0.88009666216808846</v>
      </c>
      <c r="R250" s="26">
        <f>IF(O$320=0,0,SUM(O$17:O250)/O$320)</f>
        <v>0</v>
      </c>
      <c r="S250" s="26">
        <f>SUM(P$17:P250)/P$320</f>
        <v>0.88009666216808846</v>
      </c>
    </row>
    <row r="251" spans="1:19" x14ac:dyDescent="0.4">
      <c r="A251" s="6">
        <f t="shared" si="30"/>
        <v>173.37802675184096</v>
      </c>
      <c r="B251" s="25">
        <f t="shared" si="38"/>
        <v>7.0010700914966417E-2</v>
      </c>
      <c r="C251" s="25">
        <f t="shared" si="38"/>
        <v>0</v>
      </c>
      <c r="D251" s="27">
        <f t="shared" si="32"/>
        <v>7.0010700914966417E-2</v>
      </c>
      <c r="E251" s="27"/>
      <c r="F251" s="26">
        <f t="shared" si="33"/>
        <v>0.42581039518490399</v>
      </c>
      <c r="G251" s="26">
        <f t="shared" si="33"/>
        <v>0</v>
      </c>
      <c r="H251" s="26">
        <f t="shared" si="33"/>
        <v>0.42581039518490399</v>
      </c>
      <c r="I251" s="26">
        <f>IF(F$320=0,0,SUM(F$17:F251)/F$320)</f>
        <v>0.88628977544247856</v>
      </c>
      <c r="J251" s="26">
        <f>IF(G$320=0,0,SUM(G$17:G251)/G$320)</f>
        <v>0</v>
      </c>
      <c r="K251" s="26">
        <f>SUM(H$17:H251)/H$320</f>
        <v>0.88628977544247856</v>
      </c>
      <c r="L251" s="26"/>
      <c r="M251" s="26"/>
      <c r="N251" s="27">
        <f t="shared" si="34"/>
        <v>0.42366368840585089</v>
      </c>
      <c r="O251" s="27">
        <f t="shared" si="35"/>
        <v>0</v>
      </c>
      <c r="P251" s="26">
        <f t="shared" si="36"/>
        <v>0.42366368840585089</v>
      </c>
      <c r="Q251" s="26">
        <f>IF(N$320=0,0,SUM(N$17:N251)/N$320)</f>
        <v>0.88435458868473027</v>
      </c>
      <c r="R251" s="26">
        <f>IF(O$320=0,0,SUM(O$17:O251)/O$320)</f>
        <v>0</v>
      </c>
      <c r="S251" s="26">
        <f>SUM(P$17:P251)/P$320</f>
        <v>0.88435458868473027</v>
      </c>
    </row>
    <row r="252" spans="1:19" x14ac:dyDescent="0.4">
      <c r="A252" s="6">
        <f t="shared" si="30"/>
        <v>179.46010262909985</v>
      </c>
      <c r="B252" s="25">
        <f t="shared" si="38"/>
        <v>6.5982215240401668E-2</v>
      </c>
      <c r="C252" s="25">
        <f t="shared" si="38"/>
        <v>0</v>
      </c>
      <c r="D252" s="27">
        <f t="shared" si="32"/>
        <v>6.5982215240401668E-2</v>
      </c>
      <c r="E252" s="27"/>
      <c r="F252" s="26">
        <f t="shared" si="33"/>
        <v>0.41538669517305032</v>
      </c>
      <c r="G252" s="26">
        <f t="shared" si="33"/>
        <v>0</v>
      </c>
      <c r="H252" s="26">
        <f t="shared" si="33"/>
        <v>0.41538669517305032</v>
      </c>
      <c r="I252" s="26">
        <f>IF(F$320=0,0,SUM(F$17:F252)/F$320)</f>
        <v>0.89039266900299363</v>
      </c>
      <c r="J252" s="26">
        <f>IF(G$320=0,0,SUM(G$17:G252)/G$320)</f>
        <v>0</v>
      </c>
      <c r="K252" s="26">
        <f>SUM(H$17:H252)/H$320</f>
        <v>0.89039266900299363</v>
      </c>
      <c r="L252" s="26"/>
      <c r="M252" s="26"/>
      <c r="N252" s="27">
        <f t="shared" si="34"/>
        <v>0.41338329749102121</v>
      </c>
      <c r="O252" s="27">
        <f t="shared" si="35"/>
        <v>0</v>
      </c>
      <c r="P252" s="26">
        <f t="shared" si="36"/>
        <v>0.41338329749102121</v>
      </c>
      <c r="Q252" s="26">
        <f>IF(N$320=0,0,SUM(N$17:N252)/N$320)</f>
        <v>0.88850919468966516</v>
      </c>
      <c r="R252" s="26">
        <f>IF(O$320=0,0,SUM(O$17:O252)/O$320)</f>
        <v>0</v>
      </c>
      <c r="S252" s="26">
        <f>SUM(P$17:P252)/P$320</f>
        <v>0.88850919468966516</v>
      </c>
    </row>
    <row r="253" spans="1:19" x14ac:dyDescent="0.4">
      <c r="A253" s="6">
        <f t="shared" si="30"/>
        <v>185.75553684057058</v>
      </c>
      <c r="B253" s="25">
        <f t="shared" si="38"/>
        <v>6.2158341254836685E-2</v>
      </c>
      <c r="C253" s="25">
        <f t="shared" si="38"/>
        <v>0</v>
      </c>
      <c r="D253" s="27">
        <f t="shared" si="32"/>
        <v>6.2158341254836685E-2</v>
      </c>
      <c r="E253" s="27"/>
      <c r="F253" s="26">
        <f t="shared" si="33"/>
        <v>0.40504097724132337</v>
      </c>
      <c r="G253" s="26">
        <f t="shared" si="33"/>
        <v>0</v>
      </c>
      <c r="H253" s="26">
        <f t="shared" si="33"/>
        <v>0.40504097724132337</v>
      </c>
      <c r="I253" s="26">
        <f>IF(F$320=0,0,SUM(F$17:F253)/F$320)</f>
        <v>0.89439337493936422</v>
      </c>
      <c r="J253" s="26">
        <f>IF(G$320=0,0,SUM(G$17:G253)/G$320)</f>
        <v>0</v>
      </c>
      <c r="K253" s="26">
        <f>SUM(H$17:H253)/H$320</f>
        <v>0.89439337493936422</v>
      </c>
      <c r="L253" s="26"/>
      <c r="M253" s="26"/>
      <c r="N253" s="27">
        <f t="shared" si="34"/>
        <v>0.40317600047263813</v>
      </c>
      <c r="O253" s="27">
        <f t="shared" si="35"/>
        <v>0</v>
      </c>
      <c r="P253" s="26">
        <f t="shared" si="36"/>
        <v>0.40317600047263813</v>
      </c>
      <c r="Q253" s="26">
        <f>IF(N$320=0,0,SUM(N$17:N253)/N$320)</f>
        <v>0.89256121479491779</v>
      </c>
      <c r="R253" s="26">
        <f>IF(O$320=0,0,SUM(O$17:O253)/O$320)</f>
        <v>0</v>
      </c>
      <c r="S253" s="26">
        <f>SUM(P$17:P253)/P$320</f>
        <v>0.89256121479491779</v>
      </c>
    </row>
    <row r="254" spans="1:19" x14ac:dyDescent="0.4">
      <c r="A254" s="6">
        <f t="shared" si="30"/>
        <v>192.2718139654819</v>
      </c>
      <c r="B254" s="25">
        <f t="shared" si="38"/>
        <v>5.8530468250059968E-2</v>
      </c>
      <c r="C254" s="25">
        <f t="shared" si="38"/>
        <v>0</v>
      </c>
      <c r="D254" s="27">
        <f t="shared" si="32"/>
        <v>5.8530468250059968E-2</v>
      </c>
      <c r="E254" s="27"/>
      <c r="F254" s="26">
        <f t="shared" si="33"/>
        <v>0.39478023406809082</v>
      </c>
      <c r="G254" s="26">
        <f t="shared" si="33"/>
        <v>0</v>
      </c>
      <c r="H254" s="26">
        <f t="shared" si="33"/>
        <v>0.39478023406809082</v>
      </c>
      <c r="I254" s="26">
        <f>IF(F$320=0,0,SUM(F$17:F254)/F$320)</f>
        <v>0.89829273257165865</v>
      </c>
      <c r="J254" s="26">
        <f>IF(G$320=0,0,SUM(G$17:G254)/G$320)</f>
        <v>0</v>
      </c>
      <c r="K254" s="26">
        <f>SUM(H$17:H254)/H$320</f>
        <v>0.89829273257165865</v>
      </c>
      <c r="L254" s="26"/>
      <c r="M254" s="26"/>
      <c r="N254" s="27">
        <f t="shared" si="34"/>
        <v>0.39304880851747104</v>
      </c>
      <c r="O254" s="27">
        <f t="shared" si="35"/>
        <v>0</v>
      </c>
      <c r="P254" s="26">
        <f t="shared" si="36"/>
        <v>0.39304880851747104</v>
      </c>
      <c r="Q254" s="26">
        <f>IF(N$320=0,0,SUM(N$17:N254)/N$320)</f>
        <v>0.89651145407650046</v>
      </c>
      <c r="R254" s="26">
        <f>IF(O$320=0,0,SUM(O$17:O254)/O$320)</f>
        <v>0</v>
      </c>
      <c r="S254" s="26">
        <f>SUM(P$17:P254)/P$320</f>
        <v>0.89651145407650046</v>
      </c>
    </row>
    <row r="255" spans="1:19" x14ac:dyDescent="0.4">
      <c r="A255" s="6">
        <f t="shared" si="30"/>
        <v>199.01668114100951</v>
      </c>
      <c r="B255" s="25">
        <f t="shared" si="38"/>
        <v>5.5090236703633513E-2</v>
      </c>
      <c r="C255" s="25">
        <f t="shared" si="38"/>
        <v>0</v>
      </c>
      <c r="D255" s="27">
        <f t="shared" si="32"/>
        <v>5.5090236703633513E-2</v>
      </c>
      <c r="E255" s="27"/>
      <c r="F255" s="26">
        <f t="shared" si="33"/>
        <v>0.38461117263950068</v>
      </c>
      <c r="G255" s="26">
        <f t="shared" si="33"/>
        <v>0</v>
      </c>
      <c r="H255" s="26">
        <f t="shared" si="33"/>
        <v>0.38461117263950068</v>
      </c>
      <c r="I255" s="26">
        <f>IF(F$320=0,0,SUM(F$17:F255)/F$320)</f>
        <v>0.90209164746677173</v>
      </c>
      <c r="J255" s="26">
        <f>IF(G$320=0,0,SUM(G$17:G255)/G$320)</f>
        <v>0</v>
      </c>
      <c r="K255" s="26">
        <f>SUM(H$17:H255)/H$320</f>
        <v>0.90209164746677173</v>
      </c>
      <c r="L255" s="26"/>
      <c r="M255" s="26"/>
      <c r="N255" s="27">
        <f t="shared" si="34"/>
        <v>0.3830084544362955</v>
      </c>
      <c r="O255" s="27">
        <f t="shared" si="35"/>
        <v>0</v>
      </c>
      <c r="P255" s="26">
        <f t="shared" si="36"/>
        <v>0.3830084544362955</v>
      </c>
      <c r="Q255" s="26">
        <f>IF(N$320=0,0,SUM(N$17:N255)/N$320)</f>
        <v>0.90036078527686525</v>
      </c>
      <c r="R255" s="26">
        <f>IF(O$320=0,0,SUM(O$17:O255)/O$320)</f>
        <v>0</v>
      </c>
      <c r="S255" s="26">
        <f>SUM(P$17:P255)/P$320</f>
        <v>0.90036078527686525</v>
      </c>
    </row>
    <row r="256" spans="1:19" x14ac:dyDescent="0.4">
      <c r="A256" s="6">
        <f t="shared" si="30"/>
        <v>205.99815727277087</v>
      </c>
      <c r="B256" s="25">
        <f t="shared" si="38"/>
        <v>5.1829537809275593E-2</v>
      </c>
      <c r="C256" s="25">
        <f t="shared" si="38"/>
        <v>0</v>
      </c>
      <c r="D256" s="27">
        <f t="shared" si="32"/>
        <v>5.1829537809275593E-2</v>
      </c>
      <c r="E256" s="27"/>
      <c r="F256" s="26">
        <f t="shared" si="33"/>
        <v>0.37454020990533221</v>
      </c>
      <c r="G256" s="26">
        <f t="shared" si="33"/>
        <v>0</v>
      </c>
      <c r="H256" s="26">
        <f t="shared" si="33"/>
        <v>0.37454020990533221</v>
      </c>
      <c r="I256" s="26">
        <f>IF(F$320=0,0,SUM(F$17:F256)/F$320)</f>
        <v>0.90579108857365254</v>
      </c>
      <c r="J256" s="26">
        <f>IF(G$320=0,0,SUM(G$17:G256)/G$320)</f>
        <v>0</v>
      </c>
      <c r="K256" s="26">
        <f>SUM(H$17:H256)/H$320</f>
        <v>0.90579108857365254</v>
      </c>
      <c r="L256" s="26"/>
      <c r="M256" s="26"/>
      <c r="N256" s="27">
        <f t="shared" si="34"/>
        <v>0.37306138804895639</v>
      </c>
      <c r="O256" s="27">
        <f t="shared" si="35"/>
        <v>0</v>
      </c>
      <c r="P256" s="26">
        <f t="shared" si="36"/>
        <v>0.37306138804895639</v>
      </c>
      <c r="Q256" s="26">
        <f>IF(N$320=0,0,SUM(N$17:N256)/N$320)</f>
        <v>0.90411014596077433</v>
      </c>
      <c r="R256" s="26">
        <f>IF(O$320=0,0,SUM(O$17:O256)/O$320)</f>
        <v>0</v>
      </c>
      <c r="S256" s="26">
        <f>SUM(P$17:P256)/P$320</f>
        <v>0.90411014596077433</v>
      </c>
    </row>
    <row r="257" spans="1:19" x14ac:dyDescent="0.4">
      <c r="A257" s="6">
        <f t="shared" si="30"/>
        <v>213.22454256842178</v>
      </c>
      <c r="B257" s="25">
        <f t="shared" si="38"/>
        <v>4.8740512502909367E-2</v>
      </c>
      <c r="C257" s="25">
        <f t="shared" si="38"/>
        <v>0</v>
      </c>
      <c r="D257" s="27">
        <f t="shared" si="32"/>
        <v>4.8740512502909367E-2</v>
      </c>
      <c r="E257" s="27"/>
      <c r="F257" s="26">
        <f t="shared" si="33"/>
        <v>0.3645734691718065</v>
      </c>
      <c r="G257" s="26">
        <f t="shared" si="33"/>
        <v>0</v>
      </c>
      <c r="H257" s="26">
        <f t="shared" si="33"/>
        <v>0.3645734691718065</v>
      </c>
      <c r="I257" s="26">
        <f>IF(F$320=0,0,SUM(F$17:F257)/F$320)</f>
        <v>0.90939208532290206</v>
      </c>
      <c r="J257" s="26">
        <f>IF(G$320=0,0,SUM(G$17:G257)/G$320)</f>
        <v>0</v>
      </c>
      <c r="K257" s="26">
        <f>SUM(H$17:H257)/H$320</f>
        <v>0.90939208532290206</v>
      </c>
      <c r="L257" s="26"/>
      <c r="M257" s="26"/>
      <c r="N257" s="27">
        <f t="shared" si="34"/>
        <v>0.36321377227757079</v>
      </c>
      <c r="O257" s="27">
        <f t="shared" si="35"/>
        <v>0</v>
      </c>
      <c r="P257" s="26">
        <f t="shared" si="36"/>
        <v>0.36321377227757079</v>
      </c>
      <c r="Q257" s="26">
        <f>IF(N$320=0,0,SUM(N$17:N257)/N$320)</f>
        <v>0.90776053563190573</v>
      </c>
      <c r="R257" s="26">
        <f>IF(O$320=0,0,SUM(O$17:O257)/O$320)</f>
        <v>0</v>
      </c>
      <c r="S257" s="26">
        <f>SUM(P$17:P257)/P$320</f>
        <v>0.90776053563190573</v>
      </c>
    </row>
    <row r="258" spans="1:19" x14ac:dyDescent="0.4">
      <c r="A258" s="6">
        <f t="shared" si="30"/>
        <v>220.70442840569206</v>
      </c>
      <c r="B258" s="25">
        <f t="shared" ref="B258:C273" si="39">C$4*EXP(-0.5*(LN($A258)-LN(C$5))^2/(LN(C$6))^2)/($A258*SQRT(2*PI())*LN(C$6))</f>
        <v>4.5815550016491589E-2</v>
      </c>
      <c r="C258" s="25">
        <f t="shared" si="39"/>
        <v>0</v>
      </c>
      <c r="D258" s="27">
        <f t="shared" si="32"/>
        <v>4.5815550016491589E-2</v>
      </c>
      <c r="E258" s="27"/>
      <c r="F258" s="26">
        <f t="shared" si="33"/>
        <v>0.35471677722134798</v>
      </c>
      <c r="G258" s="26">
        <f t="shared" si="33"/>
        <v>0</v>
      </c>
      <c r="H258" s="26">
        <f t="shared" si="33"/>
        <v>0.35471677722134798</v>
      </c>
      <c r="I258" s="26">
        <f>IF(F$320=0,0,SUM(F$17:F258)/F$320)</f>
        <v>0.91289572469792291</v>
      </c>
      <c r="J258" s="26">
        <f>IF(G$320=0,0,SUM(G$17:G258)/G$320)</f>
        <v>0</v>
      </c>
      <c r="K258" s="26">
        <f>SUM(H$17:H258)/H$320</f>
        <v>0.91289572469792291</v>
      </c>
      <c r="L258" s="26"/>
      <c r="M258" s="26"/>
      <c r="N258" s="27">
        <f t="shared" si="34"/>
        <v>0.35347147995923311</v>
      </c>
      <c r="O258" s="27">
        <f t="shared" si="35"/>
        <v>0</v>
      </c>
      <c r="P258" s="26">
        <f t="shared" si="36"/>
        <v>0.35347147995923311</v>
      </c>
      <c r="Q258" s="26">
        <f>IF(N$320=0,0,SUM(N$17:N258)/N$320)</f>
        <v>0.91131301281742572</v>
      </c>
      <c r="R258" s="26">
        <f>IF(O$320=0,0,SUM(O$17:O258)/O$320)</f>
        <v>0</v>
      </c>
      <c r="S258" s="26">
        <f>SUM(P$17:P258)/P$320</f>
        <v>0.91131301281742572</v>
      </c>
    </row>
    <row r="259" spans="1:19" x14ac:dyDescent="0.4">
      <c r="A259" s="6">
        <f t="shared" si="30"/>
        <v>228.44670754658779</v>
      </c>
      <c r="B259" s="25">
        <f t="shared" si="39"/>
        <v>4.3047285991246978E-2</v>
      </c>
      <c r="C259" s="25">
        <f t="shared" si="39"/>
        <v>0</v>
      </c>
      <c r="D259" s="27">
        <f t="shared" si="32"/>
        <v>4.3047285991246978E-2</v>
      </c>
      <c r="E259" s="27"/>
      <c r="F259" s="26">
        <f t="shared" si="33"/>
        <v>0.34497566214821496</v>
      </c>
      <c r="G259" s="26">
        <f t="shared" si="33"/>
        <v>0</v>
      </c>
      <c r="H259" s="26">
        <f t="shared" si="33"/>
        <v>0.34497566214821496</v>
      </c>
      <c r="I259" s="26">
        <f>IF(F$320=0,0,SUM(F$17:F259)/F$320)</f>
        <v>0.91630314828469106</v>
      </c>
      <c r="J259" s="26">
        <f>IF(G$320=0,0,SUM(G$17:G259)/G$320)</f>
        <v>0</v>
      </c>
      <c r="K259" s="26">
        <f>SUM(H$17:H259)/H$320</f>
        <v>0.91630314828469106</v>
      </c>
      <c r="L259" s="26"/>
      <c r="M259" s="26"/>
      <c r="N259" s="27">
        <f t="shared" si="34"/>
        <v>0.34384009136801952</v>
      </c>
      <c r="O259" s="27">
        <f t="shared" si="35"/>
        <v>0</v>
      </c>
      <c r="P259" s="26">
        <f t="shared" si="36"/>
        <v>0.34384009136801952</v>
      </c>
      <c r="Q259" s="26">
        <f>IF(N$320=0,0,SUM(N$17:N259)/N$320)</f>
        <v>0.9147686921276571</v>
      </c>
      <c r="R259" s="26">
        <f>IF(O$320=0,0,SUM(O$17:O259)/O$320)</f>
        <v>0</v>
      </c>
      <c r="S259" s="26">
        <f>SUM(P$17:P259)/P$320</f>
        <v>0.9147686921276571</v>
      </c>
    </row>
    <row r="260" spans="1:19" x14ac:dyDescent="0.4">
      <c r="A260" s="6">
        <f t="shared" si="30"/>
        <v>236.46058470990909</v>
      </c>
      <c r="B260" s="25">
        <f t="shared" si="39"/>
        <v>4.0428600181359998E-2</v>
      </c>
      <c r="C260" s="25">
        <f t="shared" si="39"/>
        <v>0</v>
      </c>
      <c r="D260" s="27">
        <f t="shared" si="32"/>
        <v>4.0428600181359998E-2</v>
      </c>
      <c r="E260" s="27"/>
      <c r="F260" s="26">
        <f t="shared" si="33"/>
        <v>0.33535535189606197</v>
      </c>
      <c r="G260" s="26">
        <f t="shared" si="33"/>
        <v>0</v>
      </c>
      <c r="H260" s="26">
        <f t="shared" si="33"/>
        <v>0.33535535189606197</v>
      </c>
      <c r="I260" s="26">
        <f>IF(F$320=0,0,SUM(F$17:F260)/F$320)</f>
        <v>0.91961554930708145</v>
      </c>
      <c r="J260" s="26">
        <f>IF(G$320=0,0,SUM(G$17:G260)/G$320)</f>
        <v>0</v>
      </c>
      <c r="K260" s="26">
        <f>SUM(H$17:H260)/H$320</f>
        <v>0.91961554930708145</v>
      </c>
      <c r="L260" s="26"/>
      <c r="M260" s="26"/>
      <c r="N260" s="27">
        <f t="shared" si="34"/>
        <v>0.33432489243382379</v>
      </c>
      <c r="O260" s="27">
        <f t="shared" si="35"/>
        <v>0</v>
      </c>
      <c r="P260" s="26">
        <f t="shared" si="36"/>
        <v>0.33432489243382379</v>
      </c>
      <c r="Q260" s="26">
        <f>IF(N$320=0,0,SUM(N$17:N260)/N$320)</f>
        <v>0.91812874129784627</v>
      </c>
      <c r="R260" s="26">
        <f>IF(O$320=0,0,SUM(O$17:O260)/O$320)</f>
        <v>0</v>
      </c>
      <c r="S260" s="26">
        <f>SUM(P$17:P260)/P$320</f>
        <v>0.91812874129784627</v>
      </c>
    </row>
    <row r="261" spans="1:19" x14ac:dyDescent="0.4">
      <c r="A261" s="6">
        <f t="shared" si="30"/>
        <v>244.75558751464831</v>
      </c>
      <c r="B261" s="25">
        <f t="shared" si="39"/>
        <v>3.7952613778537654E-2</v>
      </c>
      <c r="C261" s="25">
        <f t="shared" si="39"/>
        <v>0</v>
      </c>
      <c r="D261" s="27">
        <f t="shared" si="32"/>
        <v>3.7952613778537654E-2</v>
      </c>
      <c r="E261" s="27"/>
      <c r="F261" s="26">
        <f t="shared" si="33"/>
        <v>0.32586077348256509</v>
      </c>
      <c r="G261" s="26">
        <f t="shared" si="33"/>
        <v>0</v>
      </c>
      <c r="H261" s="26">
        <f t="shared" si="33"/>
        <v>0.32586077348256509</v>
      </c>
      <c r="I261" s="26">
        <f>IF(F$320=0,0,SUM(F$17:F261)/F$320)</f>
        <v>0.92283416965453646</v>
      </c>
      <c r="J261" s="26">
        <f>IF(G$320=0,0,SUM(G$17:G261)/G$320)</f>
        <v>0</v>
      </c>
      <c r="K261" s="26">
        <f>SUM(H$17:H261)/H$320</f>
        <v>0.92283416965453646</v>
      </c>
      <c r="L261" s="26"/>
      <c r="M261" s="26"/>
      <c r="N261" s="27">
        <f t="shared" si="34"/>
        <v>0.32493087364398043</v>
      </c>
      <c r="O261" s="27">
        <f t="shared" si="35"/>
        <v>0</v>
      </c>
      <c r="P261" s="26">
        <f t="shared" si="36"/>
        <v>0.32493087364398043</v>
      </c>
      <c r="Q261" s="26">
        <f>IF(N$320=0,0,SUM(N$17:N261)/N$320)</f>
        <v>0.92139437821889136</v>
      </c>
      <c r="R261" s="26">
        <f>IF(O$320=0,0,SUM(O$17:O261)/O$320)</f>
        <v>0</v>
      </c>
      <c r="S261" s="26">
        <f>SUM(P$17:P261)/P$320</f>
        <v>0.92139437821889136</v>
      </c>
    </row>
    <row r="262" spans="1:19" x14ac:dyDescent="0.4">
      <c r="A262" s="6">
        <f t="shared" si="30"/>
        <v>253.34157780728108</v>
      </c>
      <c r="B262" s="25">
        <f t="shared" si="39"/>
        <v>3.5612686387149081E-2</v>
      </c>
      <c r="C262" s="25">
        <f t="shared" si="39"/>
        <v>0</v>
      </c>
      <c r="D262" s="27">
        <f t="shared" si="32"/>
        <v>3.5612686387149081E-2</v>
      </c>
      <c r="E262" s="27"/>
      <c r="F262" s="26">
        <f t="shared" si="33"/>
        <v>0.31649655289422912</v>
      </c>
      <c r="G262" s="26">
        <f t="shared" si="33"/>
        <v>0</v>
      </c>
      <c r="H262" s="26">
        <f t="shared" si="33"/>
        <v>0.31649655289422912</v>
      </c>
      <c r="I262" s="26">
        <f>IF(F$320=0,0,SUM(F$17:F262)/F$320)</f>
        <v>0.92596029690869408</v>
      </c>
      <c r="J262" s="26">
        <f>IF(G$320=0,0,SUM(G$17:G262)/G$320)</f>
        <v>0</v>
      </c>
      <c r="K262" s="26">
        <f>SUM(H$17:H262)/H$320</f>
        <v>0.92596029690869408</v>
      </c>
      <c r="L262" s="26"/>
      <c r="M262" s="26"/>
      <c r="N262" s="27">
        <f t="shared" si="34"/>
        <v>0.31566272961184305</v>
      </c>
      <c r="O262" s="27">
        <f t="shared" si="35"/>
        <v>0</v>
      </c>
      <c r="P262" s="26">
        <f t="shared" si="36"/>
        <v>0.31566272961184305</v>
      </c>
      <c r="Q262" s="26">
        <f>IF(N$320=0,0,SUM(N$17:N262)/N$320)</f>
        <v>0.924566867963734</v>
      </c>
      <c r="R262" s="26">
        <f>IF(O$320=0,0,SUM(O$17:O262)/O$320)</f>
        <v>0</v>
      </c>
      <c r="S262" s="26">
        <f>SUM(P$17:P262)/P$320</f>
        <v>0.924566867963734</v>
      </c>
    </row>
    <row r="263" spans="1:19" x14ac:dyDescent="0.4">
      <c r="A263" s="6">
        <f t="shared" si="30"/>
        <v>262.2287633864189</v>
      </c>
      <c r="B263" s="25">
        <f t="shared" si="39"/>
        <v>3.3402412678883081E-2</v>
      </c>
      <c r="C263" s="25">
        <f t="shared" si="39"/>
        <v>0</v>
      </c>
      <c r="D263" s="27">
        <f t="shared" si="32"/>
        <v>3.3402412678883081E-2</v>
      </c>
      <c r="E263" s="27"/>
      <c r="F263" s="26">
        <f t="shared" si="33"/>
        <v>0.30726701563272507</v>
      </c>
      <c r="G263" s="26">
        <f t="shared" si="33"/>
        <v>0</v>
      </c>
      <c r="H263" s="26">
        <f t="shared" si="33"/>
        <v>0.30726701563272507</v>
      </c>
      <c r="I263" s="26">
        <f>IF(F$320=0,0,SUM(F$17:F263)/F$320)</f>
        <v>0.92899526137541355</v>
      </c>
      <c r="J263" s="26">
        <f>IF(G$320=0,0,SUM(G$17:G263)/G$320)</f>
        <v>0</v>
      </c>
      <c r="K263" s="26">
        <f>SUM(H$17:H263)/H$320</f>
        <v>0.92899526137541355</v>
      </c>
      <c r="L263" s="26"/>
      <c r="M263" s="26"/>
      <c r="N263" s="27">
        <f t="shared" si="34"/>
        <v>0.3065248592953207</v>
      </c>
      <c r="O263" s="27">
        <f t="shared" si="35"/>
        <v>0</v>
      </c>
      <c r="P263" s="26">
        <f t="shared" si="36"/>
        <v>0.3065248592953207</v>
      </c>
      <c r="Q263" s="26">
        <f>IF(N$320=0,0,SUM(N$17:N263)/N$320)</f>
        <v>0.92764751981594828</v>
      </c>
      <c r="R263" s="26">
        <f>IF(O$320=0,0,SUM(O$17:O263)/O$320)</f>
        <v>0</v>
      </c>
      <c r="S263" s="26">
        <f>SUM(P$17:P263)/P$320</f>
        <v>0.92764751981594828</v>
      </c>
    </row>
    <row r="264" spans="1:19" x14ac:dyDescent="0.4">
      <c r="A264" s="6">
        <f t="shared" si="30"/>
        <v>271.4277101387587</v>
      </c>
      <c r="B264" s="25">
        <f t="shared" si="39"/>
        <v>3.1315618755051455E-2</v>
      </c>
      <c r="C264" s="25">
        <f t="shared" si="39"/>
        <v>0</v>
      </c>
      <c r="D264" s="27">
        <f t="shared" si="32"/>
        <v>3.1315618755051455E-2</v>
      </c>
      <c r="E264" s="27"/>
      <c r="F264" s="26">
        <f t="shared" si="33"/>
        <v>0.29817618789321504</v>
      </c>
      <c r="G264" s="26">
        <f t="shared" si="33"/>
        <v>0</v>
      </c>
      <c r="H264" s="26">
        <f t="shared" si="33"/>
        <v>0.29817618789321504</v>
      </c>
      <c r="I264" s="26">
        <f>IF(F$320=0,0,SUM(F$17:F264)/F$320)</f>
        <v>0.93194043312843844</v>
      </c>
      <c r="J264" s="26">
        <f>IF(G$320=0,0,SUM(G$17:G264)/G$320)</f>
        <v>0</v>
      </c>
      <c r="K264" s="26">
        <f>SUM(H$17:H264)/H$320</f>
        <v>0.93194043312843844</v>
      </c>
      <c r="L264" s="26"/>
      <c r="M264" s="26"/>
      <c r="N264" s="27">
        <f t="shared" si="34"/>
        <v>0.29752136684599861</v>
      </c>
      <c r="O264" s="27">
        <f t="shared" si="35"/>
        <v>0</v>
      </c>
      <c r="P264" s="26">
        <f t="shared" si="36"/>
        <v>0.29752136684599861</v>
      </c>
      <c r="Q264" s="26">
        <f>IF(N$320=0,0,SUM(N$17:N264)/N$320)</f>
        <v>0.93063768430686278</v>
      </c>
      <c r="R264" s="26">
        <f>IF(O$320=0,0,SUM(O$17:O264)/O$320)</f>
        <v>0</v>
      </c>
      <c r="S264" s="26">
        <f>SUM(P$17:P264)/P$320</f>
        <v>0.93063768430686278</v>
      </c>
    </row>
    <row r="265" spans="1:19" x14ac:dyDescent="0.4">
      <c r="A265" s="6">
        <f t="shared" si="30"/>
        <v>280.94935460076113</v>
      </c>
      <c r="B265" s="25">
        <f t="shared" si="39"/>
        <v>2.9346358243801881E-2</v>
      </c>
      <c r="C265" s="25">
        <f t="shared" si="39"/>
        <v>0</v>
      </c>
      <c r="D265" s="27">
        <f t="shared" si="32"/>
        <v>2.9346358243801881E-2</v>
      </c>
      <c r="E265" s="27"/>
      <c r="F265" s="26">
        <f t="shared" si="33"/>
        <v>0.28922779835320805</v>
      </c>
      <c r="G265" s="26">
        <f t="shared" si="33"/>
        <v>0</v>
      </c>
      <c r="H265" s="26">
        <f t="shared" si="33"/>
        <v>0.28922779835320805</v>
      </c>
      <c r="I265" s="26">
        <f>IF(F$320=0,0,SUM(F$17:F265)/F$320)</f>
        <v>0.93479721907072999</v>
      </c>
      <c r="J265" s="26">
        <f>IF(G$320=0,0,SUM(G$17:G265)/G$320)</f>
        <v>0</v>
      </c>
      <c r="K265" s="26">
        <f>SUM(H$17:H265)/H$320</f>
        <v>0.93479721907072999</v>
      </c>
      <c r="L265" s="26"/>
      <c r="M265" s="26"/>
      <c r="N265" s="27">
        <f t="shared" si="34"/>
        <v>0.28865606306912595</v>
      </c>
      <c r="O265" s="27">
        <f t="shared" si="35"/>
        <v>0</v>
      </c>
      <c r="P265" s="26">
        <f t="shared" si="36"/>
        <v>0.28865606306912595</v>
      </c>
      <c r="Q265" s="26">
        <f>IF(N$320=0,0,SUM(N$17:N265)/N$320)</f>
        <v>0.93353875026735655</v>
      </c>
      <c r="R265" s="26">
        <f>IF(O$320=0,0,SUM(O$17:O265)/O$320)</f>
        <v>0</v>
      </c>
      <c r="S265" s="26">
        <f>SUM(P$17:P265)/P$320</f>
        <v>0.93353875026735655</v>
      </c>
    </row>
    <row r="266" spans="1:19" x14ac:dyDescent="0.4">
      <c r="A266" s="6">
        <f t="shared" si="30"/>
        <v>290.80501696098924</v>
      </c>
      <c r="B266" s="25">
        <f t="shared" si="39"/>
        <v>2.7488908158606124E-2</v>
      </c>
      <c r="C266" s="25">
        <f t="shared" si="39"/>
        <v>0</v>
      </c>
      <c r="D266" s="27">
        <f t="shared" si="32"/>
        <v>2.7488908158606124E-2</v>
      </c>
      <c r="E266" s="27"/>
      <c r="F266" s="26">
        <f t="shared" si="33"/>
        <v>0.28042528054974336</v>
      </c>
      <c r="G266" s="26">
        <f t="shared" si="33"/>
        <v>0</v>
      </c>
      <c r="H266" s="26">
        <f t="shared" si="33"/>
        <v>0.28042528054974336</v>
      </c>
      <c r="I266" s="26">
        <f>IF(F$320=0,0,SUM(F$17:F266)/F$320)</f>
        <v>0.93756706001928003</v>
      </c>
      <c r="J266" s="26">
        <f>IF(G$320=0,0,SUM(G$17:G266)/G$320)</f>
        <v>0</v>
      </c>
      <c r="K266" s="26">
        <f>SUM(H$17:H266)/H$320</f>
        <v>0.93756706001928003</v>
      </c>
      <c r="L266" s="26"/>
      <c r="M266" s="26"/>
      <c r="N266" s="27">
        <f t="shared" si="34"/>
        <v>0.27993246747280986</v>
      </c>
      <c r="O266" s="27">
        <f t="shared" si="35"/>
        <v>0</v>
      </c>
      <c r="P266" s="26">
        <f t="shared" si="36"/>
        <v>0.27993246747280986</v>
      </c>
      <c r="Q266" s="26">
        <f>IF(N$320=0,0,SUM(N$17:N266)/N$320)</f>
        <v>0.93635214190024907</v>
      </c>
      <c r="R266" s="26">
        <f>IF(O$320=0,0,SUM(O$17:O266)/O$320)</f>
        <v>0</v>
      </c>
      <c r="S266" s="26">
        <f>SUM(P$17:P266)/P$320</f>
        <v>0.93635214190024907</v>
      </c>
    </row>
    <row r="267" spans="1:19" x14ac:dyDescent="0.4">
      <c r="A267" s="6">
        <f t="shared" si="30"/>
        <v>301.00641451856916</v>
      </c>
      <c r="B267" s="25">
        <f t="shared" si="39"/>
        <v>2.5737764543453598E-2</v>
      </c>
      <c r="C267" s="25">
        <f t="shared" si="39"/>
        <v>0</v>
      </c>
      <c r="D267" s="27">
        <f t="shared" si="32"/>
        <v>2.5737764543453598E-2</v>
      </c>
      <c r="E267" s="27"/>
      <c r="F267" s="26">
        <f t="shared" si="33"/>
        <v>0.27177177582115547</v>
      </c>
      <c r="G267" s="26">
        <f t="shared" si="33"/>
        <v>0</v>
      </c>
      <c r="H267" s="26">
        <f t="shared" si="33"/>
        <v>0.27177177582115547</v>
      </c>
      <c r="I267" s="26">
        <f>IF(F$320=0,0,SUM(F$17:F267)/F$320)</f>
        <v>0.94025142781898008</v>
      </c>
      <c r="J267" s="26">
        <f>IF(G$320=0,0,SUM(G$17:G267)/G$320)</f>
        <v>0</v>
      </c>
      <c r="K267" s="26">
        <f>SUM(H$17:H267)/H$320</f>
        <v>0.94025142781898008</v>
      </c>
      <c r="L267" s="26"/>
      <c r="M267" s="26"/>
      <c r="N267" s="27">
        <f t="shared" si="34"/>
        <v>0.27135381088384536</v>
      </c>
      <c r="O267" s="27">
        <f t="shared" si="35"/>
        <v>0</v>
      </c>
      <c r="P267" s="26">
        <f t="shared" si="36"/>
        <v>0.27135381088384536</v>
      </c>
      <c r="Q267" s="26">
        <f>IF(N$320=0,0,SUM(N$17:N267)/N$320)</f>
        <v>0.93907931587898119</v>
      </c>
      <c r="R267" s="26">
        <f>IF(O$320=0,0,SUM(O$17:O267)/O$320)</f>
        <v>0</v>
      </c>
      <c r="S267" s="26">
        <f>SUM(P$17:P267)/P$320</f>
        <v>0.93907931587898119</v>
      </c>
    </row>
    <row r="268" spans="1:19" x14ac:dyDescent="0.4">
      <c r="A268" s="6">
        <f t="shared" si="30"/>
        <v>311.56567561377102</v>
      </c>
      <c r="B268" s="25">
        <f t="shared" si="39"/>
        <v>2.4087637929220272E-2</v>
      </c>
      <c r="C268" s="25">
        <f t="shared" si="39"/>
        <v>0</v>
      </c>
      <c r="D268" s="27">
        <f t="shared" si="32"/>
        <v>2.4087637929220272E-2</v>
      </c>
      <c r="E268" s="27"/>
      <c r="F268" s="26">
        <f t="shared" si="33"/>
        <v>0.26327013678894962</v>
      </c>
      <c r="G268" s="26">
        <f t="shared" si="33"/>
        <v>0</v>
      </c>
      <c r="H268" s="26">
        <f t="shared" si="33"/>
        <v>0.26327013678894962</v>
      </c>
      <c r="I268" s="26">
        <f>IF(F$320=0,0,SUM(F$17:F268)/F$320)</f>
        <v>0.94285182249088284</v>
      </c>
      <c r="J268" s="26">
        <f>IF(G$320=0,0,SUM(G$17:G268)/G$320)</f>
        <v>0</v>
      </c>
      <c r="K268" s="26">
        <f>SUM(H$17:H268)/H$320</f>
        <v>0.94285182249088284</v>
      </c>
      <c r="L268" s="26"/>
      <c r="M268" s="26"/>
      <c r="N268" s="27">
        <f t="shared" si="34"/>
        <v>0.26292303860659949</v>
      </c>
      <c r="O268" s="27">
        <f t="shared" si="35"/>
        <v>0</v>
      </c>
      <c r="P268" s="26">
        <f t="shared" si="36"/>
        <v>0.26292303860659949</v>
      </c>
      <c r="Q268" s="26">
        <f>IF(N$320=0,0,SUM(N$17:N268)/N$320)</f>
        <v>0.94172175847804251</v>
      </c>
      <c r="R268" s="26">
        <f>IF(O$320=0,0,SUM(O$17:O268)/O$320)</f>
        <v>0</v>
      </c>
      <c r="S268" s="26">
        <f>SUM(P$17:P268)/P$320</f>
        <v>0.94172175847804251</v>
      </c>
    </row>
    <row r="269" spans="1:19" x14ac:dyDescent="0.4">
      <c r="A269" s="6">
        <f t="shared" si="30"/>
        <v>322.49535404727078</v>
      </c>
      <c r="B269" s="25">
        <f t="shared" si="39"/>
        <v>2.2533448624698332E-2</v>
      </c>
      <c r="C269" s="25">
        <f t="shared" si="39"/>
        <v>0</v>
      </c>
      <c r="D269" s="27">
        <f t="shared" si="32"/>
        <v>2.2533448624698332E-2</v>
      </c>
      <c r="E269" s="27"/>
      <c r="F269" s="26">
        <f t="shared" si="33"/>
        <v>0.25492293135451066</v>
      </c>
      <c r="G269" s="26">
        <f t="shared" si="33"/>
        <v>0</v>
      </c>
      <c r="H269" s="26">
        <f t="shared" si="33"/>
        <v>0.25492293135451066</v>
      </c>
      <c r="I269" s="26">
        <f>IF(F$320=0,0,SUM(F$17:F269)/F$320)</f>
        <v>0.94536976941993967</v>
      </c>
      <c r="J269" s="26">
        <f>IF(G$320=0,0,SUM(G$17:G269)/G$320)</f>
        <v>0</v>
      </c>
      <c r="K269" s="26">
        <f>SUM(H$17:H269)/H$320</f>
        <v>0.94536976941993967</v>
      </c>
      <c r="L269" s="26"/>
      <c r="M269" s="26"/>
      <c r="N269" s="27">
        <f t="shared" si="34"/>
        <v>0.254642814100281</v>
      </c>
      <c r="O269" s="27">
        <f t="shared" si="35"/>
        <v>0</v>
      </c>
      <c r="P269" s="26">
        <f t="shared" si="36"/>
        <v>0.254642814100281</v>
      </c>
      <c r="Q269" s="26">
        <f>IF(N$320=0,0,SUM(N$17:N269)/N$320)</f>
        <v>0.94428098274035688</v>
      </c>
      <c r="R269" s="26">
        <f>IF(O$320=0,0,SUM(O$17:O269)/O$320)</f>
        <v>0</v>
      </c>
      <c r="S269" s="26">
        <f>SUM(P$17:P269)/P$320</f>
        <v>0.94428098274035688</v>
      </c>
    </row>
    <row r="270" spans="1:19" x14ac:dyDescent="0.4">
      <c r="A270" s="6">
        <f t="shared" si="30"/>
        <v>333.80844400524091</v>
      </c>
      <c r="B270" s="25">
        <f t="shared" si="39"/>
        <v>2.107032186476971E-2</v>
      </c>
      <c r="C270" s="25">
        <f t="shared" si="39"/>
        <v>0</v>
      </c>
      <c r="D270" s="27">
        <f t="shared" si="32"/>
        <v>2.107032186476971E-2</v>
      </c>
      <c r="E270" s="27"/>
      <c r="F270" s="26">
        <f t="shared" si="33"/>
        <v>0.24673244718415668</v>
      </c>
      <c r="G270" s="26">
        <f t="shared" si="33"/>
        <v>0</v>
      </c>
      <c r="H270" s="26">
        <f t="shared" si="33"/>
        <v>0.24673244718415668</v>
      </c>
      <c r="I270" s="26">
        <f>IF(F$320=0,0,SUM(F$17:F270)/F$320)</f>
        <v>0.94780681658703836</v>
      </c>
      <c r="J270" s="26">
        <f>IF(G$320=0,0,SUM(G$17:G270)/G$320)</f>
        <v>0</v>
      </c>
      <c r="K270" s="26">
        <f>SUM(H$17:H270)/H$320</f>
        <v>0.94780681658703836</v>
      </c>
      <c r="L270" s="26"/>
      <c r="M270" s="26"/>
      <c r="N270" s="27">
        <f t="shared" si="34"/>
        <v>0.24651552314930436</v>
      </c>
      <c r="O270" s="27">
        <f t="shared" si="35"/>
        <v>0</v>
      </c>
      <c r="P270" s="26">
        <f t="shared" si="36"/>
        <v>0.24651552314930436</v>
      </c>
      <c r="Q270" s="26">
        <f>IF(N$320=0,0,SUM(N$17:N270)/N$320)</f>
        <v>0.94675852568658103</v>
      </c>
      <c r="R270" s="26">
        <f>IF(O$320=0,0,SUM(O$17:O270)/O$320)</f>
        <v>0</v>
      </c>
      <c r="S270" s="26">
        <f>SUM(P$17:P270)/P$320</f>
        <v>0.94675852568658103</v>
      </c>
    </row>
    <row r="271" spans="1:19" x14ac:dyDescent="0.4">
      <c r="A271" s="6">
        <f t="shared" si="30"/>
        <v>345.5183955080085</v>
      </c>
      <c r="B271" s="25">
        <f t="shared" si="39"/>
        <v>1.9693582837195078E-2</v>
      </c>
      <c r="C271" s="25">
        <f t="shared" si="39"/>
        <v>0</v>
      </c>
      <c r="D271" s="27">
        <f t="shared" si="32"/>
        <v>1.9693582837195078E-2</v>
      </c>
      <c r="E271" s="27"/>
      <c r="F271" s="26">
        <f t="shared" si="33"/>
        <v>0.23870069665592081</v>
      </c>
      <c r="G271" s="26">
        <f t="shared" si="33"/>
        <v>0</v>
      </c>
      <c r="H271" s="26">
        <f t="shared" si="33"/>
        <v>0.23870069665592081</v>
      </c>
      <c r="I271" s="26">
        <f>IF(F$320=0,0,SUM(F$17:F271)/F$320)</f>
        <v>0.95016453184990224</v>
      </c>
      <c r="J271" s="26">
        <f>IF(G$320=0,0,SUM(G$17:G271)/G$320)</f>
        <v>0</v>
      </c>
      <c r="K271" s="26">
        <f>SUM(H$17:H271)/H$320</f>
        <v>0.95016453184990224</v>
      </c>
      <c r="L271" s="26"/>
      <c r="M271" s="26"/>
      <c r="N271" s="27">
        <f t="shared" si="34"/>
        <v>0.23854327850061363</v>
      </c>
      <c r="O271" s="27">
        <f t="shared" si="35"/>
        <v>0</v>
      </c>
      <c r="P271" s="26">
        <f t="shared" si="36"/>
        <v>0.23854327850061363</v>
      </c>
      <c r="Q271" s="26">
        <f>IF(N$320=0,0,SUM(N$17:N271)/N$320)</f>
        <v>0.94915594557100924</v>
      </c>
      <c r="R271" s="26">
        <f>IF(O$320=0,0,SUM(O$17:O271)/O$320)</f>
        <v>0</v>
      </c>
      <c r="S271" s="26">
        <f>SUM(P$17:P271)/P$320</f>
        <v>0.94915594557100924</v>
      </c>
    </row>
    <row r="272" spans="1:19" x14ac:dyDescent="0.4">
      <c r="A272" s="6">
        <f t="shared" si="30"/>
        <v>357.63913040065023</v>
      </c>
      <c r="B272" s="25">
        <f t="shared" si="39"/>
        <v>1.8398751608466976E-2</v>
      </c>
      <c r="C272" s="25">
        <f t="shared" si="39"/>
        <v>0</v>
      </c>
      <c r="D272" s="27">
        <f t="shared" si="32"/>
        <v>1.8398751608466976E-2</v>
      </c>
      <c r="E272" s="27"/>
      <c r="F272" s="26">
        <f t="shared" si="33"/>
        <v>0.23082942224060077</v>
      </c>
      <c r="G272" s="26">
        <f t="shared" si="33"/>
        <v>0</v>
      </c>
      <c r="H272" s="26">
        <f t="shared" si="33"/>
        <v>0.23082942224060077</v>
      </c>
      <c r="I272" s="26">
        <f>IF(F$320=0,0,SUM(F$17:F272)/F$320)</f>
        <v>0.95244450027713801</v>
      </c>
      <c r="J272" s="26">
        <f>IF(G$320=0,0,SUM(G$17:G272)/G$320)</f>
        <v>0</v>
      </c>
      <c r="K272" s="26">
        <f>SUM(H$17:H272)/H$320</f>
        <v>0.95244450027713801</v>
      </c>
      <c r="L272" s="26"/>
      <c r="M272" s="26"/>
      <c r="N272" s="27">
        <f t="shared" si="34"/>
        <v>0.23072792494133187</v>
      </c>
      <c r="O272" s="27">
        <f t="shared" si="35"/>
        <v>0</v>
      </c>
      <c r="P272" s="26">
        <f t="shared" si="36"/>
        <v>0.23072792494133187</v>
      </c>
      <c r="Q272" s="26">
        <f>IF(N$320=0,0,SUM(N$17:N272)/N$320)</f>
        <v>0.95147481918851018</v>
      </c>
      <c r="R272" s="26">
        <f>IF(O$320=0,0,SUM(O$17:O272)/O$320)</f>
        <v>0</v>
      </c>
      <c r="S272" s="26">
        <f>SUM(P$17:P272)/P$320</f>
        <v>0.95147481918851018</v>
      </c>
    </row>
    <row r="273" spans="1:19" x14ac:dyDescent="0.4">
      <c r="A273" s="6">
        <f t="shared" si="30"/>
        <v>370.18505890453713</v>
      </c>
      <c r="B273" s="25">
        <f t="shared" si="39"/>
        <v>1.718153796815159E-2</v>
      </c>
      <c r="C273" s="25">
        <f t="shared" si="39"/>
        <v>0</v>
      </c>
      <c r="D273" s="27">
        <f t="shared" si="32"/>
        <v>1.718153796815159E-2</v>
      </c>
      <c r="E273" s="27"/>
      <c r="F273" s="26">
        <f t="shared" si="33"/>
        <v>0.22312010228913298</v>
      </c>
      <c r="G273" s="26">
        <f t="shared" si="33"/>
        <v>0</v>
      </c>
      <c r="H273" s="26">
        <f t="shared" si="33"/>
        <v>0.22312010228913298</v>
      </c>
      <c r="I273" s="26">
        <f>IF(F$320=0,0,SUM(F$17:F273)/F$320)</f>
        <v>0.95464832153944923</v>
      </c>
      <c r="J273" s="26">
        <f>IF(G$320=0,0,SUM(G$17:G273)/G$320)</f>
        <v>0</v>
      </c>
      <c r="K273" s="26">
        <f>SUM(H$17:H273)/H$320</f>
        <v>0.95464832153944923</v>
      </c>
      <c r="L273" s="26"/>
      <c r="M273" s="26"/>
      <c r="N273" s="27">
        <f t="shared" si="34"/>
        <v>0.22307104478962447</v>
      </c>
      <c r="O273" s="27">
        <f t="shared" si="35"/>
        <v>0</v>
      </c>
      <c r="P273" s="26">
        <f t="shared" si="36"/>
        <v>0.22307104478962447</v>
      </c>
      <c r="Q273" s="26">
        <f>IF(N$320=0,0,SUM(N$17:N273)/N$320)</f>
        <v>0.95371673923664702</v>
      </c>
      <c r="R273" s="26">
        <f>IF(O$320=0,0,SUM(O$17:O273)/O$320)</f>
        <v>0</v>
      </c>
      <c r="S273" s="26">
        <f>SUM(P$17:P273)/P$320</f>
        <v>0.95371673923664702</v>
      </c>
    </row>
    <row r="274" spans="1:19" x14ac:dyDescent="0.4">
      <c r="A274" s="6">
        <f t="shared" ref="A274:A317" si="40">10^((LOG(A$318)-LOG(A$17))/301+LOG(A273))</f>
        <v>383.17109674950291</v>
      </c>
      <c r="B274" s="25">
        <f t="shared" ref="B274:C289" si="41">C$4*EXP(-0.5*(LN($A274)-LN(C$5))^2/(LN(C$6))^2)/($A274*SQRT(2*PI())*LN(C$6))</f>
        <v>1.6037836210120674E-2</v>
      </c>
      <c r="C274" s="25">
        <f t="shared" si="41"/>
        <v>0</v>
      </c>
      <c r="D274" s="27">
        <f t="shared" ref="D274:D318" si="42">B274+C274</f>
        <v>1.6037836210120674E-2</v>
      </c>
      <c r="E274" s="27"/>
      <c r="F274" s="26">
        <f t="shared" ref="F274:H317" si="43">B274*($A275-$A274)</f>
        <v>0.21557395719828254</v>
      </c>
      <c r="G274" s="26">
        <f t="shared" si="43"/>
        <v>0</v>
      </c>
      <c r="H274" s="26">
        <f t="shared" si="43"/>
        <v>0.21557395719828254</v>
      </c>
      <c r="I274" s="26">
        <f>IF(F$320=0,0,SUM(F$17:F274)/F$320)</f>
        <v>0.95677760736174811</v>
      </c>
      <c r="J274" s="26">
        <f>IF(G$320=0,0,SUM(G$17:G274)/G$320)</f>
        <v>0</v>
      </c>
      <c r="K274" s="26">
        <f>SUM(H$17:H274)/H$320</f>
        <v>0.95677760736174811</v>
      </c>
      <c r="L274" s="26"/>
      <c r="M274" s="26"/>
      <c r="N274" s="27">
        <f t="shared" ref="N274:N318" si="44">C$4*((NORMDIST(LN($A274),LN(C$5),LN(C$6),TRUE))-(NORMDIST(LN($A273),LN(C$5),LN(C$6),TRUE)))</f>
        <v>0.21557396377098748</v>
      </c>
      <c r="O274" s="27">
        <f t="shared" ref="O274:O318" si="45">D$4*((NORMDIST(LN($A274),LN(D$5),LN(D$6),TRUE))-(NORMDIST(LN($A273),LN(D$5),LN(D$6),TRUE)))</f>
        <v>0</v>
      </c>
      <c r="P274" s="26">
        <f t="shared" ref="P274:P318" si="46">N274+O274</f>
        <v>0.21557396377098748</v>
      </c>
      <c r="Q274" s="26">
        <f>IF(N$320=0,0,SUM(N$17:N274)/N$320)</f>
        <v>0.95588331173685803</v>
      </c>
      <c r="R274" s="26">
        <f>IF(O$320=0,0,SUM(O$17:O274)/O$320)</f>
        <v>0</v>
      </c>
      <c r="S274" s="26">
        <f>SUM(P$17:P274)/P$320</f>
        <v>0.95588331173685803</v>
      </c>
    </row>
    <row r="275" spans="1:19" x14ac:dyDescent="0.4">
      <c r="A275" s="6">
        <f t="shared" si="40"/>
        <v>396.61268290700741</v>
      </c>
      <c r="B275" s="25">
        <f t="shared" si="41"/>
        <v>1.4963719868055071E-2</v>
      </c>
      <c r="C275" s="25">
        <f t="shared" si="41"/>
        <v>0</v>
      </c>
      <c r="D275" s="27">
        <f t="shared" si="42"/>
        <v>1.4963719868055071E-2</v>
      </c>
      <c r="E275" s="27"/>
      <c r="F275" s="26">
        <f t="shared" si="43"/>
        <v>0.20819195592616055</v>
      </c>
      <c r="G275" s="26">
        <f t="shared" si="43"/>
        <v>0</v>
      </c>
      <c r="H275" s="26">
        <f t="shared" si="43"/>
        <v>0.20819195592616055</v>
      </c>
      <c r="I275" s="26">
        <f>IF(F$320=0,0,SUM(F$17:F275)/F$320)</f>
        <v>0.95883397903962431</v>
      </c>
      <c r="J275" s="26">
        <f>IF(G$320=0,0,SUM(G$17:G275)/G$320)</f>
        <v>0</v>
      </c>
      <c r="K275" s="26">
        <f>SUM(H$17:H275)/H$320</f>
        <v>0.95883397903962431</v>
      </c>
      <c r="L275" s="26"/>
      <c r="M275" s="26"/>
      <c r="N275" s="27">
        <f t="shared" si="44"/>
        <v>0.20823775725260507</v>
      </c>
      <c r="O275" s="27">
        <f t="shared" si="45"/>
        <v>0</v>
      </c>
      <c r="P275" s="26">
        <f t="shared" si="46"/>
        <v>0.20823775725260507</v>
      </c>
      <c r="Q275" s="26">
        <f>IF(N$320=0,0,SUM(N$17:N275)/N$320)</f>
        <v>0.95797615351829124</v>
      </c>
      <c r="R275" s="26">
        <f>IF(O$320=0,0,SUM(O$17:O275)/O$320)</f>
        <v>0</v>
      </c>
      <c r="S275" s="26">
        <f>SUM(P$17:P275)/P$320</f>
        <v>0.95797615351829124</v>
      </c>
    </row>
    <row r="276" spans="1:19" x14ac:dyDescent="0.4">
      <c r="A276" s="6">
        <f t="shared" si="40"/>
        <v>410.52579794537525</v>
      </c>
      <c r="B276" s="25">
        <f t="shared" si="41"/>
        <v>1.3955436421591185E-2</v>
      </c>
      <c r="C276" s="25">
        <f t="shared" si="41"/>
        <v>0</v>
      </c>
      <c r="D276" s="27">
        <f t="shared" si="42"/>
        <v>1.3955436421591185E-2</v>
      </c>
      <c r="E276" s="27"/>
      <c r="F276" s="26">
        <f t="shared" si="43"/>
        <v>0.20097482282921741</v>
      </c>
      <c r="G276" s="26">
        <f t="shared" si="43"/>
        <v>0</v>
      </c>
      <c r="H276" s="26">
        <f t="shared" si="43"/>
        <v>0.20097482282921741</v>
      </c>
      <c r="I276" s="26">
        <f>IF(F$320=0,0,SUM(F$17:F276)/F$320)</f>
        <v>0.96081906502334402</v>
      </c>
      <c r="J276" s="26">
        <f>IF(G$320=0,0,SUM(G$17:G276)/G$320)</f>
        <v>0</v>
      </c>
      <c r="K276" s="26">
        <f>SUM(H$17:H276)/H$320</f>
        <v>0.96081906502334402</v>
      </c>
      <c r="L276" s="26"/>
      <c r="M276" s="26"/>
      <c r="N276" s="27">
        <f t="shared" si="44"/>
        <v>0.2010632568074544</v>
      </c>
      <c r="O276" s="27">
        <f t="shared" si="45"/>
        <v>0</v>
      </c>
      <c r="P276" s="26">
        <f t="shared" si="46"/>
        <v>0.2010632568074544</v>
      </c>
      <c r="Q276" s="26">
        <f>IF(N$320=0,0,SUM(N$17:N276)/N$320)</f>
        <v>0.95999688976761244</v>
      </c>
      <c r="R276" s="26">
        <f>IF(O$320=0,0,SUM(O$17:O276)/O$320)</f>
        <v>0</v>
      </c>
      <c r="S276" s="26">
        <f>SUM(P$17:P276)/P$320</f>
        <v>0.95999688976761244</v>
      </c>
    </row>
    <row r="277" spans="1:19" x14ac:dyDescent="0.4">
      <c r="A277" s="6">
        <f t="shared" si="40"/>
        <v>424.92698302893729</v>
      </c>
      <c r="B277" s="25">
        <f t="shared" si="41"/>
        <v>1.3009401988481615E-2</v>
      </c>
      <c r="C277" s="25">
        <f t="shared" si="41"/>
        <v>0</v>
      </c>
      <c r="D277" s="27">
        <f t="shared" si="42"/>
        <v>1.3009401988481615E-2</v>
      </c>
      <c r="E277" s="27"/>
      <c r="F277" s="26">
        <f t="shared" si="43"/>
        <v>0.19392304479198347</v>
      </c>
      <c r="G277" s="26">
        <f t="shared" si="43"/>
        <v>0</v>
      </c>
      <c r="H277" s="26">
        <f t="shared" si="43"/>
        <v>0.19392304479198347</v>
      </c>
      <c r="I277" s="26">
        <f>IF(F$320=0,0,SUM(F$17:F277)/F$320)</f>
        <v>0.96273449857227145</v>
      </c>
      <c r="J277" s="26">
        <f>IF(G$320=0,0,SUM(G$17:G277)/G$320)</f>
        <v>0</v>
      </c>
      <c r="K277" s="26">
        <f>SUM(H$17:H277)/H$320</f>
        <v>0.96273449857227145</v>
      </c>
      <c r="L277" s="26"/>
      <c r="M277" s="26"/>
      <c r="N277" s="27">
        <f t="shared" si="44"/>
        <v>0.19405105708032444</v>
      </c>
      <c r="O277" s="27">
        <f t="shared" si="45"/>
        <v>0</v>
      </c>
      <c r="P277" s="26">
        <f t="shared" si="46"/>
        <v>0.19405105708032444</v>
      </c>
      <c r="Q277" s="26">
        <f>IF(N$320=0,0,SUM(N$17:N277)/N$320)</f>
        <v>0.96194715164781674</v>
      </c>
      <c r="R277" s="26">
        <f>IF(O$320=0,0,SUM(O$17:O277)/O$320)</f>
        <v>0</v>
      </c>
      <c r="S277" s="26">
        <f>SUM(P$17:P277)/P$320</f>
        <v>0.96194715164781674</v>
      </c>
    </row>
    <row r="278" spans="1:19" x14ac:dyDescent="0.4">
      <c r="A278" s="6">
        <f t="shared" si="40"/>
        <v>439.8333595836537</v>
      </c>
      <c r="B278" s="25">
        <f t="shared" si="41"/>
        <v>1.2122196017157636E-2</v>
      </c>
      <c r="C278" s="25">
        <f t="shared" si="41"/>
        <v>0</v>
      </c>
      <c r="D278" s="27">
        <f t="shared" si="42"/>
        <v>1.2122196017157636E-2</v>
      </c>
      <c r="E278" s="27"/>
      <c r="F278" s="26">
        <f t="shared" si="43"/>
        <v>0.18703687862147647</v>
      </c>
      <c r="G278" s="26">
        <f t="shared" si="43"/>
        <v>0</v>
      </c>
      <c r="H278" s="26">
        <f t="shared" si="43"/>
        <v>0.18703687862147647</v>
      </c>
      <c r="I278" s="26">
        <f>IF(F$320=0,0,SUM(F$17:F278)/F$320)</f>
        <v>0.96458191548232719</v>
      </c>
      <c r="J278" s="26">
        <f>IF(G$320=0,0,SUM(G$17:G278)/G$320)</f>
        <v>0</v>
      </c>
      <c r="K278" s="26">
        <f>SUM(H$17:H278)/H$320</f>
        <v>0.96458191548232719</v>
      </c>
      <c r="L278" s="26"/>
      <c r="M278" s="26"/>
      <c r="N278" s="27">
        <f t="shared" si="44"/>
        <v>0.18720152292773795</v>
      </c>
      <c r="O278" s="27">
        <f t="shared" si="45"/>
        <v>0</v>
      </c>
      <c r="P278" s="26">
        <f t="shared" si="46"/>
        <v>0.18720152292773795</v>
      </c>
      <c r="Q278" s="26">
        <f>IF(N$320=0,0,SUM(N$17:N278)/N$320)</f>
        <v>0.96382857398879895</v>
      </c>
      <c r="R278" s="26">
        <f>IF(O$320=0,0,SUM(O$17:O278)/O$320)</f>
        <v>0</v>
      </c>
      <c r="S278" s="26">
        <f>SUM(P$17:P278)/P$320</f>
        <v>0.96382857398879895</v>
      </c>
    </row>
    <row r="279" spans="1:19" x14ac:dyDescent="0.4">
      <c r="A279" s="6">
        <f t="shared" si="40"/>
        <v>455.26264965261038</v>
      </c>
      <c r="B279" s="25">
        <f t="shared" si="41"/>
        <v>1.1290555993112185E-2</v>
      </c>
      <c r="C279" s="25">
        <f t="shared" si="41"/>
        <v>0</v>
      </c>
      <c r="D279" s="27">
        <f t="shared" si="42"/>
        <v>1.1290555993112185E-2</v>
      </c>
      <c r="E279" s="27"/>
      <c r="F279" s="26">
        <f t="shared" si="43"/>
        <v>0.18031635867769516</v>
      </c>
      <c r="G279" s="26">
        <f t="shared" si="43"/>
        <v>0</v>
      </c>
      <c r="H279" s="26">
        <f t="shared" si="43"/>
        <v>0.18031635867769516</v>
      </c>
      <c r="I279" s="26">
        <f>IF(F$320=0,0,SUM(F$17:F279)/F$320)</f>
        <v>0.96636295188881594</v>
      </c>
      <c r="J279" s="26">
        <f>IF(G$320=0,0,SUM(G$17:G279)/G$320)</f>
        <v>0</v>
      </c>
      <c r="K279" s="26">
        <f>SUM(H$17:H279)/H$320</f>
        <v>0.96636295188881594</v>
      </c>
      <c r="L279" s="26"/>
      <c r="M279" s="26"/>
      <c r="N279" s="27">
        <f t="shared" si="44"/>
        <v>0.18051479680396554</v>
      </c>
      <c r="O279" s="27">
        <f t="shared" si="45"/>
        <v>0</v>
      </c>
      <c r="P279" s="26">
        <f t="shared" si="46"/>
        <v>0.18051479680396554</v>
      </c>
      <c r="Q279" s="26">
        <f>IF(N$320=0,0,SUM(N$17:N279)/N$320)</f>
        <v>0.96564279305215539</v>
      </c>
      <c r="R279" s="26">
        <f>IF(O$320=0,0,SUM(O$17:O279)/O$320)</f>
        <v>0</v>
      </c>
      <c r="S279" s="26">
        <f>SUM(P$17:P279)/P$320</f>
        <v>0.96564279305215539</v>
      </c>
    </row>
    <row r="280" spans="1:19" x14ac:dyDescent="0.4">
      <c r="A280" s="6">
        <f t="shared" si="40"/>
        <v>471.23319696557684</v>
      </c>
      <c r="B280" s="25">
        <f t="shared" si="41"/>
        <v>1.0511372171576121E-2</v>
      </c>
      <c r="C280" s="25">
        <f t="shared" si="41"/>
        <v>0</v>
      </c>
      <c r="D280" s="27">
        <f t="shared" si="42"/>
        <v>1.0511372171576121E-2</v>
      </c>
      <c r="E280" s="27"/>
      <c r="F280" s="26">
        <f t="shared" si="43"/>
        <v>0.17376130471259432</v>
      </c>
      <c r="G280" s="26">
        <f t="shared" si="43"/>
        <v>0</v>
      </c>
      <c r="H280" s="26">
        <f t="shared" si="43"/>
        <v>0.17376130471259432</v>
      </c>
      <c r="I280" s="26">
        <f>IF(F$320=0,0,SUM(F$17:F280)/F$320)</f>
        <v>0.9680792421466804</v>
      </c>
      <c r="J280" s="26">
        <f>IF(G$320=0,0,SUM(G$17:G280)/G$320)</f>
        <v>0</v>
      </c>
      <c r="K280" s="26">
        <f>SUM(H$17:H280)/H$320</f>
        <v>0.9680792421466804</v>
      </c>
      <c r="L280" s="26"/>
      <c r="M280" s="26"/>
      <c r="N280" s="27">
        <f t="shared" si="44"/>
        <v>0.17399080636536501</v>
      </c>
      <c r="O280" s="27">
        <f t="shared" si="45"/>
        <v>0</v>
      </c>
      <c r="P280" s="26">
        <f t="shared" si="46"/>
        <v>0.17399080636536501</v>
      </c>
      <c r="Q280" s="26">
        <f>IF(N$320=0,0,SUM(N$17:N280)/N$320)</f>
        <v>0.96739144437241031</v>
      </c>
      <c r="R280" s="26">
        <f>IF(O$320=0,0,SUM(O$17:O280)/O$320)</f>
        <v>0</v>
      </c>
      <c r="S280" s="26">
        <f>SUM(P$17:P280)/P$320</f>
        <v>0.96739144437241031</v>
      </c>
    </row>
    <row r="281" spans="1:19" x14ac:dyDescent="0.4">
      <c r="A281" s="6">
        <f t="shared" si="40"/>
        <v>487.76398874768722</v>
      </c>
      <c r="B281" s="25">
        <f t="shared" si="41"/>
        <v>9.7816823480333607E-3</v>
      </c>
      <c r="C281" s="25">
        <f t="shared" si="41"/>
        <v>0</v>
      </c>
      <c r="D281" s="27">
        <f t="shared" si="42"/>
        <v>9.7816823480333607E-3</v>
      </c>
      <c r="E281" s="27"/>
      <c r="F281" s="26">
        <f t="shared" si="43"/>
        <v>0.16737132988965231</v>
      </c>
      <c r="G281" s="26">
        <f t="shared" si="43"/>
        <v>0</v>
      </c>
      <c r="H281" s="26">
        <f t="shared" si="43"/>
        <v>0.16737132988965231</v>
      </c>
      <c r="I281" s="26">
        <f>IF(F$320=0,0,SUM(F$17:F281)/F$320)</f>
        <v>0.9697324167899678</v>
      </c>
      <c r="J281" s="26">
        <f>IF(G$320=0,0,SUM(G$17:G281)/G$320)</f>
        <v>0</v>
      </c>
      <c r="K281" s="26">
        <f>SUM(H$17:H281)/H$320</f>
        <v>0.9697324167899678</v>
      </c>
      <c r="L281" s="26"/>
      <c r="M281" s="26"/>
      <c r="N281" s="27">
        <f t="shared" si="44"/>
        <v>0.16762927226612323</v>
      </c>
      <c r="O281" s="27">
        <f t="shared" si="45"/>
        <v>0</v>
      </c>
      <c r="P281" s="26">
        <f t="shared" si="46"/>
        <v>0.16762927226612323</v>
      </c>
      <c r="Q281" s="26">
        <f>IF(N$320=0,0,SUM(N$17:N281)/N$320)</f>
        <v>0.96907616067659252</v>
      </c>
      <c r="R281" s="26">
        <f>IF(O$320=0,0,SUM(O$17:O281)/O$320)</f>
        <v>0</v>
      </c>
      <c r="S281" s="26">
        <f>SUM(P$17:P281)/P$320</f>
        <v>0.96907616067659252</v>
      </c>
    </row>
    <row r="282" spans="1:19" x14ac:dyDescent="0.4">
      <c r="A282" s="6">
        <f t="shared" si="40"/>
        <v>504.87467829316228</v>
      </c>
      <c r="B282" s="25">
        <f t="shared" si="41"/>
        <v>9.0986666772206841E-3</v>
      </c>
      <c r="C282" s="25">
        <f t="shared" si="41"/>
        <v>0</v>
      </c>
      <c r="D282" s="27">
        <f t="shared" si="42"/>
        <v>9.0986666772206841E-3</v>
      </c>
      <c r="E282" s="27"/>
      <c r="F282" s="26">
        <f t="shared" si="43"/>
        <v>0.16114584895709863</v>
      </c>
      <c r="G282" s="26">
        <f t="shared" si="43"/>
        <v>0</v>
      </c>
      <c r="H282" s="26">
        <f t="shared" si="43"/>
        <v>0.16114584895709863</v>
      </c>
      <c r="I282" s="26">
        <f>IF(F$320=0,0,SUM(F$17:F282)/F$320)</f>
        <v>0.97132410057202634</v>
      </c>
      <c r="J282" s="26">
        <f>IF(G$320=0,0,SUM(G$17:G282)/G$320)</f>
        <v>0</v>
      </c>
      <c r="K282" s="26">
        <f>SUM(H$17:H282)/H$320</f>
        <v>0.97132410057202634</v>
      </c>
      <c r="L282" s="26"/>
      <c r="M282" s="26"/>
      <c r="N282" s="27">
        <f t="shared" si="44"/>
        <v>0.16142971611794454</v>
      </c>
      <c r="O282" s="27">
        <f t="shared" si="45"/>
        <v>0</v>
      </c>
      <c r="P282" s="26">
        <f t="shared" si="46"/>
        <v>0.16142971611794454</v>
      </c>
      <c r="Q282" s="26">
        <f>IF(N$320=0,0,SUM(N$17:N282)/N$320)</f>
        <v>0.97069856988380809</v>
      </c>
      <c r="R282" s="26">
        <f>IF(O$320=0,0,SUM(O$17:O282)/O$320)</f>
        <v>0</v>
      </c>
      <c r="S282" s="26">
        <f>SUM(P$17:P282)/P$320</f>
        <v>0.97069856988380809</v>
      </c>
    </row>
    <row r="283" spans="1:19" x14ac:dyDescent="0.4">
      <c r="A283" s="6">
        <f t="shared" si="40"/>
        <v>522.58560833091622</v>
      </c>
      <c r="B283" s="25">
        <f t="shared" si="41"/>
        <v>8.4596425503812873E-3</v>
      </c>
      <c r="C283" s="25">
        <f t="shared" si="41"/>
        <v>0</v>
      </c>
      <c r="D283" s="27">
        <f t="shared" si="42"/>
        <v>8.4596425503812873E-3</v>
      </c>
      <c r="E283" s="27"/>
      <c r="F283" s="26">
        <f t="shared" si="43"/>
        <v>0.1550840865480502</v>
      </c>
      <c r="G283" s="26">
        <f t="shared" si="43"/>
        <v>0</v>
      </c>
      <c r="H283" s="26">
        <f t="shared" si="43"/>
        <v>0.1550840865480502</v>
      </c>
      <c r="I283" s="26">
        <f>IF(F$320=0,0,SUM(F$17:F283)/F$320)</f>
        <v>0.97285591058768239</v>
      </c>
      <c r="J283" s="26">
        <f>IF(G$320=0,0,SUM(G$17:G283)/G$320)</f>
        <v>0</v>
      </c>
      <c r="K283" s="26">
        <f>SUM(H$17:H283)/H$320</f>
        <v>0.97285591058768239</v>
      </c>
      <c r="L283" s="26"/>
      <c r="M283" s="26"/>
      <c r="N283" s="27">
        <f t="shared" si="44"/>
        <v>0.15539146858786212</v>
      </c>
      <c r="O283" s="27">
        <f t="shared" si="45"/>
        <v>0</v>
      </c>
      <c r="P283" s="26">
        <f t="shared" si="46"/>
        <v>0.15539146858786212</v>
      </c>
      <c r="Q283" s="26">
        <f>IF(N$320=0,0,SUM(N$17:N283)/N$320)</f>
        <v>0.97226029318619867</v>
      </c>
      <c r="R283" s="26">
        <f>IF(O$320=0,0,SUM(O$17:O283)/O$320)</f>
        <v>0</v>
      </c>
      <c r="S283" s="26">
        <f>SUM(P$17:P283)/P$320</f>
        <v>0.97226029318619867</v>
      </c>
    </row>
    <row r="284" spans="1:19" x14ac:dyDescent="0.4">
      <c r="A284" s="6">
        <f t="shared" si="40"/>
        <v>540.91783520982381</v>
      </c>
      <c r="B284" s="25">
        <f t="shared" si="41"/>
        <v>7.8620595396939226E-3</v>
      </c>
      <c r="C284" s="25">
        <f t="shared" si="41"/>
        <v>0</v>
      </c>
      <c r="D284" s="27">
        <f t="shared" si="42"/>
        <v>7.8620595396939226E-3</v>
      </c>
      <c r="E284" s="27"/>
      <c r="F284" s="26">
        <f t="shared" si="43"/>
        <v>0.1491850855816198</v>
      </c>
      <c r="G284" s="26">
        <f t="shared" si="43"/>
        <v>0</v>
      </c>
      <c r="H284" s="26">
        <f t="shared" si="43"/>
        <v>0.1491850855816198</v>
      </c>
      <c r="I284" s="26">
        <f>IF(F$320=0,0,SUM(F$17:F284)/F$320)</f>
        <v>0.97432945447840025</v>
      </c>
      <c r="J284" s="26">
        <f>IF(G$320=0,0,SUM(G$17:G284)/G$320)</f>
        <v>0</v>
      </c>
      <c r="K284" s="26">
        <f>SUM(H$17:H284)/H$320</f>
        <v>0.97432945447840025</v>
      </c>
      <c r="L284" s="26"/>
      <c r="M284" s="26"/>
      <c r="N284" s="27">
        <f t="shared" si="44"/>
        <v>0.14951367760765999</v>
      </c>
      <c r="O284" s="27">
        <f t="shared" si="45"/>
        <v>0</v>
      </c>
      <c r="P284" s="26">
        <f t="shared" si="46"/>
        <v>0.14951367760765999</v>
      </c>
      <c r="Q284" s="26">
        <f>IF(N$320=0,0,SUM(N$17:N284)/N$320)</f>
        <v>0.97376294321240631</v>
      </c>
      <c r="R284" s="26">
        <f>IF(O$320=0,0,SUM(O$17:O284)/O$320)</f>
        <v>0</v>
      </c>
      <c r="S284" s="26">
        <f>SUM(P$17:P284)/P$320</f>
        <v>0.97376294321240631</v>
      </c>
    </row>
    <row r="285" spans="1:19" x14ac:dyDescent="0.4">
      <c r="A285" s="6">
        <f t="shared" si="40"/>
        <v>559.89315393240724</v>
      </c>
      <c r="B285" s="25">
        <f t="shared" si="41"/>
        <v>7.3034944179795639E-3</v>
      </c>
      <c r="C285" s="25">
        <f t="shared" si="41"/>
        <v>0</v>
      </c>
      <c r="D285" s="27">
        <f t="shared" si="42"/>
        <v>7.3034944179795639E-3</v>
      </c>
      <c r="E285" s="27"/>
      <c r="F285" s="26">
        <f t="shared" si="43"/>
        <v>0.14344771573947207</v>
      </c>
      <c r="G285" s="26">
        <f t="shared" si="43"/>
        <v>0</v>
      </c>
      <c r="H285" s="26">
        <f t="shared" si="43"/>
        <v>0.14344771573947207</v>
      </c>
      <c r="I285" s="26">
        <f>IF(F$320=0,0,SUM(F$17:F285)/F$320)</f>
        <v>0.9757463287211654</v>
      </c>
      <c r="J285" s="26">
        <f>IF(G$320=0,0,SUM(G$17:G285)/G$320)</f>
        <v>0</v>
      </c>
      <c r="K285" s="26">
        <f>SUM(H$17:H285)/H$320</f>
        <v>0.9757463287211654</v>
      </c>
      <c r="L285" s="26"/>
      <c r="M285" s="26"/>
      <c r="N285" s="27">
        <f t="shared" si="44"/>
        <v>0.143795316670281</v>
      </c>
      <c r="O285" s="27">
        <f t="shared" si="45"/>
        <v>0</v>
      </c>
      <c r="P285" s="26">
        <f t="shared" si="46"/>
        <v>0.143795316670281</v>
      </c>
      <c r="Q285" s="26">
        <f>IF(N$320=0,0,SUM(N$17:N285)/N$320)</f>
        <v>0.97520812227441911</v>
      </c>
      <c r="R285" s="26">
        <f>IF(O$320=0,0,SUM(O$17:O285)/O$320)</f>
        <v>0</v>
      </c>
      <c r="S285" s="26">
        <f>SUM(P$17:P285)/P$320</f>
        <v>0.97520812227441911</v>
      </c>
    </row>
    <row r="286" spans="1:19" x14ac:dyDescent="0.4">
      <c r="A286" s="6">
        <f t="shared" si="40"/>
        <v>579.53412406669474</v>
      </c>
      <c r="B286" s="25">
        <f t="shared" si="41"/>
        <v>6.7816462609988229E-3</v>
      </c>
      <c r="C286" s="25">
        <f t="shared" si="41"/>
        <v>0</v>
      </c>
      <c r="D286" s="27">
        <f t="shared" si="42"/>
        <v>6.7816462609988229E-3</v>
      </c>
      <c r="E286" s="27"/>
      <c r="F286" s="26">
        <f t="shared" si="43"/>
        <v>0.13787068199338159</v>
      </c>
      <c r="G286" s="26">
        <f t="shared" si="43"/>
        <v>0</v>
      </c>
      <c r="H286" s="26">
        <f t="shared" si="43"/>
        <v>0.13787068199338159</v>
      </c>
      <c r="I286" s="26">
        <f>IF(F$320=0,0,SUM(F$17:F286)/F$320)</f>
        <v>0.97710811700159839</v>
      </c>
      <c r="J286" s="26">
        <f>IF(G$320=0,0,SUM(G$17:G286)/G$320)</f>
        <v>0</v>
      </c>
      <c r="K286" s="26">
        <f>SUM(H$17:H286)/H$320</f>
        <v>0.97710811700159839</v>
      </c>
      <c r="L286" s="26"/>
      <c r="M286" s="26"/>
      <c r="N286" s="27">
        <f t="shared" si="44"/>
        <v>0.1382351931880188</v>
      </c>
      <c r="O286" s="27">
        <f t="shared" si="45"/>
        <v>0</v>
      </c>
      <c r="P286" s="26">
        <f t="shared" si="46"/>
        <v>0.1382351931880188</v>
      </c>
      <c r="Q286" s="26">
        <f>IF(N$320=0,0,SUM(N$17:N286)/N$320)</f>
        <v>0.97659742069841937</v>
      </c>
      <c r="R286" s="26">
        <f>IF(O$320=0,0,SUM(O$17:O286)/O$320)</f>
        <v>0</v>
      </c>
      <c r="S286" s="26">
        <f>SUM(P$17:P286)/P$320</f>
        <v>0.97659742069841937</v>
      </c>
    </row>
    <row r="287" spans="1:19" x14ac:dyDescent="0.4">
      <c r="A287" s="6">
        <f t="shared" si="40"/>
        <v>599.86409656707042</v>
      </c>
      <c r="B287" s="25">
        <f t="shared" si="41"/>
        <v>6.2943316388937975E-3</v>
      </c>
      <c r="C287" s="25">
        <f t="shared" si="41"/>
        <v>0</v>
      </c>
      <c r="D287" s="27">
        <f t="shared" si="42"/>
        <v>6.2943316388937975E-3</v>
      </c>
      <c r="E287" s="27"/>
      <c r="F287" s="26">
        <f t="shared" si="43"/>
        <v>0.13245253315970229</v>
      </c>
      <c r="G287" s="26">
        <f t="shared" si="43"/>
        <v>0</v>
      </c>
      <c r="H287" s="26">
        <f t="shared" si="43"/>
        <v>0.13245253315970229</v>
      </c>
      <c r="I287" s="26">
        <f>IF(F$320=0,0,SUM(F$17:F287)/F$320)</f>
        <v>0.97841638867156244</v>
      </c>
      <c r="J287" s="26">
        <f>IF(G$320=0,0,SUM(G$17:G287)/G$320)</f>
        <v>0</v>
      </c>
      <c r="K287" s="26">
        <f>SUM(H$17:H287)/H$320</f>
        <v>0.97841638867156244</v>
      </c>
      <c r="L287" s="26"/>
      <c r="M287" s="26"/>
      <c r="N287" s="27">
        <f t="shared" si="44"/>
        <v>0.13283195688912341</v>
      </c>
      <c r="O287" s="27">
        <f t="shared" si="45"/>
        <v>0</v>
      </c>
      <c r="P287" s="26">
        <f t="shared" si="46"/>
        <v>0.13283195688912341</v>
      </c>
      <c r="Q287" s="26">
        <f>IF(N$320=0,0,SUM(N$17:N287)/N$320)</f>
        <v>0.97793241524001862</v>
      </c>
      <c r="R287" s="26">
        <f>IF(O$320=0,0,SUM(O$17:O287)/O$320)</f>
        <v>0</v>
      </c>
      <c r="S287" s="26">
        <f>SUM(P$17:P287)/P$320</f>
        <v>0.97793241524001862</v>
      </c>
    </row>
    <row r="288" spans="1:19" x14ac:dyDescent="0.4">
      <c r="A288" s="6">
        <f t="shared" si="40"/>
        <v>620.90724153599047</v>
      </c>
      <c r="B288" s="25">
        <f t="shared" si="41"/>
        <v>5.8394799026016981E-3</v>
      </c>
      <c r="C288" s="25">
        <f t="shared" si="41"/>
        <v>0</v>
      </c>
      <c r="D288" s="27">
        <f t="shared" si="42"/>
        <v>5.8394799026016981E-3</v>
      </c>
      <c r="E288" s="27"/>
      <c r="F288" s="26">
        <f t="shared" si="43"/>
        <v>0.12719167045785706</v>
      </c>
      <c r="G288" s="26">
        <f t="shared" si="43"/>
        <v>0</v>
      </c>
      <c r="H288" s="26">
        <f t="shared" si="43"/>
        <v>0.12719167045785706</v>
      </c>
      <c r="I288" s="26">
        <f>IF(F$320=0,0,SUM(F$17:F288)/F$320)</f>
        <v>0.97967269729130602</v>
      </c>
      <c r="J288" s="26">
        <f>IF(G$320=0,0,SUM(G$17:G288)/G$320)</f>
        <v>0</v>
      </c>
      <c r="K288" s="26">
        <f>SUM(H$17:H288)/H$320</f>
        <v>0.97967269729130602</v>
      </c>
      <c r="L288" s="26"/>
      <c r="M288" s="26"/>
      <c r="N288" s="27">
        <f t="shared" si="44"/>
        <v>0.12758410822948374</v>
      </c>
      <c r="O288" s="27">
        <f t="shared" si="45"/>
        <v>0</v>
      </c>
      <c r="P288" s="26">
        <f t="shared" si="46"/>
        <v>0.12758410822948374</v>
      </c>
      <c r="Q288" s="26">
        <f>IF(N$320=0,0,SUM(N$17:N288)/N$320)</f>
        <v>0.97921466758403353</v>
      </c>
      <c r="R288" s="26">
        <f>IF(O$320=0,0,SUM(O$17:O288)/O$320)</f>
        <v>0</v>
      </c>
      <c r="S288" s="26">
        <f>SUM(P$17:P288)/P$320</f>
        <v>0.97921466758403353</v>
      </c>
    </row>
    <row r="289" spans="1:19" x14ac:dyDescent="0.4">
      <c r="A289" s="6">
        <f t="shared" si="40"/>
        <v>642.68857695957649</v>
      </c>
      <c r="B289" s="25">
        <f t="shared" si="41"/>
        <v>5.4151285703718305E-3</v>
      </c>
      <c r="C289" s="25">
        <f t="shared" si="41"/>
        <v>0</v>
      </c>
      <c r="D289" s="27">
        <f t="shared" si="42"/>
        <v>5.4151285703718305E-3</v>
      </c>
      <c r="E289" s="27"/>
      <c r="F289" s="26">
        <f t="shared" si="43"/>
        <v>0.12208635605066116</v>
      </c>
      <c r="G289" s="26">
        <f t="shared" si="43"/>
        <v>0</v>
      </c>
      <c r="H289" s="26">
        <f t="shared" si="43"/>
        <v>0.12208635605066116</v>
      </c>
      <c r="I289" s="26">
        <f>IF(F$320=0,0,SUM(F$17:F289)/F$320)</f>
        <v>0.98087857925596145</v>
      </c>
      <c r="J289" s="26">
        <f>IF(G$320=0,0,SUM(G$17:G289)/G$320)</f>
        <v>0</v>
      </c>
      <c r="K289" s="26">
        <f>SUM(H$17:H289)/H$320</f>
        <v>0.98087857925596145</v>
      </c>
      <c r="L289" s="26"/>
      <c r="M289" s="26"/>
      <c r="N289" s="27">
        <f t="shared" si="44"/>
        <v>0.12249000679718236</v>
      </c>
      <c r="O289" s="27">
        <f t="shared" si="45"/>
        <v>0</v>
      </c>
      <c r="P289" s="26">
        <f t="shared" si="46"/>
        <v>0.12249000679718236</v>
      </c>
      <c r="Q289" s="26">
        <f>IF(N$320=0,0,SUM(N$17:N289)/N$320)</f>
        <v>0.98044572292872878</v>
      </c>
      <c r="R289" s="26">
        <f>IF(O$320=0,0,SUM(O$17:O289)/O$320)</f>
        <v>0</v>
      </c>
      <c r="S289" s="26">
        <f>SUM(P$17:P289)/P$320</f>
        <v>0.98044572292872878</v>
      </c>
    </row>
    <row r="290" spans="1:19" x14ac:dyDescent="0.4">
      <c r="A290" s="6">
        <f t="shared" si="40"/>
        <v>665.23399845125459</v>
      </c>
      <c r="B290" s="25">
        <f t="shared" ref="B290:C305" si="47">C$4*EXP(-0.5*(LN($A290)-LN(C$5))^2/(LN(C$6))^2)/($A290*SQRT(2*PI())*LN(C$6))</f>
        <v>5.0194188188548323E-3</v>
      </c>
      <c r="C290" s="25">
        <f t="shared" si="47"/>
        <v>0</v>
      </c>
      <c r="D290" s="27">
        <f t="shared" si="42"/>
        <v>5.0194188188548323E-3</v>
      </c>
      <c r="E290" s="27"/>
      <c r="F290" s="26">
        <f t="shared" si="43"/>
        <v>0.11713472154512795</v>
      </c>
      <c r="G290" s="26">
        <f t="shared" si="43"/>
        <v>0</v>
      </c>
      <c r="H290" s="26">
        <f t="shared" si="43"/>
        <v>0.11713472154512795</v>
      </c>
      <c r="I290" s="26">
        <f>IF(F$320=0,0,SUM(F$17:F290)/F$320)</f>
        <v>0.98203555250600738</v>
      </c>
      <c r="J290" s="26">
        <f>IF(G$320=0,0,SUM(G$17:G290)/G$320)</f>
        <v>0</v>
      </c>
      <c r="K290" s="26">
        <f>SUM(H$17:H290)/H$320</f>
        <v>0.98203555250600738</v>
      </c>
      <c r="L290" s="26"/>
      <c r="M290" s="26"/>
      <c r="N290" s="27">
        <f t="shared" si="44"/>
        <v>0.11754787968885072</v>
      </c>
      <c r="O290" s="27">
        <f t="shared" si="45"/>
        <v>0</v>
      </c>
      <c r="P290" s="26">
        <f t="shared" si="46"/>
        <v>0.11754787968885072</v>
      </c>
      <c r="Q290" s="26">
        <f>IF(N$320=0,0,SUM(N$17:N290)/N$320)</f>
        <v>0.98162710865424496</v>
      </c>
      <c r="R290" s="26">
        <f>IF(O$320=0,0,SUM(O$17:O290)/O$320)</f>
        <v>0</v>
      </c>
      <c r="S290" s="26">
        <f>SUM(P$17:P290)/P$320</f>
        <v>0.98162710865424496</v>
      </c>
    </row>
    <row r="291" spans="1:19" x14ac:dyDescent="0.4">
      <c r="A291" s="6">
        <f t="shared" si="40"/>
        <v>688.57031003878853</v>
      </c>
      <c r="B291" s="25">
        <f t="shared" si="47"/>
        <v>4.6505910826031014E-3</v>
      </c>
      <c r="C291" s="25">
        <f t="shared" si="47"/>
        <v>0</v>
      </c>
      <c r="D291" s="27">
        <f t="shared" si="42"/>
        <v>4.6505910826031014E-3</v>
      </c>
      <c r="E291" s="27"/>
      <c r="F291" s="26">
        <f t="shared" si="43"/>
        <v>0.1123347764336559</v>
      </c>
      <c r="G291" s="26">
        <f t="shared" si="43"/>
        <v>0</v>
      </c>
      <c r="H291" s="26">
        <f t="shared" si="43"/>
        <v>0.1123347764336559</v>
      </c>
      <c r="I291" s="26">
        <f>IF(F$320=0,0,SUM(F$17:F291)/F$320)</f>
        <v>0.98314511532110804</v>
      </c>
      <c r="J291" s="26">
        <f>IF(G$320=0,0,SUM(G$17:G291)/G$320)</f>
        <v>0</v>
      </c>
      <c r="K291" s="26">
        <f>SUM(H$17:H291)/H$320</f>
        <v>0.98314511532110804</v>
      </c>
      <c r="L291" s="26"/>
      <c r="M291" s="26"/>
      <c r="N291" s="27">
        <f t="shared" si="44"/>
        <v>0.11275582983698573</v>
      </c>
      <c r="O291" s="27">
        <f t="shared" si="45"/>
        <v>0</v>
      </c>
      <c r="P291" s="26">
        <f t="shared" si="46"/>
        <v>0.11275582983698573</v>
      </c>
      <c r="Q291" s="26">
        <f>IF(N$320=0,0,SUM(N$17:N291)/N$320)</f>
        <v>0.98276033307471711</v>
      </c>
      <c r="R291" s="26">
        <f>IF(O$320=0,0,SUM(O$17:O291)/O$320)</f>
        <v>0</v>
      </c>
      <c r="S291" s="26">
        <f>SUM(P$17:P291)/P$320</f>
        <v>0.98276033307471711</v>
      </c>
    </row>
    <row r="292" spans="1:19" x14ac:dyDescent="0.4">
      <c r="A292" s="6">
        <f t="shared" si="40"/>
        <v>712.72525603132635</v>
      </c>
      <c r="B292" s="25">
        <f t="shared" si="47"/>
        <v>4.3069807652231394E-3</v>
      </c>
      <c r="C292" s="25">
        <f t="shared" si="47"/>
        <v>0</v>
      </c>
      <c r="D292" s="27">
        <f t="shared" si="42"/>
        <v>4.3069807652231394E-3</v>
      </c>
      <c r="E292" s="27"/>
      <c r="F292" s="26">
        <f t="shared" si="43"/>
        <v>0.10768441645611369</v>
      </c>
      <c r="G292" s="26">
        <f t="shared" si="43"/>
        <v>0</v>
      </c>
      <c r="H292" s="26">
        <f t="shared" si="43"/>
        <v>0.10768441645611369</v>
      </c>
      <c r="I292" s="26">
        <f>IF(F$320=0,0,SUM(F$17:F292)/F$320)</f>
        <v>0.98420874519654622</v>
      </c>
      <c r="J292" s="26">
        <f>IF(G$320=0,0,SUM(G$17:G292)/G$320)</f>
        <v>0</v>
      </c>
      <c r="K292" s="26">
        <f>SUM(H$17:H292)/H$320</f>
        <v>0.98420874519654622</v>
      </c>
      <c r="L292" s="26"/>
      <c r="M292" s="26"/>
      <c r="N292" s="27">
        <f t="shared" si="44"/>
        <v>0.10811184426915421</v>
      </c>
      <c r="O292" s="27">
        <f t="shared" si="45"/>
        <v>0</v>
      </c>
      <c r="P292" s="26">
        <f t="shared" si="46"/>
        <v>0.10811184426915421</v>
      </c>
      <c r="Q292" s="26">
        <f>IF(N$320=0,0,SUM(N$17:N292)/N$320)</f>
        <v>0.98384688427340217</v>
      </c>
      <c r="R292" s="26">
        <f>IF(O$320=0,0,SUM(O$17:O292)/O$320)</f>
        <v>0</v>
      </c>
      <c r="S292" s="26">
        <f>SUM(P$17:P292)/P$320</f>
        <v>0.98384688427340217</v>
      </c>
    </row>
    <row r="293" spans="1:19" x14ac:dyDescent="0.4">
      <c r="A293" s="6">
        <f t="shared" si="40"/>
        <v>737.72755400433221</v>
      </c>
      <c r="B293" s="25">
        <f t="shared" si="47"/>
        <v>3.9870140648559614E-3</v>
      </c>
      <c r="C293" s="25">
        <f t="shared" si="47"/>
        <v>0</v>
      </c>
      <c r="D293" s="27">
        <f t="shared" si="42"/>
        <v>3.9870140648559614E-3</v>
      </c>
      <c r="E293" s="27"/>
      <c r="F293" s="26">
        <f t="shared" si="43"/>
        <v>0.10318143186466644</v>
      </c>
      <c r="G293" s="26">
        <f t="shared" si="43"/>
        <v>0</v>
      </c>
      <c r="H293" s="26">
        <f t="shared" si="43"/>
        <v>0.10318143186466644</v>
      </c>
      <c r="I293" s="26">
        <f>IF(F$320=0,0,SUM(F$17:F293)/F$320)</f>
        <v>0.98522789780129183</v>
      </c>
      <c r="J293" s="26">
        <f>IF(G$320=0,0,SUM(G$17:G293)/G$320)</f>
        <v>0</v>
      </c>
      <c r="K293" s="26">
        <f>SUM(H$17:H293)/H$320</f>
        <v>0.98522789780129183</v>
      </c>
      <c r="L293" s="26"/>
      <c r="M293" s="26"/>
      <c r="N293" s="27">
        <f t="shared" si="44"/>
        <v>0.10361380228042227</v>
      </c>
      <c r="O293" s="27">
        <f t="shared" si="45"/>
        <v>0</v>
      </c>
      <c r="P293" s="26">
        <f t="shared" si="46"/>
        <v>0.10361380228042227</v>
      </c>
      <c r="Q293" s="26">
        <f>IF(N$320=0,0,SUM(N$17:N293)/N$320)</f>
        <v>0.984888229019939</v>
      </c>
      <c r="R293" s="26">
        <f>IF(O$320=0,0,SUM(O$17:O293)/O$320)</f>
        <v>0</v>
      </c>
      <c r="S293" s="26">
        <f>SUM(P$17:P293)/P$320</f>
        <v>0.984888229019939</v>
      </c>
    </row>
    <row r="294" spans="1:19" x14ac:dyDescent="0.4">
      <c r="A294" s="6">
        <f t="shared" si="40"/>
        <v>763.6069289416248</v>
      </c>
      <c r="B294" s="25">
        <f t="shared" si="47"/>
        <v>3.6892039161284173E-3</v>
      </c>
      <c r="C294" s="25">
        <f t="shared" si="47"/>
        <v>0</v>
      </c>
      <c r="D294" s="27">
        <f t="shared" si="42"/>
        <v>3.6892039161284173E-3</v>
      </c>
      <c r="E294" s="27"/>
      <c r="F294" s="26">
        <f t="shared" si="43"/>
        <v>9.8823515574080728E-2</v>
      </c>
      <c r="G294" s="26">
        <f t="shared" si="43"/>
        <v>0</v>
      </c>
      <c r="H294" s="26">
        <f t="shared" si="43"/>
        <v>9.8823515574080728E-2</v>
      </c>
      <c r="I294" s="26">
        <f>IF(F$320=0,0,SUM(F$17:F294)/F$320)</f>
        <v>0.98620400601657165</v>
      </c>
      <c r="J294" s="26">
        <f>IF(G$320=0,0,SUM(G$17:G294)/G$320)</f>
        <v>0</v>
      </c>
      <c r="K294" s="26">
        <f>SUM(H$17:H294)/H$320</f>
        <v>0.98620400601657165</v>
      </c>
      <c r="L294" s="26"/>
      <c r="M294" s="26"/>
      <c r="N294" s="27">
        <f t="shared" si="44"/>
        <v>9.9259483501590307E-2</v>
      </c>
      <c r="O294" s="27">
        <f t="shared" si="45"/>
        <v>0</v>
      </c>
      <c r="P294" s="26">
        <f t="shared" si="46"/>
        <v>9.9259483501590307E-2</v>
      </c>
      <c r="Q294" s="26">
        <f>IF(N$320=0,0,SUM(N$17:N294)/N$320)</f>
        <v>0.98588581176869872</v>
      </c>
      <c r="R294" s="26">
        <f>IF(O$320=0,0,SUM(O$17:O294)/O$320)</f>
        <v>0</v>
      </c>
      <c r="S294" s="26">
        <f>SUM(P$17:P294)/P$320</f>
        <v>0.98588581176869872</v>
      </c>
    </row>
    <row r="295" spans="1:19" x14ac:dyDescent="0.4">
      <c r="A295" s="6">
        <f t="shared" si="40"/>
        <v>790.39414857511952</v>
      </c>
      <c r="B295" s="25">
        <f t="shared" si="47"/>
        <v>3.4121460502174301E-3</v>
      </c>
      <c r="C295" s="25">
        <f t="shared" si="47"/>
        <v>0</v>
      </c>
      <c r="D295" s="27">
        <f t="shared" si="42"/>
        <v>3.4121460502174301E-3</v>
      </c>
      <c r="E295" s="27"/>
      <c r="F295" s="26">
        <f t="shared" si="43"/>
        <v>9.4608271181241349E-2</v>
      </c>
      <c r="G295" s="26">
        <f t="shared" si="43"/>
        <v>0</v>
      </c>
      <c r="H295" s="26">
        <f t="shared" si="43"/>
        <v>9.4608271181241349E-2</v>
      </c>
      <c r="I295" s="26">
        <f>IF(F$320=0,0,SUM(F$17:F295)/F$320)</f>
        <v>0.98713847905365171</v>
      </c>
      <c r="J295" s="26">
        <f>IF(G$320=0,0,SUM(G$17:G295)/G$320)</f>
        <v>0</v>
      </c>
      <c r="K295" s="26">
        <f>SUM(H$17:H295)/H$320</f>
        <v>0.98713847905365171</v>
      </c>
      <c r="L295" s="26"/>
      <c r="M295" s="26"/>
      <c r="N295" s="27">
        <f t="shared" si="44"/>
        <v>9.5046575846846615E-2</v>
      </c>
      <c r="O295" s="27">
        <f t="shared" si="45"/>
        <v>0</v>
      </c>
      <c r="P295" s="26">
        <f t="shared" si="46"/>
        <v>9.5046575846846615E-2</v>
      </c>
      <c r="Q295" s="26">
        <f>IF(N$320=0,0,SUM(N$17:N295)/N$320)</f>
        <v>0.9868410537370087</v>
      </c>
      <c r="R295" s="26">
        <f>IF(O$320=0,0,SUM(O$17:O295)/O$320)</f>
        <v>0</v>
      </c>
      <c r="S295" s="26">
        <f>SUM(P$17:P295)/P$320</f>
        <v>0.9868410537370087</v>
      </c>
    </row>
    <row r="296" spans="1:19" x14ac:dyDescent="0.4">
      <c r="A296" s="6">
        <f t="shared" si="40"/>
        <v>818.1210599642767</v>
      </c>
      <c r="B296" s="25">
        <f t="shared" si="47"/>
        <v>3.1545151741998647E-3</v>
      </c>
      <c r="C296" s="25">
        <f t="shared" si="47"/>
        <v>0</v>
      </c>
      <c r="D296" s="27">
        <f t="shared" si="42"/>
        <v>3.1545151741998647E-3</v>
      </c>
      <c r="E296" s="27"/>
      <c r="F296" s="26">
        <f t="shared" si="43"/>
        <v>9.0533220838854969E-2</v>
      </c>
      <c r="G296" s="26">
        <f t="shared" si="43"/>
        <v>0</v>
      </c>
      <c r="H296" s="26">
        <f t="shared" si="43"/>
        <v>9.0533220838854969E-2</v>
      </c>
      <c r="I296" s="26">
        <f>IF(F$320=0,0,SUM(F$17:F296)/F$320)</f>
        <v>0.98803270164938906</v>
      </c>
      <c r="J296" s="26">
        <f>IF(G$320=0,0,SUM(G$17:G296)/G$320)</f>
        <v>0</v>
      </c>
      <c r="K296" s="26">
        <f>SUM(H$17:H296)/H$320</f>
        <v>0.98803270164938906</v>
      </c>
      <c r="L296" s="26"/>
      <c r="M296" s="26"/>
      <c r="N296" s="27">
        <f t="shared" si="44"/>
        <v>9.0972683325285519E-2</v>
      </c>
      <c r="O296" s="27">
        <f t="shared" si="45"/>
        <v>0</v>
      </c>
      <c r="P296" s="26">
        <f t="shared" si="46"/>
        <v>9.0972683325285519E-2</v>
      </c>
      <c r="Q296" s="26">
        <f>IF(N$320=0,0,SUM(N$17:N296)/N$320)</f>
        <v>0.98775535206188603</v>
      </c>
      <c r="R296" s="26">
        <f>IF(O$320=0,0,SUM(O$17:O296)/O$320)</f>
        <v>0</v>
      </c>
      <c r="S296" s="26">
        <f>SUM(P$17:P296)/P$320</f>
        <v>0.98775535206188603</v>
      </c>
    </row>
    <row r="297" spans="1:19" x14ac:dyDescent="0.4">
      <c r="A297" s="6">
        <f t="shared" si="40"/>
        <v>846.82062735875547</v>
      </c>
      <c r="B297" s="25">
        <f t="shared" si="47"/>
        <v>2.9150612704219236E-3</v>
      </c>
      <c r="C297" s="25">
        <f t="shared" si="47"/>
        <v>0</v>
      </c>
      <c r="D297" s="27">
        <f t="shared" si="42"/>
        <v>2.9150612704219236E-3</v>
      </c>
      <c r="E297" s="27"/>
      <c r="F297" s="26">
        <f t="shared" si="43"/>
        <v>8.6595812969213856E-2</v>
      </c>
      <c r="G297" s="26">
        <f t="shared" si="43"/>
        <v>0</v>
      </c>
      <c r="H297" s="26">
        <f t="shared" si="43"/>
        <v>8.6595812969213856E-2</v>
      </c>
      <c r="I297" s="26">
        <f>IF(F$320=0,0,SUM(F$17:F297)/F$320)</f>
        <v>0.98888803333797604</v>
      </c>
      <c r="J297" s="26">
        <f>IF(G$320=0,0,SUM(G$17:G297)/G$320)</f>
        <v>0</v>
      </c>
      <c r="K297" s="26">
        <f>SUM(H$17:H297)/H$320</f>
        <v>0.98888803333797604</v>
      </c>
      <c r="L297" s="26"/>
      <c r="M297" s="26"/>
      <c r="N297" s="27">
        <f t="shared" si="44"/>
        <v>8.7035333702278894E-2</v>
      </c>
      <c r="O297" s="27">
        <f t="shared" si="45"/>
        <v>0</v>
      </c>
      <c r="P297" s="26">
        <f t="shared" si="46"/>
        <v>8.7035333702278894E-2</v>
      </c>
      <c r="Q297" s="26">
        <f>IF(N$320=0,0,SUM(N$17:N297)/N$320)</f>
        <v>0.98863007903376821</v>
      </c>
      <c r="R297" s="26">
        <f>IF(O$320=0,0,SUM(O$17:O297)/O$320)</f>
        <v>0</v>
      </c>
      <c r="S297" s="26">
        <f>SUM(P$17:P297)/P$320</f>
        <v>0.98863007903376821</v>
      </c>
    </row>
    <row r="298" spans="1:19" x14ac:dyDescent="0.4">
      <c r="A298" s="6">
        <f t="shared" si="40"/>
        <v>876.52697138928079</v>
      </c>
      <c r="B298" s="25">
        <f t="shared" si="47"/>
        <v>2.692606016213846E-3</v>
      </c>
      <c r="C298" s="25">
        <f t="shared" si="47"/>
        <v>0</v>
      </c>
      <c r="D298" s="27">
        <f t="shared" si="42"/>
        <v>2.692606016213846E-3</v>
      </c>
      <c r="E298" s="27"/>
      <c r="F298" s="26">
        <f t="shared" si="43"/>
        <v>8.2793429805098281E-2</v>
      </c>
      <c r="G298" s="26">
        <f t="shared" si="43"/>
        <v>0</v>
      </c>
      <c r="H298" s="26">
        <f t="shared" si="43"/>
        <v>8.2793429805098281E-2</v>
      </c>
      <c r="I298" s="26">
        <f>IF(F$320=0,0,SUM(F$17:F298)/F$320)</f>
        <v>0.98970580779716699</v>
      </c>
      <c r="J298" s="26">
        <f>IF(G$320=0,0,SUM(G$17:G298)/G$320)</f>
        <v>0</v>
      </c>
      <c r="K298" s="26">
        <f>SUM(H$17:H298)/H$320</f>
        <v>0.98970580779716699</v>
      </c>
      <c r="L298" s="26"/>
      <c r="M298" s="26"/>
      <c r="N298" s="27">
        <f t="shared" si="44"/>
        <v>8.3231985996956581E-2</v>
      </c>
      <c r="O298" s="27">
        <f t="shared" si="45"/>
        <v>0</v>
      </c>
      <c r="P298" s="26">
        <f t="shared" si="46"/>
        <v>8.3231985996956581E-2</v>
      </c>
      <c r="Q298" s="26">
        <f>IF(N$320=0,0,SUM(N$17:N298)/N$320)</f>
        <v>0.98946658140559696</v>
      </c>
      <c r="R298" s="26">
        <f>IF(O$320=0,0,SUM(O$17:O298)/O$320)</f>
        <v>0</v>
      </c>
      <c r="S298" s="26">
        <f>SUM(P$17:P298)/P$320</f>
        <v>0.98946658140559696</v>
      </c>
    </row>
    <row r="299" spans="1:19" x14ac:dyDescent="0.4">
      <c r="A299" s="6">
        <f t="shared" si="40"/>
        <v>907.27540963332683</v>
      </c>
      <c r="B299" s="25">
        <f t="shared" si="47"/>
        <v>2.486039323896906E-3</v>
      </c>
      <c r="C299" s="25">
        <f t="shared" si="47"/>
        <v>0</v>
      </c>
      <c r="D299" s="27">
        <f t="shared" si="42"/>
        <v>2.486039323896906E-3</v>
      </c>
      <c r="E299" s="27"/>
      <c r="F299" s="26">
        <f t="shared" si="43"/>
        <v>7.9123394745833228E-2</v>
      </c>
      <c r="G299" s="26">
        <f t="shared" si="43"/>
        <v>0</v>
      </c>
      <c r="H299" s="26">
        <f t="shared" si="43"/>
        <v>7.9123394745833228E-2</v>
      </c>
      <c r="I299" s="26">
        <f>IF(F$320=0,0,SUM(F$17:F299)/F$320)</f>
        <v>0.99048733226716357</v>
      </c>
      <c r="J299" s="26">
        <f>IF(G$320=0,0,SUM(G$17:G299)/G$320)</f>
        <v>0</v>
      </c>
      <c r="K299" s="26">
        <f>SUM(H$17:H299)/H$320</f>
        <v>0.99048733226716357</v>
      </c>
      <c r="L299" s="26"/>
      <c r="M299" s="26"/>
      <c r="N299" s="27">
        <f t="shared" si="44"/>
        <v>7.956003780409393E-2</v>
      </c>
      <c r="O299" s="27">
        <f t="shared" si="45"/>
        <v>0</v>
      </c>
      <c r="P299" s="26">
        <f t="shared" si="46"/>
        <v>7.956003780409393E-2</v>
      </c>
      <c r="Q299" s="26">
        <f>IF(N$320=0,0,SUM(N$17:N299)/N$320)</f>
        <v>0.99026617977548737</v>
      </c>
      <c r="R299" s="26">
        <f>IF(O$320=0,0,SUM(O$17:O299)/O$320)</f>
        <v>0</v>
      </c>
      <c r="S299" s="26">
        <f>SUM(P$17:P299)/P$320</f>
        <v>0.99026617977548737</v>
      </c>
    </row>
    <row r="300" spans="1:19" x14ac:dyDescent="0.4">
      <c r="A300" s="6">
        <f t="shared" si="40"/>
        <v>939.10249860382874</v>
      </c>
      <c r="B300" s="25">
        <f t="shared" si="47"/>
        <v>2.2943160006798566E-3</v>
      </c>
      <c r="C300" s="25">
        <f t="shared" si="47"/>
        <v>0</v>
      </c>
      <c r="D300" s="27">
        <f t="shared" si="42"/>
        <v>2.2943160006798566E-3</v>
      </c>
      <c r="E300" s="27"/>
      <c r="F300" s="26">
        <f t="shared" si="43"/>
        <v>7.5582979517773374E-2</v>
      </c>
      <c r="G300" s="26">
        <f t="shared" si="43"/>
        <v>0</v>
      </c>
      <c r="H300" s="26">
        <f t="shared" si="43"/>
        <v>7.5582979517773374E-2</v>
      </c>
      <c r="I300" s="26">
        <f>IF(F$320=0,0,SUM(F$17:F300)/F$320)</f>
        <v>0.99123388704022597</v>
      </c>
      <c r="J300" s="26">
        <f>IF(G$320=0,0,SUM(G$17:G300)/G$320)</f>
        <v>0</v>
      </c>
      <c r="K300" s="26">
        <f>SUM(H$17:H300)/H$320</f>
        <v>0.99123388704022597</v>
      </c>
      <c r="L300" s="26"/>
      <c r="M300" s="26"/>
      <c r="N300" s="27">
        <f t="shared" si="44"/>
        <v>7.6016832428693615E-2</v>
      </c>
      <c r="O300" s="27">
        <f t="shared" si="45"/>
        <v>0</v>
      </c>
      <c r="P300" s="26">
        <f t="shared" si="46"/>
        <v>7.6016832428693615E-2</v>
      </c>
      <c r="Q300" s="26">
        <f>IF(N$320=0,0,SUM(N$17:N300)/N$320)</f>
        <v>0.99103016804110233</v>
      </c>
      <c r="R300" s="26">
        <f>IF(O$320=0,0,SUM(O$17:O300)/O$320)</f>
        <v>0</v>
      </c>
      <c r="S300" s="26">
        <f>SUM(P$17:P300)/P$320</f>
        <v>0.99103016804110233</v>
      </c>
    </row>
    <row r="301" spans="1:19" x14ac:dyDescent="0.4">
      <c r="A301" s="6">
        <f t="shared" si="40"/>
        <v>972.04607721086302</v>
      </c>
      <c r="B301" s="25">
        <f t="shared" si="47"/>
        <v>2.1164525277197204E-3</v>
      </c>
      <c r="C301" s="25">
        <f t="shared" si="47"/>
        <v>0</v>
      </c>
      <c r="D301" s="27">
        <f t="shared" si="42"/>
        <v>2.1164525277197204E-3</v>
      </c>
      <c r="E301" s="27"/>
      <c r="F301" s="26">
        <f t="shared" si="43"/>
        <v>7.2169411129325123E-2</v>
      </c>
      <c r="G301" s="26">
        <f t="shared" si="43"/>
        <v>0</v>
      </c>
      <c r="H301" s="26">
        <f t="shared" si="43"/>
        <v>7.2169411129325123E-2</v>
      </c>
      <c r="I301" s="26">
        <f>IF(F$320=0,0,SUM(F$17:F301)/F$320)</f>
        <v>0.9919467250189804</v>
      </c>
      <c r="J301" s="26">
        <f>IF(G$320=0,0,SUM(G$17:G301)/G$320)</f>
        <v>0</v>
      </c>
      <c r="K301" s="26">
        <f>SUM(H$17:H301)/H$320</f>
        <v>0.9919467250189804</v>
      </c>
      <c r="L301" s="26"/>
      <c r="M301" s="26"/>
      <c r="N301" s="27">
        <f t="shared" si="44"/>
        <v>7.2599665823602777E-2</v>
      </c>
      <c r="O301" s="27">
        <f t="shared" si="45"/>
        <v>0</v>
      </c>
      <c r="P301" s="26">
        <f t="shared" si="46"/>
        <v>7.2599665823602777E-2</v>
      </c>
      <c r="Q301" s="26">
        <f>IF(N$320=0,0,SUM(N$17:N301)/N$320)</f>
        <v>0.9917598129237517</v>
      </c>
      <c r="R301" s="26">
        <f>IF(O$320=0,0,SUM(O$17:O301)/O$320)</f>
        <v>0</v>
      </c>
      <c r="S301" s="26">
        <f>SUM(P$17:P301)/P$320</f>
        <v>0.9917598129237517</v>
      </c>
    </row>
    <row r="302" spans="1:19" x14ac:dyDescent="0.4">
      <c r="A302" s="6">
        <f t="shared" si="40"/>
        <v>1006.1453117479499</v>
      </c>
      <c r="B302" s="25">
        <f t="shared" si="47"/>
        <v>1.9515239573270466E-3</v>
      </c>
      <c r="C302" s="25">
        <f t="shared" si="47"/>
        <v>0</v>
      </c>
      <c r="D302" s="27">
        <f t="shared" si="42"/>
        <v>1.9515239573270466E-3</v>
      </c>
      <c r="E302" s="27"/>
      <c r="F302" s="26">
        <f t="shared" si="43"/>
        <v>6.8879878611851353E-2</v>
      </c>
      <c r="G302" s="26">
        <f t="shared" si="43"/>
        <v>0</v>
      </c>
      <c r="H302" s="26">
        <f t="shared" si="43"/>
        <v>6.8879878611851353E-2</v>
      </c>
      <c r="I302" s="26">
        <f>IF(F$320=0,0,SUM(F$17:F302)/F$320)</f>
        <v>0.99262707134131001</v>
      </c>
      <c r="J302" s="26">
        <f>IF(G$320=0,0,SUM(G$17:G302)/G$320)</f>
        <v>0</v>
      </c>
      <c r="K302" s="26">
        <f>SUM(H$17:H302)/H$320</f>
        <v>0.99262707134131001</v>
      </c>
      <c r="L302" s="26"/>
      <c r="M302" s="26"/>
      <c r="N302" s="27">
        <f t="shared" si="44"/>
        <v>6.9305793320728615E-2</v>
      </c>
      <c r="O302" s="27">
        <f t="shared" si="45"/>
        <v>0</v>
      </c>
      <c r="P302" s="26">
        <f t="shared" si="46"/>
        <v>6.9305793320728615E-2</v>
      </c>
      <c r="Q302" s="26">
        <f>IF(N$320=0,0,SUM(N$17:N302)/N$320)</f>
        <v>0.99245635356014084</v>
      </c>
      <c r="R302" s="26">
        <f>IF(O$320=0,0,SUM(O$17:O302)/O$320)</f>
        <v>0</v>
      </c>
      <c r="S302" s="26">
        <f>SUM(P$17:P302)/P$320</f>
        <v>0.99245635356014084</v>
      </c>
    </row>
    <row r="303" spans="1:19" x14ac:dyDescent="0.4">
      <c r="A303" s="6">
        <f t="shared" si="40"/>
        <v>1041.4407424564688</v>
      </c>
      <c r="B303" s="25">
        <f t="shared" si="47"/>
        <v>1.7986609270265769E-3</v>
      </c>
      <c r="C303" s="25">
        <f t="shared" si="47"/>
        <v>0</v>
      </c>
      <c r="D303" s="27">
        <f t="shared" si="42"/>
        <v>1.7986609270265769E-3</v>
      </c>
      <c r="E303" s="27"/>
      <c r="F303" s="26">
        <f t="shared" si="43"/>
        <v>6.5711539538738109E-2</v>
      </c>
      <c r="G303" s="26">
        <f t="shared" si="43"/>
        <v>0</v>
      </c>
      <c r="H303" s="26">
        <f t="shared" si="43"/>
        <v>6.5711539538738109E-2</v>
      </c>
      <c r="I303" s="26">
        <f>IF(F$320=0,0,SUM(F$17:F303)/F$320)</f>
        <v>0.99327612306963442</v>
      </c>
      <c r="J303" s="26">
        <f>IF(G$320=0,0,SUM(G$17:G303)/G$320)</f>
        <v>0</v>
      </c>
      <c r="K303" s="26">
        <f>SUM(H$17:H303)/H$320</f>
        <v>0.99327612306963442</v>
      </c>
      <c r="L303" s="26"/>
      <c r="M303" s="26"/>
      <c r="N303" s="27">
        <f t="shared" si="44"/>
        <v>6.6132436148036433E-2</v>
      </c>
      <c r="O303" s="27">
        <f t="shared" si="45"/>
        <v>0</v>
      </c>
      <c r="P303" s="26">
        <f t="shared" si="46"/>
        <v>6.6132436148036433E-2</v>
      </c>
      <c r="Q303" s="26">
        <f>IF(N$320=0,0,SUM(N$17:N303)/N$320)</f>
        <v>0.99312100115961865</v>
      </c>
      <c r="R303" s="26">
        <f>IF(O$320=0,0,SUM(O$17:O303)/O$320)</f>
        <v>0</v>
      </c>
      <c r="S303" s="26">
        <f>SUM(P$17:P303)/P$320</f>
        <v>0.99312100115961865</v>
      </c>
    </row>
    <row r="304" spans="1:19" x14ac:dyDescent="0.4">
      <c r="A304" s="6">
        <f t="shared" si="40"/>
        <v>1077.9743317235509</v>
      </c>
      <c r="B304" s="25">
        <f t="shared" si="47"/>
        <v>1.657046788940417E-3</v>
      </c>
      <c r="C304" s="25">
        <f t="shared" si="47"/>
        <v>0</v>
      </c>
      <c r="D304" s="27">
        <f t="shared" si="42"/>
        <v>1.657046788940417E-3</v>
      </c>
      <c r="E304" s="27"/>
      <c r="F304" s="26">
        <f t="shared" si="43"/>
        <v>6.2661526315911181E-2</v>
      </c>
      <c r="G304" s="26">
        <f t="shared" si="43"/>
        <v>0</v>
      </c>
      <c r="H304" s="26">
        <f t="shared" si="43"/>
        <v>6.2661526315911181E-2</v>
      </c>
      <c r="I304" s="26">
        <f>IF(F$320=0,0,SUM(F$17:F304)/F$320)</f>
        <v>0.99389504894232383</v>
      </c>
      <c r="J304" s="26">
        <f>IF(G$320=0,0,SUM(G$17:G304)/G$320)</f>
        <v>0</v>
      </c>
      <c r="K304" s="26">
        <f>SUM(H$17:H304)/H$320</f>
        <v>0.99389504894232383</v>
      </c>
      <c r="L304" s="26"/>
      <c r="M304" s="26"/>
      <c r="N304" s="27">
        <f t="shared" si="44"/>
        <v>6.3076787724947181E-2</v>
      </c>
      <c r="O304" s="27">
        <f t="shared" si="45"/>
        <v>0</v>
      </c>
      <c r="P304" s="26">
        <f t="shared" si="46"/>
        <v>6.3076787724947181E-2</v>
      </c>
      <c r="Q304" s="26">
        <f>IF(N$320=0,0,SUM(N$17:N304)/N$320)</f>
        <v>0.99375493872469345</v>
      </c>
      <c r="R304" s="26">
        <f>IF(O$320=0,0,SUM(O$17:O304)/O$320)</f>
        <v>0</v>
      </c>
      <c r="S304" s="26">
        <f>SUM(P$17:P304)/P$320</f>
        <v>0.99375493872469345</v>
      </c>
    </row>
    <row r="305" spans="1:19" x14ac:dyDescent="0.4">
      <c r="A305" s="6">
        <f t="shared" si="40"/>
        <v>1115.7895139707459</v>
      </c>
      <c r="B305" s="25">
        <f t="shared" si="47"/>
        <v>1.5259148527409915E-3</v>
      </c>
      <c r="C305" s="25">
        <f t="shared" si="47"/>
        <v>0</v>
      </c>
      <c r="D305" s="27">
        <f t="shared" si="42"/>
        <v>1.5259148527409915E-3</v>
      </c>
      <c r="E305" s="27"/>
      <c r="F305" s="26">
        <f t="shared" si="43"/>
        <v>5.9726952238107284E-2</v>
      </c>
      <c r="G305" s="26">
        <f t="shared" si="43"/>
        <v>0</v>
      </c>
      <c r="H305" s="26">
        <f t="shared" si="43"/>
        <v>5.9726952238107284E-2</v>
      </c>
      <c r="I305" s="26">
        <f>IF(F$320=0,0,SUM(F$17:F305)/F$320)</f>
        <v>0.99448498918493289</v>
      </c>
      <c r="J305" s="26">
        <f>IF(G$320=0,0,SUM(G$17:G305)/G$320)</f>
        <v>0</v>
      </c>
      <c r="K305" s="26">
        <f>SUM(H$17:H305)/H$320</f>
        <v>0.99448498918493289</v>
      </c>
      <c r="L305" s="26"/>
      <c r="M305" s="26"/>
      <c r="N305" s="27">
        <f t="shared" si="44"/>
        <v>6.0136019730516743E-2</v>
      </c>
      <c r="O305" s="27">
        <f t="shared" si="45"/>
        <v>0</v>
      </c>
      <c r="P305" s="26">
        <f t="shared" si="46"/>
        <v>6.0136019730516743E-2</v>
      </c>
      <c r="Q305" s="26">
        <f>IF(N$320=0,0,SUM(N$17:N305)/N$320)</f>
        <v>0.99435932083253797</v>
      </c>
      <c r="R305" s="26">
        <f>IF(O$320=0,0,SUM(O$17:O305)/O$320)</f>
        <v>0</v>
      </c>
      <c r="S305" s="26">
        <f>SUM(P$17:P305)/P$320</f>
        <v>0.99435932083253797</v>
      </c>
    </row>
    <row r="306" spans="1:19" x14ac:dyDescent="0.4">
      <c r="A306" s="6">
        <f t="shared" si="40"/>
        <v>1154.9312472927725</v>
      </c>
      <c r="B306" s="25">
        <f t="shared" ref="B306:C318" si="48">C$4*EXP(-0.5*(LN($A306)-LN(C$5))^2/(LN(C$6))^2)/($A306*SQRT(2*PI())*LN(C$6))</f>
        <v>1.4045457402241815E-3</v>
      </c>
      <c r="C306" s="25">
        <f t="shared" si="48"/>
        <v>0</v>
      </c>
      <c r="D306" s="27">
        <f t="shared" si="42"/>
        <v>1.4045457402241815E-3</v>
      </c>
      <c r="E306" s="27"/>
      <c r="F306" s="26">
        <f t="shared" si="43"/>
        <v>5.6904917306170415E-2</v>
      </c>
      <c r="G306" s="26">
        <f t="shared" si="43"/>
        <v>0</v>
      </c>
      <c r="H306" s="26">
        <f t="shared" si="43"/>
        <v>5.6904917306170415E-2</v>
      </c>
      <c r="I306" s="26">
        <f>IF(F$320=0,0,SUM(F$17:F306)/F$320)</f>
        <v>0.99504705537889182</v>
      </c>
      <c r="J306" s="26">
        <f>IF(G$320=0,0,SUM(G$17:G306)/G$320)</f>
        <v>0</v>
      </c>
      <c r="K306" s="26">
        <f>SUM(H$17:H306)/H$320</f>
        <v>0.99504705537889182</v>
      </c>
      <c r="L306" s="26"/>
      <c r="M306" s="26"/>
      <c r="N306" s="27">
        <f t="shared" si="44"/>
        <v>5.7307287938657137E-2</v>
      </c>
      <c r="O306" s="27">
        <f t="shared" si="45"/>
        <v>0</v>
      </c>
      <c r="P306" s="26">
        <f t="shared" si="46"/>
        <v>5.7307287938657137E-2</v>
      </c>
      <c r="Q306" s="26">
        <f>IF(N$320=0,0,SUM(N$17:N306)/N$320)</f>
        <v>0.99493527347513744</v>
      </c>
      <c r="R306" s="26">
        <f>IF(O$320=0,0,SUM(O$17:O306)/O$320)</f>
        <v>0</v>
      </c>
      <c r="S306" s="26">
        <f>SUM(P$17:P306)/P$320</f>
        <v>0.99493527347513744</v>
      </c>
    </row>
    <row r="307" spans="1:19" x14ac:dyDescent="0.4">
      <c r="A307" s="6">
        <f t="shared" si="40"/>
        <v>1195.4460669077519</v>
      </c>
      <c r="B307" s="25">
        <f t="shared" si="48"/>
        <v>1.2922648493781438E-3</v>
      </c>
      <c r="C307" s="25">
        <f t="shared" si="48"/>
        <v>0</v>
      </c>
      <c r="D307" s="27">
        <f t="shared" si="42"/>
        <v>1.2922648493781438E-3</v>
      </c>
      <c r="E307" s="27"/>
      <c r="F307" s="26">
        <f t="shared" si="43"/>
        <v>5.4192513801535148E-2</v>
      </c>
      <c r="G307" s="26">
        <f t="shared" si="43"/>
        <v>0</v>
      </c>
      <c r="H307" s="26">
        <f t="shared" si="43"/>
        <v>5.4192513801535148E-2</v>
      </c>
      <c r="I307" s="26">
        <f>IF(F$320=0,0,SUM(F$17:F307)/F$320)</f>
        <v>0.99558233038526112</v>
      </c>
      <c r="J307" s="26">
        <f>IF(G$320=0,0,SUM(G$17:G307)/G$320)</f>
        <v>0</v>
      </c>
      <c r="K307" s="26">
        <f>SUM(H$17:H307)/H$320</f>
        <v>0.99558233038526112</v>
      </c>
      <c r="L307" s="26"/>
      <c r="M307" s="26"/>
      <c r="N307" s="27">
        <f t="shared" si="44"/>
        <v>5.4587737816735871E-2</v>
      </c>
      <c r="O307" s="27">
        <f t="shared" si="45"/>
        <v>0</v>
      </c>
      <c r="P307" s="26">
        <f t="shared" si="46"/>
        <v>5.4587737816735871E-2</v>
      </c>
      <c r="Q307" s="26">
        <f>IF(N$320=0,0,SUM(N$17:N307)/N$320)</f>
        <v>0.99548389395570769</v>
      </c>
      <c r="R307" s="26">
        <f>IF(O$320=0,0,SUM(O$17:O307)/O$320)</f>
        <v>0</v>
      </c>
      <c r="S307" s="26">
        <f>SUM(P$17:P307)/P$320</f>
        <v>0.99548389395570769</v>
      </c>
    </row>
    <row r="308" spans="1:19" x14ac:dyDescent="0.4">
      <c r="A308" s="6">
        <f t="shared" si="40"/>
        <v>1237.3821404824632</v>
      </c>
      <c r="B308" s="25">
        <f t="shared" si="48"/>
        <v>1.1884399256693746E-3</v>
      </c>
      <c r="C308" s="25">
        <f t="shared" si="48"/>
        <v>0</v>
      </c>
      <c r="D308" s="27">
        <f t="shared" si="42"/>
        <v>1.1884399256693746E-3</v>
      </c>
      <c r="E308" s="27"/>
      <c r="F308" s="26">
        <f t="shared" si="43"/>
        <v>5.1586831615024885E-2</v>
      </c>
      <c r="G308" s="26">
        <f t="shared" si="43"/>
        <v>0</v>
      </c>
      <c r="H308" s="26">
        <f t="shared" si="43"/>
        <v>5.1586831615024885E-2</v>
      </c>
      <c r="I308" s="26">
        <f>IF(F$320=0,0,SUM(F$17:F308)/F$320)</f>
        <v>0.9960918683211174</v>
      </c>
      <c r="J308" s="26">
        <f>IF(G$320=0,0,SUM(G$17:G308)/G$320)</f>
        <v>0</v>
      </c>
      <c r="K308" s="26">
        <f>SUM(H$17:H308)/H$320</f>
        <v>0.9960918683211174</v>
      </c>
      <c r="L308" s="26"/>
      <c r="M308" s="26"/>
      <c r="N308" s="27">
        <f t="shared" si="44"/>
        <v>5.1974509884022968E-2</v>
      </c>
      <c r="O308" s="27">
        <f t="shared" si="45"/>
        <v>0</v>
      </c>
      <c r="P308" s="26">
        <f t="shared" si="46"/>
        <v>5.1974509884022968E-2</v>
      </c>
      <c r="Q308" s="26">
        <f>IF(N$320=0,0,SUM(N$17:N308)/N$320)</f>
        <v>0.9960062508389641</v>
      </c>
      <c r="R308" s="26">
        <f>IF(O$320=0,0,SUM(O$17:O308)/O$320)</f>
        <v>0</v>
      </c>
      <c r="S308" s="26">
        <f>SUM(P$17:P308)/P$320</f>
        <v>0.9960062508389641</v>
      </c>
    </row>
    <row r="309" spans="1:19" x14ac:dyDescent="0.4">
      <c r="A309" s="6">
        <f t="shared" si="40"/>
        <v>1280.7893253984103</v>
      </c>
      <c r="B309" s="25">
        <f t="shared" si="48"/>
        <v>1.0924787381333678E-3</v>
      </c>
      <c r="C309" s="25">
        <f t="shared" si="48"/>
        <v>0</v>
      </c>
      <c r="D309" s="27">
        <f t="shared" si="42"/>
        <v>1.0924787381333678E-3</v>
      </c>
      <c r="E309" s="27"/>
      <c r="F309" s="26">
        <f t="shared" si="43"/>
        <v>4.9084963327878081E-2</v>
      </c>
      <c r="G309" s="26">
        <f t="shared" si="43"/>
        <v>0</v>
      </c>
      <c r="H309" s="26">
        <f t="shared" si="43"/>
        <v>4.9084963327878081E-2</v>
      </c>
      <c r="I309" s="26">
        <f>IF(F$320=0,0,SUM(F$17:F309)/F$320)</f>
        <v>0.99657669458612852</v>
      </c>
      <c r="J309" s="26">
        <f>IF(G$320=0,0,SUM(G$17:G309)/G$320)</f>
        <v>0</v>
      </c>
      <c r="K309" s="26">
        <f>SUM(H$17:H309)/H$320</f>
        <v>0.99657669458612852</v>
      </c>
      <c r="L309" s="26"/>
      <c r="M309" s="26"/>
      <c r="N309" s="27">
        <f t="shared" si="44"/>
        <v>4.9464744827421026E-2</v>
      </c>
      <c r="O309" s="27">
        <f t="shared" si="45"/>
        <v>0</v>
      </c>
      <c r="P309" s="26">
        <f t="shared" si="46"/>
        <v>4.9464744827421026E-2</v>
      </c>
      <c r="Q309" s="26">
        <f>IF(N$320=0,0,SUM(N$17:N309)/N$320)</f>
        <v>0.99650338395280758</v>
      </c>
      <c r="R309" s="26">
        <f>IF(O$320=0,0,SUM(O$17:O309)/O$320)</f>
        <v>0</v>
      </c>
      <c r="S309" s="26">
        <f>SUM(P$17:P309)/P$320</f>
        <v>0.99650338395280758</v>
      </c>
    </row>
    <row r="310" spans="1:19" x14ac:dyDescent="0.4">
      <c r="A310" s="6">
        <f t="shared" si="40"/>
        <v>1325.7192280267632</v>
      </c>
      <c r="B310" s="25">
        <f t="shared" si="48"/>
        <v>1.0038268577419031E-3</v>
      </c>
      <c r="C310" s="25">
        <f t="shared" si="48"/>
        <v>0</v>
      </c>
      <c r="D310" s="27">
        <f t="shared" si="42"/>
        <v>1.0038268577419031E-3</v>
      </c>
      <c r="E310" s="27"/>
      <c r="F310" s="26">
        <f t="shared" si="43"/>
        <v>4.6684009043852295E-2</v>
      </c>
      <c r="G310" s="26">
        <f t="shared" si="43"/>
        <v>0</v>
      </c>
      <c r="H310" s="26">
        <f t="shared" si="43"/>
        <v>4.6684009043852295E-2</v>
      </c>
      <c r="I310" s="26">
        <f>IF(F$320=0,0,SUM(F$17:F310)/F$320)</f>
        <v>0.99703780593685509</v>
      </c>
      <c r="J310" s="26">
        <f>IF(G$320=0,0,SUM(G$17:G310)/G$320)</f>
        <v>0</v>
      </c>
      <c r="K310" s="26">
        <f>SUM(H$17:H310)/H$320</f>
        <v>0.99703780593685509</v>
      </c>
      <c r="L310" s="26"/>
      <c r="M310" s="26"/>
      <c r="N310" s="27">
        <f t="shared" si="44"/>
        <v>4.7055588373223767E-2</v>
      </c>
      <c r="O310" s="27">
        <f t="shared" si="45"/>
        <v>0</v>
      </c>
      <c r="P310" s="26">
        <f t="shared" si="46"/>
        <v>4.7055588373223767E-2</v>
      </c>
      <c r="Q310" s="26">
        <f>IF(N$320=0,0,SUM(N$17:N310)/N$320)</f>
        <v>0.99697630443897056</v>
      </c>
      <c r="R310" s="26">
        <f>IF(O$320=0,0,SUM(O$17:O310)/O$320)</f>
        <v>0</v>
      </c>
      <c r="S310" s="26">
        <f>SUM(P$17:P310)/P$320</f>
        <v>0.99697630443897056</v>
      </c>
    </row>
    <row r="311" spans="1:19" x14ac:dyDescent="0.4">
      <c r="A311" s="6">
        <f t="shared" si="40"/>
        <v>1372.2252650826629</v>
      </c>
      <c r="B311" s="25">
        <f t="shared" si="48"/>
        <v>9.21965535421234E-4</v>
      </c>
      <c r="C311" s="25">
        <f t="shared" si="48"/>
        <v>0</v>
      </c>
      <c r="D311" s="27">
        <f t="shared" si="42"/>
        <v>9.21965535421234E-4</v>
      </c>
      <c r="E311" s="27"/>
      <c r="F311" s="26">
        <f t="shared" si="43"/>
        <v>4.4381080971970334E-2</v>
      </c>
      <c r="G311" s="26">
        <f t="shared" si="43"/>
        <v>0</v>
      </c>
      <c r="H311" s="26">
        <f t="shared" si="43"/>
        <v>4.4381080971970334E-2</v>
      </c>
      <c r="I311" s="26">
        <f>IF(F$320=0,0,SUM(F$17:F311)/F$320)</f>
        <v>0.99747617060631744</v>
      </c>
      <c r="J311" s="26">
        <f>IF(G$320=0,0,SUM(G$17:G311)/G$320)</f>
        <v>0</v>
      </c>
      <c r="K311" s="26">
        <f>SUM(H$17:H311)/H$320</f>
        <v>0.99747617060631744</v>
      </c>
      <c r="L311" s="26"/>
      <c r="M311" s="26"/>
      <c r="N311" s="27">
        <f t="shared" si="44"/>
        <v>4.4744195913803964E-2</v>
      </c>
      <c r="O311" s="27">
        <f t="shared" si="45"/>
        <v>0</v>
      </c>
      <c r="P311" s="26">
        <f t="shared" si="46"/>
        <v>4.4744195913803964E-2</v>
      </c>
      <c r="Q311" s="26">
        <f>IF(N$320=0,0,SUM(N$17:N311)/N$320)</f>
        <v>0.9974259948501647</v>
      </c>
      <c r="R311" s="26">
        <f>IF(O$320=0,0,SUM(O$17:O311)/O$320)</f>
        <v>0</v>
      </c>
      <c r="S311" s="26">
        <f>SUM(P$17:P311)/P$320</f>
        <v>0.9974259948501647</v>
      </c>
    </row>
    <row r="312" spans="1:19" x14ac:dyDescent="0.4">
      <c r="A312" s="6">
        <f t="shared" si="40"/>
        <v>1420.3627271318198</v>
      </c>
      <c r="B312" s="25">
        <f t="shared" si="48"/>
        <v>8.4640967701447346E-4</v>
      </c>
      <c r="C312" s="25">
        <f t="shared" si="48"/>
        <v>0</v>
      </c>
      <c r="D312" s="27">
        <f t="shared" si="42"/>
        <v>8.4640967701447346E-4</v>
      </c>
      <c r="E312" s="27"/>
      <c r="F312" s="26">
        <f t="shared" si="43"/>
        <v>4.2173307760298324E-2</v>
      </c>
      <c r="G312" s="26">
        <f t="shared" si="43"/>
        <v>0</v>
      </c>
      <c r="H312" s="26">
        <f t="shared" si="43"/>
        <v>4.2173307760298324E-2</v>
      </c>
      <c r="I312" s="26">
        <f>IF(F$320=0,0,SUM(F$17:F312)/F$320)</f>
        <v>0.99789272846636934</v>
      </c>
      <c r="J312" s="26">
        <f>IF(G$320=0,0,SUM(G$17:G312)/G$320)</f>
        <v>0</v>
      </c>
      <c r="K312" s="26">
        <f>SUM(H$17:H312)/H$320</f>
        <v>0.99789272846636934</v>
      </c>
      <c r="L312" s="26"/>
      <c r="M312" s="26"/>
      <c r="N312" s="27">
        <f t="shared" si="44"/>
        <v>4.252773688944167E-2</v>
      </c>
      <c r="O312" s="27">
        <f t="shared" si="45"/>
        <v>0</v>
      </c>
      <c r="P312" s="26">
        <f t="shared" si="46"/>
        <v>4.252773688944167E-2</v>
      </c>
      <c r="Q312" s="26">
        <f>IF(N$320=0,0,SUM(N$17:N312)/N$320)</f>
        <v>0.99785340929126454</v>
      </c>
      <c r="R312" s="26">
        <f>IF(O$320=0,0,SUM(O$17:O312)/O$320)</f>
        <v>0</v>
      </c>
      <c r="S312" s="26">
        <f>SUM(P$17:P312)/P$320</f>
        <v>0.99785340929126454</v>
      </c>
    </row>
    <row r="313" spans="1:19" x14ac:dyDescent="0.4">
      <c r="A313" s="6">
        <f t="shared" si="40"/>
        <v>1470.1888443249213</v>
      </c>
      <c r="B313" s="25">
        <f t="shared" si="48"/>
        <v>7.7670591241600011E-4</v>
      </c>
      <c r="C313" s="25">
        <f t="shared" si="48"/>
        <v>0</v>
      </c>
      <c r="D313" s="27">
        <f t="shared" si="42"/>
        <v>7.7670591241600011E-4</v>
      </c>
      <c r="E313" s="27"/>
      <c r="F313" s="26">
        <f t="shared" si="43"/>
        <v>4.0057838581824767E-2</v>
      </c>
      <c r="G313" s="26">
        <f t="shared" si="43"/>
        <v>0</v>
      </c>
      <c r="H313" s="26">
        <f t="shared" si="43"/>
        <v>4.0057838581824767E-2</v>
      </c>
      <c r="I313" s="26">
        <f>IF(F$320=0,0,SUM(F$17:F313)/F$320)</f>
        <v>0.99828839123042845</v>
      </c>
      <c r="J313" s="26">
        <f>IF(G$320=0,0,SUM(G$17:G313)/G$320)</f>
        <v>0</v>
      </c>
      <c r="K313" s="26">
        <f>SUM(H$17:H313)/H$320</f>
        <v>0.99828839123042845</v>
      </c>
      <c r="L313" s="26"/>
      <c r="M313" s="26"/>
      <c r="N313" s="27">
        <f t="shared" si="44"/>
        <v>4.0403398925825673E-2</v>
      </c>
      <c r="O313" s="27">
        <f t="shared" si="45"/>
        <v>0</v>
      </c>
      <c r="P313" s="26">
        <f t="shared" si="46"/>
        <v>4.0403398925825673E-2</v>
      </c>
      <c r="Q313" s="26">
        <f>IF(N$320=0,0,SUM(N$17:N313)/N$320)</f>
        <v>0.9982594736020769</v>
      </c>
      <c r="R313" s="26">
        <f>IF(O$320=0,0,SUM(O$17:O313)/O$320)</f>
        <v>0</v>
      </c>
      <c r="S313" s="26">
        <f>SUM(P$17:P313)/P$320</f>
        <v>0.9982594736020769</v>
      </c>
    </row>
    <row r="314" spans="1:19" x14ac:dyDescent="0.4">
      <c r="A314" s="6">
        <f t="shared" si="40"/>
        <v>1521.7628544379922</v>
      </c>
      <c r="B314" s="25">
        <f t="shared" si="48"/>
        <v>7.1243075605497037E-4</v>
      </c>
      <c r="C314" s="25">
        <f t="shared" si="48"/>
        <v>0</v>
      </c>
      <c r="D314" s="27">
        <f t="shared" si="42"/>
        <v>7.1243075605497037E-4</v>
      </c>
      <c r="E314" s="27"/>
      <c r="F314" s="26">
        <f t="shared" si="43"/>
        <v>3.8031846974217139E-2</v>
      </c>
      <c r="G314" s="26">
        <f t="shared" si="43"/>
        <v>0</v>
      </c>
      <c r="H314" s="26">
        <f t="shared" si="43"/>
        <v>3.8031846974217139E-2</v>
      </c>
      <c r="I314" s="26">
        <f>IF(F$320=0,0,SUM(F$17:F314)/F$320)</f>
        <v>0.99866404269413267</v>
      </c>
      <c r="J314" s="26">
        <f>IF(G$320=0,0,SUM(G$17:G314)/G$320)</f>
        <v>0</v>
      </c>
      <c r="K314" s="26">
        <f>SUM(H$17:H314)/H$320</f>
        <v>0.99866404269413267</v>
      </c>
      <c r="L314" s="26"/>
      <c r="M314" s="26"/>
      <c r="N314" s="27">
        <f t="shared" si="44"/>
        <v>3.8368391728826889E-2</v>
      </c>
      <c r="O314" s="27">
        <f t="shared" si="45"/>
        <v>0</v>
      </c>
      <c r="P314" s="26">
        <f t="shared" si="46"/>
        <v>3.8368391728826889E-2</v>
      </c>
      <c r="Q314" s="26">
        <f>IF(N$320=0,0,SUM(N$17:N314)/N$320)</f>
        <v>0.99864508557925102</v>
      </c>
      <c r="R314" s="26">
        <f>IF(O$320=0,0,SUM(O$17:O314)/O$320)</f>
        <v>0</v>
      </c>
      <c r="S314" s="26">
        <f>SUM(P$17:P314)/P$320</f>
        <v>0.99864508557925102</v>
      </c>
    </row>
    <row r="315" spans="1:19" x14ac:dyDescent="0.4">
      <c r="A315" s="6">
        <f t="shared" si="40"/>
        <v>1575.1460732995915</v>
      </c>
      <c r="B315" s="25">
        <f t="shared" si="48"/>
        <v>6.5318885586775142E-4</v>
      </c>
      <c r="C315" s="25">
        <f t="shared" si="48"/>
        <v>0</v>
      </c>
      <c r="D315" s="27">
        <f t="shared" si="42"/>
        <v>6.5318885586775142E-4</v>
      </c>
      <c r="E315" s="27"/>
      <c r="F315" s="26">
        <f t="shared" si="43"/>
        <v>3.6092534435905183E-2</v>
      </c>
      <c r="G315" s="26">
        <f t="shared" si="43"/>
        <v>0</v>
      </c>
      <c r="H315" s="26">
        <f t="shared" si="43"/>
        <v>3.6092534435905183E-2</v>
      </c>
      <c r="I315" s="26">
        <f>IF(F$320=0,0,SUM(F$17:F315)/F$320)</f>
        <v>0.99902053901151733</v>
      </c>
      <c r="J315" s="26">
        <f>IF(G$320=0,0,SUM(G$17:G315)/G$320)</f>
        <v>0</v>
      </c>
      <c r="K315" s="26">
        <f>SUM(H$17:H315)/H$320</f>
        <v>0.99902053901151733</v>
      </c>
      <c r="L315" s="26"/>
      <c r="M315" s="26"/>
      <c r="N315" s="27">
        <f t="shared" si="44"/>
        <v>3.6419950738453277E-2</v>
      </c>
      <c r="O315" s="27">
        <f t="shared" si="45"/>
        <v>0</v>
      </c>
      <c r="P315" s="26">
        <f t="shared" si="46"/>
        <v>3.6419950738453277E-2</v>
      </c>
      <c r="Q315" s="26">
        <f>IF(N$320=0,0,SUM(N$17:N315)/N$320)</f>
        <v>0.99901111523491382</v>
      </c>
      <c r="R315" s="26">
        <f>IF(O$320=0,0,SUM(O$17:O315)/O$320)</f>
        <v>0</v>
      </c>
      <c r="S315" s="26">
        <f>SUM(P$17:P315)/P$320</f>
        <v>0.99901111523491382</v>
      </c>
    </row>
    <row r="316" spans="1:19" x14ac:dyDescent="0.4">
      <c r="A316" s="6">
        <f t="shared" si="40"/>
        <v>1630.4019676885991</v>
      </c>
      <c r="B316" s="25">
        <f t="shared" si="48"/>
        <v>5.9861132787451853E-4</v>
      </c>
      <c r="C316" s="25">
        <f t="shared" si="48"/>
        <v>0</v>
      </c>
      <c r="D316" s="27">
        <f t="shared" si="42"/>
        <v>5.9861132787451853E-4</v>
      </c>
      <c r="E316" s="27"/>
      <c r="F316" s="26">
        <f t="shared" si="43"/>
        <v>3.4237133781476782E-2</v>
      </c>
      <c r="G316" s="26">
        <f t="shared" si="43"/>
        <v>0</v>
      </c>
      <c r="H316" s="26">
        <f t="shared" si="43"/>
        <v>3.4237133781476782E-2</v>
      </c>
      <c r="I316" s="26">
        <f>IF(F$320=0,0,SUM(F$17:F316)/F$320)</f>
        <v>0.99935870900433321</v>
      </c>
      <c r="J316" s="26">
        <f>IF(G$320=0,0,SUM(G$17:G316)/G$320)</f>
        <v>0</v>
      </c>
      <c r="K316" s="26">
        <f>SUM(H$17:H316)/H$320</f>
        <v>0.99935870900433321</v>
      </c>
      <c r="L316" s="26"/>
      <c r="M316" s="26"/>
      <c r="N316" s="27">
        <f t="shared" si="44"/>
        <v>3.4555340544706326E-2</v>
      </c>
      <c r="O316" s="27">
        <f t="shared" si="45"/>
        <v>0</v>
      </c>
      <c r="P316" s="26">
        <f t="shared" si="46"/>
        <v>3.4555340544706326E-2</v>
      </c>
      <c r="Q316" s="26">
        <f>IF(N$320=0,0,SUM(N$17:N316)/N$320)</f>
        <v>0.99935840508963447</v>
      </c>
      <c r="R316" s="26">
        <f>IF(O$320=0,0,SUM(O$17:O316)/O$320)</f>
        <v>0</v>
      </c>
      <c r="S316" s="26">
        <f>SUM(P$17:P316)/P$320</f>
        <v>0.99935840508963447</v>
      </c>
    </row>
    <row r="317" spans="1:19" x14ac:dyDescent="0.4">
      <c r="A317" s="6">
        <f t="shared" si="40"/>
        <v>1687.596230789236</v>
      </c>
      <c r="B317" s="25">
        <f t="shared" si="48"/>
        <v>5.4835417346243195E-4</v>
      </c>
      <c r="C317" s="25">
        <f t="shared" si="48"/>
        <v>0</v>
      </c>
      <c r="D317" s="27">
        <f t="shared" si="42"/>
        <v>5.4835417346243195E-4</v>
      </c>
      <c r="E317" s="27"/>
      <c r="F317" s="26">
        <f t="shared" si="43"/>
        <v>3.2462912260002544E-2</v>
      </c>
      <c r="G317" s="26">
        <f t="shared" si="43"/>
        <v>0</v>
      </c>
      <c r="H317" s="26">
        <f t="shared" si="43"/>
        <v>3.2462912260002544E-2</v>
      </c>
      <c r="I317" s="26">
        <f>IF(F$320=0,0,SUM(F$17:F317)/F$320)</f>
        <v>0.99967935450216661</v>
      </c>
      <c r="J317" s="26">
        <f>IF(G$320=0,0,SUM(G$17:G317)/G$320)</f>
        <v>0</v>
      </c>
      <c r="K317" s="26">
        <f>SUM(H$17:H317)/H$320</f>
        <v>0.99967935450216661</v>
      </c>
      <c r="L317" s="26"/>
      <c r="M317" s="26"/>
      <c r="N317" s="27">
        <f t="shared" si="44"/>
        <v>3.2771858068691984E-2</v>
      </c>
      <c r="O317" s="27">
        <f t="shared" si="45"/>
        <v>0</v>
      </c>
      <c r="P317" s="26">
        <f t="shared" si="46"/>
        <v>3.2771858068691984E-2</v>
      </c>
      <c r="Q317" s="26">
        <f>IF(N$320=0,0,SUM(N$17:N317)/N$320)</f>
        <v>0.99968777049735991</v>
      </c>
      <c r="R317" s="26">
        <f>IF(O$320=0,0,SUM(O$17:O317)/O$320)</f>
        <v>0</v>
      </c>
      <c r="S317" s="26">
        <f>SUM(P$17:P317)/P$320</f>
        <v>0.99968777049735991</v>
      </c>
    </row>
    <row r="318" spans="1:19" x14ac:dyDescent="0.4">
      <c r="A318" s="19">
        <f>'Exposure Scenario'!D35</f>
        <v>1746.7968602930189</v>
      </c>
      <c r="B318" s="25">
        <f t="shared" si="48"/>
        <v>5.0209677647564197E-4</v>
      </c>
      <c r="C318" s="25">
        <f t="shared" si="48"/>
        <v>0</v>
      </c>
      <c r="D318" s="27">
        <f t="shared" si="42"/>
        <v>5.0209677647564197E-4</v>
      </c>
      <c r="E318" s="27"/>
      <c r="F318" s="26">
        <f>F317</f>
        <v>3.2462912260002544E-2</v>
      </c>
      <c r="G318" s="26">
        <f>G317</f>
        <v>0</v>
      </c>
      <c r="H318" s="26">
        <f>H317</f>
        <v>3.2462912260002544E-2</v>
      </c>
      <c r="I318" s="26">
        <f>IF(F$320=0,0,SUM(F$17:F318)/F$320)</f>
        <v>1</v>
      </c>
      <c r="J318" s="26">
        <f>IF(G$320=0,0,SUM(G$17:G318)/G$320)</f>
        <v>0</v>
      </c>
      <c r="K318" s="26">
        <f>SUM(H$17:H318)/H$320</f>
        <v>1</v>
      </c>
      <c r="L318" s="26"/>
      <c r="M318" s="26"/>
      <c r="N318" s="27">
        <f t="shared" si="44"/>
        <v>3.1066835512683078E-2</v>
      </c>
      <c r="O318" s="27">
        <f t="shared" si="45"/>
        <v>0</v>
      </c>
      <c r="P318" s="26">
        <f t="shared" si="46"/>
        <v>3.1066835512683078E-2</v>
      </c>
      <c r="Q318" s="26">
        <f>IF(N$320=0,0,SUM(N$17:N318)/N$320)</f>
        <v>1</v>
      </c>
      <c r="R318" s="26">
        <f>IF(O$320=0,0,SUM(O$17:O318)/O$320)</f>
        <v>0</v>
      </c>
      <c r="S318" s="26">
        <f>SUM(P$17:P318)/P$320</f>
        <v>1</v>
      </c>
    </row>
    <row r="319" spans="1:19" x14ac:dyDescent="0.4">
      <c r="C319" s="19"/>
      <c r="H319" s="26"/>
      <c r="N319" s="26"/>
      <c r="O319" s="26"/>
    </row>
    <row r="320" spans="1:19" x14ac:dyDescent="0.4">
      <c r="C320" s="19"/>
      <c r="E320" s="26"/>
      <c r="F320" s="26">
        <f>SUM(F17:F318)</f>
        <v>101.24237664135386</v>
      </c>
      <c r="G320" s="26">
        <f>SUM(G17:G318)</f>
        <v>0</v>
      </c>
      <c r="H320" s="26">
        <f>SUM(H17:H318)</f>
        <v>101.24237664135386</v>
      </c>
      <c r="K320" s="25"/>
      <c r="N320" s="26">
        <f>SUM(N17:N318)</f>
        <v>99.500000000000085</v>
      </c>
      <c r="O320" s="26">
        <f>SUM(O17:O318)</f>
        <v>0</v>
      </c>
      <c r="P320" s="26">
        <f>SUM(P17:P318)</f>
        <v>99.500000000000085</v>
      </c>
      <c r="S320" s="25"/>
    </row>
    <row r="321" spans="3:3" x14ac:dyDescent="0.4">
      <c r="C321" s="19"/>
    </row>
    <row r="322" spans="3:3" x14ac:dyDescent="0.4">
      <c r="C322" s="19"/>
    </row>
    <row r="323" spans="3:3" x14ac:dyDescent="0.4">
      <c r="C323" s="19"/>
    </row>
    <row r="324" spans="3:3" x14ac:dyDescent="0.4">
      <c r="C324" s="19"/>
    </row>
    <row r="325" spans="3:3" x14ac:dyDescent="0.4">
      <c r="C325" s="19"/>
    </row>
    <row r="326" spans="3:3" x14ac:dyDescent="0.4">
      <c r="C326" s="19"/>
    </row>
    <row r="327" spans="3:3" x14ac:dyDescent="0.4">
      <c r="C327" s="19"/>
    </row>
    <row r="328" spans="3:3" x14ac:dyDescent="0.4">
      <c r="C328" s="19"/>
    </row>
    <row r="329" spans="3:3" x14ac:dyDescent="0.4">
      <c r="C329" s="19"/>
    </row>
    <row r="330" spans="3:3" x14ac:dyDescent="0.4">
      <c r="C330" s="19"/>
    </row>
    <row r="331" spans="3:3" x14ac:dyDescent="0.4">
      <c r="C331" s="19"/>
    </row>
    <row r="332" spans="3:3" x14ac:dyDescent="0.4">
      <c r="C332" s="19"/>
    </row>
    <row r="333" spans="3:3" x14ac:dyDescent="0.4">
      <c r="C333" s="19"/>
    </row>
    <row r="334" spans="3:3" x14ac:dyDescent="0.4">
      <c r="C334" s="19"/>
    </row>
    <row r="335" spans="3:3" x14ac:dyDescent="0.4">
      <c r="C335" s="19"/>
    </row>
    <row r="336" spans="3:3" x14ac:dyDescent="0.4">
      <c r="C336" s="19"/>
    </row>
    <row r="337" spans="3:3" x14ac:dyDescent="0.4">
      <c r="C337" s="19"/>
    </row>
    <row r="338" spans="3:3" x14ac:dyDescent="0.4">
      <c r="C338" s="19"/>
    </row>
  </sheetData>
  <phoneticPr fontId="7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README</vt:lpstr>
      <vt:lpstr>Exposure Scenario</vt:lpstr>
      <vt:lpstr>Dae&lt;--&gt;De</vt:lpstr>
      <vt:lpstr>Dp&gt;100um</vt:lpstr>
      <vt:lpstr>Exposure Inputs</vt:lpstr>
      <vt:lpstr>Dose</vt:lpstr>
      <vt:lpstr>Aerosol 1</vt:lpstr>
      <vt:lpstr>Aerosol 2</vt:lpstr>
      <vt:lpstr>Aerosol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S. Brown</dc:creator>
  <cp:lastModifiedBy>Brown, James</cp:lastModifiedBy>
  <cp:lastPrinted>2020-02-12T19:36:29Z</cp:lastPrinted>
  <dcterms:created xsi:type="dcterms:W3CDTF">2004-03-21T22:23:11Z</dcterms:created>
  <dcterms:modified xsi:type="dcterms:W3CDTF">2025-06-17T18:42:19Z</dcterms:modified>
</cp:coreProperties>
</file>